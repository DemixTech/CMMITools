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8943FD97-EB19-4884-9D3C-CF8F31352973}" xr6:coauthVersionLast="46" xr6:coauthVersionMax="46" xr10:uidLastSave="{00000000-0000-0000-0000-000000000000}"/>
  <bookViews>
    <workbookView xWindow="-120" yWindow="-16320" windowWidth="29040" windowHeight="15840" tabRatio="881" activeTab="7"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5"/>
    <pivotCache cacheId="1" r:id="rId46"/>
    <pivotCache cacheId="2" r:id="rId47"/>
    <pivotCache cacheId="3" r:id="rId48"/>
    <pivotCache cacheId="4" r:id="rId49"/>
    <pivotCache cacheId="5"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9" l="1"/>
  <c r="B68" i="50"/>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<sst xmlns="http://schemas.openxmlformats.org/spreadsheetml/2006/main" count="4800" uniqueCount="1560">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</sst>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0" fillId="0" borderId="0" xfId="0" applyBorder="1"/>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2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27" sqref="B2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1" priority="2" operator="equal">
      <formula>"xxx"</formula>
    </cfRule>
  </conditionalFormatting>
  <conditionalFormatting sqref="B4">
    <cfRule type="cellIs" dxfId="130"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workbookViewId="0">
      <selection activeCell="B4" sqref="B4"/>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3'!B16</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3" sqref="B3"/>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abSelected="1" zoomScale="85" zoomScaleNormal="85" workbookViewId="0"/>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3" t="s">
        <v>1329</v>
      </c>
      <c r="AD1" s="363"/>
      <c r="AE1" s="363"/>
      <c r="AF1" s="363"/>
      <c r="AG1" s="363"/>
      <c r="AH1" s="363"/>
      <c r="AI1" s="363"/>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29" priority="5" operator="equal">
      <formula>"s"</formula>
    </cfRule>
    <cfRule type="cellIs" dxfId="128" priority="6" operator="equal">
      <formula>"a"</formula>
    </cfRule>
  </conditionalFormatting>
  <conditionalFormatting sqref="AC3:AH13">
    <cfRule type="cellIs" dxfId="127"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6" priority="14" operator="equal">
      <formula>"x"</formula>
    </cfRule>
  </conditionalFormatting>
  <conditionalFormatting sqref="C35:C1048576 C1:C2">
    <cfRule type="duplicateValues" dxfId="125" priority="13"/>
  </conditionalFormatting>
  <conditionalFormatting sqref="F3:Y7 F28:Y28 F33:Y33 Y31 Y29">
    <cfRule type="cellIs" dxfId="124" priority="12" operator="equal">
      <formula>"x"</formula>
    </cfRule>
  </conditionalFormatting>
  <conditionalFormatting sqref="Y13:Y17">
    <cfRule type="cellIs" dxfId="123" priority="11" operator="equal">
      <formula>"x"</formula>
    </cfRule>
  </conditionalFormatting>
  <conditionalFormatting sqref="F13:X17">
    <cfRule type="cellIs" dxfId="122" priority="10" operator="equal">
      <formula>"x"</formula>
    </cfRule>
  </conditionalFormatting>
  <conditionalFormatting sqref="F18:Y22">
    <cfRule type="cellIs" dxfId="121" priority="9" operator="equal">
      <formula>"x"</formula>
    </cfRule>
  </conditionalFormatting>
  <conditionalFormatting sqref="F8:Y12">
    <cfRule type="cellIs" dxfId="120" priority="8" operator="equal">
      <formula>"x"</formula>
    </cfRule>
  </conditionalFormatting>
  <conditionalFormatting sqref="F23:Y27">
    <cfRule type="cellIs" dxfId="119" priority="7" operator="equal">
      <formula>"x"</formula>
    </cfRule>
  </conditionalFormatting>
  <conditionalFormatting sqref="F31:X31">
    <cfRule type="cellIs" dxfId="118" priority="6" operator="equal">
      <formula>"x"</formula>
    </cfRule>
  </conditionalFormatting>
  <conditionalFormatting sqref="F29:X29">
    <cfRule type="cellIs" dxfId="117" priority="5" operator="equal">
      <formula>"x"</formula>
    </cfRule>
  </conditionalFormatting>
  <conditionalFormatting sqref="F30:Y30">
    <cfRule type="cellIs" dxfId="116" priority="4" operator="equal">
      <formula>"x"</formula>
    </cfRule>
  </conditionalFormatting>
  <conditionalFormatting sqref="C3:C31 C33:C34">
    <cfRule type="duplicateValues" dxfId="115" priority="3"/>
  </conditionalFormatting>
  <conditionalFormatting sqref="F32:Y32">
    <cfRule type="cellIs" dxfId="114" priority="2" operator="equal">
      <formula>"x"</formula>
    </cfRule>
  </conditionalFormatting>
  <conditionalFormatting sqref="C32">
    <cfRule type="duplicateValues" dxfId="11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2" priority="12" operator="equal">
      <formula>"x"</formula>
    </cfRule>
  </conditionalFormatting>
  <conditionalFormatting sqref="H1">
    <cfRule type="cellIs" dxfId="111" priority="11" operator="equal">
      <formula>"x"</formula>
    </cfRule>
  </conditionalFormatting>
  <conditionalFormatting sqref="F4:Y4">
    <cfRule type="cellIs" dxfId="110" priority="10" operator="equal">
      <formula>"x"</formula>
    </cfRule>
  </conditionalFormatting>
  <conditionalFormatting sqref="F5:Y6">
    <cfRule type="cellIs" dxfId="109" priority="9" operator="equal">
      <formula>"x"</formula>
    </cfRule>
  </conditionalFormatting>
  <conditionalFormatting sqref="F7:Y7">
    <cfRule type="cellIs" dxfId="108" priority="8" operator="equal">
      <formula>"x"</formula>
    </cfRule>
  </conditionalFormatting>
  <conditionalFormatting sqref="F8:Y8">
    <cfRule type="cellIs" dxfId="107" priority="7" operator="equal">
      <formula>"x"</formula>
    </cfRule>
  </conditionalFormatting>
  <conditionalFormatting sqref="F9:Y9">
    <cfRule type="cellIs" dxfId="106" priority="6" operator="equal">
      <formula>"x"</formula>
    </cfRule>
  </conditionalFormatting>
  <conditionalFormatting sqref="F10:Y10">
    <cfRule type="cellIs" dxfId="105" priority="5" operator="equal">
      <formula>"x"</formula>
    </cfRule>
  </conditionalFormatting>
  <conditionalFormatting sqref="F11:Y11">
    <cfRule type="cellIs" dxfId="104" priority="4" operator="equal">
      <formula>"x"</formula>
    </cfRule>
  </conditionalFormatting>
  <conditionalFormatting sqref="F12:Y12">
    <cfRule type="cellIs" dxfId="103" priority="3" operator="equal">
      <formula>"x"</formula>
    </cfRule>
  </conditionalFormatting>
  <conditionalFormatting sqref="C1:C1048576">
    <cfRule type="duplicateValues" dxfId="102"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4"/>
      <c r="Y87" s="364"/>
      <c r="Z87" s="364"/>
      <c r="AA87" s="364"/>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5" t="s">
        <v>1032</v>
      </c>
      <c r="B125" s="365"/>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6" t="s">
        <v>885</v>
      </c>
      <c r="B143" s="366"/>
    </row>
    <row r="145" spans="1:3">
      <c r="A145" s="295" t="s">
        <v>840</v>
      </c>
      <c r="B145" s="296"/>
      <c r="C145" s="297"/>
    </row>
    <row r="146" spans="1:3">
      <c r="A146" s="367" t="s">
        <v>841</v>
      </c>
      <c r="B146" s="369"/>
      <c r="C146" s="298" t="s">
        <v>1294</v>
      </c>
    </row>
    <row r="147" spans="1:3" ht="15" thickBot="1">
      <c r="A147" s="368"/>
      <c r="B147" s="370"/>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1"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5" t="s">
        <v>1175</v>
      </c>
      <c r="B135" s="365"/>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sqref="A1:XFD1048576"/>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937</v>
      </c>
      <c r="D2" t="s">
        <v>1456</v>
      </c>
      <c r="E2" t="s">
        <v>1277</v>
      </c>
      <c r="F2" t="s">
        <v>952</v>
      </c>
      <c r="G2" t="s">
        <v>417</v>
      </c>
    </row>
    <row r="3" spans="1:7">
      <c r="A3" t="s">
        <v>952</v>
      </c>
      <c r="B3" t="s">
        <v>1441</v>
      </c>
      <c r="C3" t="s">
        <v>938</v>
      </c>
      <c r="D3" t="s">
        <v>1456</v>
      </c>
      <c r="E3" t="s">
        <v>1277</v>
      </c>
      <c r="F3" t="s">
        <v>952</v>
      </c>
      <c r="G3" t="s">
        <v>417</v>
      </c>
    </row>
    <row r="4" spans="1:7">
      <c r="A4" t="s">
        <v>952</v>
      </c>
      <c r="B4" t="s">
        <v>1441</v>
      </c>
      <c r="C4" t="s">
        <v>939</v>
      </c>
      <c r="D4" t="s">
        <v>1456</v>
      </c>
      <c r="E4" t="s">
        <v>1277</v>
      </c>
      <c r="F4" t="s">
        <v>952</v>
      </c>
      <c r="G4" t="s">
        <v>417</v>
      </c>
    </row>
    <row r="5" spans="1:7">
      <c r="A5" t="s">
        <v>952</v>
      </c>
      <c r="B5" t="s">
        <v>1441</v>
      </c>
      <c r="C5" t="s">
        <v>939</v>
      </c>
      <c r="D5" t="s">
        <v>1457</v>
      </c>
      <c r="E5" t="s">
        <v>1276</v>
      </c>
      <c r="F5" t="s">
        <v>952</v>
      </c>
    </row>
    <row r="6" spans="1:7">
      <c r="A6" t="s">
        <v>952</v>
      </c>
      <c r="B6" t="s">
        <v>1441</v>
      </c>
      <c r="C6" t="s">
        <v>939</v>
      </c>
      <c r="D6" t="s">
        <v>1458</v>
      </c>
      <c r="E6" t="s">
        <v>1278</v>
      </c>
      <c r="F6" t="s">
        <v>952</v>
      </c>
    </row>
    <row r="7" spans="1:7">
      <c r="A7" t="s">
        <v>952</v>
      </c>
      <c r="B7" t="s">
        <v>1441</v>
      </c>
      <c r="C7" t="s">
        <v>940</v>
      </c>
      <c r="D7" t="s">
        <v>1456</v>
      </c>
      <c r="E7" t="s">
        <v>1277</v>
      </c>
      <c r="F7" t="s">
        <v>952</v>
      </c>
      <c r="G7" t="s">
        <v>417</v>
      </c>
    </row>
    <row r="8" spans="1:7">
      <c r="A8" t="s">
        <v>952</v>
      </c>
      <c r="B8" t="s">
        <v>1441</v>
      </c>
      <c r="C8" t="s">
        <v>941</v>
      </c>
      <c r="D8" t="s">
        <v>1456</v>
      </c>
      <c r="E8" t="s">
        <v>1277</v>
      </c>
      <c r="F8" t="s">
        <v>952</v>
      </c>
      <c r="G8" t="s">
        <v>417</v>
      </c>
    </row>
    <row r="9" spans="1:7">
      <c r="A9" t="s">
        <v>952</v>
      </c>
      <c r="B9" t="s">
        <v>1441</v>
      </c>
      <c r="C9" t="s">
        <v>941</v>
      </c>
      <c r="D9" t="s">
        <v>1458</v>
      </c>
      <c r="E9" t="s">
        <v>1278</v>
      </c>
      <c r="F9" t="s">
        <v>952</v>
      </c>
    </row>
    <row r="10" spans="1:7">
      <c r="A10" t="s">
        <v>952</v>
      </c>
      <c r="B10" t="s">
        <v>1441</v>
      </c>
      <c r="C10" t="s">
        <v>946</v>
      </c>
      <c r="D10" t="s">
        <v>1457</v>
      </c>
      <c r="E10" t="s">
        <v>1276</v>
      </c>
      <c r="F10" t="s">
        <v>952</v>
      </c>
      <c r="G10" t="s">
        <v>417</v>
      </c>
    </row>
    <row r="11" spans="1:7">
      <c r="A11" t="s">
        <v>952</v>
      </c>
      <c r="B11" t="s">
        <v>1441</v>
      </c>
      <c r="C11" t="s">
        <v>947</v>
      </c>
      <c r="D11" t="s">
        <v>1457</v>
      </c>
      <c r="E11" t="s">
        <v>1276</v>
      </c>
      <c r="F11" t="s">
        <v>952</v>
      </c>
      <c r="G11" t="s">
        <v>417</v>
      </c>
    </row>
    <row r="12" spans="1:7">
      <c r="A12" t="s">
        <v>952</v>
      </c>
      <c r="B12" t="s">
        <v>1441</v>
      </c>
      <c r="C12" t="s">
        <v>948</v>
      </c>
      <c r="D12" t="s">
        <v>1457</v>
      </c>
      <c r="E12" t="s">
        <v>1276</v>
      </c>
      <c r="F12" t="s">
        <v>952</v>
      </c>
      <c r="G12" t="s">
        <v>417</v>
      </c>
    </row>
    <row r="13" spans="1:7">
      <c r="A13" t="s">
        <v>953</v>
      </c>
      <c r="B13" t="s">
        <v>1444</v>
      </c>
      <c r="C13" t="s">
        <v>945</v>
      </c>
      <c r="D13" t="s">
        <v>1462</v>
      </c>
      <c r="E13" t="s">
        <v>1276</v>
      </c>
      <c r="F13" t="s">
        <v>953</v>
      </c>
      <c r="G13" t="s">
        <v>417</v>
      </c>
    </row>
    <row r="14" spans="1:7">
      <c r="A14" t="s">
        <v>954</v>
      </c>
      <c r="B14" t="s">
        <v>1446</v>
      </c>
      <c r="C14" t="s">
        <v>937</v>
      </c>
      <c r="D14" t="s">
        <v>1466</v>
      </c>
      <c r="E14" t="s">
        <v>1277</v>
      </c>
      <c r="F14" t="s">
        <v>954</v>
      </c>
      <c r="G14" t="s">
        <v>417</v>
      </c>
    </row>
    <row r="15" spans="1:7">
      <c r="A15" t="s">
        <v>954</v>
      </c>
      <c r="B15" t="s">
        <v>1446</v>
      </c>
      <c r="C15" t="s">
        <v>938</v>
      </c>
      <c r="D15" t="s">
        <v>1465</v>
      </c>
      <c r="E15" t="s">
        <v>969</v>
      </c>
      <c r="F15" t="s">
        <v>954</v>
      </c>
      <c r="G15" t="s">
        <v>417</v>
      </c>
    </row>
    <row r="16" spans="1:7">
      <c r="A16" t="s">
        <v>954</v>
      </c>
      <c r="B16" t="s">
        <v>1446</v>
      </c>
      <c r="C16" t="s">
        <v>938</v>
      </c>
      <c r="D16" t="s">
        <v>1466</v>
      </c>
      <c r="E16" t="s">
        <v>1277</v>
      </c>
      <c r="F16" t="s">
        <v>954</v>
      </c>
    </row>
    <row r="17" spans="1:7">
      <c r="A17" t="s">
        <v>955</v>
      </c>
      <c r="B17" t="s">
        <v>1448</v>
      </c>
      <c r="C17" t="s">
        <v>939</v>
      </c>
      <c r="D17" t="s">
        <v>1469</v>
      </c>
      <c r="E17" t="s">
        <v>967</v>
      </c>
      <c r="F17" t="s">
        <v>955</v>
      </c>
      <c r="G17" t="s">
        <v>417</v>
      </c>
    </row>
    <row r="18" spans="1:7">
      <c r="A18" t="s">
        <v>955</v>
      </c>
      <c r="B18" t="s">
        <v>1448</v>
      </c>
      <c r="C18" t="s">
        <v>939</v>
      </c>
      <c r="D18" t="s">
        <v>1470</v>
      </c>
      <c r="E18" t="s">
        <v>969</v>
      </c>
      <c r="F18" t="s">
        <v>955</v>
      </c>
    </row>
    <row r="19" spans="1:7">
      <c r="A19" t="s">
        <v>955</v>
      </c>
      <c r="B19" t="s">
        <v>1448</v>
      </c>
      <c r="C19" t="s">
        <v>939</v>
      </c>
      <c r="D19" t="s">
        <v>1471</v>
      </c>
      <c r="E19" t="s">
        <v>1277</v>
      </c>
      <c r="F19" t="s">
        <v>955</v>
      </c>
    </row>
    <row r="20" spans="1:7">
      <c r="A20" t="s">
        <v>955</v>
      </c>
      <c r="B20" t="s">
        <v>1448</v>
      </c>
      <c r="C20" t="s">
        <v>939</v>
      </c>
      <c r="D20" t="s">
        <v>1472</v>
      </c>
      <c r="E20" t="s">
        <v>1276</v>
      </c>
      <c r="F20" t="s">
        <v>955</v>
      </c>
    </row>
    <row r="21" spans="1:7">
      <c r="A21" t="s">
        <v>955</v>
      </c>
      <c r="B21" t="s">
        <v>1448</v>
      </c>
      <c r="C21" t="s">
        <v>939</v>
      </c>
      <c r="D21" t="s">
        <v>1473</v>
      </c>
      <c r="E21" t="s">
        <v>1278</v>
      </c>
      <c r="F21" t="s">
        <v>955</v>
      </c>
    </row>
    <row r="22" spans="1:7">
      <c r="A22" t="s">
        <v>955</v>
      </c>
      <c r="B22" t="s">
        <v>1448</v>
      </c>
      <c r="C22" t="s">
        <v>940</v>
      </c>
      <c r="D22" t="s">
        <v>1469</v>
      </c>
      <c r="E22" t="s">
        <v>967</v>
      </c>
      <c r="F22" t="s">
        <v>955</v>
      </c>
      <c r="G22" t="s">
        <v>417</v>
      </c>
    </row>
    <row r="23" spans="1:7">
      <c r="A23" t="s">
        <v>955</v>
      </c>
      <c r="B23" t="s">
        <v>1448</v>
      </c>
      <c r="C23" t="s">
        <v>941</v>
      </c>
      <c r="D23" t="s">
        <v>1471</v>
      </c>
      <c r="E23" t="s">
        <v>1277</v>
      </c>
      <c r="F23" t="s">
        <v>955</v>
      </c>
      <c r="G23" t="s">
        <v>417</v>
      </c>
    </row>
    <row r="24" spans="1:7">
      <c r="A24" t="s">
        <v>955</v>
      </c>
      <c r="B24" t="s">
        <v>1448</v>
      </c>
      <c r="C24" t="s">
        <v>941</v>
      </c>
      <c r="D24" t="s">
        <v>1473</v>
      </c>
      <c r="E24" t="s">
        <v>1278</v>
      </c>
      <c r="F24" t="s">
        <v>955</v>
      </c>
    </row>
    <row r="25" spans="1:7">
      <c r="A25" t="s">
        <v>955</v>
      </c>
      <c r="B25" t="s">
        <v>1448</v>
      </c>
      <c r="C25" t="s">
        <v>945</v>
      </c>
      <c r="D25" t="s">
        <v>1472</v>
      </c>
      <c r="E25" t="s">
        <v>1276</v>
      </c>
      <c r="F25" t="s">
        <v>955</v>
      </c>
      <c r="G25" t="s">
        <v>417</v>
      </c>
    </row>
    <row r="26" spans="1:7">
      <c r="A26" t="s">
        <v>955</v>
      </c>
      <c r="B26" t="s">
        <v>1448</v>
      </c>
      <c r="C26" t="s">
        <v>946</v>
      </c>
      <c r="D26" t="s">
        <v>1472</v>
      </c>
      <c r="E26" t="s">
        <v>1276</v>
      </c>
      <c r="F26" t="s">
        <v>955</v>
      </c>
      <c r="G26" t="s">
        <v>417</v>
      </c>
    </row>
    <row r="27" spans="1:7">
      <c r="A27" t="s">
        <v>955</v>
      </c>
      <c r="B27" t="s">
        <v>1448</v>
      </c>
      <c r="C27" t="s">
        <v>947</v>
      </c>
      <c r="D27" t="s">
        <v>1472</v>
      </c>
      <c r="E27" t="s">
        <v>1276</v>
      </c>
      <c r="F27" t="s">
        <v>955</v>
      </c>
      <c r="G27" t="s">
        <v>417</v>
      </c>
    </row>
    <row r="28" spans="1:7">
      <c r="A28" t="s">
        <v>955</v>
      </c>
      <c r="B28" t="s">
        <v>1448</v>
      </c>
      <c r="C28" t="s">
        <v>948</v>
      </c>
      <c r="D28" t="s">
        <v>1472</v>
      </c>
      <c r="E28" t="s">
        <v>1276</v>
      </c>
      <c r="F28" t="s">
        <v>955</v>
      </c>
      <c r="G28" t="s">
        <v>417</v>
      </c>
    </row>
    <row r="29" spans="1:7">
      <c r="A29" t="s">
        <v>958</v>
      </c>
      <c r="B29" t="s">
        <v>1034</v>
      </c>
      <c r="C29" t="s">
        <v>803</v>
      </c>
      <c r="D29" t="s">
        <v>1484</v>
      </c>
      <c r="E29" t="s">
        <v>1275</v>
      </c>
      <c r="F29" t="s">
        <v>958</v>
      </c>
      <c r="G29" t="s">
        <v>417</v>
      </c>
    </row>
    <row r="30" spans="1:7">
      <c r="A30" t="s">
        <v>959</v>
      </c>
      <c r="B30" t="s">
        <v>1035</v>
      </c>
      <c r="C30" t="s">
        <v>942</v>
      </c>
      <c r="D30" t="s">
        <v>1485</v>
      </c>
      <c r="E30" t="s">
        <v>1279</v>
      </c>
      <c r="F30" t="s">
        <v>959</v>
      </c>
      <c r="G30" t="s">
        <v>417</v>
      </c>
    </row>
    <row r="31" spans="1:7">
      <c r="A31" t="s">
        <v>959</v>
      </c>
      <c r="B31" t="s">
        <v>1035</v>
      </c>
      <c r="C31" t="s">
        <v>942</v>
      </c>
      <c r="D31" t="s">
        <v>1486</v>
      </c>
      <c r="E31" t="s">
        <v>1279</v>
      </c>
      <c r="F31" t="s">
        <v>959</v>
      </c>
    </row>
    <row r="32" spans="1:7">
      <c r="A32" t="s">
        <v>959</v>
      </c>
      <c r="B32" t="s">
        <v>1035</v>
      </c>
      <c r="C32" t="s">
        <v>943</v>
      </c>
      <c r="D32" t="s">
        <v>1485</v>
      </c>
      <c r="E32" t="s">
        <v>1279</v>
      </c>
      <c r="F32" t="s">
        <v>959</v>
      </c>
      <c r="G32" t="s">
        <v>417</v>
      </c>
    </row>
    <row r="33" spans="1:7">
      <c r="A33" t="s">
        <v>959</v>
      </c>
      <c r="B33" t="s">
        <v>1035</v>
      </c>
      <c r="C33" t="s">
        <v>943</v>
      </c>
      <c r="D33" t="s">
        <v>1486</v>
      </c>
      <c r="E33" t="s">
        <v>1279</v>
      </c>
      <c r="F33" t="s">
        <v>959</v>
      </c>
    </row>
    <row r="34" spans="1:7">
      <c r="A34" t="s">
        <v>959</v>
      </c>
      <c r="B34" t="s">
        <v>1035</v>
      </c>
      <c r="C34" t="s">
        <v>944</v>
      </c>
      <c r="D34" t="s">
        <v>1485</v>
      </c>
      <c r="E34" t="s">
        <v>1279</v>
      </c>
      <c r="F34" t="s">
        <v>959</v>
      </c>
      <c r="G34" t="s">
        <v>417</v>
      </c>
    </row>
    <row r="35" spans="1:7">
      <c r="A35" t="s">
        <v>959</v>
      </c>
      <c r="B35" t="s">
        <v>1035</v>
      </c>
      <c r="C35" t="s">
        <v>944</v>
      </c>
      <c r="D35" t="s">
        <v>1486</v>
      </c>
      <c r="E35" t="s">
        <v>1279</v>
      </c>
      <c r="F35" t="s">
        <v>959</v>
      </c>
    </row>
    <row r="36" spans="1:7">
      <c r="A36" t="s">
        <v>959</v>
      </c>
      <c r="B36" t="s">
        <v>1035</v>
      </c>
      <c r="C36" t="s">
        <v>949</v>
      </c>
      <c r="D36" t="s">
        <v>1485</v>
      </c>
      <c r="E36" t="s">
        <v>1279</v>
      </c>
      <c r="F36" t="s">
        <v>959</v>
      </c>
      <c r="G36" t="s">
        <v>417</v>
      </c>
    </row>
    <row r="37" spans="1:7">
      <c r="A37" t="s">
        <v>959</v>
      </c>
      <c r="B37" t="s">
        <v>1035</v>
      </c>
      <c r="C37" t="s">
        <v>949</v>
      </c>
      <c r="D37" t="s">
        <v>1486</v>
      </c>
      <c r="E37" t="s">
        <v>1279</v>
      </c>
      <c r="F37" t="s">
        <v>959</v>
      </c>
    </row>
    <row r="38" spans="1:7">
      <c r="A38" t="s">
        <v>959</v>
      </c>
      <c r="B38" t="s">
        <v>1035</v>
      </c>
      <c r="C38" t="s">
        <v>950</v>
      </c>
      <c r="D38" t="s">
        <v>1485</v>
      </c>
      <c r="E38" t="s">
        <v>1279</v>
      </c>
      <c r="F38" t="s">
        <v>959</v>
      </c>
      <c r="G38" t="s">
        <v>417</v>
      </c>
    </row>
    <row r="39" spans="1:7">
      <c r="A39" t="s">
        <v>959</v>
      </c>
      <c r="B39" t="s">
        <v>1035</v>
      </c>
      <c r="C39" t="s">
        <v>950</v>
      </c>
      <c r="D39" t="s">
        <v>1486</v>
      </c>
      <c r="E39" t="s">
        <v>1279</v>
      </c>
      <c r="F39" t="s">
        <v>959</v>
      </c>
    </row>
    <row r="40" spans="1:7">
      <c r="A40" t="s">
        <v>960</v>
      </c>
      <c r="B40" t="s">
        <v>1036</v>
      </c>
      <c r="C40" t="s">
        <v>805</v>
      </c>
      <c r="D40" t="s">
        <v>1487</v>
      </c>
      <c r="E40" t="s">
        <v>1274</v>
      </c>
      <c r="F40" t="s">
        <v>960</v>
      </c>
      <c r="G40" t="s">
        <v>417</v>
      </c>
    </row>
    <row r="41" spans="1:7">
      <c r="A41" t="s">
        <v>961</v>
      </c>
      <c r="B41" t="s">
        <v>1037</v>
      </c>
      <c r="C41" t="s">
        <v>889</v>
      </c>
      <c r="D41" t="s">
        <v>1488</v>
      </c>
      <c r="E41" t="s">
        <v>1489</v>
      </c>
      <c r="F41" t="s">
        <v>961</v>
      </c>
      <c r="G41" t="s">
        <v>417</v>
      </c>
    </row>
  </sheetData>
  <sortState xmlns:xlrd2="http://schemas.microsoft.com/office/spreadsheetml/2017/richdata2" ref="A2:G41">
    <sortCondition ref="A2:A41"/>
    <sortCondition ref="C2:C41"/>
    <sortCondition ref="D2:D41"/>
    <sortCondition ref="G2:G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362" t="s">
        <v>955</v>
      </c>
      <c r="B19" s="362" t="s">
        <v>1448</v>
      </c>
      <c r="C19" s="362" t="s">
        <v>941</v>
      </c>
      <c r="D19" s="362" t="s">
        <v>1471</v>
      </c>
      <c r="E19" s="362" t="s">
        <v>1277</v>
      </c>
      <c r="F19" s="306" t="s">
        <v>955</v>
      </c>
      <c r="G19" s="121" t="s">
        <v>417</v>
      </c>
      <c r="H19" s="120" t="s">
        <v>1061</v>
      </c>
      <c r="I19" s="145"/>
      <c r="J19" s="145"/>
      <c r="K19" s="362"/>
      <c r="L19" s="362"/>
      <c r="M19" s="362"/>
      <c r="N19" s="362"/>
    </row>
    <row r="20" spans="1:14" s="136" customFormat="1">
      <c r="A20" s="120" t="s">
        <v>958</v>
      </c>
      <c r="B20" s="120" t="s">
        <v>1034</v>
      </c>
      <c r="C20" s="167" t="s">
        <v>803</v>
      </c>
      <c r="D20" s="120" t="s">
        <v>1484</v>
      </c>
      <c r="E20" s="120" t="s">
        <v>1275</v>
      </c>
      <c r="F20" s="167" t="s">
        <v>958</v>
      </c>
      <c r="G20" s="121" t="s">
        <v>417</v>
      </c>
      <c r="H20" s="120" t="s">
        <v>1062</v>
      </c>
      <c r="I20" s="145">
        <f t="shared" ref="I20:I27" si="0">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 t="shared" si="0"/>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 t="shared" si="0"/>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 t="shared" si="0"/>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 t="shared" si="0"/>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 t="shared" si="0"/>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 t="shared" si="0"/>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 t="shared" si="0"/>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1" t="s">
        <v>1066</v>
      </c>
      <c r="D45" s="371"/>
      <c r="E45" s="371"/>
      <c r="F45" s="146" t="s">
        <v>1093</v>
      </c>
    </row>
    <row r="46" spans="1:6">
      <c r="A46" s="33" t="s">
        <v>1067</v>
      </c>
      <c r="C46" s="371"/>
      <c r="D46" s="371"/>
      <c r="E46" s="371"/>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1359</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73" t="str">
        <f>J11</f>
        <v>Mini team 1:ATM-5 / ATM-6 / ATM-7</v>
      </c>
      <c r="D4" s="73" t="str">
        <f>M11</f>
        <v>Mini team 2: ATM-1 / ATM-2 / ATM-3 / ATM-4</v>
      </c>
      <c r="E4" s="73" t="str">
        <f>CONCATENATE("LA team: ",'Agreement 3'!B7," and ATMs if applicable")</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2"/>
      <c r="D12" s="372"/>
      <c r="E12" s="372"/>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2"/>
      <c r="D13" s="372"/>
      <c r="E13" s="372"/>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9" t="str">
        <f>CONCATENATE("Schedule above includes ",Planning!B28," non-working day(s).")</f>
        <v>Schedule above includes 0 non-working day(s).</v>
      </c>
      <c r="B15" s="379"/>
      <c r="C15" s="379"/>
      <c r="D15" s="379"/>
      <c r="E15" s="379"/>
      <c r="F15" s="379"/>
      <c r="G15" s="379"/>
      <c r="H15" s="70"/>
      <c r="I15" s="150"/>
      <c r="K15" s="154"/>
      <c r="L15" s="150"/>
      <c r="M15" s="151"/>
      <c r="N15" s="72"/>
      <c r="O15" s="72"/>
      <c r="P15" s="72"/>
    </row>
    <row r="16" spans="1:16">
      <c r="A16" s="377" t="str">
        <f>J4</f>
        <v>Day 3</v>
      </c>
      <c r="B16" s="377"/>
      <c r="C16" s="378">
        <f>I4</f>
        <v>44249</v>
      </c>
      <c r="D16" s="378"/>
      <c r="E16" s="378"/>
      <c r="F16" s="377" t="str">
        <f>A16</f>
        <v>Day 3</v>
      </c>
      <c r="G16" s="377"/>
      <c r="H16" s="70"/>
      <c r="I16" s="150"/>
      <c r="K16" s="154"/>
      <c r="L16" s="151"/>
      <c r="M16" s="151"/>
      <c r="N16" s="72"/>
      <c r="O16" s="72"/>
      <c r="P16" s="72"/>
    </row>
    <row r="17" spans="1:18" ht="29">
      <c r="A17" s="377" t="s">
        <v>992</v>
      </c>
      <c r="B17" s="377"/>
      <c r="C17" s="76" t="str">
        <f>C4</f>
        <v>Mini team 1:ATM-5 / ATM-6 / ATM-7</v>
      </c>
      <c r="D17" s="76" t="str">
        <f>D4</f>
        <v>Mini team 2: ATM-1 / ATM-2 / ATM-3 / ATM-4</v>
      </c>
      <c r="E17" s="76"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80" t="s">
        <v>1058</v>
      </c>
      <c r="D19" s="381"/>
      <c r="E19" s="382"/>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1000</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76" t="str">
        <f>C17</f>
        <v>Mini team 1:ATM-5 / ATM-6 / ATM-7</v>
      </c>
      <c r="D36" s="76" t="str">
        <f>D17</f>
        <v>Mini team 2: ATM-1 / ATM-2 / ATM-3 / ATM-4</v>
      </c>
      <c r="E36" s="76" t="str">
        <f>E17</f>
        <v>LA team: van Zyl, Pieter and ATMs if applicable</v>
      </c>
      <c r="F36" s="377" t="s">
        <v>993</v>
      </c>
      <c r="G36" s="377"/>
      <c r="H36" s="79"/>
    </row>
    <row r="37" spans="1:16" ht="18" customHeight="1">
      <c r="A37" s="75">
        <v>0.41666666666666669</v>
      </c>
      <c r="B37" s="75">
        <v>0.4375</v>
      </c>
      <c r="C37" s="372" t="s">
        <v>1000</v>
      </c>
      <c r="D37" s="372"/>
      <c r="E37" s="77"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1000</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73" t="str">
        <f>C36</f>
        <v>Mini team 1:ATM-5 / ATM-6 / ATM-7</v>
      </c>
      <c r="D55" s="73" t="str">
        <f>D36</f>
        <v>Mini team 2: ATM-1 / ATM-2 / ATM-3 / ATM-4</v>
      </c>
      <c r="E55" s="73" t="str">
        <f>E36</f>
        <v>LA team: van Zyl, Pieter and ATMs if applicable</v>
      </c>
      <c r="F55" s="374" t="s">
        <v>993</v>
      </c>
      <c r="G55" s="374"/>
      <c r="H55" s="79"/>
    </row>
    <row r="56" spans="1:8" ht="18" customHeight="1">
      <c r="A56" s="75">
        <v>0.41666666666666669</v>
      </c>
      <c r="B56" s="75">
        <v>0.4375</v>
      </c>
      <c r="C56" s="372" t="s">
        <v>1002</v>
      </c>
      <c r="D56" s="372"/>
      <c r="E56" s="77"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72" t="s">
        <v>1000</v>
      </c>
      <c r="D71" s="372"/>
      <c r="E71" s="372"/>
      <c r="F71" s="75">
        <v>0.47916666666666669</v>
      </c>
      <c r="G71" s="75">
        <v>0.5</v>
      </c>
      <c r="H71" s="79"/>
    </row>
    <row r="72" spans="1:8" ht="18" customHeight="1">
      <c r="A72" s="75">
        <v>0.75</v>
      </c>
      <c r="B72" s="75">
        <v>0.83333333333333337</v>
      </c>
      <c r="C72" s="372" t="s">
        <v>1001</v>
      </c>
      <c r="D72" s="372"/>
      <c r="E72" s="372"/>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73" t="str">
        <f>C55</f>
        <v>Mini team 1:ATM-5 / ATM-6 / ATM-7</v>
      </c>
      <c r="D74" s="73" t="str">
        <f>D55</f>
        <v>Mini team 2: ATM-1 / ATM-2 / ATM-3 / ATM-4</v>
      </c>
      <c r="E74" s="73"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75" t="s">
        <v>1003</v>
      </c>
      <c r="D81" s="375"/>
      <c r="E81" s="375"/>
      <c r="F81" s="75">
        <v>0.29166666666666669</v>
      </c>
      <c r="G81" s="75">
        <v>0.3125</v>
      </c>
      <c r="H81" s="79"/>
    </row>
    <row r="82" spans="1:8" ht="18" customHeight="1">
      <c r="A82" s="75">
        <v>0.5625</v>
      </c>
      <c r="B82" s="75">
        <v>0.58333333333333337</v>
      </c>
      <c r="C82" s="375"/>
      <c r="D82" s="375"/>
      <c r="E82" s="375"/>
      <c r="F82" s="75">
        <v>0.3125</v>
      </c>
      <c r="G82" s="75">
        <v>0.33333333333333331</v>
      </c>
      <c r="H82" s="79"/>
    </row>
    <row r="83" spans="1:8" ht="18" customHeight="1">
      <c r="A83" s="75">
        <v>0.58333333333333337</v>
      </c>
      <c r="B83" s="75">
        <v>0.60416666666666663</v>
      </c>
      <c r="C83" s="375"/>
      <c r="D83" s="375"/>
      <c r="E83" s="375"/>
      <c r="F83" s="75">
        <v>0.33333333333333331</v>
      </c>
      <c r="G83" s="75">
        <v>0.35416666666666669</v>
      </c>
      <c r="H83" s="79"/>
    </row>
    <row r="84" spans="1:8" ht="18" customHeight="1">
      <c r="A84" s="75">
        <v>0.60416666666666663</v>
      </c>
      <c r="B84" s="75">
        <v>0.625</v>
      </c>
      <c r="C84" s="375"/>
      <c r="D84" s="375"/>
      <c r="E84" s="375"/>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73" t="str">
        <f>C74</f>
        <v>Mini team 1:ATM-5 / ATM-6 / ATM-7</v>
      </c>
      <c r="D93" s="73" t="str">
        <f>D74</f>
        <v>Mini team 2: ATM-1 / ATM-2 / ATM-3 / ATM-4</v>
      </c>
      <c r="E93" s="73"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1360</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269" t="str">
        <f>Schedule4!C4</f>
        <v>Mini team 1:ATM-5 / ATM-6 / ATM-7</v>
      </c>
      <c r="D4" s="269" t="str">
        <f>Schedule4!D4</f>
        <v>Mini team 2: ATM-1 / ATM-2 / ATM-3 / ATM-4</v>
      </c>
      <c r="E4" s="269" t="str">
        <f>Schedule4!E4</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2"/>
      <c r="D12" s="372"/>
      <c r="E12" s="372"/>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2"/>
      <c r="D13" s="372"/>
      <c r="E13" s="372"/>
      <c r="F13" s="75">
        <v>0.5</v>
      </c>
      <c r="G13" s="75">
        <v>0.54166666666666663</v>
      </c>
      <c r="H13" s="70"/>
      <c r="I13" s="150" t="str">
        <f>'P1PA-SS'!B95</f>
        <v>ATM-5</v>
      </c>
      <c r="K13" s="153"/>
      <c r="L13" s="150"/>
      <c r="M13" s="154"/>
      <c r="N13" s="72"/>
      <c r="O13" s="72"/>
      <c r="P13" s="72"/>
    </row>
    <row r="14" spans="1:16">
      <c r="I14" s="150"/>
      <c r="K14" s="48"/>
      <c r="L14" s="150"/>
      <c r="M14" s="154"/>
    </row>
    <row r="15" spans="1:16">
      <c r="A15" s="379" t="str">
        <f>CONCATENATE("Schedule above includes ",Planning!B28," non-working day(s).")</f>
        <v>Schedule above includes 0 non-working day(s).</v>
      </c>
      <c r="B15" s="379"/>
      <c r="C15" s="379"/>
      <c r="D15" s="379"/>
      <c r="E15" s="379"/>
      <c r="F15" s="379"/>
      <c r="G15" s="379"/>
      <c r="H15" s="70"/>
      <c r="K15" s="154"/>
      <c r="L15" s="151"/>
      <c r="M15" s="151"/>
      <c r="N15" s="72"/>
      <c r="O15" s="72"/>
      <c r="P15" s="72"/>
    </row>
    <row r="16" spans="1:16">
      <c r="A16" s="377" t="str">
        <f>J4</f>
        <v>Day 3</v>
      </c>
      <c r="B16" s="377"/>
      <c r="C16" s="378">
        <f>I4</f>
        <v>44249</v>
      </c>
      <c r="D16" s="378"/>
      <c r="E16" s="378"/>
      <c r="F16" s="377" t="str">
        <f>A16</f>
        <v>Day 3</v>
      </c>
      <c r="G16" s="377"/>
      <c r="H16" s="70"/>
      <c r="K16" s="154"/>
      <c r="L16" s="151"/>
      <c r="M16" s="151"/>
      <c r="N16" s="72"/>
      <c r="O16" s="72"/>
      <c r="P16" s="72"/>
    </row>
    <row r="17" spans="1:18" ht="29">
      <c r="A17" s="377" t="s">
        <v>992</v>
      </c>
      <c r="B17" s="377"/>
      <c r="C17" s="271" t="str">
        <f>C4</f>
        <v>Mini team 1:ATM-5 / ATM-6 / ATM-7</v>
      </c>
      <c r="D17" s="271" t="str">
        <f>D4</f>
        <v>Mini team 2: ATM-1 / ATM-2 / ATM-3 / ATM-4</v>
      </c>
      <c r="E17" s="271"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1" t="s">
        <v>1058</v>
      </c>
      <c r="D19" s="371"/>
      <c r="E19" s="37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1241</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271" t="str">
        <f>C17</f>
        <v>Mini team 1:ATM-5 / ATM-6 / ATM-7</v>
      </c>
      <c r="D36" s="271" t="str">
        <f>D17</f>
        <v>Mini team 2: ATM-1 / ATM-2 / ATM-3 / ATM-4</v>
      </c>
      <c r="E36" s="271" t="str">
        <f>E17</f>
        <v>LA team: van Zyl, Pieter and ATMs if applicable</v>
      </c>
      <c r="F36" s="377" t="s">
        <v>993</v>
      </c>
      <c r="G36" s="377"/>
      <c r="H36" s="79"/>
    </row>
    <row r="37" spans="1:16" ht="18" customHeight="1">
      <c r="A37" s="75">
        <v>0.41666666666666669</v>
      </c>
      <c r="B37" s="75">
        <v>0.4375</v>
      </c>
      <c r="C37" s="372" t="s">
        <v>1000</v>
      </c>
      <c r="D37" s="372"/>
      <c r="E37" s="270"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1241</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269" t="str">
        <f>C36</f>
        <v>Mini team 1:ATM-5 / ATM-6 / ATM-7</v>
      </c>
      <c r="D55" s="269" t="str">
        <f>D36</f>
        <v>Mini team 2: ATM-1 / ATM-2 / ATM-3 / ATM-4</v>
      </c>
      <c r="E55" s="269" t="str">
        <f>E36</f>
        <v>LA team: van Zyl, Pieter and ATMs if applicable</v>
      </c>
      <c r="F55" s="374" t="s">
        <v>993</v>
      </c>
      <c r="G55" s="374"/>
      <c r="H55" s="79"/>
    </row>
    <row r="56" spans="1:8" ht="18" customHeight="1">
      <c r="A56" s="75">
        <v>0.41666666666666669</v>
      </c>
      <c r="B56" s="75">
        <v>0.4375</v>
      </c>
      <c r="C56" s="372" t="s">
        <v>1002</v>
      </c>
      <c r="D56" s="372"/>
      <c r="E56" s="270"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85" t="s">
        <v>1240</v>
      </c>
      <c r="D71" s="386"/>
      <c r="E71" s="387"/>
      <c r="F71" s="75">
        <v>0.47916666666666669</v>
      </c>
      <c r="G71" s="75">
        <v>0.5</v>
      </c>
      <c r="H71" s="79"/>
    </row>
    <row r="72" spans="1:8" ht="18" customHeight="1">
      <c r="A72" s="75">
        <v>0.75</v>
      </c>
      <c r="B72" s="75">
        <v>0.83333333333333337</v>
      </c>
      <c r="C72" s="388"/>
      <c r="D72" s="389"/>
      <c r="E72" s="390"/>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269" t="str">
        <f>C55</f>
        <v>Mini team 1:ATM-5 / ATM-6 / ATM-7</v>
      </c>
      <c r="D74" s="269" t="str">
        <f>D55</f>
        <v>Mini team 2: ATM-1 / ATM-2 / ATM-3 / ATM-4</v>
      </c>
      <c r="E74" s="269"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85" t="s">
        <v>1240</v>
      </c>
      <c r="D81" s="386"/>
      <c r="E81" s="387"/>
      <c r="F81" s="75">
        <v>0.29166666666666669</v>
      </c>
      <c r="G81" s="75">
        <v>0.3125</v>
      </c>
      <c r="H81" s="79"/>
    </row>
    <row r="82" spans="1:8" ht="18" customHeight="1">
      <c r="A82" s="75">
        <v>0.5625</v>
      </c>
      <c r="B82" s="75">
        <v>0.58333333333333337</v>
      </c>
      <c r="C82" s="388"/>
      <c r="D82" s="389"/>
      <c r="E82" s="390"/>
      <c r="F82" s="75">
        <v>0.3125</v>
      </c>
      <c r="G82" s="75">
        <v>0.33333333333333331</v>
      </c>
      <c r="H82" s="79"/>
    </row>
    <row r="83" spans="1:8" ht="18" customHeight="1">
      <c r="A83" s="75">
        <v>0.58333333333333337</v>
      </c>
      <c r="B83" s="75">
        <v>0.60416666666666663</v>
      </c>
      <c r="C83" s="391" t="s">
        <v>1003</v>
      </c>
      <c r="D83" s="392"/>
      <c r="E83" s="393"/>
      <c r="F83" s="75">
        <v>0.33333333333333331</v>
      </c>
      <c r="G83" s="75">
        <v>0.35416666666666669</v>
      </c>
      <c r="H83" s="79"/>
    </row>
    <row r="84" spans="1:8" ht="18" customHeight="1">
      <c r="A84" s="75">
        <v>0.60416666666666663</v>
      </c>
      <c r="B84" s="75">
        <v>0.625</v>
      </c>
      <c r="C84" s="394"/>
      <c r="D84" s="395"/>
      <c r="E84" s="396"/>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269" t="str">
        <f>C74</f>
        <v>Mini team 1:ATM-5 / ATM-6 / ATM-7</v>
      </c>
      <c r="D93" s="269" t="str">
        <f>D74</f>
        <v>Mini team 2: ATM-1 / ATM-2 / ATM-3 / ATM-4</v>
      </c>
      <c r="E93" s="269"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9" t="str">
        <f>StartupInfo!B3</f>
        <v>Company Full Name Ltd.</v>
      </c>
      <c r="B1" s="400"/>
      <c r="C1" s="400"/>
      <c r="D1" s="400"/>
      <c r="E1" s="400"/>
      <c r="F1" s="400"/>
      <c r="G1" s="400"/>
      <c r="H1" s="400"/>
      <c r="I1" s="400"/>
      <c r="J1" s="400"/>
      <c r="K1" s="400"/>
    </row>
    <row r="2" spans="1:11" ht="15" customHeight="1">
      <c r="A2" s="400"/>
      <c r="B2" s="400"/>
      <c r="C2" s="400"/>
      <c r="D2" s="400"/>
      <c r="E2" s="400"/>
      <c r="F2" s="400"/>
      <c r="G2" s="400"/>
      <c r="H2" s="400"/>
      <c r="I2" s="400"/>
      <c r="J2" s="400"/>
      <c r="K2" s="400"/>
    </row>
    <row r="3" spans="1:11" ht="15.75" customHeight="1">
      <c r="B3" s="401" t="str">
        <f>StartupInfo!B4</f>
        <v>公司名</v>
      </c>
      <c r="C3" s="402"/>
      <c r="D3" s="402"/>
      <c r="E3" s="402"/>
      <c r="F3" s="402"/>
      <c r="G3" s="402"/>
      <c r="H3" s="402"/>
      <c r="I3" s="402"/>
      <c r="J3" s="402"/>
      <c r="K3" s="275"/>
    </row>
    <row r="4" spans="1:11" ht="15" customHeight="1">
      <c r="A4" s="275"/>
      <c r="B4" s="402"/>
      <c r="C4" s="402"/>
      <c r="D4" s="402"/>
      <c r="E4" s="402"/>
      <c r="F4" s="402"/>
      <c r="G4" s="402"/>
      <c r="H4" s="402"/>
      <c r="I4" s="402"/>
      <c r="J4" s="402"/>
      <c r="K4" s="275"/>
    </row>
    <row r="5" spans="1:11">
      <c r="A5" s="276"/>
      <c r="C5" s="277"/>
      <c r="D5" s="403" t="str">
        <f>CONCATENATE("was rated on ",TEXT(Planning!B33,"dd mmmm yyyy")," at")</f>
        <v>was rated on 26 February 2021 at</v>
      </c>
      <c r="E5" s="403"/>
      <c r="F5" s="403"/>
      <c r="G5" s="403"/>
      <c r="H5" s="403"/>
      <c r="I5" s="277"/>
      <c r="J5" s="277"/>
      <c r="K5" s="276"/>
    </row>
    <row r="6" spans="1:11">
      <c r="A6" s="276"/>
      <c r="B6" s="276"/>
      <c r="C6" s="276"/>
      <c r="E6" s="404" t="str">
        <f>Planning!B10</f>
        <v>Maturity Level 5</v>
      </c>
      <c r="F6" s="404"/>
      <c r="G6" s="404"/>
      <c r="H6" s="276"/>
      <c r="I6" s="276"/>
      <c r="J6" s="276"/>
      <c r="K6" s="276"/>
    </row>
    <row r="7" spans="1:11">
      <c r="A7" s="276"/>
      <c r="B7" s="276"/>
      <c r="C7" s="276"/>
      <c r="D7" s="276"/>
      <c r="E7" s="404"/>
      <c r="F7" s="404"/>
      <c r="G7" s="404"/>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7" t="str">
        <f>'Agreement 3'!B7</f>
        <v>van Zyl, Pieter</v>
      </c>
      <c r="H11" s="398"/>
      <c r="I11" s="398"/>
      <c r="J11" s="276"/>
      <c r="K11" s="276"/>
    </row>
    <row r="12" spans="1:11" ht="19" customHeight="1">
      <c r="A12" s="276"/>
      <c r="B12" s="276"/>
      <c r="C12" s="276"/>
      <c r="D12" s="276"/>
      <c r="E12" s="276"/>
      <c r="F12" s="276"/>
      <c r="G12" s="397" t="str">
        <f>'Agreement 3'!B9</f>
        <v>CMMI V2.0 High Maturity Lead Appraiser</v>
      </c>
      <c r="H12" s="398"/>
      <c r="I12" s="398"/>
      <c r="J12" s="276"/>
      <c r="K12" s="276"/>
    </row>
    <row r="13" spans="1:11" ht="19" customHeight="1">
      <c r="A13" s="276"/>
      <c r="B13" s="276"/>
      <c r="C13" s="276"/>
      <c r="D13" s="276"/>
      <c r="E13" s="276"/>
      <c r="F13" s="276"/>
      <c r="G13" s="397" t="str">
        <f>'Agreement 3'!B11</f>
        <v>0500535-01</v>
      </c>
      <c r="H13" s="398"/>
      <c r="I13" s="398"/>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5" t="s">
        <v>1143</v>
      </c>
      <c r="C30" s="405"/>
      <c r="D30" s="405"/>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9" t="str">
        <f>Planning!A41</f>
        <v>Business objectives</v>
      </c>
      <c r="B20" s="410"/>
    </row>
    <row r="21" spans="1:2" ht="81.650000000000006" customHeight="1">
      <c r="A21" s="411" t="str">
        <f>Planning!B41</f>
        <v>Sales of 138 million, software revenue increased by 5%. Profit increased by 3%, product market share reached 25%, and productivity increased by 5%</v>
      </c>
      <c r="B21" s="412"/>
    </row>
    <row r="22" spans="1:2">
      <c r="A22" s="409" t="str">
        <f>Planning!A53</f>
        <v>Appraisal objectives</v>
      </c>
      <c r="B22" s="410"/>
    </row>
    <row r="23" spans="1:2" ht="70.5" customHeight="1">
      <c r="A23" s="411" t="str">
        <f>Planning!B53</f>
        <v>[A1]: In support of the business objectives, understand the current strength and weaknesses of the CMMI maturity level 5 practices within the organisation [B1].</v>
      </c>
      <c r="B23" s="412"/>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3" t="str">
        <f>'P1PA-SS'!B76</f>
        <v>CMMI Development V2.0 (CMMI-DEV) without SAM</v>
      </c>
      <c r="C40" s="414"/>
      <c r="D40" s="414"/>
      <c r="E40" s="414"/>
      <c r="F40" s="414"/>
      <c r="G40" s="415"/>
    </row>
    <row r="41" spans="1:10" ht="23.5">
      <c r="B41" s="406" t="str">
        <f>'P1PA-SS'!B75</f>
        <v>Maturity Level 5</v>
      </c>
      <c r="C41" s="407"/>
      <c r="D41" s="407"/>
      <c r="E41" s="407"/>
      <c r="F41" s="407"/>
      <c r="G41" s="408"/>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93" priority="1" operator="equal">
      <formula>"s"</formula>
    </cfRule>
    <cfRule type="cellIs" dxfId="92" priority="2" operator="equal">
      <formula>"a"</formula>
    </cfRule>
    <cfRule type="cellIs" dxfId="91"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9" t="s">
        <v>1230</v>
      </c>
      <c r="I16" s="416"/>
      <c r="J16" s="416"/>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9" t="s">
        <v>1229</v>
      </c>
      <c r="I32" s="416"/>
      <c r="J32" s="416"/>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8" t="str">
        <f>_xlfn.CONCAT('P1PA-SS'!B138,"(",'P1PA-SS'!B139,")")</f>
        <v>All projects(AP)</v>
      </c>
      <c r="B2" s="264" t="str">
        <f>'Project&amp;Support'!B3</f>
        <v>p1ProjectNameA</v>
      </c>
      <c r="C2" s="265">
        <f>'Project&amp;Support'!AB3</f>
        <v>8</v>
      </c>
      <c r="D2" s="264" t="str">
        <f>'Project&amp;Support'!C3</f>
        <v>Project A description</v>
      </c>
      <c r="E2" s="418" t="str">
        <f>_xlfn.CONCAT(StartupInfo!B5,", ",StartupInfo!B6,", ",StartupInfo!B7,CHAR(13),CHAR(10),StartupInfo!B8,", ",StartupInfo!B9)</f>
        <v>Room 1, West Block, High-Tech Plaza, Some Street, Some District, Shenzhen_x000D_
Guangdong, 200080</v>
      </c>
    </row>
    <row r="3" spans="1:5" ht="21">
      <c r="A3" s="419"/>
      <c r="B3" s="264" t="str">
        <f>'Project&amp;Support'!B4</f>
        <v>p2ProjectNameB</v>
      </c>
      <c r="C3" s="265">
        <f>'Project&amp;Support'!AB4</f>
        <v>7</v>
      </c>
      <c r="D3" s="264" t="str">
        <f>'Project&amp;Support'!C4</f>
        <v>Project B description</v>
      </c>
      <c r="E3" s="419"/>
    </row>
    <row r="4" spans="1:5" ht="21">
      <c r="A4" s="419"/>
      <c r="B4" s="264" t="str">
        <f>'Project&amp;Support'!B5</f>
        <v>p3ProjectNameC</v>
      </c>
      <c r="C4" s="265">
        <f>'Project&amp;Support'!AB5</f>
        <v>8</v>
      </c>
      <c r="D4" s="264" t="str">
        <f>'Project&amp;Support'!C5</f>
        <v>Project C description</v>
      </c>
      <c r="E4" s="419"/>
    </row>
    <row r="5" spans="1:5" ht="21">
      <c r="A5" s="419"/>
      <c r="B5" s="264" t="str">
        <f>'Project&amp;Support'!B6</f>
        <v>p4PRojectNameD</v>
      </c>
      <c r="C5" s="265">
        <f>'Project&amp;Support'!AB6</f>
        <v>7</v>
      </c>
      <c r="D5" s="264" t="str">
        <f>'Project&amp;Support'!C6</f>
        <v>Project E description</v>
      </c>
      <c r="E5" s="419"/>
    </row>
    <row r="6" spans="1:5" ht="21">
      <c r="A6" s="419"/>
      <c r="B6" s="264" t="str">
        <f>'Project&amp;Support'!B7</f>
        <v>p5ProjectNameE</v>
      </c>
      <c r="C6" s="265">
        <f>'Project&amp;Support'!AB7</f>
        <v>7</v>
      </c>
      <c r="D6" s="264" t="str">
        <f>'Project&amp;Support'!C7</f>
        <v>Project F description</v>
      </c>
      <c r="E6" s="419"/>
    </row>
    <row r="7" spans="1:5" ht="21">
      <c r="A7" s="420"/>
      <c r="B7" s="264" t="str">
        <f>'Project&amp;Support'!B8</f>
        <v>p6ProjectNameF</v>
      </c>
      <c r="C7" s="265">
        <f>'Project&amp;Support'!AB8</f>
        <v>7</v>
      </c>
      <c r="D7" s="264" t="str">
        <f>'Project&amp;Support'!C8</f>
        <v>Project G description</v>
      </c>
      <c r="E7" s="420"/>
    </row>
    <row r="9" spans="1:5" s="258" customFormat="1" ht="42">
      <c r="A9" s="231" t="s">
        <v>1233</v>
      </c>
      <c r="B9" s="231" t="s">
        <v>1236</v>
      </c>
      <c r="C9" s="262" t="s">
        <v>1234</v>
      </c>
      <c r="D9" s="231" t="s">
        <v>388</v>
      </c>
      <c r="E9" s="231"/>
    </row>
    <row r="10" spans="1:5" ht="42" customHeight="1">
      <c r="A10" s="417" t="s">
        <v>1237</v>
      </c>
      <c r="B10" s="264" t="str">
        <f>'Project&amp;Support'!B9</f>
        <v>s1CM</v>
      </c>
      <c r="C10" s="266">
        <f>'Project&amp;Support'!AB9</f>
        <v>1</v>
      </c>
      <c r="D10" s="264" t="str">
        <f>'Project&amp;Support'!C9</f>
        <v>The Configuration Management (CM) function, manages baselines for projects and the organisation.</v>
      </c>
      <c r="E10" s="421" t="str">
        <f>StartupInfo!B11</f>
        <v>Room 1, West Block, High-Tech Plaza, Some Street, Some District, Shenzhen, Guangdong, 200080, China</v>
      </c>
    </row>
    <row r="11" spans="1:5" ht="84">
      <c r="A11" s="417"/>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1"/>
    </row>
    <row r="12" spans="1:5" ht="63">
      <c r="A12" s="417"/>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1"/>
    </row>
    <row r="13" spans="1:5" ht="42">
      <c r="A13" s="417"/>
      <c r="B13" s="264" t="str">
        <f>'Project&amp;Support'!B12</f>
        <v>s4PPQA</v>
      </c>
      <c r="C13" s="266">
        <f>'Project&amp;Support'!AB12</f>
        <v>1</v>
      </c>
      <c r="D13" s="264" t="str">
        <f>'Project&amp;Support'!C12</f>
        <v xml:space="preserve">The Process and Product Quality Assurance (PPQA) team manage and performs process quality assurance. </v>
      </c>
      <c r="E13" s="421"/>
    </row>
    <row r="14" spans="1:5" ht="21" hidden="1" customHeight="1">
      <c r="A14" s="417"/>
      <c r="B14" s="264"/>
      <c r="C14" s="266"/>
      <c r="D14" s="264"/>
      <c r="E14" s="259"/>
    </row>
    <row r="15" spans="1:5" ht="21" hidden="1" customHeight="1">
      <c r="A15" s="417"/>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1" t="s">
        <v>1185</v>
      </c>
      <c r="C2" s="431" t="s">
        <v>1186</v>
      </c>
      <c r="D2" s="422" t="s">
        <v>1187</v>
      </c>
      <c r="E2" s="424"/>
      <c r="F2" s="425" t="s">
        <v>1188</v>
      </c>
      <c r="G2" s="427"/>
      <c r="H2" s="422" t="s">
        <v>1189</v>
      </c>
      <c r="I2" s="423"/>
      <c r="J2" s="423"/>
      <c r="K2" s="424"/>
      <c r="L2" s="425" t="s">
        <v>1190</v>
      </c>
      <c r="M2" s="426"/>
      <c r="N2" s="427"/>
      <c r="O2" s="240" t="s">
        <v>1191</v>
      </c>
      <c r="P2" s="241" t="s">
        <v>1192</v>
      </c>
      <c r="Q2" s="422" t="s">
        <v>1193</v>
      </c>
      <c r="R2" s="423"/>
      <c r="S2" s="424"/>
      <c r="T2" s="425" t="s">
        <v>1194</v>
      </c>
      <c r="U2" s="426"/>
      <c r="V2" s="427"/>
      <c r="W2" s="237" t="s">
        <v>1195</v>
      </c>
    </row>
    <row r="3" spans="2:28" ht="15.5">
      <c r="B3" s="432"/>
      <c r="C3" s="432"/>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8"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29"/>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29"/>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29"/>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0"/>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8"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29"/>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9"/>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9"/>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29"/>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29"/>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29"/>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29"/>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0"/>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8"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29"/>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29"/>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29"/>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29"/>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29"/>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29"/>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0"/>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8"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29"/>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29"/>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29"/>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29"/>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0"/>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3"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33"/>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33"/>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33"/>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4" t="s">
        <v>1185</v>
      </c>
      <c r="C50" s="434" t="s">
        <v>1186</v>
      </c>
      <c r="D50" s="435" t="s">
        <v>1187</v>
      </c>
      <c r="E50" s="435"/>
      <c r="F50" s="436" t="s">
        <v>1188</v>
      </c>
      <c r="G50" s="436"/>
      <c r="H50" s="435" t="s">
        <v>1189</v>
      </c>
      <c r="I50" s="435"/>
      <c r="J50" s="435"/>
      <c r="K50" s="435"/>
      <c r="L50" s="436" t="s">
        <v>1190</v>
      </c>
      <c r="M50" s="436"/>
      <c r="N50" s="436"/>
      <c r="O50" s="240" t="s">
        <v>1191</v>
      </c>
      <c r="P50" s="241" t="s">
        <v>1192</v>
      </c>
      <c r="Q50" s="435" t="s">
        <v>1193</v>
      </c>
      <c r="R50" s="435"/>
      <c r="S50" s="435"/>
      <c r="T50" s="436" t="s">
        <v>1194</v>
      </c>
      <c r="U50" s="436"/>
      <c r="V50" s="436"/>
      <c r="W50" s="237" t="s">
        <v>1195</v>
      </c>
    </row>
    <row r="51" spans="2:28" ht="15.5">
      <c r="B51" s="434"/>
      <c r="C51" s="434"/>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3"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3"/>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3"/>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3"/>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3"/>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3"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3"/>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3"/>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3"/>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3"/>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3"/>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3"/>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3"/>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3"/>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3"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3"/>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3"/>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3"/>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3"/>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3"/>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3"/>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3"/>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3"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3"/>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3"/>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3"/>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3"/>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3"/>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3"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3"/>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3"/>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3"/>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2021-01-26T19:07:21Z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