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8097A3B4-E232-4D32-92EC-024BEC78F7EE}" xr6:coauthVersionLast="46" xr6:coauthVersionMax="46" xr10:uidLastSave="{00000000-0000-0000-0000-000000000000}"/>
  <bookViews>
    <workbookView xWindow="-120" yWindow="-16320" windowWidth="29040" windowHeight="15840" firstSheet="26" activeTab="2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<sst xmlns="http://schemas.openxmlformats.org/spreadsheetml/2006/main" count="4644" uniqueCount="1702">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</sst>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3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1576</v>
      </c>
      <c r="D44" s="364" t="s">
        <v>1575</v>
      </c>
      <c r="H44" s="363" t="s">
        <v>1101</v>
      </c>
      <c r="I44" s="363"/>
      <c r="J44" s="363"/>
      <c r="K44" s="363"/>
      <c r="L44" s="363"/>
    </row>
    <row r="63" spans="2:19">
      <c r="B63" s="366" t="s">
        <v>1103</v>
      </c>
      <c r="C63" s="366"/>
      <c r="D63" s="367" t="s">
        <v>1104</v>
      </c>
      <c r="F63" s="368" t="s">
        <v>1106</v>
      </c>
      <c r="G63" s="368"/>
      <c r="H63" s="368"/>
      <c r="I63" s="368"/>
      <c r="K63" s="369" t="s">
        <v>1577</v>
      </c>
      <c r="L63" s="369"/>
      <c r="M63" s="369"/>
      <c r="N63" s="369"/>
      <c r="P63" s="371" t="s">
        <v>1102</v>
      </c>
      <c r="Q63" s="370"/>
      <c r="R63" s="370"/>
      <c r="S63" s="370"/>
    </row>
    <row r="83" spans="6:8">
      <c r="F83" s="376" t="s">
        <v>1591</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1701</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1607</v>
      </c>
      <c r="B29" s="132"/>
      <c r="C29" s="132"/>
      <c r="D29" s="132"/>
      <c r="E29" s="132"/>
      <c r="F29" s="132"/>
      <c r="G29" s="132"/>
      <c r="H29" s="132"/>
      <c r="I29" s="128">
        <f t="shared" si="0"/>
        <v>0</v>
      </c>
      <c r="K29" s="129"/>
      <c r="AD29" s="77"/>
      <c r="AE29" s="77"/>
      <c r="AF29" s="77"/>
    </row>
    <row r="30" spans="1:32">
      <c r="A30" t="s">
        <v>1608</v>
      </c>
      <c r="I30" s="128">
        <f t="shared" si="0"/>
        <v>0</v>
      </c>
    </row>
    <row r="31" spans="1:32">
      <c r="A31" t="s">
        <v>1609</v>
      </c>
      <c r="I31" s="128">
        <f t="shared" si="0"/>
        <v>0</v>
      </c>
    </row>
    <row r="32" spans="1:32">
      <c r="A32" t="s">
        <v>1062</v>
      </c>
      <c r="I32" s="128">
        <f t="shared" si="0"/>
        <v>0</v>
      </c>
    </row>
    <row r="33" spans="1:9">
      <c r="A33" t="s">
        <v>1606</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1610</v>
      </c>
      <c r="I46" s="128">
        <f t="shared" si="0"/>
        <v>0</v>
      </c>
    </row>
    <row r="47" spans="1:9">
      <c r="A47" t="s">
        <v>1611</v>
      </c>
      <c r="I47" s="128">
        <f t="shared" si="0"/>
        <v>0</v>
      </c>
    </row>
    <row r="48" spans="1:9">
      <c r="A48" t="s">
        <v>1612</v>
      </c>
      <c r="I48" s="128">
        <f t="shared" si="0"/>
        <v>0</v>
      </c>
    </row>
    <row r="49" spans="1:9">
      <c r="A49" t="s">
        <v>1613</v>
      </c>
      <c r="I49" s="128">
        <f t="shared" si="0"/>
        <v>0</v>
      </c>
    </row>
    <row r="50" spans="1:9">
      <c r="A50" t="s">
        <v>1614</v>
      </c>
      <c r="I50" s="128">
        <f t="shared" si="0"/>
        <v>0</v>
      </c>
    </row>
    <row r="51" spans="1:9">
      <c r="A51" t="s">
        <v>1615</v>
      </c>
      <c r="I51" s="128">
        <f t="shared" si="0"/>
        <v>0</v>
      </c>
    </row>
    <row r="52" spans="1:9">
      <c r="A52" t="s">
        <v>1616</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1617</v>
      </c>
    </row>
    <row r="3" spans="1:2">
      <c r="A3" s="2" t="s">
        <v>2</v>
      </c>
      <c r="B3" s="336"/>
    </row>
    <row r="4" spans="1:2">
      <c r="A4" s="2" t="s">
        <v>733</v>
      </c>
      <c r="B4" s="3" t="s">
        <v>1618</v>
      </c>
    </row>
    <row r="5" spans="1:2">
      <c r="A5" s="2" t="s">
        <v>3</v>
      </c>
      <c r="B5" s="4">
        <v>1234567</v>
      </c>
    </row>
    <row r="6" spans="1:2">
      <c r="A6" s="5" t="s">
        <v>4</v>
      </c>
      <c r="B6" s="5"/>
    </row>
    <row r="7" spans="1:2">
      <c r="A7" s="2" t="s">
        <v>5</v>
      </c>
      <c r="B7" s="6" t="s">
        <v>1619</v>
      </c>
    </row>
    <row r="8" spans="1:2">
      <c r="A8" s="2" t="s">
        <v>6</v>
      </c>
      <c r="B8" s="6" t="s">
        <v>7</v>
      </c>
    </row>
    <row r="9" spans="1:2">
      <c r="A9" s="2" t="s">
        <v>8</v>
      </c>
      <c r="B9" s="6" t="s">
        <v>1620</v>
      </c>
    </row>
    <row r="10" spans="1:2" ht="52">
      <c r="A10" s="2" t="s">
        <v>9</v>
      </c>
      <c r="B10" s="6" t="s">
        <v>1621</v>
      </c>
    </row>
    <row r="11" spans="1:2">
      <c r="A11" s="2" t="s">
        <v>1126</v>
      </c>
      <c r="B11" s="6" t="s">
        <v>1622</v>
      </c>
    </row>
    <row r="12" spans="1:2">
      <c r="A12" s="2" t="s">
        <v>10</v>
      </c>
      <c r="B12" s="6" t="s">
        <v>1623</v>
      </c>
    </row>
    <row r="13" spans="1:2">
      <c r="A13" s="2" t="s">
        <v>11</v>
      </c>
      <c r="B13" s="6" t="s">
        <v>1624</v>
      </c>
    </row>
    <row r="14" spans="1:2">
      <c r="A14" s="2" t="s">
        <v>12</v>
      </c>
      <c r="B14" s="6" t="s">
        <v>1625</v>
      </c>
    </row>
    <row r="15" spans="1:2">
      <c r="A15" s="5" t="s">
        <v>13</v>
      </c>
      <c r="B15" s="5"/>
    </row>
    <row r="16" spans="1:2">
      <c r="A16" s="2" t="s">
        <v>14</v>
      </c>
      <c r="B16" s="83" t="s">
        <v>1626</v>
      </c>
    </row>
    <row r="17" spans="1:2">
      <c r="A17" s="2" t="s">
        <v>15</v>
      </c>
      <c r="B17" s="308" t="s">
        <v>15</v>
      </c>
    </row>
    <row r="18" spans="1:2">
      <c r="A18" s="2" t="s">
        <v>16</v>
      </c>
      <c r="B18" s="6" t="s">
        <v>1627</v>
      </c>
    </row>
    <row r="19" spans="1:2">
      <c r="A19" s="2" t="s">
        <v>17</v>
      </c>
      <c r="B19" s="6" t="s">
        <v>1628</v>
      </c>
    </row>
    <row r="20" spans="1:2">
      <c r="A20" s="2" t="s">
        <v>18</v>
      </c>
      <c r="B20" s="6" t="s">
        <v>1629</v>
      </c>
    </row>
    <row r="21" spans="1:2">
      <c r="A21" s="5" t="s">
        <v>20</v>
      </c>
      <c r="B21" s="5"/>
    </row>
    <row r="22" spans="1:2">
      <c r="A22" s="2" t="s">
        <v>21</v>
      </c>
      <c r="B22" s="308">
        <v>44174</v>
      </c>
    </row>
    <row r="23" spans="1:2">
      <c r="A23" s="2" t="s">
        <v>22</v>
      </c>
      <c r="B23" s="309" t="s">
        <v>1630</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1631</v>
      </c>
    </row>
    <row r="29" spans="1:2">
      <c r="A29" s="2" t="s">
        <v>8</v>
      </c>
      <c r="B29" s="308" t="s">
        <v>1632</v>
      </c>
    </row>
    <row r="30" spans="1:2">
      <c r="A30" s="2" t="s">
        <v>10</v>
      </c>
      <c r="B30" s="308" t="s">
        <v>1633</v>
      </c>
    </row>
    <row r="31" spans="1:2">
      <c r="A31" s="2" t="s">
        <v>11</v>
      </c>
      <c r="B31" s="308" t="s">
        <v>1634</v>
      </c>
    </row>
    <row r="32" spans="1:2">
      <c r="A32" s="5" t="s">
        <v>27</v>
      </c>
      <c r="B32" s="5"/>
    </row>
    <row r="33" spans="1:5">
      <c r="A33" s="2" t="s">
        <v>5</v>
      </c>
      <c r="B33" s="337" t="s">
        <v>1635</v>
      </c>
    </row>
    <row r="34" spans="1:5">
      <c r="A34" s="2" t="s">
        <v>6</v>
      </c>
      <c r="B34" s="426" t="str">
        <f>B16</f>
        <v>Company Long Name (Pty) Ltd</v>
      </c>
      <c r="C34" t="s">
        <v>1012</v>
      </c>
    </row>
    <row r="35" spans="1:5">
      <c r="A35" s="2" t="s">
        <v>10</v>
      </c>
      <c r="B35" s="338" t="s">
        <v>1636</v>
      </c>
    </row>
    <row r="36" spans="1:5">
      <c r="A36" s="2" t="s">
        <v>11</v>
      </c>
      <c r="B36" s="339" t="s">
        <v>1637</v>
      </c>
    </row>
    <row r="37" spans="1:5">
      <c r="A37" s="5" t="s">
        <v>28</v>
      </c>
      <c r="B37" s="5"/>
    </row>
    <row r="38" spans="1:5">
      <c r="A38" s="2" t="s">
        <v>5</v>
      </c>
      <c r="B38" s="426" t="s">
        <v>1638</v>
      </c>
    </row>
    <row r="39" spans="1:5">
      <c r="A39" s="2" t="s">
        <v>6</v>
      </c>
      <c r="B39" s="308" t="s">
        <v>1406</v>
      </c>
    </row>
    <row r="40" spans="1:5">
      <c r="A40" s="2" t="s">
        <v>8</v>
      </c>
      <c r="B40" s="308" t="s">
        <v>425</v>
      </c>
    </row>
    <row r="41" spans="1:5">
      <c r="A41" s="2" t="s">
        <v>10</v>
      </c>
      <c r="B41" s="309" t="s">
        <v>1639</v>
      </c>
    </row>
    <row r="42" spans="1:5">
      <c r="A42" s="2" t="s">
        <v>11</v>
      </c>
      <c r="B42" s="88" t="s">
        <v>1640</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1641</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1642</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1643</v>
      </c>
    </row>
    <row r="16" spans="1:3">
      <c r="A16" s="11" t="s">
        <v>771</v>
      </c>
      <c r="B16" s="92">
        <f>'Agreement 3'!B5</f>
        <v>1234567</v>
      </c>
      <c r="C16" s="11" t="s">
        <v>1011</v>
      </c>
    </row>
    <row r="18" spans="1:3" s="50" customFormat="1" ht="15.5">
      <c r="A18" s="51" t="s">
        <v>967</v>
      </c>
      <c r="B18" s="51"/>
      <c r="C18" s="49"/>
    </row>
    <row r="19" spans="1:3" s="50" customFormat="1" ht="15.5">
      <c r="A19" s="50" t="s">
        <v>881</v>
      </c>
      <c r="B19" s="429" t="s">
        <v>1407</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1408</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1409</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1647</v>
      </c>
      <c r="C47" s="125" t="s">
        <v>891</v>
      </c>
      <c r="D47" s="125" t="s">
        <v>1093</v>
      </c>
    </row>
    <row r="48" spans="1:4" s="125" customFormat="1">
      <c r="A48" s="125" t="s">
        <v>599</v>
      </c>
      <c r="B48" s="89" t="s">
        <v>1648</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1649</v>
      </c>
      <c r="C51" s="125" t="s">
        <v>891</v>
      </c>
    </row>
    <row r="52" spans="1:3" s="125" customFormat="1">
      <c r="A52" s="125" t="s">
        <v>603</v>
      </c>
      <c r="B52" s="89" t="s">
        <v>1650</v>
      </c>
      <c r="C52" s="125" t="s">
        <v>891</v>
      </c>
    </row>
    <row r="53" spans="1:3" s="125" customFormat="1">
      <c r="B53" s="242"/>
    </row>
    <row r="54" spans="1:3" s="50" customFormat="1" ht="46.5">
      <c r="A54" s="50" t="s">
        <v>1090</v>
      </c>
      <c r="B54" s="341" t="s">
        <v>1410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1644</v>
      </c>
    </row>
    <row r="6" spans="1:3" s="84" customFormat="1" ht="14.5">
      <c r="A6" s="84" t="s">
        <v>33</v>
      </c>
      <c r="B6" s="117" t="s">
        <v>1645</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1646</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430"/>
    </row>
    <row r="19" spans="1:3">
      <c r="A19" s="51" t="s">
        <v>864</v>
      </c>
      <c r="B19" s="51"/>
    </row>
    <row r="20" spans="1:3">
      <c r="A20" s="50" t="s">
        <v>865</v>
      </c>
      <c r="B20" s="89" t="s">
        <v>1411</v>
      </c>
    </row>
    <row r="21" spans="1:3">
      <c r="A21" s="50" t="s">
        <v>866</v>
      </c>
      <c r="B21" s="89"/>
    </row>
    <row r="22" spans="1:3">
      <c r="A22" s="50" t="s">
        <v>867</v>
      </c>
      <c r="B22" s="89" t="s">
        <v>1651</v>
      </c>
    </row>
    <row r="23" spans="1:3" ht="87">
      <c r="A23" s="50" t="s">
        <v>868</v>
      </c>
      <c r="B23" s="427" t="s">
        <v>1412</v>
      </c>
      <c r="C23" s="316"/>
    </row>
    <row r="24" spans="1:3" ht="31">
      <c r="A24" s="50" t="s">
        <v>869</v>
      </c>
      <c r="B24" s="54" t="s">
        <v>348</v>
      </c>
      <c r="C24" s="49" t="s">
        <v>385</v>
      </c>
    </row>
    <row r="25" spans="1:3">
      <c r="A25" s="50" t="s">
        <v>870</v>
      </c>
    </row>
    <row r="26" spans="1:3" ht="46.5">
      <c r="A26" s="50" t="s">
        <v>986</v>
      </c>
      <c r="B26" s="340" t="s">
        <v>1605</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A19" workbookViewId="0">
      <selection activeCell="A7" sqref="A7"/>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31" t="s">
        <v>1202</v>
      </c>
      <c r="AD1" s="431"/>
      <c r="AE1" s="431"/>
      <c r="AF1" s="431"/>
      <c r="AG1" s="431"/>
      <c r="AH1" s="431"/>
      <c r="AI1" s="431"/>
    </row>
    <row r="2" spans="1:35" s="415" customFormat="1" ht="68">
      <c r="A2" s="413" t="s">
        <v>887</v>
      </c>
      <c r="B2" s="413" t="s">
        <v>14</v>
      </c>
      <c r="C2" s="413" t="s">
        <v>383</v>
      </c>
      <c r="D2" s="413" t="s">
        <v>888</v>
      </c>
      <c r="E2" s="413" t="s">
        <v>1158</v>
      </c>
      <c r="F2" s="414" t="s">
        <v>1159</v>
      </c>
      <c r="G2" s="414" t="s">
        <v>1160</v>
      </c>
      <c r="H2" s="413" t="s">
        <v>1601</v>
      </c>
      <c r="I2" s="265" t="s">
        <v>1604</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1653</v>
      </c>
      <c r="C3" s="270" t="s">
        <v>1652</v>
      </c>
      <c r="D3" s="270" t="s">
        <v>1161</v>
      </c>
      <c r="E3" s="270" t="s">
        <v>1422</v>
      </c>
      <c r="F3" s="271">
        <v>44021</v>
      </c>
      <c r="G3" s="271">
        <v>44201</v>
      </c>
      <c r="H3" s="270" t="s">
        <v>1424</v>
      </c>
      <c r="I3" s="272" t="s">
        <v>1602</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1654</v>
      </c>
      <c r="C4" s="270" t="s">
        <v>1655</v>
      </c>
      <c r="D4" s="270" t="s">
        <v>1161</v>
      </c>
      <c r="E4" s="310" t="s">
        <v>1422</v>
      </c>
      <c r="F4" s="276">
        <v>44086</v>
      </c>
      <c r="G4" s="276">
        <v>44199</v>
      </c>
      <c r="H4" s="270" t="s">
        <v>1424</v>
      </c>
      <c r="I4" s="272" t="s">
        <v>1602</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1656</v>
      </c>
      <c r="C5" s="270" t="s">
        <v>1657</v>
      </c>
      <c r="D5" s="270" t="s">
        <v>1161</v>
      </c>
      <c r="E5" s="310" t="s">
        <v>1422</v>
      </c>
      <c r="F5" s="276">
        <v>44062</v>
      </c>
      <c r="G5" s="276">
        <v>44216</v>
      </c>
      <c r="H5" s="270" t="s">
        <v>1424</v>
      </c>
      <c r="I5" s="272" t="s">
        <v>1602</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1658</v>
      </c>
      <c r="C6" s="276" t="s">
        <v>1659</v>
      </c>
      <c r="D6" s="270" t="s">
        <v>1161</v>
      </c>
      <c r="E6" s="310" t="s">
        <v>1422</v>
      </c>
      <c r="F6" s="276" t="s">
        <v>1423</v>
      </c>
      <c r="G6" s="276">
        <v>44206</v>
      </c>
      <c r="H6" s="310" t="s">
        <v>1424</v>
      </c>
      <c r="I6" s="272" t="s">
        <v>1602</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1418</v>
      </c>
      <c r="C7" s="278" t="s">
        <v>1660</v>
      </c>
      <c r="D7" s="278" t="s">
        <v>1162</v>
      </c>
      <c r="E7" s="279"/>
      <c r="F7" s="280"/>
      <c r="G7" s="280"/>
      <c r="H7" s="310" t="s">
        <v>1424</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1419</v>
      </c>
      <c r="C8" s="278" t="s">
        <v>1661</v>
      </c>
      <c r="D8" s="278" t="s">
        <v>1162</v>
      </c>
      <c r="E8" s="279"/>
      <c r="F8" s="280"/>
      <c r="G8" s="280"/>
      <c r="H8" s="310" t="s">
        <v>1424</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1420</v>
      </c>
      <c r="C9" s="278" t="s">
        <v>1662</v>
      </c>
      <c r="D9" s="278" t="s">
        <v>1162</v>
      </c>
      <c r="E9" s="279"/>
      <c r="F9" s="280"/>
      <c r="G9" s="280"/>
      <c r="H9" s="310" t="s">
        <v>1424</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1421</v>
      </c>
      <c r="C10" s="278" t="s">
        <v>1663</v>
      </c>
      <c r="D10" s="278" t="s">
        <v>1162</v>
      </c>
      <c r="E10" s="279"/>
      <c r="F10" s="280"/>
      <c r="G10" s="280"/>
      <c r="H10" s="310" t="s">
        <v>1424</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1664</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1665</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1666</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1667</v>
      </c>
      <c r="D6" s="333" t="s">
        <v>1430</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1668</v>
      </c>
      <c r="D7" s="334" t="s">
        <v>1453</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1669</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1670</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1671</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1672</v>
      </c>
      <c r="D11" s="334" t="s">
        <v>1430</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1673</v>
      </c>
      <c r="D12" s="334" t="s">
        <v>1453</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1674</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1675</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1676</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1677</v>
      </c>
      <c r="D16" s="334" t="s">
        <v>1430</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1678</v>
      </c>
      <c r="D17" s="334" t="s">
        <v>1453</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1416</v>
      </c>
      <c r="B18" s="428" t="str">
        <f t="shared" si="1"/>
        <v>P4-SupperHeavy</v>
      </c>
      <c r="C18" s="334" t="s">
        <v>1679</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1416</v>
      </c>
      <c r="B19" s="428" t="str">
        <f t="shared" si="1"/>
        <v>P4-SupperHeavy</v>
      </c>
      <c r="C19" s="334" t="s">
        <v>1680</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1416</v>
      </c>
      <c r="B20" s="428" t="str">
        <f t="shared" si="1"/>
        <v>P4-SupperHeavy</v>
      </c>
      <c r="C20" s="334" t="s">
        <v>1681</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1416</v>
      </c>
      <c r="B21" s="428" t="str">
        <f t="shared" si="1"/>
        <v>P4-SupperHeavy</v>
      </c>
      <c r="C21" s="334" t="s">
        <v>1682</v>
      </c>
      <c r="D21" s="332" t="s">
        <v>1430</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1416</v>
      </c>
      <c r="B22" s="428" t="str">
        <f t="shared" si="1"/>
        <v>P4-SupperHeavy</v>
      </c>
      <c r="C22" s="334" t="s">
        <v>1683</v>
      </c>
      <c r="D22" s="334" t="s">
        <v>1453</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1684</v>
      </c>
      <c r="D23" s="334" t="s">
        <v>1452</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1685</v>
      </c>
      <c r="D24" s="332" t="s">
        <v>1454</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1686</v>
      </c>
      <c r="D25" s="334" t="s">
        <v>1451</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1687</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1454</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1416</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1413</v>
      </c>
      <c r="B7" s="322">
        <v>5</v>
      </c>
      <c r="C7" s="322"/>
      <c r="D7" s="322"/>
      <c r="E7" s="322"/>
      <c r="F7" s="322"/>
      <c r="G7" s="322"/>
      <c r="H7" s="322"/>
      <c r="I7" s="322"/>
      <c r="J7" s="322"/>
      <c r="K7" s="322"/>
      <c r="L7" s="322">
        <v>5</v>
      </c>
    </row>
    <row r="8" spans="1:12">
      <c r="A8" s="319" t="s">
        <v>1414</v>
      </c>
      <c r="B8" s="322"/>
      <c r="C8" s="322">
        <v>5</v>
      </c>
      <c r="D8" s="322"/>
      <c r="E8" s="322"/>
      <c r="F8" s="322"/>
      <c r="G8" s="322"/>
      <c r="H8" s="322"/>
      <c r="I8" s="322"/>
      <c r="J8" s="322"/>
      <c r="K8" s="322"/>
      <c r="L8" s="322">
        <v>5</v>
      </c>
    </row>
    <row r="9" spans="1:12">
      <c r="A9" s="319" t="s">
        <v>1415</v>
      </c>
      <c r="B9" s="322"/>
      <c r="C9" s="322"/>
      <c r="D9" s="322">
        <v>5</v>
      </c>
      <c r="E9" s="322"/>
      <c r="F9" s="322"/>
      <c r="G9" s="322"/>
      <c r="H9" s="322"/>
      <c r="I9" s="322"/>
      <c r="J9" s="322"/>
      <c r="K9" s="322"/>
      <c r="L9" s="322">
        <v>5</v>
      </c>
    </row>
    <row r="10" spans="1:12">
      <c r="A10" s="319" t="s">
        <v>1417</v>
      </c>
      <c r="B10" s="322"/>
      <c r="C10" s="322"/>
      <c r="D10" s="322"/>
      <c r="E10" s="322">
        <v>5</v>
      </c>
      <c r="F10" s="322"/>
      <c r="G10" s="322"/>
      <c r="H10" s="322"/>
      <c r="I10" s="322"/>
      <c r="J10" s="322"/>
      <c r="K10" s="322"/>
      <c r="L10" s="322">
        <v>5</v>
      </c>
    </row>
    <row r="11" spans="1:12">
      <c r="A11" s="319" t="s">
        <v>1418</v>
      </c>
      <c r="B11" s="322"/>
      <c r="C11" s="322"/>
      <c r="D11" s="322"/>
      <c r="E11" s="322"/>
      <c r="F11" s="322">
        <v>1</v>
      </c>
      <c r="G11" s="322"/>
      <c r="H11" s="322"/>
      <c r="I11" s="322"/>
      <c r="J11" s="322"/>
      <c r="K11" s="322"/>
      <c r="L11" s="322">
        <v>1</v>
      </c>
    </row>
    <row r="12" spans="1:12">
      <c r="A12" s="319" t="s">
        <v>1419</v>
      </c>
      <c r="B12" s="322"/>
      <c r="C12" s="322"/>
      <c r="D12" s="322"/>
      <c r="E12" s="322"/>
      <c r="F12" s="322"/>
      <c r="G12" s="322">
        <v>1</v>
      </c>
      <c r="H12" s="322"/>
      <c r="I12" s="322"/>
      <c r="J12" s="322"/>
      <c r="K12" s="322"/>
      <c r="L12" s="322">
        <v>1</v>
      </c>
    </row>
    <row r="13" spans="1:12">
      <c r="A13" s="319" t="s">
        <v>1420</v>
      </c>
      <c r="B13" s="322"/>
      <c r="C13" s="322"/>
      <c r="D13" s="322"/>
      <c r="E13" s="322"/>
      <c r="F13" s="322"/>
      <c r="G13" s="322"/>
      <c r="H13" s="322"/>
      <c r="I13" s="322">
        <v>1</v>
      </c>
      <c r="J13" s="322"/>
      <c r="K13" s="322"/>
      <c r="L13" s="322">
        <v>1</v>
      </c>
    </row>
    <row r="14" spans="1:12">
      <c r="A14" s="319" t="s">
        <v>1421</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1425</v>
      </c>
      <c r="B5" s="322">
        <v>1</v>
      </c>
    </row>
    <row r="6" spans="1:14">
      <c r="A6" s="319" t="s">
        <v>1426</v>
      </c>
      <c r="B6" s="322">
        <v>1</v>
      </c>
    </row>
    <row r="7" spans="1:14">
      <c r="A7" s="319" t="s">
        <v>1427</v>
      </c>
      <c r="B7" s="322">
        <v>1</v>
      </c>
    </row>
    <row r="8" spans="1:14">
      <c r="A8" s="319" t="s">
        <v>1428</v>
      </c>
      <c r="B8" s="322">
        <v>1</v>
      </c>
    </row>
    <row r="9" spans="1:14">
      <c r="A9" s="319" t="s">
        <v>1429</v>
      </c>
      <c r="B9" s="322">
        <v>1</v>
      </c>
    </row>
    <row r="10" spans="1:14">
      <c r="A10" s="319" t="s">
        <v>1431</v>
      </c>
      <c r="B10" s="322">
        <v>1</v>
      </c>
    </row>
    <row r="11" spans="1:14">
      <c r="A11" s="319" t="s">
        <v>1432</v>
      </c>
      <c r="B11" s="322">
        <v>1</v>
      </c>
    </row>
    <row r="12" spans="1:14">
      <c r="A12" s="319" t="s">
        <v>1433</v>
      </c>
      <c r="B12" s="322">
        <v>1</v>
      </c>
    </row>
    <row r="13" spans="1:14">
      <c r="A13" s="319" t="s">
        <v>1434</v>
      </c>
      <c r="B13" s="322">
        <v>1</v>
      </c>
    </row>
    <row r="14" spans="1:14">
      <c r="A14" s="319" t="s">
        <v>1435</v>
      </c>
      <c r="B14" s="322">
        <v>1</v>
      </c>
    </row>
    <row r="15" spans="1:14">
      <c r="A15" s="319" t="s">
        <v>1436</v>
      </c>
      <c r="B15" s="322">
        <v>1</v>
      </c>
    </row>
    <row r="16" spans="1:14">
      <c r="A16" s="319" t="s">
        <v>1437</v>
      </c>
      <c r="B16" s="322">
        <v>1</v>
      </c>
    </row>
    <row r="17" spans="1:2">
      <c r="A17" s="319" t="s">
        <v>1438</v>
      </c>
      <c r="B17" s="322">
        <v>1</v>
      </c>
    </row>
    <row r="18" spans="1:2">
      <c r="A18" s="319" t="s">
        <v>1439</v>
      </c>
      <c r="B18" s="322">
        <v>1</v>
      </c>
    </row>
    <row r="19" spans="1:2">
      <c r="A19" s="319" t="s">
        <v>1440</v>
      </c>
      <c r="B19" s="322">
        <v>1</v>
      </c>
    </row>
    <row r="20" spans="1:2">
      <c r="A20" s="319" t="s">
        <v>1441</v>
      </c>
      <c r="B20" s="322">
        <v>1</v>
      </c>
    </row>
    <row r="21" spans="1:2">
      <c r="A21" s="319" t="s">
        <v>1442</v>
      </c>
      <c r="B21" s="322">
        <v>1</v>
      </c>
    </row>
    <row r="22" spans="1:2">
      <c r="A22" s="319" t="s">
        <v>1443</v>
      </c>
      <c r="B22" s="322">
        <v>1</v>
      </c>
    </row>
    <row r="23" spans="1:2">
      <c r="A23" s="319" t="s">
        <v>1444</v>
      </c>
      <c r="B23" s="322">
        <v>1</v>
      </c>
    </row>
    <row r="24" spans="1:2">
      <c r="A24" s="319" t="s">
        <v>1445</v>
      </c>
      <c r="B24" s="322">
        <v>1</v>
      </c>
    </row>
    <row r="25" spans="1:2">
      <c r="A25" s="319" t="s">
        <v>1446</v>
      </c>
      <c r="B25" s="322">
        <v>1</v>
      </c>
    </row>
    <row r="26" spans="1:2">
      <c r="A26" s="319" t="s">
        <v>1447</v>
      </c>
      <c r="B26" s="322">
        <v>1</v>
      </c>
    </row>
    <row r="27" spans="1:2">
      <c r="A27" s="319" t="s">
        <v>1448</v>
      </c>
      <c r="B27" s="322">
        <v>1</v>
      </c>
    </row>
    <row r="28" spans="1:2">
      <c r="A28" s="319" t="s">
        <v>1449</v>
      </c>
      <c r="B28" s="322">
        <v>1</v>
      </c>
    </row>
    <row r="29" spans="1:2">
      <c r="A29" s="319" t="s">
        <v>1450</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2"/>
      <c r="Y87" s="432"/>
      <c r="Z87" s="432"/>
      <c r="AA87" s="432"/>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1688</v>
      </c>
      <c r="C91" s="125" t="s">
        <v>1169</v>
      </c>
      <c r="D91" s="125" t="s">
        <v>7</v>
      </c>
      <c r="E91" s="125" t="s">
        <v>1021</v>
      </c>
      <c r="F91" s="125" t="s">
        <v>1154</v>
      </c>
      <c r="G91" s="125"/>
      <c r="H91" s="125" t="s">
        <v>980</v>
      </c>
      <c r="I91" s="125" t="s">
        <v>1692</v>
      </c>
      <c r="J91" s="125" t="s">
        <v>1087</v>
      </c>
      <c r="K91" s="125"/>
      <c r="L91" s="125">
        <v>8</v>
      </c>
      <c r="M91" s="194">
        <v>44186</v>
      </c>
      <c r="N91" s="125"/>
      <c r="O91" s="125">
        <v>7</v>
      </c>
      <c r="P91" s="125" t="s">
        <v>427</v>
      </c>
      <c r="Q91" s="125" t="s">
        <v>1067</v>
      </c>
      <c r="R91" s="125">
        <v>3</v>
      </c>
      <c r="S91" s="125">
        <v>0</v>
      </c>
      <c r="T91" s="125" t="s">
        <v>1068</v>
      </c>
      <c r="U91" s="125" t="s">
        <v>1459</v>
      </c>
      <c r="V91" s="30" t="s">
        <v>1696</v>
      </c>
      <c r="W91" s="125"/>
      <c r="AA91" s="303"/>
    </row>
    <row r="92" spans="1:36" s="117" customFormat="1">
      <c r="A92" s="117" t="s">
        <v>1122</v>
      </c>
      <c r="B92" s="246" t="s">
        <v>1689</v>
      </c>
      <c r="C92" s="125" t="s">
        <v>1169</v>
      </c>
      <c r="D92" s="125" t="s">
        <v>7</v>
      </c>
      <c r="E92" s="125" t="s">
        <v>1021</v>
      </c>
      <c r="F92" s="125" t="s">
        <v>1154</v>
      </c>
      <c r="G92" s="125"/>
      <c r="H92" s="125" t="s">
        <v>980</v>
      </c>
      <c r="I92" s="125" t="s">
        <v>1693</v>
      </c>
      <c r="J92" s="125" t="s">
        <v>1087</v>
      </c>
      <c r="K92" s="125"/>
      <c r="L92" s="125">
        <v>8</v>
      </c>
      <c r="M92" s="194">
        <v>44186</v>
      </c>
      <c r="N92" s="125"/>
      <c r="O92" s="125">
        <v>18</v>
      </c>
      <c r="P92" s="125" t="s">
        <v>427</v>
      </c>
      <c r="Q92" s="125" t="s">
        <v>1067</v>
      </c>
      <c r="R92" s="125">
        <v>14</v>
      </c>
      <c r="S92" s="125">
        <v>0</v>
      </c>
      <c r="T92" s="125" t="s">
        <v>1068</v>
      </c>
      <c r="U92" s="125" t="s">
        <v>1459</v>
      </c>
      <c r="V92" s="30" t="s">
        <v>1697</v>
      </c>
      <c r="W92" s="125"/>
      <c r="AA92" s="303"/>
    </row>
    <row r="93" spans="1:36" s="117" customFormat="1">
      <c r="A93" s="117" t="s">
        <v>1122</v>
      </c>
      <c r="B93" s="246" t="s">
        <v>1690</v>
      </c>
      <c r="C93" s="125" t="s">
        <v>1169</v>
      </c>
      <c r="D93" s="125" t="s">
        <v>7</v>
      </c>
      <c r="E93" s="125" t="s">
        <v>1021</v>
      </c>
      <c r="F93" s="125" t="s">
        <v>1154</v>
      </c>
      <c r="G93" s="125"/>
      <c r="H93" s="125" t="s">
        <v>980</v>
      </c>
      <c r="I93" s="125" t="s">
        <v>1694</v>
      </c>
      <c r="J93" s="125" t="s">
        <v>1066</v>
      </c>
      <c r="K93" s="125"/>
      <c r="L93" s="125">
        <v>8</v>
      </c>
      <c r="M93" s="194">
        <v>44186</v>
      </c>
      <c r="N93" s="125"/>
      <c r="O93" s="125">
        <v>20</v>
      </c>
      <c r="P93" s="125" t="s">
        <v>427</v>
      </c>
      <c r="Q93" s="125" t="s">
        <v>1067</v>
      </c>
      <c r="R93" s="125">
        <v>30</v>
      </c>
      <c r="S93" s="125">
        <v>5</v>
      </c>
      <c r="T93" s="125" t="s">
        <v>1068</v>
      </c>
      <c r="U93" s="125" t="s">
        <v>1460</v>
      </c>
      <c r="V93" s="30" t="s">
        <v>1698</v>
      </c>
      <c r="W93" s="125"/>
      <c r="AA93" s="303"/>
    </row>
    <row r="94" spans="1:36" s="117" customFormat="1">
      <c r="A94" s="117" t="s">
        <v>1122</v>
      </c>
      <c r="B94" s="246" t="s">
        <v>1691</v>
      </c>
      <c r="C94" s="125" t="s">
        <v>1169</v>
      </c>
      <c r="D94" s="125" t="s">
        <v>7</v>
      </c>
      <c r="E94" s="125" t="s">
        <v>1021</v>
      </c>
      <c r="F94" s="125" t="s">
        <v>1154</v>
      </c>
      <c r="G94" s="125"/>
      <c r="H94" s="125" t="s">
        <v>980</v>
      </c>
      <c r="I94" s="125" t="s">
        <v>1695</v>
      </c>
      <c r="J94" s="125" t="s">
        <v>1087</v>
      </c>
      <c r="K94" s="125"/>
      <c r="L94" s="125">
        <v>8</v>
      </c>
      <c r="M94" s="194">
        <v>44186</v>
      </c>
      <c r="N94" s="125"/>
      <c r="O94" s="125">
        <v>12</v>
      </c>
      <c r="P94" s="125" t="s">
        <v>427</v>
      </c>
      <c r="Q94" s="125" t="s">
        <v>1067</v>
      </c>
      <c r="R94" s="125">
        <v>10</v>
      </c>
      <c r="S94" s="125">
        <v>9</v>
      </c>
      <c r="T94" s="125" t="s">
        <v>1068</v>
      </c>
      <c r="U94" s="125" t="s">
        <v>1460</v>
      </c>
      <c r="V94" s="30" t="s">
        <v>1699</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1464</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1700</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1461</v>
      </c>
      <c r="C103" s="125"/>
      <c r="D103" s="125" t="s">
        <v>7</v>
      </c>
      <c r="E103" s="125" t="s">
        <v>1021</v>
      </c>
      <c r="F103" s="125" t="s">
        <v>1154</v>
      </c>
      <c r="G103" s="125"/>
      <c r="H103" s="125" t="s">
        <v>980</v>
      </c>
      <c r="I103" s="125" t="s">
        <v>1462</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1463</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1455</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1456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1457</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3" t="s">
        <v>1458</v>
      </c>
      <c r="B125" s="433"/>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4" t="s">
        <v>838</v>
      </c>
      <c r="B143" s="434"/>
    </row>
    <row r="145" spans="1:3">
      <c r="A145" s="255" t="s">
        <v>794</v>
      </c>
      <c r="B145" s="256"/>
      <c r="C145" s="257"/>
    </row>
    <row r="146" spans="1:3">
      <c r="A146" s="435" t="s">
        <v>795</v>
      </c>
      <c r="B146" s="437"/>
      <c r="C146" s="258" t="s">
        <v>1175</v>
      </c>
    </row>
    <row r="147" spans="1:3" ht="15" thickBot="1">
      <c r="A147" s="436"/>
      <c r="B147" s="438"/>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1466</v>
      </c>
    </row>
    <row r="156" spans="1:3">
      <c r="A156" s="28" t="s">
        <v>796</v>
      </c>
      <c r="B156" s="29"/>
      <c r="C156" s="30"/>
    </row>
    <row r="157" spans="1:3" ht="29">
      <c r="A157" s="11" t="s">
        <v>843</v>
      </c>
      <c r="B157" s="11" t="s">
        <v>1465</v>
      </c>
      <c r="C157" s="262" t="s">
        <v>1466</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1467</v>
      </c>
    </row>
    <row r="4" spans="1:3" s="117" customFormat="1"/>
    <row r="5" spans="1:3" s="117" customFormat="1">
      <c r="A5" s="29" t="s">
        <v>846</v>
      </c>
      <c r="B5" s="29"/>
      <c r="C5" s="53"/>
    </row>
    <row r="6" spans="1:3" s="117" customFormat="1">
      <c r="A6" s="117" t="s">
        <v>1467</v>
      </c>
    </row>
    <row r="7" spans="1:3" s="117" customFormat="1"/>
    <row r="8" spans="1:3" s="117" customFormat="1" ht="29">
      <c r="A8" s="29" t="s">
        <v>847</v>
      </c>
      <c r="B8" s="29"/>
      <c r="C8" s="53"/>
    </row>
    <row r="9" spans="1:3" s="117" customFormat="1">
      <c r="A9" s="117" t="s">
        <v>1467</v>
      </c>
      <c r="B9" s="117" t="s">
        <v>1469</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1467</v>
      </c>
      <c r="B15" s="117" t="s">
        <v>1468</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1470</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1471</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1472</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1473</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1474</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1475</v>
      </c>
    </row>
    <row r="82" spans="1:3" ht="43.5">
      <c r="A82" s="117" t="s">
        <v>751</v>
      </c>
      <c r="B82" s="117" t="s">
        <v>1476</v>
      </c>
    </row>
    <row r="83" spans="1:3">
      <c r="A83" s="117" t="s">
        <v>752</v>
      </c>
      <c r="B83" s="117" t="s">
        <v>1477</v>
      </c>
    </row>
    <row r="84" spans="1:3">
      <c r="A84" s="117" t="s">
        <v>753</v>
      </c>
      <c r="B84" s="117" t="s">
        <v>1478</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1475</v>
      </c>
    </row>
    <row r="92" spans="1:3" ht="58">
      <c r="A92" s="117" t="s">
        <v>751</v>
      </c>
      <c r="B92" s="119" t="s">
        <v>979</v>
      </c>
    </row>
    <row r="93" spans="1:3">
      <c r="A93" s="117" t="s">
        <v>752</v>
      </c>
      <c r="B93" s="117" t="s">
        <v>1477</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3" t="s">
        <v>1522</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1523</v>
      </c>
    </row>
    <row r="132" spans="1:3" ht="101.5">
      <c r="A132" s="117" t="s">
        <v>656</v>
      </c>
      <c r="B132" s="117" t="s">
        <v>1524</v>
      </c>
    </row>
    <row r="133" spans="1:3">
      <c r="A133" s="117" t="s">
        <v>657</v>
      </c>
      <c r="B133" s="117" t="s">
        <v>1525</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1526</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1527</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1528</v>
      </c>
      <c r="B161" s="345" t="s">
        <v>1529</v>
      </c>
    </row>
    <row r="162" spans="1:3">
      <c r="A162" s="117" t="s">
        <v>670</v>
      </c>
      <c r="B162" s="121" t="s">
        <v>435</v>
      </c>
      <c r="C162" s="117" t="s">
        <v>385</v>
      </c>
    </row>
    <row r="163" spans="1:3">
      <c r="A163" s="117" t="s">
        <v>676</v>
      </c>
      <c r="B163" s="117" t="s">
        <v>1530</v>
      </c>
    </row>
    <row r="164" spans="1:3" ht="43.5">
      <c r="A164" s="117" t="s">
        <v>677</v>
      </c>
      <c r="B164" s="117" t="s">
        <v>1531</v>
      </c>
    </row>
    <row r="165" spans="1:3">
      <c r="A165" s="117" t="s">
        <v>678</v>
      </c>
      <c r="B165" s="121" t="s">
        <v>689</v>
      </c>
      <c r="C165" s="117" t="s">
        <v>385</v>
      </c>
    </row>
    <row r="166" spans="1:3" ht="130.5">
      <c r="A166" s="117" t="s">
        <v>679</v>
      </c>
      <c r="B166" s="117" t="s">
        <v>1532</v>
      </c>
      <c r="C166" s="89"/>
    </row>
    <row r="167" spans="1:3">
      <c r="A167" s="117" t="s">
        <v>680</v>
      </c>
      <c r="B167" s="121" t="s">
        <v>1533</v>
      </c>
      <c r="C167" s="89" t="s">
        <v>385</v>
      </c>
    </row>
    <row r="168" spans="1:3">
      <c r="C168" s="89"/>
    </row>
    <row r="169" spans="1:3" s="89" customFormat="1">
      <c r="A169" s="345" t="s">
        <v>1534</v>
      </c>
      <c r="B169" s="345" t="s">
        <v>1535</v>
      </c>
    </row>
    <row r="170" spans="1:3">
      <c r="A170" s="117" t="s">
        <v>670</v>
      </c>
      <c r="B170" s="121" t="s">
        <v>435</v>
      </c>
      <c r="C170" s="89" t="s">
        <v>385</v>
      </c>
    </row>
    <row r="171" spans="1:3">
      <c r="A171" s="117" t="s">
        <v>676</v>
      </c>
      <c r="B171" s="117" t="s">
        <v>1530</v>
      </c>
      <c r="C171" s="89"/>
    </row>
    <row r="172" spans="1:3" ht="29">
      <c r="A172" s="117" t="s">
        <v>677</v>
      </c>
      <c r="B172" s="117" t="s">
        <v>1536</v>
      </c>
      <c r="C172" s="89"/>
    </row>
    <row r="173" spans="1:3">
      <c r="A173" s="117" t="s">
        <v>678</v>
      </c>
      <c r="B173" s="121" t="s">
        <v>1537</v>
      </c>
      <c r="C173" s="89" t="s">
        <v>385</v>
      </c>
    </row>
    <row r="174" spans="1:3" ht="135.65" customHeight="1">
      <c r="A174" s="117" t="s">
        <v>679</v>
      </c>
      <c r="B174" s="117" t="s">
        <v>1538</v>
      </c>
      <c r="C174" s="89"/>
    </row>
    <row r="175" spans="1:3">
      <c r="A175" s="117" t="s">
        <v>680</v>
      </c>
      <c r="B175" s="121" t="s">
        <v>1533</v>
      </c>
      <c r="C175" s="89" t="s">
        <v>385</v>
      </c>
    </row>
    <row r="176" spans="1:3">
      <c r="C176" s="89"/>
    </row>
    <row r="177" spans="1:3" s="89" customFormat="1">
      <c r="A177" s="345" t="s">
        <v>1539</v>
      </c>
      <c r="B177" s="345" t="s">
        <v>1540</v>
      </c>
    </row>
    <row r="178" spans="1:3">
      <c r="A178" s="117" t="s">
        <v>670</v>
      </c>
      <c r="B178" s="121" t="s">
        <v>673</v>
      </c>
      <c r="C178" s="89" t="s">
        <v>385</v>
      </c>
    </row>
    <row r="179" spans="1:3">
      <c r="A179" s="117" t="s">
        <v>676</v>
      </c>
      <c r="C179" s="89"/>
    </row>
    <row r="180" spans="1:3" ht="43.5">
      <c r="A180" s="117" t="s">
        <v>677</v>
      </c>
      <c r="B180" s="117" t="s">
        <v>1541</v>
      </c>
      <c r="C180" s="89"/>
    </row>
    <row r="181" spans="1:3">
      <c r="A181" s="117" t="s">
        <v>678</v>
      </c>
      <c r="B181" s="121" t="s">
        <v>1537</v>
      </c>
      <c r="C181" s="89" t="s">
        <v>385</v>
      </c>
    </row>
    <row r="182" spans="1:3" ht="159.5">
      <c r="A182" s="117" t="s">
        <v>679</v>
      </c>
      <c r="B182" s="117" t="s">
        <v>1542</v>
      </c>
      <c r="C182" s="89"/>
    </row>
    <row r="183" spans="1:3">
      <c r="A183" s="117" t="s">
        <v>680</v>
      </c>
      <c r="B183" s="121" t="s">
        <v>1533</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1653</v>
      </c>
      <c r="C2" t="s">
        <v>897</v>
      </c>
      <c r="D2" t="s">
        <v>1668</v>
      </c>
      <c r="E2" t="s">
        <v>1453</v>
      </c>
      <c r="F2" t="s">
        <v>904</v>
      </c>
      <c r="G2" t="s">
        <v>412</v>
      </c>
    </row>
    <row r="3" spans="1:7">
      <c r="A3" t="s">
        <v>905</v>
      </c>
      <c r="B3" t="s">
        <v>1654</v>
      </c>
      <c r="C3" t="s">
        <v>891</v>
      </c>
      <c r="D3" t="s">
        <v>1669</v>
      </c>
      <c r="E3" t="s">
        <v>918</v>
      </c>
      <c r="F3" t="s">
        <v>905</v>
      </c>
      <c r="G3" t="s">
        <v>412</v>
      </c>
    </row>
    <row r="4" spans="1:7">
      <c r="A4" t="s">
        <v>905</v>
      </c>
      <c r="B4" t="s">
        <v>1654</v>
      </c>
      <c r="C4" t="s">
        <v>892</v>
      </c>
      <c r="D4" t="s">
        <v>1669</v>
      </c>
      <c r="E4" t="s">
        <v>918</v>
      </c>
      <c r="F4" t="s">
        <v>905</v>
      </c>
      <c r="G4" t="s">
        <v>412</v>
      </c>
    </row>
    <row r="5" spans="1:7">
      <c r="A5" t="s">
        <v>905</v>
      </c>
      <c r="B5" t="s">
        <v>1654</v>
      </c>
      <c r="C5" t="s">
        <v>893</v>
      </c>
      <c r="D5" t="s">
        <v>1671</v>
      </c>
      <c r="E5" t="s">
        <v>1166</v>
      </c>
      <c r="F5" t="s">
        <v>905</v>
      </c>
      <c r="G5" t="s">
        <v>412</v>
      </c>
    </row>
    <row r="6" spans="1:7">
      <c r="A6" t="s">
        <v>906</v>
      </c>
      <c r="B6" t="s">
        <v>1656</v>
      </c>
      <c r="C6" t="s">
        <v>898</v>
      </c>
      <c r="D6" t="s">
        <v>1678</v>
      </c>
      <c r="E6" t="s">
        <v>1453</v>
      </c>
      <c r="F6" t="s">
        <v>906</v>
      </c>
      <c r="G6" t="s">
        <v>412</v>
      </c>
    </row>
    <row r="7" spans="1:7">
      <c r="A7" t="s">
        <v>906</v>
      </c>
      <c r="B7" t="s">
        <v>1656</v>
      </c>
      <c r="C7" t="s">
        <v>889</v>
      </c>
      <c r="D7" t="s">
        <v>1676</v>
      </c>
      <c r="E7" t="s">
        <v>1166</v>
      </c>
      <c r="F7" t="s">
        <v>906</v>
      </c>
      <c r="G7" t="s">
        <v>412</v>
      </c>
    </row>
    <row r="8" spans="1:7">
      <c r="A8" t="s">
        <v>906</v>
      </c>
      <c r="B8" t="s">
        <v>1656</v>
      </c>
      <c r="C8" t="s">
        <v>890</v>
      </c>
      <c r="D8" t="s">
        <v>1675</v>
      </c>
      <c r="E8" t="s">
        <v>919</v>
      </c>
      <c r="F8" t="s">
        <v>906</v>
      </c>
      <c r="G8" t="s">
        <v>412</v>
      </c>
    </row>
    <row r="9" spans="1:7">
      <c r="A9" t="s">
        <v>907</v>
      </c>
      <c r="B9" t="s">
        <v>1658</v>
      </c>
      <c r="C9" t="s">
        <v>899</v>
      </c>
      <c r="D9" t="s">
        <v>1683</v>
      </c>
      <c r="E9" t="s">
        <v>1453</v>
      </c>
      <c r="F9" t="s">
        <v>907</v>
      </c>
      <c r="G9" t="s">
        <v>412</v>
      </c>
    </row>
    <row r="10" spans="1:7">
      <c r="A10" t="s">
        <v>907</v>
      </c>
      <c r="B10" t="s">
        <v>1658</v>
      </c>
      <c r="C10" t="s">
        <v>900</v>
      </c>
      <c r="D10" t="s">
        <v>1683</v>
      </c>
      <c r="E10" t="s">
        <v>1453</v>
      </c>
      <c r="F10" t="s">
        <v>907</v>
      </c>
      <c r="G10" t="s">
        <v>412</v>
      </c>
    </row>
    <row r="11" spans="1:7">
      <c r="A11" t="s">
        <v>909</v>
      </c>
      <c r="B11" t="s">
        <v>1418</v>
      </c>
      <c r="C11" t="s">
        <v>757</v>
      </c>
      <c r="D11" t="s">
        <v>1684</v>
      </c>
      <c r="E11" t="s">
        <v>1452</v>
      </c>
      <c r="F11" t="s">
        <v>909</v>
      </c>
      <c r="G11" t="s">
        <v>412</v>
      </c>
    </row>
    <row r="12" spans="1:7">
      <c r="A12" t="s">
        <v>910</v>
      </c>
      <c r="B12" t="s">
        <v>1419</v>
      </c>
      <c r="C12" t="s">
        <v>901</v>
      </c>
      <c r="D12" t="s">
        <v>1685</v>
      </c>
      <c r="E12" t="s">
        <v>1454</v>
      </c>
      <c r="F12" t="s">
        <v>910</v>
      </c>
      <c r="G12" t="s">
        <v>412</v>
      </c>
    </row>
    <row r="13" spans="1:7">
      <c r="A13" t="s">
        <v>910</v>
      </c>
      <c r="B13" t="s">
        <v>1419</v>
      </c>
      <c r="C13" t="s">
        <v>902</v>
      </c>
      <c r="D13" t="s">
        <v>1685</v>
      </c>
      <c r="E13" t="s">
        <v>1454</v>
      </c>
      <c r="F13" t="s">
        <v>910</v>
      </c>
      <c r="G13" t="s">
        <v>412</v>
      </c>
    </row>
    <row r="14" spans="1:7">
      <c r="A14" t="s">
        <v>910</v>
      </c>
      <c r="B14" t="s">
        <v>1419</v>
      </c>
      <c r="C14" t="s">
        <v>894</v>
      </c>
      <c r="D14" t="s">
        <v>1685</v>
      </c>
      <c r="E14" t="s">
        <v>1454</v>
      </c>
      <c r="F14" t="s">
        <v>910</v>
      </c>
      <c r="G14" t="s">
        <v>412</v>
      </c>
    </row>
    <row r="15" spans="1:7">
      <c r="A15" t="s">
        <v>910</v>
      </c>
      <c r="B15" t="s">
        <v>1419</v>
      </c>
      <c r="C15" t="s">
        <v>895</v>
      </c>
      <c r="D15" t="s">
        <v>1685</v>
      </c>
      <c r="E15" t="s">
        <v>1454</v>
      </c>
      <c r="F15" t="s">
        <v>910</v>
      </c>
      <c r="G15" t="s">
        <v>412</v>
      </c>
    </row>
    <row r="16" spans="1:7">
      <c r="A16" t="s">
        <v>910</v>
      </c>
      <c r="B16" t="s">
        <v>1419</v>
      </c>
      <c r="C16" t="s">
        <v>896</v>
      </c>
      <c r="D16" t="s">
        <v>1685</v>
      </c>
      <c r="E16" t="s">
        <v>1454</v>
      </c>
      <c r="F16" t="s">
        <v>910</v>
      </c>
      <c r="G16" t="s">
        <v>412</v>
      </c>
    </row>
    <row r="17" spans="1:7">
      <c r="A17" t="s">
        <v>911</v>
      </c>
      <c r="B17" t="s">
        <v>1420</v>
      </c>
      <c r="C17" t="s">
        <v>759</v>
      </c>
      <c r="D17" t="s">
        <v>1686</v>
      </c>
      <c r="E17" t="s">
        <v>1451</v>
      </c>
      <c r="F17" t="s">
        <v>911</v>
      </c>
      <c r="G17" t="s">
        <v>412</v>
      </c>
    </row>
    <row r="18" spans="1:7">
      <c r="A18" t="s">
        <v>912</v>
      </c>
      <c r="B18" t="s">
        <v>1421</v>
      </c>
      <c r="C18" t="s">
        <v>842</v>
      </c>
      <c r="D18" t="s">
        <v>1687</v>
      </c>
      <c r="E18" t="s">
        <v>1281</v>
      </c>
      <c r="F18" t="s">
        <v>912</v>
      </c>
      <c r="G18" t="s">
        <v>412</v>
      </c>
    </row>
    <row r="19" spans="1:7">
      <c r="A19" t="s">
        <v>905</v>
      </c>
      <c r="B19" t="s">
        <v>1654</v>
      </c>
      <c r="C19" t="s">
        <v>891</v>
      </c>
      <c r="D19" t="s">
        <v>1670</v>
      </c>
      <c r="E19" t="s">
        <v>919</v>
      </c>
      <c r="F19" t="s">
        <v>905</v>
      </c>
    </row>
    <row r="20" spans="1:7">
      <c r="A20" t="s">
        <v>905</v>
      </c>
      <c r="B20" t="s">
        <v>1654</v>
      </c>
      <c r="C20" t="s">
        <v>891</v>
      </c>
      <c r="D20" t="s">
        <v>1671</v>
      </c>
      <c r="E20" t="s">
        <v>1166</v>
      </c>
      <c r="F20" t="s">
        <v>905</v>
      </c>
    </row>
    <row r="21" spans="1:7">
      <c r="A21" t="s">
        <v>905</v>
      </c>
      <c r="B21" t="s">
        <v>1654</v>
      </c>
      <c r="C21" t="s">
        <v>891</v>
      </c>
      <c r="D21" t="s">
        <v>1673</v>
      </c>
      <c r="E21" t="s">
        <v>1453</v>
      </c>
      <c r="F21" t="s">
        <v>905</v>
      </c>
    </row>
    <row r="22" spans="1:7">
      <c r="A22" t="s">
        <v>905</v>
      </c>
      <c r="B22" t="s">
        <v>1654</v>
      </c>
      <c r="C22" t="s">
        <v>891</v>
      </c>
      <c r="D22" t="s">
        <v>1672</v>
      </c>
      <c r="E22" t="s">
        <v>1430</v>
      </c>
      <c r="F22" t="s">
        <v>905</v>
      </c>
    </row>
    <row r="23" spans="1:7">
      <c r="A23" t="s">
        <v>905</v>
      </c>
      <c r="B23" t="s">
        <v>1654</v>
      </c>
      <c r="C23" t="s">
        <v>893</v>
      </c>
      <c r="D23" t="s">
        <v>1672</v>
      </c>
      <c r="E23" t="s">
        <v>1430</v>
      </c>
      <c r="F23" t="s">
        <v>905</v>
      </c>
    </row>
    <row r="24" spans="1:7">
      <c r="A24" t="s">
        <v>906</v>
      </c>
      <c r="B24" t="s">
        <v>1656</v>
      </c>
      <c r="C24" t="s">
        <v>890</v>
      </c>
      <c r="D24" t="s">
        <v>1676</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H4" sqref="H4"/>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1653</v>
      </c>
      <c r="C2" s="128" t="s">
        <v>897</v>
      </c>
      <c r="D2" s="125" t="s">
        <v>1668</v>
      </c>
      <c r="E2" s="125" t="s">
        <v>1453</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1654</v>
      </c>
      <c r="C3" s="128" t="s">
        <v>891</v>
      </c>
      <c r="D3" s="125" t="s">
        <v>1669</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1654</v>
      </c>
      <c r="C4" s="128" t="s">
        <v>892</v>
      </c>
      <c r="D4" s="125" t="s">
        <v>1669</v>
      </c>
      <c r="E4" s="125" t="s">
        <v>918</v>
      </c>
      <c r="F4" s="128" t="s">
        <v>905</v>
      </c>
      <c r="G4" s="64" t="s">
        <v>412</v>
      </c>
      <c r="H4" s="328" t="str">
        <f t="shared" si="2"/>
        <v>[4] Engineering</v>
      </c>
      <c r="I4" s="329">
        <f t="shared" si="3"/>
        <v>14</v>
      </c>
    </row>
    <row r="5" spans="1:13" s="125" customFormat="1">
      <c r="A5" s="125" t="s">
        <v>905</v>
      </c>
      <c r="B5" s="125" t="s">
        <v>1654</v>
      </c>
      <c r="C5" s="128" t="s">
        <v>893</v>
      </c>
      <c r="D5" s="125" t="s">
        <v>1671</v>
      </c>
      <c r="E5" s="125" t="s">
        <v>1166</v>
      </c>
      <c r="F5" s="128" t="s">
        <v>905</v>
      </c>
      <c r="G5" s="64" t="s">
        <v>412</v>
      </c>
      <c r="H5" s="328" t="str">
        <f t="shared" si="2"/>
        <v>[4] Engineering</v>
      </c>
      <c r="I5" s="329">
        <f t="shared" si="3"/>
        <v>7</v>
      </c>
    </row>
    <row r="6" spans="1:13" s="125" customFormat="1">
      <c r="A6" s="125" t="s">
        <v>906</v>
      </c>
      <c r="B6" s="125" t="s">
        <v>1656</v>
      </c>
      <c r="C6" s="128" t="s">
        <v>898</v>
      </c>
      <c r="D6" s="125" t="s">
        <v>1678</v>
      </c>
      <c r="E6" s="125" t="s">
        <v>1453</v>
      </c>
      <c r="F6" s="128" t="s">
        <v>906</v>
      </c>
      <c r="G6" s="64" t="s">
        <v>412</v>
      </c>
      <c r="H6" s="328" t="str">
        <f t="shared" si="2"/>
        <v>[3] Project Management</v>
      </c>
      <c r="I6" s="329">
        <f t="shared" si="3"/>
        <v>6</v>
      </c>
    </row>
    <row r="7" spans="1:13" s="125" customFormat="1">
      <c r="A7" s="125" t="s">
        <v>906</v>
      </c>
      <c r="B7" s="125" t="s">
        <v>1656</v>
      </c>
      <c r="C7" s="128" t="s">
        <v>889</v>
      </c>
      <c r="D7" s="125" t="s">
        <v>1676</v>
      </c>
      <c r="E7" s="125" t="s">
        <v>1166</v>
      </c>
      <c r="F7" s="128" t="s">
        <v>906</v>
      </c>
      <c r="G7" s="64" t="s">
        <v>412</v>
      </c>
      <c r="H7" s="328" t="str">
        <f t="shared" si="2"/>
        <v>[4] Engineering</v>
      </c>
      <c r="I7" s="329">
        <f t="shared" si="3"/>
        <v>10</v>
      </c>
    </row>
    <row r="8" spans="1:13" s="125" customFormat="1">
      <c r="A8" s="125" t="s">
        <v>906</v>
      </c>
      <c r="B8" s="125" t="s">
        <v>1656</v>
      </c>
      <c r="C8" s="128" t="s">
        <v>890</v>
      </c>
      <c r="D8" s="125" t="s">
        <v>1675</v>
      </c>
      <c r="E8" s="125" t="s">
        <v>919</v>
      </c>
      <c r="F8" s="128" t="s">
        <v>906</v>
      </c>
      <c r="G8" s="64" t="s">
        <v>412</v>
      </c>
      <c r="H8" s="328" t="str">
        <f t="shared" si="2"/>
        <v>[4] Engineering</v>
      </c>
      <c r="I8" s="329">
        <f t="shared" si="3"/>
        <v>10</v>
      </c>
    </row>
    <row r="9" spans="1:13" s="125" customFormat="1">
      <c r="A9" s="125" t="s">
        <v>907</v>
      </c>
      <c r="B9" s="125" t="s">
        <v>1658</v>
      </c>
      <c r="C9" s="128" t="s">
        <v>899</v>
      </c>
      <c r="D9" s="125" t="s">
        <v>1683</v>
      </c>
      <c r="E9" s="125" t="s">
        <v>1453</v>
      </c>
      <c r="F9" s="128" t="s">
        <v>907</v>
      </c>
      <c r="G9" s="64" t="s">
        <v>412</v>
      </c>
      <c r="H9" s="328" t="str">
        <f t="shared" si="2"/>
        <v>[3] Project Management</v>
      </c>
      <c r="I9" s="329">
        <f t="shared" si="3"/>
        <v>10</v>
      </c>
    </row>
    <row r="10" spans="1:13" s="125" customFormat="1">
      <c r="A10" s="125" t="s">
        <v>907</v>
      </c>
      <c r="B10" s="125" t="s">
        <v>1658</v>
      </c>
      <c r="C10" s="128" t="s">
        <v>900</v>
      </c>
      <c r="D10" s="125" t="s">
        <v>1683</v>
      </c>
      <c r="E10" s="125" t="s">
        <v>1453</v>
      </c>
      <c r="F10" s="128" t="s">
        <v>907</v>
      </c>
      <c r="G10" s="64" t="s">
        <v>412</v>
      </c>
      <c r="H10" s="328" t="str">
        <f t="shared" si="2"/>
        <v>[3] Project Management</v>
      </c>
      <c r="I10" s="329">
        <f t="shared" si="3"/>
        <v>14</v>
      </c>
    </row>
    <row r="11" spans="1:13" s="125" customFormat="1">
      <c r="A11" s="125" t="s">
        <v>909</v>
      </c>
      <c r="B11" s="125" t="s">
        <v>1418</v>
      </c>
      <c r="C11" s="128" t="s">
        <v>757</v>
      </c>
      <c r="D11" s="125" t="s">
        <v>1684</v>
      </c>
      <c r="E11" s="125" t="s">
        <v>1452</v>
      </c>
      <c r="F11" s="128" t="s">
        <v>909</v>
      </c>
      <c r="G11" s="64" t="s">
        <v>412</v>
      </c>
      <c r="H11" s="328" t="str">
        <f t="shared" si="2"/>
        <v>[5] Configuration Management</v>
      </c>
      <c r="I11" s="329">
        <f t="shared" si="3"/>
        <v>7</v>
      </c>
    </row>
    <row r="12" spans="1:13" s="125" customFormat="1">
      <c r="A12" s="125" t="s">
        <v>910</v>
      </c>
      <c r="B12" s="125" t="s">
        <v>1419</v>
      </c>
      <c r="C12" s="128" t="s">
        <v>901</v>
      </c>
      <c r="D12" s="125" t="s">
        <v>1685</v>
      </c>
      <c r="E12" s="125" t="s">
        <v>1454</v>
      </c>
      <c r="F12" s="128" t="s">
        <v>910</v>
      </c>
      <c r="G12" s="64" t="s">
        <v>412</v>
      </c>
      <c r="H12" s="328" t="str">
        <f t="shared" si="2"/>
        <v>[6] Process Management</v>
      </c>
      <c r="I12" s="329">
        <f t="shared" si="3"/>
        <v>8</v>
      </c>
    </row>
    <row r="13" spans="1:13">
      <c r="A13" s="125" t="s">
        <v>910</v>
      </c>
      <c r="B13" s="125" t="s">
        <v>1419</v>
      </c>
      <c r="C13" s="128" t="s">
        <v>902</v>
      </c>
      <c r="D13" s="125" t="s">
        <v>1685</v>
      </c>
      <c r="E13" s="125" t="s">
        <v>1454</v>
      </c>
      <c r="F13" s="128" t="s">
        <v>910</v>
      </c>
      <c r="G13" s="64" t="s">
        <v>412</v>
      </c>
      <c r="H13" s="328" t="str">
        <f t="shared" si="2"/>
        <v>[6] Process Management</v>
      </c>
      <c r="I13" s="329">
        <f t="shared" si="3"/>
        <v>8</v>
      </c>
    </row>
    <row r="14" spans="1:13">
      <c r="A14" s="125" t="s">
        <v>910</v>
      </c>
      <c r="B14" s="125" t="s">
        <v>1419</v>
      </c>
      <c r="C14" s="128" t="s">
        <v>894</v>
      </c>
      <c r="D14" s="125" t="s">
        <v>1685</v>
      </c>
      <c r="E14" s="125" t="s">
        <v>1454</v>
      </c>
      <c r="F14" s="128" t="s">
        <v>910</v>
      </c>
      <c r="G14" s="64" t="s">
        <v>412</v>
      </c>
      <c r="H14" s="328" t="str">
        <f t="shared" si="2"/>
        <v>[6] Process Management</v>
      </c>
      <c r="I14" s="329">
        <f t="shared" si="3"/>
        <v>14</v>
      </c>
    </row>
    <row r="15" spans="1:13">
      <c r="A15" s="125" t="s">
        <v>910</v>
      </c>
      <c r="B15" s="125" t="s">
        <v>1419</v>
      </c>
      <c r="C15" s="128" t="s">
        <v>895</v>
      </c>
      <c r="D15" s="125" t="s">
        <v>1685</v>
      </c>
      <c r="E15" s="125" t="s">
        <v>1454</v>
      </c>
      <c r="F15" s="128" t="s">
        <v>910</v>
      </c>
      <c r="G15" s="64" t="s">
        <v>412</v>
      </c>
      <c r="H15" s="328" t="str">
        <f t="shared" si="2"/>
        <v>[6] Process Management</v>
      </c>
      <c r="I15" s="329">
        <f t="shared" si="3"/>
        <v>11</v>
      </c>
    </row>
    <row r="16" spans="1:13">
      <c r="A16" s="125" t="s">
        <v>910</v>
      </c>
      <c r="B16" s="125" t="s">
        <v>1419</v>
      </c>
      <c r="C16" s="128" t="s">
        <v>896</v>
      </c>
      <c r="D16" s="125" t="s">
        <v>1685</v>
      </c>
      <c r="E16" s="125" t="s">
        <v>1454</v>
      </c>
      <c r="F16" s="128" t="s">
        <v>910</v>
      </c>
      <c r="G16" s="64" t="s">
        <v>412</v>
      </c>
      <c r="H16" s="328" t="str">
        <f t="shared" si="2"/>
        <v>[6] Process Management</v>
      </c>
      <c r="I16" s="329">
        <f t="shared" si="3"/>
        <v>11</v>
      </c>
    </row>
    <row r="17" spans="1:9">
      <c r="A17" s="125" t="s">
        <v>911</v>
      </c>
      <c r="B17" s="125" t="s">
        <v>1420</v>
      </c>
      <c r="C17" s="128" t="s">
        <v>759</v>
      </c>
      <c r="D17" s="125" t="s">
        <v>1686</v>
      </c>
      <c r="E17" s="125" t="s">
        <v>1451</v>
      </c>
      <c r="F17" s="128" t="s">
        <v>911</v>
      </c>
      <c r="G17" s="64" t="s">
        <v>412</v>
      </c>
      <c r="H17" s="328" t="str">
        <f t="shared" si="2"/>
        <v>[7] Organisational Training</v>
      </c>
      <c r="I17" s="329">
        <f t="shared" si="3"/>
        <v>9</v>
      </c>
    </row>
    <row r="18" spans="1:9">
      <c r="A18" s="125" t="s">
        <v>912</v>
      </c>
      <c r="B18" s="125" t="s">
        <v>1421</v>
      </c>
      <c r="C18" s="128" t="s">
        <v>842</v>
      </c>
      <c r="D18" s="125" t="s">
        <v>1687</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1226</v>
      </c>
      <c r="B1" s="440"/>
      <c r="C1" s="440"/>
      <c r="D1" s="440"/>
      <c r="E1" s="440"/>
      <c r="F1" s="440"/>
      <c r="G1" s="440"/>
      <c r="H1" s="65"/>
      <c r="I1" s="140" t="s">
        <v>933</v>
      </c>
      <c r="J1" s="141" t="s">
        <v>934</v>
      </c>
      <c r="K1" s="135" t="s">
        <v>935</v>
      </c>
      <c r="L1" s="135" t="s">
        <v>936</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68" t="str">
        <f>J11</f>
        <v>Mini team 1:ATM-5 / ATM-6 / ATM-7</v>
      </c>
      <c r="D4" s="68" t="str">
        <f>M11</f>
        <v>Mini team 2: ATM-1 / ATM-2 / ATM-3 / ATM-4</v>
      </c>
      <c r="E4" s="68" t="str">
        <f>CONCATENATE("LA team: ",'Agreement 3'!B7," and ATMs if applicable")</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44" t="s">
        <v>939</v>
      </c>
      <c r="D5" s="444" t="s">
        <v>939</v>
      </c>
      <c r="E5" s="444"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6" t="str">
        <f>J4</f>
        <v>Day 1</v>
      </c>
      <c r="B16" s="446"/>
      <c r="C16" s="447">
        <f>I4</f>
        <v>44249</v>
      </c>
      <c r="D16" s="447"/>
      <c r="E16" s="447"/>
      <c r="F16" s="446" t="str">
        <f>A16</f>
        <v>Day 1</v>
      </c>
      <c r="G16" s="446"/>
      <c r="H16" s="65"/>
      <c r="I16" s="135"/>
      <c r="K16" s="139"/>
      <c r="L16" s="136"/>
      <c r="M16" s="136"/>
      <c r="N16" s="67"/>
      <c r="O16" s="67"/>
      <c r="P16" s="67"/>
    </row>
    <row r="17" spans="1:18" ht="29">
      <c r="A17" s="446" t="s">
        <v>937</v>
      </c>
      <c r="B17" s="446"/>
      <c r="C17" s="71" t="str">
        <f>C4</f>
        <v>Mini team 1:ATM-5 / ATM-6 / ATM-7</v>
      </c>
      <c r="D17" s="71" t="str">
        <f>D4</f>
        <v>Mini team 2: ATM-1 / ATM-2 / ATM-3 / ATM-4</v>
      </c>
      <c r="E17" s="71" t="str">
        <f>E4</f>
        <v>LA team: van Zyl, Pieter and ATMs if applicable</v>
      </c>
      <c r="F17" s="446" t="s">
        <v>938</v>
      </c>
      <c r="G17" s="446"/>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996</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997</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944</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998</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945</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998</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945</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946</v>
      </c>
      <c r="D34" s="444"/>
      <c r="E34" s="444"/>
      <c r="F34" s="70">
        <v>0.5</v>
      </c>
      <c r="G34" s="70">
        <v>0.58333333333333337</v>
      </c>
      <c r="H34" s="65"/>
      <c r="I34" s="136"/>
      <c r="J34" s="136"/>
      <c r="K34" s="136"/>
      <c r="L34" s="136"/>
      <c r="M34" s="136"/>
      <c r="N34" s="67"/>
      <c r="O34" s="67"/>
      <c r="P34" s="67"/>
    </row>
    <row r="35" spans="1:16">
      <c r="A35" s="446" t="str">
        <f>J5</f>
        <v>Day 2</v>
      </c>
      <c r="B35" s="446"/>
      <c r="C35" s="447">
        <f>I5</f>
        <v>44250</v>
      </c>
      <c r="D35" s="447"/>
      <c r="E35" s="447"/>
      <c r="F35" s="446" t="str">
        <f>A35</f>
        <v>Day 2</v>
      </c>
      <c r="G35" s="446"/>
      <c r="H35" s="74"/>
    </row>
    <row r="36" spans="1:16" ht="29">
      <c r="A36" s="446" t="s">
        <v>937</v>
      </c>
      <c r="B36" s="446"/>
      <c r="C36" s="71" t="str">
        <f>C17</f>
        <v>Mini team 1:ATM-5 / ATM-6 / ATM-7</v>
      </c>
      <c r="D36" s="71" t="str">
        <f>D17</f>
        <v>Mini team 2: ATM-1 / ATM-2 / ATM-3 / ATM-4</v>
      </c>
      <c r="E36" s="71" t="str">
        <f>E17</f>
        <v>LA team: van Zyl, Pieter and ATMs if applicable</v>
      </c>
      <c r="F36" s="446" t="s">
        <v>938</v>
      </c>
      <c r="G36" s="446"/>
      <c r="H36" s="74"/>
    </row>
    <row r="37" spans="1:16" ht="18" customHeight="1">
      <c r="A37" s="70">
        <v>0.41666666666666669</v>
      </c>
      <c r="B37" s="70">
        <v>0.4375</v>
      </c>
      <c r="C37" s="444" t="s">
        <v>945</v>
      </c>
      <c r="D37" s="444"/>
      <c r="E37" s="72" t="s">
        <v>943</v>
      </c>
      <c r="F37" s="70">
        <v>0.16666666666666666</v>
      </c>
      <c r="G37" s="70">
        <v>0.1875</v>
      </c>
      <c r="H37" s="74"/>
    </row>
    <row r="38" spans="1:16" ht="18" customHeight="1">
      <c r="A38" s="70">
        <v>0.4375</v>
      </c>
      <c r="B38" s="70">
        <v>0.45833333333333331</v>
      </c>
      <c r="C38" s="443" t="s">
        <v>999</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944</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999</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945</v>
      </c>
      <c r="D48" s="444"/>
      <c r="E48" s="444" t="s">
        <v>943</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1000</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945</v>
      </c>
      <c r="D52" s="444"/>
      <c r="E52" s="444"/>
      <c r="F52" s="70">
        <v>0.47916666666666669</v>
      </c>
      <c r="G52" s="70">
        <v>0.5</v>
      </c>
      <c r="H52" s="74"/>
    </row>
    <row r="53" spans="1:8" ht="18" customHeight="1">
      <c r="A53" s="70">
        <v>0.75</v>
      </c>
      <c r="B53" s="70">
        <v>0.83333333333333337</v>
      </c>
      <c r="C53" s="444" t="s">
        <v>946</v>
      </c>
      <c r="D53" s="444"/>
      <c r="E53" s="444"/>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68" t="str">
        <f>C36</f>
        <v>Mini team 1:ATM-5 / ATM-6 / ATM-7</v>
      </c>
      <c r="D55" s="68" t="str">
        <f>D36</f>
        <v>Mini team 2: ATM-1 / ATM-2 / ATM-3 / ATM-4</v>
      </c>
      <c r="E55" s="68" t="str">
        <f>E36</f>
        <v>LA team: van Zyl, Pieter and ATMs if applicable</v>
      </c>
      <c r="F55" s="439" t="s">
        <v>938</v>
      </c>
      <c r="G55" s="439"/>
      <c r="H55" s="74"/>
    </row>
    <row r="56" spans="1:8" ht="18" customHeight="1">
      <c r="A56" s="70">
        <v>0.41666666666666669</v>
      </c>
      <c r="B56" s="70">
        <v>0.4375</v>
      </c>
      <c r="C56" s="444" t="s">
        <v>947</v>
      </c>
      <c r="D56" s="444"/>
      <c r="E56" s="72" t="s">
        <v>943</v>
      </c>
      <c r="F56" s="70">
        <v>0.16666666666666666</v>
      </c>
      <c r="G56" s="70">
        <v>0.1875</v>
      </c>
      <c r="H56" s="74"/>
    </row>
    <row r="57" spans="1:8" ht="18" customHeight="1">
      <c r="A57" s="70">
        <v>0.4375</v>
      </c>
      <c r="B57" s="70">
        <v>0.45833333333333331</v>
      </c>
      <c r="C57" s="443" t="s">
        <v>1001</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944</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1001</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945</v>
      </c>
      <c r="D68" s="444"/>
      <c r="E68" s="444"/>
      <c r="F68" s="70">
        <v>0.41666666666666669</v>
      </c>
      <c r="G68" s="70">
        <v>0.4375</v>
      </c>
      <c r="H68" s="74"/>
    </row>
    <row r="69" spans="1:8" ht="18" customHeight="1">
      <c r="A69" s="70">
        <v>0.6875</v>
      </c>
      <c r="B69" s="70">
        <v>0.70833333333333337</v>
      </c>
      <c r="C69" s="443" t="s">
        <v>1002</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4" t="s">
        <v>945</v>
      </c>
      <c r="D71" s="444"/>
      <c r="E71" s="444"/>
      <c r="F71" s="70">
        <v>0.47916666666666669</v>
      </c>
      <c r="G71" s="70">
        <v>0.5</v>
      </c>
      <c r="H71" s="74"/>
    </row>
    <row r="72" spans="1:8" ht="18" customHeight="1">
      <c r="A72" s="70">
        <v>0.75</v>
      </c>
      <c r="B72" s="70">
        <v>0.83333333333333337</v>
      </c>
      <c r="C72" s="444" t="s">
        <v>946</v>
      </c>
      <c r="D72" s="444"/>
      <c r="E72" s="444"/>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68" t="str">
        <f>C55</f>
        <v>Mini team 1:ATM-5 / ATM-6 / ATM-7</v>
      </c>
      <c r="D74" s="68" t="str">
        <f>D55</f>
        <v>Mini team 2: ATM-1 / ATM-2 / ATM-3 / ATM-4</v>
      </c>
      <c r="E74" s="68" t="str">
        <f>E55</f>
        <v>LA team: van Zyl, Pieter and ATMs if applicable</v>
      </c>
      <c r="F74" s="439" t="s">
        <v>938</v>
      </c>
      <c r="G74" s="439"/>
      <c r="H74" s="74"/>
    </row>
    <row r="75" spans="1:8" ht="18" customHeight="1">
      <c r="A75" s="70">
        <v>0.41666666666666669</v>
      </c>
      <c r="B75" s="70">
        <v>0.4375</v>
      </c>
      <c r="C75" s="444" t="s">
        <v>945</v>
      </c>
      <c r="D75" s="444"/>
      <c r="E75" s="444"/>
      <c r="F75" s="70">
        <v>0.16666666666666666</v>
      </c>
      <c r="G75" s="70">
        <v>0.1875</v>
      </c>
      <c r="H75" s="74"/>
    </row>
    <row r="76" spans="1:8" ht="18" customHeight="1">
      <c r="A76" s="70">
        <v>0.4375</v>
      </c>
      <c r="B76" s="70">
        <v>0.45833333333333331</v>
      </c>
      <c r="C76" s="443" t="s">
        <v>1003</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945</v>
      </c>
      <c r="D78" s="444"/>
      <c r="E78" s="444"/>
      <c r="F78" s="70">
        <v>0.22916666666666666</v>
      </c>
      <c r="G78" s="70">
        <v>0.25</v>
      </c>
      <c r="H78" s="74"/>
    </row>
    <row r="79" spans="1:8" ht="18" customHeight="1">
      <c r="A79" s="70">
        <v>0.5</v>
      </c>
      <c r="B79" s="70">
        <v>0.52083333333333337</v>
      </c>
      <c r="C79" s="444" t="s">
        <v>944</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2" t="s">
        <v>948</v>
      </c>
      <c r="D81" s="452"/>
      <c r="E81" s="452"/>
      <c r="F81" s="70">
        <v>0.29166666666666669</v>
      </c>
      <c r="G81" s="70">
        <v>0.3125</v>
      </c>
      <c r="H81" s="74"/>
    </row>
    <row r="82" spans="1:8" ht="18" customHeight="1">
      <c r="A82" s="70">
        <v>0.5625</v>
      </c>
      <c r="B82" s="70">
        <v>0.58333333333333337</v>
      </c>
      <c r="C82" s="452"/>
      <c r="D82" s="452"/>
      <c r="E82" s="452"/>
      <c r="F82" s="70">
        <v>0.3125</v>
      </c>
      <c r="G82" s="70">
        <v>0.33333333333333331</v>
      </c>
      <c r="H82" s="74"/>
    </row>
    <row r="83" spans="1:8" ht="18" customHeight="1">
      <c r="A83" s="70">
        <v>0.58333333333333337</v>
      </c>
      <c r="B83" s="70">
        <v>0.60416666666666663</v>
      </c>
      <c r="C83" s="452"/>
      <c r="D83" s="452"/>
      <c r="E83" s="452"/>
      <c r="F83" s="70">
        <v>0.33333333333333331</v>
      </c>
      <c r="G83" s="70">
        <v>0.35416666666666669</v>
      </c>
      <c r="H83" s="74"/>
    </row>
    <row r="84" spans="1:8" ht="18" customHeight="1">
      <c r="A84" s="70">
        <v>0.60416666666666663</v>
      </c>
      <c r="B84" s="70">
        <v>0.625</v>
      </c>
      <c r="C84" s="452"/>
      <c r="D84" s="452"/>
      <c r="E84" s="452"/>
      <c r="F84" s="70">
        <v>0.35416666666666669</v>
      </c>
      <c r="G84" s="70">
        <v>0.375</v>
      </c>
      <c r="H84" s="74"/>
    </row>
    <row r="85" spans="1:8" ht="18" customHeight="1">
      <c r="A85" s="70">
        <v>0.625</v>
      </c>
      <c r="B85" s="70">
        <v>0.64583333333333337</v>
      </c>
      <c r="C85" s="443" t="s">
        <v>1004</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945</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946</v>
      </c>
      <c r="D91" s="444"/>
      <c r="E91" s="444"/>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68" t="str">
        <f>C74</f>
        <v>Mini team 1:ATM-5 / ATM-6 / ATM-7</v>
      </c>
      <c r="D93" s="68" t="str">
        <f>D74</f>
        <v>Mini team 2: ATM-1 / ATM-2 / ATM-3 / ATM-4</v>
      </c>
      <c r="E93" s="68" t="str">
        <f>E74</f>
        <v>LA team: van Zyl, Pieter and ATMs if applicable</v>
      </c>
      <c r="F93" s="439" t="s">
        <v>938</v>
      </c>
      <c r="G93" s="439"/>
      <c r="H93" s="74"/>
    </row>
    <row r="94" spans="1:8" ht="18" customHeight="1">
      <c r="A94" s="70">
        <v>0.41666666666666669</v>
      </c>
      <c r="B94" s="70">
        <v>0.4375</v>
      </c>
      <c r="C94" s="451" t="s">
        <v>1005</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1006</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944</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949</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1007</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950</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951</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1227</v>
      </c>
      <c r="B1" s="440"/>
      <c r="C1" s="440"/>
      <c r="D1" s="440"/>
      <c r="E1" s="440"/>
      <c r="F1" s="440"/>
      <c r="G1" s="440"/>
      <c r="H1" s="65"/>
      <c r="I1" s="140" t="s">
        <v>933</v>
      </c>
      <c r="J1" s="141" t="s">
        <v>934</v>
      </c>
      <c r="K1" s="135" t="s">
        <v>935</v>
      </c>
      <c r="L1" s="135" t="s">
        <v>936</v>
      </c>
      <c r="M1" s="136"/>
      <c r="N1" s="67"/>
      <c r="O1" s="67"/>
      <c r="P1" s="67"/>
    </row>
    <row r="2" spans="1:16" ht="14.5" customHeight="1">
      <c r="A2" s="441" t="str">
        <f>CONCATENATE(TEXT(Planning!B26,"[$-x-sysdate]dddd, mmmm dd, yyyy")," (Technology test)")</f>
        <v>Monday, 08 March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233" t="str">
        <f>'Schedule4-1P'!C4</f>
        <v>Mini team 1:ATM-5 / ATM-6 / ATM-7</v>
      </c>
      <c r="D4" s="233" t="str">
        <f>'Schedule4-1P'!D4</f>
        <v>Mini team 2: ATM-1 / ATM-2 / ATM-3 / ATM-4</v>
      </c>
      <c r="E4" s="233" t="str">
        <f>'Schedule4-1P'!E4</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44" t="s">
        <v>939</v>
      </c>
      <c r="D5" s="444" t="s">
        <v>939</v>
      </c>
      <c r="E5" s="444"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6" t="str">
        <f>J4</f>
        <v>Day 1</v>
      </c>
      <c r="B16" s="446"/>
      <c r="C16" s="447">
        <f>I4</f>
        <v>44249</v>
      </c>
      <c r="D16" s="447"/>
      <c r="E16" s="447"/>
      <c r="F16" s="446" t="str">
        <f>A16</f>
        <v>Day 1</v>
      </c>
      <c r="G16" s="446"/>
      <c r="H16" s="65"/>
      <c r="K16" s="139"/>
      <c r="L16" s="136"/>
      <c r="M16" s="136"/>
      <c r="N16" s="67"/>
      <c r="O16" s="67"/>
      <c r="P16" s="67"/>
    </row>
    <row r="17" spans="1:18" ht="29">
      <c r="A17" s="446" t="s">
        <v>937</v>
      </c>
      <c r="B17" s="446"/>
      <c r="C17" s="235" t="str">
        <f>C4</f>
        <v>Mini team 1:ATM-5 / ATM-6 / ATM-7</v>
      </c>
      <c r="D17" s="235" t="str">
        <f>D4</f>
        <v>Mini team 2: ATM-1 / ATM-2 / ATM-3 / ATM-4</v>
      </c>
      <c r="E17" s="235" t="str">
        <f>E4</f>
        <v>LA team: van Zyl, Pieter and ATMs if applicable</v>
      </c>
      <c r="F17" s="446" t="s">
        <v>938</v>
      </c>
      <c r="G17" s="446"/>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996</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997</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944</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998</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945</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998</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1139</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946</v>
      </c>
      <c r="D34" s="444"/>
      <c r="E34" s="444"/>
      <c r="F34" s="70">
        <v>0.5</v>
      </c>
      <c r="G34" s="70">
        <v>0.58333333333333337</v>
      </c>
      <c r="H34" s="65"/>
      <c r="I34" s="136"/>
      <c r="J34" s="136"/>
      <c r="K34" s="136"/>
      <c r="L34" s="136"/>
      <c r="M34" s="136"/>
      <c r="N34" s="67"/>
      <c r="O34" s="67"/>
      <c r="P34" s="67"/>
    </row>
    <row r="35" spans="1:16">
      <c r="A35" s="446" t="str">
        <f>J5</f>
        <v>Day 2</v>
      </c>
      <c r="B35" s="446"/>
      <c r="C35" s="447">
        <f>I5</f>
        <v>44250</v>
      </c>
      <c r="D35" s="447"/>
      <c r="E35" s="447"/>
      <c r="F35" s="446" t="str">
        <f>A35</f>
        <v>Day 2</v>
      </c>
      <c r="G35" s="446"/>
      <c r="H35" s="74"/>
    </row>
    <row r="36" spans="1:16" ht="29">
      <c r="A36" s="446" t="s">
        <v>937</v>
      </c>
      <c r="B36" s="446"/>
      <c r="C36" s="235" t="str">
        <f>C17</f>
        <v>Mini team 1:ATM-5 / ATM-6 / ATM-7</v>
      </c>
      <c r="D36" s="235" t="str">
        <f>D17</f>
        <v>Mini team 2: ATM-1 / ATM-2 / ATM-3 / ATM-4</v>
      </c>
      <c r="E36" s="235" t="str">
        <f>E17</f>
        <v>LA team: van Zyl, Pieter and ATMs if applicable</v>
      </c>
      <c r="F36" s="446" t="s">
        <v>938</v>
      </c>
      <c r="G36" s="446"/>
      <c r="H36" s="74"/>
    </row>
    <row r="37" spans="1:16" ht="18" customHeight="1">
      <c r="A37" s="70">
        <v>0.41666666666666669</v>
      </c>
      <c r="B37" s="70">
        <v>0.4375</v>
      </c>
      <c r="C37" s="444" t="s">
        <v>945</v>
      </c>
      <c r="D37" s="444"/>
      <c r="E37" s="234" t="s">
        <v>943</v>
      </c>
      <c r="F37" s="70">
        <v>0.16666666666666666</v>
      </c>
      <c r="G37" s="70">
        <v>0.1875</v>
      </c>
      <c r="H37" s="74"/>
    </row>
    <row r="38" spans="1:16" ht="18" customHeight="1">
      <c r="A38" s="70">
        <v>0.4375</v>
      </c>
      <c r="B38" s="70">
        <v>0.45833333333333331</v>
      </c>
      <c r="C38" s="443" t="s">
        <v>999</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944</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999</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945</v>
      </c>
      <c r="D48" s="444"/>
      <c r="E48" s="444" t="s">
        <v>943</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1000</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1139</v>
      </c>
      <c r="D52" s="444"/>
      <c r="E52" s="444"/>
      <c r="F52" s="70">
        <v>0.47916666666666669</v>
      </c>
      <c r="G52" s="70">
        <v>0.5</v>
      </c>
      <c r="H52" s="74"/>
    </row>
    <row r="53" spans="1:8" ht="18" customHeight="1">
      <c r="A53" s="70">
        <v>0.75</v>
      </c>
      <c r="B53" s="70">
        <v>0.83333333333333337</v>
      </c>
      <c r="C53" s="444" t="s">
        <v>946</v>
      </c>
      <c r="D53" s="444"/>
      <c r="E53" s="444"/>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233" t="str">
        <f>C36</f>
        <v>Mini team 1:ATM-5 / ATM-6 / ATM-7</v>
      </c>
      <c r="D55" s="233" t="str">
        <f>D36</f>
        <v>Mini team 2: ATM-1 / ATM-2 / ATM-3 / ATM-4</v>
      </c>
      <c r="E55" s="233" t="str">
        <f>E36</f>
        <v>LA team: van Zyl, Pieter and ATMs if applicable</v>
      </c>
      <c r="F55" s="439" t="s">
        <v>938</v>
      </c>
      <c r="G55" s="439"/>
      <c r="H55" s="74"/>
    </row>
    <row r="56" spans="1:8" ht="18" customHeight="1">
      <c r="A56" s="70">
        <v>0.41666666666666669</v>
      </c>
      <c r="B56" s="70">
        <v>0.4375</v>
      </c>
      <c r="C56" s="444" t="s">
        <v>947</v>
      </c>
      <c r="D56" s="444"/>
      <c r="E56" s="234" t="s">
        <v>943</v>
      </c>
      <c r="F56" s="70">
        <v>0.16666666666666666</v>
      </c>
      <c r="G56" s="70">
        <v>0.1875</v>
      </c>
      <c r="H56" s="74"/>
    </row>
    <row r="57" spans="1:8" ht="18" customHeight="1">
      <c r="A57" s="70">
        <v>0.4375</v>
      </c>
      <c r="B57" s="70">
        <v>0.45833333333333331</v>
      </c>
      <c r="C57" s="443" t="s">
        <v>1001</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944</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1001</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945</v>
      </c>
      <c r="D68" s="444"/>
      <c r="E68" s="444"/>
      <c r="F68" s="70">
        <v>0.41666666666666669</v>
      </c>
      <c r="G68" s="70">
        <v>0.4375</v>
      </c>
      <c r="H68" s="74"/>
    </row>
    <row r="69" spans="1:8" ht="18" customHeight="1">
      <c r="A69" s="70">
        <v>0.6875</v>
      </c>
      <c r="B69" s="70">
        <v>0.70833333333333337</v>
      </c>
      <c r="C69" s="443" t="s">
        <v>1002</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9" t="s">
        <v>1138</v>
      </c>
      <c r="D71" s="460"/>
      <c r="E71" s="461"/>
      <c r="F71" s="70">
        <v>0.47916666666666669</v>
      </c>
      <c r="G71" s="70">
        <v>0.5</v>
      </c>
      <c r="H71" s="74"/>
    </row>
    <row r="72" spans="1:8" ht="18" customHeight="1">
      <c r="A72" s="70">
        <v>0.75</v>
      </c>
      <c r="B72" s="70">
        <v>0.83333333333333337</v>
      </c>
      <c r="C72" s="462"/>
      <c r="D72" s="463"/>
      <c r="E72" s="464"/>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233" t="str">
        <f>C55</f>
        <v>Mini team 1:ATM-5 / ATM-6 / ATM-7</v>
      </c>
      <c r="D74" s="233" t="str">
        <f>D55</f>
        <v>Mini team 2: ATM-1 / ATM-2 / ATM-3 / ATM-4</v>
      </c>
      <c r="E74" s="233" t="str">
        <f>E55</f>
        <v>LA team: van Zyl, Pieter and ATMs if applicable</v>
      </c>
      <c r="F74" s="439" t="s">
        <v>938</v>
      </c>
      <c r="G74" s="439"/>
      <c r="H74" s="74"/>
    </row>
    <row r="75" spans="1:8" ht="18" customHeight="1">
      <c r="A75" s="70">
        <v>0.41666666666666669</v>
      </c>
      <c r="B75" s="70">
        <v>0.4375</v>
      </c>
      <c r="C75" s="444" t="s">
        <v>945</v>
      </c>
      <c r="D75" s="444"/>
      <c r="E75" s="444"/>
      <c r="F75" s="70">
        <v>0.16666666666666666</v>
      </c>
      <c r="G75" s="70">
        <v>0.1875</v>
      </c>
      <c r="H75" s="74"/>
    </row>
    <row r="76" spans="1:8" ht="18" customHeight="1">
      <c r="A76" s="70">
        <v>0.4375</v>
      </c>
      <c r="B76" s="70">
        <v>0.45833333333333331</v>
      </c>
      <c r="C76" s="443" t="s">
        <v>1003</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945</v>
      </c>
      <c r="D78" s="444"/>
      <c r="E78" s="444"/>
      <c r="F78" s="70">
        <v>0.22916666666666666</v>
      </c>
      <c r="G78" s="70">
        <v>0.25</v>
      </c>
      <c r="H78" s="74"/>
    </row>
    <row r="79" spans="1:8" ht="18" customHeight="1">
      <c r="A79" s="70">
        <v>0.5</v>
      </c>
      <c r="B79" s="70">
        <v>0.52083333333333337</v>
      </c>
      <c r="C79" s="444" t="s">
        <v>944</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9" t="s">
        <v>1138</v>
      </c>
      <c r="D81" s="460"/>
      <c r="E81" s="461"/>
      <c r="F81" s="70">
        <v>0.29166666666666669</v>
      </c>
      <c r="G81" s="70">
        <v>0.3125</v>
      </c>
      <c r="H81" s="74"/>
    </row>
    <row r="82" spans="1:8" ht="18" customHeight="1">
      <c r="A82" s="70">
        <v>0.5625</v>
      </c>
      <c r="B82" s="70">
        <v>0.58333333333333337</v>
      </c>
      <c r="C82" s="462"/>
      <c r="D82" s="463"/>
      <c r="E82" s="464"/>
      <c r="F82" s="70">
        <v>0.3125</v>
      </c>
      <c r="G82" s="70">
        <v>0.33333333333333331</v>
      </c>
      <c r="H82" s="74"/>
    </row>
    <row r="83" spans="1:8" ht="18" customHeight="1">
      <c r="A83" s="70">
        <v>0.58333333333333337</v>
      </c>
      <c r="B83" s="70">
        <v>0.60416666666666663</v>
      </c>
      <c r="C83" s="453" t="s">
        <v>948</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43" t="s">
        <v>1004</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945</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946</v>
      </c>
      <c r="D91" s="444"/>
      <c r="E91" s="444"/>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233" t="str">
        <f>C74</f>
        <v>Mini team 1:ATM-5 / ATM-6 / ATM-7</v>
      </c>
      <c r="D93" s="233" t="str">
        <f>D74</f>
        <v>Mini team 2: ATM-1 / ATM-2 / ATM-3 / ATM-4</v>
      </c>
      <c r="E93" s="233" t="str">
        <f>E74</f>
        <v>LA team: van Zyl, Pieter and ATMs if applicable</v>
      </c>
      <c r="F93" s="439" t="s">
        <v>938</v>
      </c>
      <c r="G93" s="439"/>
      <c r="H93" s="74"/>
    </row>
    <row r="94" spans="1:8" ht="18" customHeight="1">
      <c r="A94" s="70">
        <v>0.41666666666666669</v>
      </c>
      <c r="B94" s="70">
        <v>0.4375</v>
      </c>
      <c r="C94" s="451" t="s">
        <v>1005</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1006</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944</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949</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1007</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950</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951</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1543</v>
      </c>
    </row>
    <row r="2" spans="1:8">
      <c r="A2" s="346" t="s">
        <v>1544</v>
      </c>
      <c r="B2" s="347">
        <f>Planning!B27</f>
        <v>44249</v>
      </c>
      <c r="C2" s="348">
        <f>B2+1</f>
        <v>44250</v>
      </c>
      <c r="D2" s="348">
        <f t="shared" ref="D2:G2" si="0">C2+1</f>
        <v>44251</v>
      </c>
      <c r="E2" s="348">
        <f t="shared" si="0"/>
        <v>44252</v>
      </c>
      <c r="F2" s="348">
        <f t="shared" si="0"/>
        <v>44253</v>
      </c>
      <c r="G2" s="348">
        <f t="shared" si="0"/>
        <v>44254</v>
      </c>
      <c r="H2" s="349" t="s">
        <v>1545</v>
      </c>
    </row>
    <row r="3" spans="1:8" ht="29">
      <c r="A3" s="350">
        <v>0.41666666666666702</v>
      </c>
      <c r="B3" s="465" t="s">
        <v>1546</v>
      </c>
      <c r="C3" s="351" t="s">
        <v>1547</v>
      </c>
      <c r="D3" s="352" t="s">
        <v>1548</v>
      </c>
      <c r="E3" s="352" t="s">
        <v>1548</v>
      </c>
      <c r="F3" s="466" t="s">
        <v>1549</v>
      </c>
      <c r="G3" s="466" t="s">
        <v>1550</v>
      </c>
      <c r="H3" s="353">
        <f t="shared" ref="H3:H19" si="1">+A3-0.25</f>
        <v>0.16666666666666702</v>
      </c>
    </row>
    <row r="4" spans="1:8">
      <c r="A4" s="350">
        <v>0.4375</v>
      </c>
      <c r="B4" s="465"/>
      <c r="C4" s="354" t="s">
        <v>1551</v>
      </c>
      <c r="D4" s="467" t="s">
        <v>1552</v>
      </c>
      <c r="E4" s="467" t="s">
        <v>1553</v>
      </c>
      <c r="F4" s="466"/>
      <c r="G4" s="466"/>
      <c r="H4" s="353">
        <f t="shared" si="1"/>
        <v>0.1875</v>
      </c>
    </row>
    <row r="5" spans="1:8">
      <c r="A5" s="350">
        <v>0.45833333333333398</v>
      </c>
      <c r="B5" s="468" t="s">
        <v>1554</v>
      </c>
      <c r="C5" s="469" t="s">
        <v>1555</v>
      </c>
      <c r="D5" s="467"/>
      <c r="E5" s="467"/>
      <c r="F5" s="466"/>
      <c r="G5" s="466"/>
      <c r="H5" s="353">
        <f t="shared" si="1"/>
        <v>0.20833333333333398</v>
      </c>
    </row>
    <row r="6" spans="1:8">
      <c r="A6" s="350">
        <v>0.47916666666666702</v>
      </c>
      <c r="B6" s="468"/>
      <c r="C6" s="469"/>
      <c r="D6" s="467"/>
      <c r="E6" s="467"/>
      <c r="F6" s="466"/>
      <c r="G6" s="351" t="s">
        <v>1551</v>
      </c>
      <c r="H6" s="353">
        <f t="shared" si="1"/>
        <v>0.22916666666666702</v>
      </c>
    </row>
    <row r="7" spans="1:8">
      <c r="A7" s="350">
        <v>0.5</v>
      </c>
      <c r="B7" s="468"/>
      <c r="C7" s="467" t="s">
        <v>1556</v>
      </c>
      <c r="D7" s="467"/>
      <c r="E7" s="467"/>
      <c r="F7" s="470" t="s">
        <v>944</v>
      </c>
      <c r="G7" s="470" t="s">
        <v>944</v>
      </c>
      <c r="H7" s="353">
        <f t="shared" si="1"/>
        <v>0.25</v>
      </c>
    </row>
    <row r="8" spans="1:8" ht="29">
      <c r="A8" s="350">
        <v>0.52083333333333404</v>
      </c>
      <c r="B8" s="355" t="s">
        <v>1546</v>
      </c>
      <c r="C8" s="467"/>
      <c r="D8" s="467"/>
      <c r="E8" s="467"/>
      <c r="F8" s="470"/>
      <c r="G8" s="470"/>
      <c r="H8" s="353">
        <f t="shared" si="1"/>
        <v>0.27083333333333404</v>
      </c>
    </row>
    <row r="9" spans="1:8">
      <c r="A9" s="350">
        <v>0.54166666666666696</v>
      </c>
      <c r="B9" s="471" t="s">
        <v>944</v>
      </c>
      <c r="C9" s="470" t="s">
        <v>944</v>
      </c>
      <c r="D9" s="470" t="s">
        <v>944</v>
      </c>
      <c r="E9" s="470" t="s">
        <v>944</v>
      </c>
      <c r="F9" s="351" t="s">
        <v>1551</v>
      </c>
      <c r="G9" s="469" t="s">
        <v>801</v>
      </c>
      <c r="H9" s="353">
        <f t="shared" si="1"/>
        <v>0.29166666666666696</v>
      </c>
    </row>
    <row r="10" spans="1:8">
      <c r="A10" s="350">
        <v>0.5625</v>
      </c>
      <c r="B10" s="471"/>
      <c r="C10" s="470"/>
      <c r="D10" s="470"/>
      <c r="E10" s="470"/>
      <c r="F10" s="469" t="s">
        <v>1557</v>
      </c>
      <c r="G10" s="469"/>
      <c r="H10" s="353">
        <f t="shared" si="1"/>
        <v>0.3125</v>
      </c>
    </row>
    <row r="11" spans="1:8">
      <c r="A11" s="350">
        <v>0.58333333333333304</v>
      </c>
      <c r="B11" s="465" t="s">
        <v>1558</v>
      </c>
      <c r="C11" s="467" t="s">
        <v>1559</v>
      </c>
      <c r="D11" s="467" t="s">
        <v>1560</v>
      </c>
      <c r="E11" s="467" t="s">
        <v>1561</v>
      </c>
      <c r="F11" s="469"/>
      <c r="G11" s="466" t="s">
        <v>1562</v>
      </c>
      <c r="H11" s="353">
        <f t="shared" si="1"/>
        <v>0.33333333333333304</v>
      </c>
    </row>
    <row r="12" spans="1:8">
      <c r="A12" s="350">
        <v>0.60416666666666696</v>
      </c>
      <c r="B12" s="465"/>
      <c r="C12" s="467"/>
      <c r="D12" s="467"/>
      <c r="E12" s="467"/>
      <c r="F12" s="469" t="s">
        <v>1563</v>
      </c>
      <c r="G12" s="466"/>
      <c r="H12" s="353">
        <f t="shared" si="1"/>
        <v>0.35416666666666696</v>
      </c>
    </row>
    <row r="13" spans="1:8">
      <c r="A13" s="350">
        <v>0.625</v>
      </c>
      <c r="B13" s="465"/>
      <c r="C13" s="467"/>
      <c r="D13" s="467" t="s">
        <v>1564</v>
      </c>
      <c r="E13" s="467"/>
      <c r="F13" s="469"/>
      <c r="G13" s="466"/>
      <c r="H13" s="353">
        <f t="shared" si="1"/>
        <v>0.375</v>
      </c>
    </row>
    <row r="14" spans="1:8">
      <c r="A14" s="350">
        <v>0.64583333333333304</v>
      </c>
      <c r="B14" s="465"/>
      <c r="C14" s="467"/>
      <c r="D14" s="467"/>
      <c r="E14" s="467"/>
      <c r="F14" s="466" t="s">
        <v>1550</v>
      </c>
      <c r="G14" s="472" t="s">
        <v>1565</v>
      </c>
      <c r="H14" s="353">
        <f t="shared" si="1"/>
        <v>0.39583333333333304</v>
      </c>
    </row>
    <row r="15" spans="1:8">
      <c r="A15" s="350">
        <v>0.66666666666666696</v>
      </c>
      <c r="B15" s="465"/>
      <c r="C15" s="354" t="s">
        <v>1551</v>
      </c>
      <c r="D15" s="467"/>
      <c r="E15" s="466" t="s">
        <v>1549</v>
      </c>
      <c r="F15" s="466"/>
      <c r="G15" s="472"/>
      <c r="H15" s="353">
        <f t="shared" si="1"/>
        <v>0.41666666666666696</v>
      </c>
    </row>
    <row r="16" spans="1:8">
      <c r="A16" s="350">
        <v>0.6875</v>
      </c>
      <c r="B16" s="465"/>
      <c r="C16" s="467" t="s">
        <v>1566</v>
      </c>
      <c r="D16" s="467" t="s">
        <v>1567</v>
      </c>
      <c r="E16" s="466"/>
      <c r="F16" s="466"/>
      <c r="G16" s="472"/>
      <c r="H16" s="353">
        <f t="shared" si="1"/>
        <v>0.4375</v>
      </c>
    </row>
    <row r="17" spans="1:8">
      <c r="A17" s="350">
        <v>0.70833333333333304</v>
      </c>
      <c r="B17" s="356" t="s">
        <v>1568</v>
      </c>
      <c r="C17" s="467"/>
      <c r="D17" s="467"/>
      <c r="E17" s="466"/>
      <c r="F17" s="466"/>
      <c r="G17" s="472"/>
      <c r="H17" s="353">
        <f t="shared" si="1"/>
        <v>0.45833333333333304</v>
      </c>
    </row>
    <row r="18" spans="1:8">
      <c r="A18" s="350">
        <v>0.72916666666666663</v>
      </c>
      <c r="B18" s="357" t="s">
        <v>1548</v>
      </c>
      <c r="C18" s="352" t="s">
        <v>1548</v>
      </c>
      <c r="D18" s="352" t="s">
        <v>1548</v>
      </c>
      <c r="E18" s="352" t="s">
        <v>1548</v>
      </c>
      <c r="F18" s="352" t="s">
        <v>1548</v>
      </c>
      <c r="G18" s="472"/>
      <c r="H18" s="353">
        <f t="shared" si="1"/>
        <v>0.47916666666666663</v>
      </c>
    </row>
    <row r="19" spans="1:8" ht="15" thickBot="1">
      <c r="A19" s="358">
        <v>0.75</v>
      </c>
      <c r="B19" s="473" t="s">
        <v>946</v>
      </c>
      <c r="C19" s="474"/>
      <c r="D19" s="474"/>
      <c r="E19" s="474"/>
      <c r="F19" s="474"/>
      <c r="G19" s="474"/>
      <c r="H19" s="359">
        <f t="shared" si="1"/>
        <v>0.5</v>
      </c>
    </row>
    <row r="21" spans="1:8" ht="15" thickBot="1">
      <c r="A21" s="8" t="s">
        <v>1569</v>
      </c>
    </row>
    <row r="22" spans="1:8">
      <c r="A22" s="346" t="s">
        <v>1544</v>
      </c>
      <c r="B22" s="347">
        <f>Planning!B27</f>
        <v>44249</v>
      </c>
      <c r="C22" s="347">
        <f>B22+1</f>
        <v>44250</v>
      </c>
      <c r="D22" s="347">
        <f t="shared" ref="D22:F22" si="2">C22+1</f>
        <v>44251</v>
      </c>
      <c r="E22" s="347">
        <f t="shared" si="2"/>
        <v>44252</v>
      </c>
      <c r="F22" s="347">
        <f t="shared" si="2"/>
        <v>44253</v>
      </c>
      <c r="G22" s="347">
        <f>F22+1</f>
        <v>44254</v>
      </c>
      <c r="H22" s="349" t="s">
        <v>1545</v>
      </c>
    </row>
    <row r="23" spans="1:8" ht="29">
      <c r="A23" s="350">
        <v>0.41666666666666702</v>
      </c>
      <c r="B23" s="465" t="s">
        <v>1546</v>
      </c>
      <c r="C23" s="351" t="s">
        <v>1547</v>
      </c>
      <c r="D23" s="352" t="s">
        <v>1548</v>
      </c>
      <c r="E23" s="352" t="s">
        <v>1548</v>
      </c>
      <c r="F23" s="475" t="s">
        <v>1549</v>
      </c>
      <c r="G23" s="475" t="s">
        <v>1550</v>
      </c>
      <c r="H23" s="353">
        <f t="shared" ref="H23:H39" si="3">+A23-0.25</f>
        <v>0.16666666666666702</v>
      </c>
    </row>
    <row r="24" spans="1:8">
      <c r="A24" s="350">
        <v>0.4375</v>
      </c>
      <c r="B24" s="465"/>
      <c r="C24" s="354" t="s">
        <v>1551</v>
      </c>
      <c r="D24" s="467" t="s">
        <v>1552</v>
      </c>
      <c r="E24" s="467" t="s">
        <v>1553</v>
      </c>
      <c r="F24" s="476"/>
      <c r="G24" s="476"/>
      <c r="H24" s="353">
        <f t="shared" si="3"/>
        <v>0.1875</v>
      </c>
    </row>
    <row r="25" spans="1:8">
      <c r="A25" s="350">
        <v>0.45833333333333398</v>
      </c>
      <c r="B25" s="468" t="s">
        <v>1554</v>
      </c>
      <c r="C25" s="469" t="s">
        <v>1555</v>
      </c>
      <c r="D25" s="467"/>
      <c r="E25" s="467"/>
      <c r="F25" s="476"/>
      <c r="G25" s="476"/>
      <c r="H25" s="353">
        <f t="shared" si="3"/>
        <v>0.20833333333333398</v>
      </c>
    </row>
    <row r="26" spans="1:8">
      <c r="A26" s="350">
        <v>0.47916666666666702</v>
      </c>
      <c r="B26" s="468"/>
      <c r="C26" s="469"/>
      <c r="D26" s="467"/>
      <c r="E26" s="467"/>
      <c r="F26" s="476"/>
      <c r="G26" s="476"/>
      <c r="H26" s="353">
        <f t="shared" si="3"/>
        <v>0.22916666666666702</v>
      </c>
    </row>
    <row r="27" spans="1:8">
      <c r="A27" s="350">
        <v>0.5</v>
      </c>
      <c r="B27" s="468"/>
      <c r="C27" s="467" t="s">
        <v>1556</v>
      </c>
      <c r="D27" s="467"/>
      <c r="E27" s="467"/>
      <c r="F27" s="476"/>
      <c r="G27" s="476"/>
      <c r="H27" s="353">
        <f t="shared" si="3"/>
        <v>0.25</v>
      </c>
    </row>
    <row r="28" spans="1:8" ht="29">
      <c r="A28" s="350">
        <v>0.52083333333333404</v>
      </c>
      <c r="B28" s="355" t="s">
        <v>1546</v>
      </c>
      <c r="C28" s="467"/>
      <c r="D28" s="467"/>
      <c r="E28" s="467"/>
      <c r="F28" s="477"/>
      <c r="G28" s="477"/>
      <c r="H28" s="353">
        <f t="shared" si="3"/>
        <v>0.27083333333333404</v>
      </c>
    </row>
    <row r="29" spans="1:8">
      <c r="A29" s="350">
        <v>0.54166666666666696</v>
      </c>
      <c r="B29" s="471" t="s">
        <v>944</v>
      </c>
      <c r="C29" s="470" t="s">
        <v>944</v>
      </c>
      <c r="D29" s="470" t="s">
        <v>944</v>
      </c>
      <c r="E29" s="470" t="s">
        <v>944</v>
      </c>
      <c r="F29" s="470" t="s">
        <v>944</v>
      </c>
      <c r="G29" s="470" t="s">
        <v>944</v>
      </c>
      <c r="H29" s="353">
        <f t="shared" si="3"/>
        <v>0.29166666666666696</v>
      </c>
    </row>
    <row r="30" spans="1:8">
      <c r="A30" s="350">
        <v>0.5625</v>
      </c>
      <c r="B30" s="471"/>
      <c r="C30" s="470"/>
      <c r="D30" s="470"/>
      <c r="E30" s="470"/>
      <c r="F30" s="470"/>
      <c r="G30" s="470"/>
      <c r="H30" s="353">
        <f t="shared" si="3"/>
        <v>0.3125</v>
      </c>
    </row>
    <row r="31" spans="1:8">
      <c r="A31" s="350">
        <v>0.58333333333333304</v>
      </c>
      <c r="B31" s="475" t="s">
        <v>1558</v>
      </c>
      <c r="C31" s="467" t="s">
        <v>1559</v>
      </c>
      <c r="D31" s="467" t="s">
        <v>1560</v>
      </c>
      <c r="E31" s="467" t="s">
        <v>1561</v>
      </c>
      <c r="F31" s="352" t="s">
        <v>1551</v>
      </c>
      <c r="G31" s="352" t="s">
        <v>1551</v>
      </c>
      <c r="H31" s="353">
        <f t="shared" si="3"/>
        <v>0.33333333333333304</v>
      </c>
    </row>
    <row r="32" spans="1:8">
      <c r="A32" s="350">
        <v>0.60416666666666696</v>
      </c>
      <c r="B32" s="476"/>
      <c r="C32" s="467"/>
      <c r="D32" s="467"/>
      <c r="E32" s="467"/>
      <c r="F32" s="469" t="s">
        <v>1557</v>
      </c>
      <c r="G32" s="469" t="s">
        <v>801</v>
      </c>
      <c r="H32" s="353">
        <f t="shared" si="3"/>
        <v>0.35416666666666696</v>
      </c>
    </row>
    <row r="33" spans="1:8">
      <c r="A33" s="350">
        <v>0.625</v>
      </c>
      <c r="B33" s="476"/>
      <c r="C33" s="467"/>
      <c r="D33" s="467" t="s">
        <v>1564</v>
      </c>
      <c r="E33" s="467"/>
      <c r="F33" s="469"/>
      <c r="G33" s="469"/>
      <c r="H33" s="353">
        <f t="shared" si="3"/>
        <v>0.375</v>
      </c>
    </row>
    <row r="34" spans="1:8">
      <c r="A34" s="350">
        <v>0.64583333333333304</v>
      </c>
      <c r="B34" s="476"/>
      <c r="C34" s="467"/>
      <c r="D34" s="467"/>
      <c r="E34" s="467"/>
      <c r="F34" s="469" t="s">
        <v>1563</v>
      </c>
      <c r="G34" s="478" t="s">
        <v>1570</v>
      </c>
      <c r="H34" s="353">
        <f t="shared" si="3"/>
        <v>0.39583333333333304</v>
      </c>
    </row>
    <row r="35" spans="1:8">
      <c r="A35" s="350">
        <v>0.66666666666666696</v>
      </c>
      <c r="B35" s="477"/>
      <c r="C35" s="354" t="s">
        <v>1551</v>
      </c>
      <c r="D35" s="467"/>
      <c r="E35" s="466" t="s">
        <v>1549</v>
      </c>
      <c r="F35" s="469"/>
      <c r="G35" s="479"/>
      <c r="H35" s="353">
        <f t="shared" si="3"/>
        <v>0.41666666666666696</v>
      </c>
    </row>
    <row r="36" spans="1:8">
      <c r="A36" s="350">
        <v>0.6875</v>
      </c>
      <c r="B36" s="360" t="s">
        <v>1571</v>
      </c>
      <c r="C36" s="467" t="s">
        <v>1566</v>
      </c>
      <c r="D36" s="467" t="s">
        <v>1567</v>
      </c>
      <c r="E36" s="466"/>
      <c r="F36" s="475" t="s">
        <v>1550</v>
      </c>
      <c r="G36" s="478" t="s">
        <v>1572</v>
      </c>
      <c r="H36" s="353">
        <f t="shared" si="3"/>
        <v>0.4375</v>
      </c>
    </row>
    <row r="37" spans="1:8">
      <c r="A37" s="350">
        <v>0.70833333333333304</v>
      </c>
      <c r="B37" s="356" t="s">
        <v>1568</v>
      </c>
      <c r="C37" s="467"/>
      <c r="D37" s="467"/>
      <c r="E37" s="466"/>
      <c r="F37" s="477"/>
      <c r="G37" s="479"/>
      <c r="H37" s="353">
        <f t="shared" si="3"/>
        <v>0.45833333333333304</v>
      </c>
    </row>
    <row r="38" spans="1:8">
      <c r="A38" s="350">
        <v>0.72916666666666663</v>
      </c>
      <c r="B38" s="357" t="s">
        <v>1548</v>
      </c>
      <c r="C38" s="352" t="s">
        <v>1548</v>
      </c>
      <c r="D38" s="352" t="s">
        <v>1548</v>
      </c>
      <c r="E38" s="352" t="s">
        <v>1548</v>
      </c>
      <c r="F38" s="352" t="s">
        <v>1548</v>
      </c>
      <c r="G38" s="480"/>
      <c r="H38" s="353">
        <f t="shared" si="3"/>
        <v>0.47916666666666663</v>
      </c>
    </row>
    <row r="39" spans="1:8" ht="15" thickBot="1">
      <c r="A39" s="358">
        <v>0.75</v>
      </c>
      <c r="B39" s="473" t="s">
        <v>946</v>
      </c>
      <c r="C39" s="474"/>
      <c r="D39" s="474"/>
      <c r="E39" s="474"/>
      <c r="F39" s="474"/>
      <c r="G39" s="474"/>
      <c r="H39" s="359">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1520</v>
      </c>
      <c r="B1" s="118"/>
      <c r="C1" s="118"/>
      <c r="D1" s="118"/>
    </row>
    <row r="2" spans="1:22" s="117" customFormat="1">
      <c r="A2" s="28" t="s">
        <v>1509</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1510</v>
      </c>
      <c r="C3" s="343" t="s">
        <v>1511</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1489</v>
      </c>
      <c r="B7" s="64">
        <v>6</v>
      </c>
      <c r="C7" s="343" t="str">
        <f t="shared" si="0"/>
        <v>Engineers (6)</v>
      </c>
    </row>
    <row r="8" spans="1:22">
      <c r="A8" s="125" t="s">
        <v>1508</v>
      </c>
      <c r="B8" s="64">
        <v>1</v>
      </c>
      <c r="C8" s="343" t="str">
        <f t="shared" si="0"/>
        <v>EPG (1)</v>
      </c>
    </row>
    <row r="9" spans="1:22">
      <c r="A9" s="125" t="s">
        <v>759</v>
      </c>
      <c r="B9" s="64">
        <v>1</v>
      </c>
      <c r="C9" s="343" t="str">
        <f t="shared" si="0"/>
        <v>OT (1)</v>
      </c>
    </row>
    <row r="10" spans="1:22">
      <c r="A10" s="125" t="s">
        <v>1513</v>
      </c>
      <c r="B10" s="64">
        <v>1</v>
      </c>
      <c r="C10" s="343" t="str">
        <f t="shared" si="0"/>
        <v>OUC (1)</v>
      </c>
    </row>
    <row r="11" spans="1:22">
      <c r="A11" s="125" t="s">
        <v>1496</v>
      </c>
      <c r="B11" s="64">
        <v>2</v>
      </c>
      <c r="C11" s="343" t="str">
        <f t="shared" si="0"/>
        <v>PMs (2)</v>
      </c>
    </row>
    <row r="12" spans="1:22">
      <c r="A12" s="125" t="s">
        <v>758</v>
      </c>
      <c r="B12" s="64">
        <v>1</v>
      </c>
      <c r="C12" s="343" t="str">
        <f t="shared" si="0"/>
        <v>PPQA (1)</v>
      </c>
    </row>
    <row r="13" spans="1:22">
      <c r="A13" s="125" t="s">
        <v>1512</v>
      </c>
      <c r="B13" s="64">
        <v>2</v>
      </c>
      <c r="C13" s="343" t="str">
        <f t="shared" si="0"/>
        <v>SM (2)</v>
      </c>
    </row>
    <row r="14" spans="1:22">
      <c r="A14" s="125" t="s">
        <v>594</v>
      </c>
      <c r="B14" s="64">
        <v>1</v>
      </c>
      <c r="C14" s="343" t="str">
        <f t="shared" si="0"/>
        <v>Sponsor (1)</v>
      </c>
    </row>
    <row r="15" spans="1:22">
      <c r="A15" s="125" t="s">
        <v>1514</v>
      </c>
      <c r="B15" s="64">
        <v>1</v>
      </c>
      <c r="C15" s="343" t="str">
        <f t="shared" si="0"/>
        <v>RI (1)</v>
      </c>
    </row>
    <row r="16" spans="1:22">
      <c r="A16" s="125" t="s">
        <v>1515</v>
      </c>
      <c r="B16" s="64">
        <f>B7+B6</f>
        <v>7</v>
      </c>
      <c r="C16" s="343" t="str">
        <f t="shared" si="0"/>
        <v>ParticipantsPrelim1 (7)</v>
      </c>
    </row>
    <row r="17" spans="1:22">
      <c r="A17" s="125" t="s">
        <v>1516</v>
      </c>
      <c r="B17" s="64">
        <f>B8+B9+B11+B12</f>
        <v>5</v>
      </c>
      <c r="C17" s="343" t="str">
        <f t="shared" si="0"/>
        <v>ParticipantsPrelim2 (5)</v>
      </c>
    </row>
    <row r="18" spans="1:22">
      <c r="A18" s="125" t="s">
        <v>1519</v>
      </c>
      <c r="B18" s="64">
        <v>5</v>
      </c>
      <c r="C18" s="343" t="str">
        <f t="shared" si="0"/>
        <v>ParticipantsTechTest (5)</v>
      </c>
    </row>
    <row r="19" spans="1:22">
      <c r="A19" s="125" t="s">
        <v>1517</v>
      </c>
      <c r="B19" s="64">
        <f>B13+B12+B11+B10+B9+B7+B6+B5</f>
        <v>19</v>
      </c>
      <c r="C19" s="343" t="str">
        <f t="shared" si="0"/>
        <v>ParticipantsOpen (19)</v>
      </c>
    </row>
    <row r="20" spans="1:22">
      <c r="A20" s="125" t="s">
        <v>1518</v>
      </c>
      <c r="B20" s="64">
        <f>B14+B13+B12+B11+B10+B8+B7+B6</f>
        <v>15</v>
      </c>
      <c r="C20" s="343" t="str">
        <f t="shared" si="0"/>
        <v>ParticipantsFinal (15)</v>
      </c>
    </row>
    <row r="21" spans="1:22" s="242" customFormat="1">
      <c r="B21" s="344"/>
      <c r="C21" s="344"/>
    </row>
    <row r="22" spans="1:22" s="117" customFormat="1">
      <c r="A22" s="28" t="s">
        <v>1521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1479</v>
      </c>
      <c r="B23" s="14" t="s">
        <v>1480</v>
      </c>
      <c r="C23" s="14" t="s">
        <v>1481</v>
      </c>
      <c r="D23" s="14" t="s">
        <v>1482</v>
      </c>
    </row>
    <row r="24" spans="1:22">
      <c r="A24" s="125" t="s">
        <v>1483</v>
      </c>
      <c r="B24" s="87" t="str">
        <f>C4</f>
        <v>ATL (1)</v>
      </c>
      <c r="C24" s="125" t="s">
        <v>1484</v>
      </c>
      <c r="D24" s="125">
        <v>120</v>
      </c>
    </row>
    <row r="25" spans="1:22">
      <c r="A25" s="125" t="s">
        <v>1483</v>
      </c>
      <c r="B25" s="87" t="str">
        <f>C5</f>
        <v>ATM (5)</v>
      </c>
      <c r="C25" s="125" t="s">
        <v>1484</v>
      </c>
      <c r="D25" s="125">
        <v>8</v>
      </c>
    </row>
    <row r="26" spans="1:22">
      <c r="A26" s="125" t="s">
        <v>1485</v>
      </c>
      <c r="B26" s="87" t="str">
        <f>_xlfn.CONCAT(C4,", ",C5,", ",C15)</f>
        <v>ATL (1), ATM (5), RI (1)</v>
      </c>
      <c r="C26" s="125" t="s">
        <v>1486</v>
      </c>
      <c r="D26" s="125">
        <v>8</v>
      </c>
    </row>
    <row r="27" spans="1:22">
      <c r="A27" s="125" t="s">
        <v>757</v>
      </c>
      <c r="B27" s="87" t="str">
        <f>_xlfn.CONCAT(B26,", ",C6)</f>
        <v>ATL (1), ATM (5), RI (1), CM (1)</v>
      </c>
      <c r="C27" s="125" t="s">
        <v>616</v>
      </c>
      <c r="D27" s="125">
        <v>1</v>
      </c>
    </row>
    <row r="28" spans="1:22">
      <c r="A28" s="125" t="s">
        <v>1487</v>
      </c>
      <c r="B28" s="87" t="str">
        <f>B26</f>
        <v>ATL (1), ATM (5), RI (1)</v>
      </c>
      <c r="C28" s="125" t="s">
        <v>1488</v>
      </c>
      <c r="D28" s="125">
        <v>12</v>
      </c>
    </row>
    <row r="29" spans="1:22">
      <c r="A29" s="125" t="s">
        <v>1489</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1490</v>
      </c>
      <c r="B32" s="87" t="str">
        <f>B26</f>
        <v>ATL (1), ATM (5), RI (1)</v>
      </c>
      <c r="C32" s="125" t="s">
        <v>1491</v>
      </c>
      <c r="D32" s="125">
        <v>24</v>
      </c>
    </row>
    <row r="33" spans="1:4">
      <c r="A33" s="125" t="s">
        <v>1492</v>
      </c>
      <c r="B33" s="87" t="str">
        <f>_xlfn.CONCAT(C4,", ",C15,", ",C10,", ",C8)</f>
        <v>ATL (1), RI (1), OUC (1), EPG (1)</v>
      </c>
      <c r="C33" s="125" t="s">
        <v>1493</v>
      </c>
      <c r="D33" s="125">
        <v>40</v>
      </c>
    </row>
    <row r="34" spans="1:4">
      <c r="A34" s="125" t="s">
        <v>1494</v>
      </c>
      <c r="B34" s="87" t="str">
        <f>_xlfn.CONCAT(C4,", ",C15,", ",C10,", ",C8)</f>
        <v>ATL (1), RI (1), OUC (1), EPG (1)</v>
      </c>
      <c r="C34" s="125" t="s">
        <v>1493</v>
      </c>
      <c r="D34" s="125">
        <v>120</v>
      </c>
    </row>
    <row r="35" spans="1:4">
      <c r="A35" s="125" t="s">
        <v>635</v>
      </c>
      <c r="B35" s="87" t="str">
        <f>_xlfn.CONCAT(B26,", ",C19,", ",C14)</f>
        <v>ATL (1), ATM (5), RI (1), ParticipantsOpen (19), Sponsor (1)</v>
      </c>
      <c r="C35" s="125" t="s">
        <v>1495</v>
      </c>
      <c r="D35" s="125">
        <v>1</v>
      </c>
    </row>
    <row r="36" spans="1:4">
      <c r="A36" s="125" t="s">
        <v>759</v>
      </c>
      <c r="B36" s="87" t="str">
        <f>_xlfn.CONCAT(B26,", ",C9)</f>
        <v>ATL (1), ATM (5), RI (1), OT (1)</v>
      </c>
      <c r="C36" s="125" t="s">
        <v>616</v>
      </c>
      <c r="D36" s="125">
        <v>1</v>
      </c>
    </row>
    <row r="37" spans="1:4">
      <c r="A37" s="125" t="s">
        <v>1496</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1497</v>
      </c>
      <c r="B39" s="87" t="str">
        <f>_xlfn.CONCAT(B26,", ",C16)</f>
        <v>ATL (1), ATM (5), RI (1), ParticipantsPrelim1 (7)</v>
      </c>
      <c r="C39" s="125" t="s">
        <v>761</v>
      </c>
      <c r="D39" s="125">
        <v>1</v>
      </c>
    </row>
    <row r="40" spans="1:4">
      <c r="A40" s="125" t="s">
        <v>1498</v>
      </c>
      <c r="B40" s="87" t="str">
        <f>_xlfn.CONCAT(B26,", ",C17)</f>
        <v>ATL (1), ATM (5), RI (1), ParticipantsPrelim2 (5)</v>
      </c>
      <c r="C40" s="125" t="s">
        <v>761</v>
      </c>
      <c r="D40" s="125">
        <v>1</v>
      </c>
    </row>
    <row r="41" spans="1:4">
      <c r="A41" s="125" t="s">
        <v>1499</v>
      </c>
      <c r="B41" s="87" t="str">
        <f>B26</f>
        <v>ATL (1), ATM (5), RI (1)</v>
      </c>
      <c r="C41" s="125" t="s">
        <v>1500</v>
      </c>
      <c r="D41" s="125">
        <v>4</v>
      </c>
    </row>
    <row r="42" spans="1:4">
      <c r="A42" s="125" t="s">
        <v>1501</v>
      </c>
      <c r="B42" s="87" t="str">
        <f>B26</f>
        <v>ATL (1), ATM (5), RI (1)</v>
      </c>
      <c r="C42" s="125" t="s">
        <v>1500</v>
      </c>
      <c r="D42" s="125">
        <v>8</v>
      </c>
    </row>
    <row r="43" spans="1:4">
      <c r="A43" s="125" t="s">
        <v>1502</v>
      </c>
      <c r="B43" s="87" t="str">
        <f>_xlfn.CONCAT(B26,", ",C20,", ",C14)</f>
        <v>ATL (1), ATM (5), RI (1), ParticipantsFinal (15), Sponsor (1)</v>
      </c>
      <c r="C43" s="125" t="s">
        <v>1503</v>
      </c>
      <c r="D43" s="125">
        <v>4</v>
      </c>
    </row>
    <row r="44" spans="1:4">
      <c r="A44" s="125" t="s">
        <v>939</v>
      </c>
      <c r="B44" s="87" t="str">
        <f>B26</f>
        <v>ATL (1), ATM (5), RI (1)</v>
      </c>
      <c r="C44" s="125" t="s">
        <v>1504</v>
      </c>
      <c r="D44" s="125">
        <v>18</v>
      </c>
    </row>
    <row r="45" spans="1:4">
      <c r="A45" s="125" t="s">
        <v>1505</v>
      </c>
      <c r="B45" s="87" t="str">
        <f>_xlfn.CONCAT(B26,", ",C13)</f>
        <v>ATL (1), ATM (5), RI (1), SM (2)</v>
      </c>
      <c r="C45" s="125" t="s">
        <v>616</v>
      </c>
      <c r="D45" s="125">
        <v>1</v>
      </c>
    </row>
    <row r="46" spans="1:4">
      <c r="A46" s="125" t="s">
        <v>1506</v>
      </c>
      <c r="B46" s="87" t="str">
        <f>_xlfn.CONCAT(B26,", ",C14)</f>
        <v>ATL (1), ATM (5), RI (1), Sponsor (1)</v>
      </c>
      <c r="C46" s="125" t="s">
        <v>1484</v>
      </c>
      <c r="D46" s="125">
        <v>5</v>
      </c>
    </row>
    <row r="47" spans="1:4">
      <c r="A47" s="125" t="s">
        <v>1507</v>
      </c>
      <c r="B47" s="87" t="str">
        <f>_xlfn.CONCAT(B26,", ",C18)</f>
        <v>ATL (1), ATM (5), RI (1), ParticipantsTechTest (5)</v>
      </c>
      <c r="C47" s="125" t="s">
        <v>1507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1418</v>
      </c>
      <c r="B2" t="s">
        <v>1395</v>
      </c>
      <c r="C2">
        <v>1</v>
      </c>
      <c r="D2" t="s">
        <v>1660</v>
      </c>
      <c r="E2" t="s">
        <v>389</v>
      </c>
      <c r="H2" t="s">
        <v>1411</v>
      </c>
      <c r="I2" t="s">
        <v>389</v>
      </c>
      <c r="J2" t="s">
        <v>1684</v>
      </c>
      <c r="K2" t="s">
        <v>1644</v>
      </c>
      <c r="L2" t="s">
        <v>1645</v>
      </c>
      <c r="M2" t="s">
        <v>1627</v>
      </c>
      <c r="N2" t="s">
        <v>1628</v>
      </c>
      <c r="O2">
        <v>777</v>
      </c>
      <c r="P2" t="s">
        <v>81</v>
      </c>
    </row>
    <row r="3" spans="1:16">
      <c r="A3" t="s">
        <v>1419</v>
      </c>
      <c r="B3" t="s">
        <v>1395</v>
      </c>
      <c r="C3">
        <v>1</v>
      </c>
      <c r="D3" t="s">
        <v>1661</v>
      </c>
      <c r="E3" t="s">
        <v>389</v>
      </c>
      <c r="H3" t="s">
        <v>1411</v>
      </c>
      <c r="I3" t="s">
        <v>389</v>
      </c>
      <c r="J3" t="s">
        <v>1685</v>
      </c>
      <c r="K3" t="s">
        <v>1644</v>
      </c>
      <c r="L3" t="s">
        <v>1645</v>
      </c>
      <c r="M3" t="s">
        <v>1627</v>
      </c>
      <c r="N3" t="s">
        <v>1628</v>
      </c>
      <c r="O3">
        <v>777</v>
      </c>
      <c r="P3" t="s">
        <v>81</v>
      </c>
    </row>
    <row r="4" spans="1:16">
      <c r="A4" t="s">
        <v>1420</v>
      </c>
      <c r="B4" t="s">
        <v>1395</v>
      </c>
      <c r="C4">
        <v>1</v>
      </c>
      <c r="D4" t="s">
        <v>1662</v>
      </c>
      <c r="E4" t="s">
        <v>389</v>
      </c>
      <c r="H4" t="s">
        <v>1411</v>
      </c>
      <c r="I4" t="s">
        <v>389</v>
      </c>
      <c r="J4" t="s">
        <v>1686</v>
      </c>
      <c r="K4" t="s">
        <v>1644</v>
      </c>
      <c r="L4" t="s">
        <v>1645</v>
      </c>
      <c r="M4" t="s">
        <v>1627</v>
      </c>
      <c r="N4" t="s">
        <v>1628</v>
      </c>
      <c r="O4">
        <v>777</v>
      </c>
      <c r="P4" t="s">
        <v>81</v>
      </c>
    </row>
    <row r="5" spans="1:16">
      <c r="A5" t="s">
        <v>1421</v>
      </c>
      <c r="B5" t="s">
        <v>1395</v>
      </c>
      <c r="C5">
        <v>1</v>
      </c>
      <c r="D5" t="s">
        <v>1663</v>
      </c>
      <c r="E5" t="s">
        <v>389</v>
      </c>
      <c r="H5" t="s">
        <v>1411</v>
      </c>
      <c r="I5" t="s">
        <v>389</v>
      </c>
      <c r="J5" t="s">
        <v>1687</v>
      </c>
      <c r="K5" t="s">
        <v>1644</v>
      </c>
      <c r="L5" t="s">
        <v>1645</v>
      </c>
      <c r="M5" t="s">
        <v>1627</v>
      </c>
      <c r="N5" t="s">
        <v>1628</v>
      </c>
      <c r="O5">
        <v>777</v>
      </c>
      <c r="P5" t="s">
        <v>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tabSelected="1"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1653</v>
      </c>
      <c r="C2">
        <v>5</v>
      </c>
      <c r="D2" t="s">
        <v>1652</v>
      </c>
      <c r="E2" t="s">
        <v>389</v>
      </c>
      <c r="H2" t="s">
        <v>1411</v>
      </c>
      <c r="I2" t="s">
        <v>1398</v>
      </c>
      <c r="J2" t="s">
        <v>1161</v>
      </c>
      <c r="K2" s="335">
        <v>44021</v>
      </c>
      <c r="L2" s="335">
        <v>44201</v>
      </c>
      <c r="M2" t="s">
        <v>389</v>
      </c>
      <c r="N2" t="s">
        <v>1668</v>
      </c>
      <c r="O2" t="s">
        <v>1644</v>
      </c>
      <c r="P2" t="s">
        <v>1645</v>
      </c>
      <c r="Q2" t="s">
        <v>1627</v>
      </c>
      <c r="R2" t="s">
        <v>1628</v>
      </c>
      <c r="S2">
        <v>777</v>
      </c>
      <c r="T2" t="s">
        <v>81</v>
      </c>
    </row>
    <row r="3" spans="1:20" ht="78.5" customHeight="1">
      <c r="A3" t="s">
        <v>1654</v>
      </c>
      <c r="C3">
        <v>5</v>
      </c>
      <c r="D3" t="s">
        <v>1655</v>
      </c>
      <c r="E3" t="s">
        <v>389</v>
      </c>
      <c r="H3" t="s">
        <v>1411</v>
      </c>
      <c r="I3" t="s">
        <v>1398</v>
      </c>
      <c r="J3" t="s">
        <v>1161</v>
      </c>
      <c r="K3" s="335">
        <v>44086</v>
      </c>
      <c r="L3" s="335">
        <v>44199</v>
      </c>
      <c r="M3" t="s">
        <v>389</v>
      </c>
      <c r="N3" t="s">
        <v>1673</v>
      </c>
      <c r="O3" t="s">
        <v>1644</v>
      </c>
      <c r="P3" t="s">
        <v>1645</v>
      </c>
      <c r="Q3" t="s">
        <v>1627</v>
      </c>
      <c r="R3" t="s">
        <v>1628</v>
      </c>
      <c r="S3">
        <v>777</v>
      </c>
      <c r="T3" t="s">
        <v>81</v>
      </c>
    </row>
    <row r="4" spans="1:20" ht="78.5" customHeight="1">
      <c r="A4" t="s">
        <v>1656</v>
      </c>
      <c r="C4">
        <v>5</v>
      </c>
      <c r="D4" t="s">
        <v>1657</v>
      </c>
      <c r="E4" t="s">
        <v>389</v>
      </c>
      <c r="H4" t="s">
        <v>1411</v>
      </c>
      <c r="I4" t="s">
        <v>1398</v>
      </c>
      <c r="J4" t="s">
        <v>1161</v>
      </c>
      <c r="K4" s="335">
        <v>44062</v>
      </c>
      <c r="L4" s="335">
        <v>44216</v>
      </c>
      <c r="M4" t="s">
        <v>389</v>
      </c>
      <c r="N4" t="s">
        <v>1678</v>
      </c>
      <c r="O4" t="s">
        <v>1644</v>
      </c>
      <c r="P4" t="s">
        <v>1645</v>
      </c>
      <c r="Q4" t="s">
        <v>1627</v>
      </c>
      <c r="R4" t="s">
        <v>1628</v>
      </c>
      <c r="S4">
        <v>777</v>
      </c>
      <c r="T4" t="s">
        <v>81</v>
      </c>
    </row>
    <row r="5" spans="1:20" ht="78.5" customHeight="1">
      <c r="A5" t="s">
        <v>1658</v>
      </c>
      <c r="C5">
        <v>5</v>
      </c>
      <c r="D5" t="s">
        <v>1659</v>
      </c>
      <c r="E5" t="s">
        <v>389</v>
      </c>
      <c r="H5" t="s">
        <v>1411</v>
      </c>
      <c r="I5" t="s">
        <v>1398</v>
      </c>
      <c r="J5" t="s">
        <v>1161</v>
      </c>
      <c r="K5" s="335">
        <v>44116</v>
      </c>
      <c r="L5" s="335">
        <v>44206</v>
      </c>
      <c r="M5" t="s">
        <v>389</v>
      </c>
      <c r="N5" t="s">
        <v>1683</v>
      </c>
      <c r="O5" t="s">
        <v>1644</v>
      </c>
      <c r="P5" t="s">
        <v>1645</v>
      </c>
      <c r="Q5" t="s">
        <v>1627</v>
      </c>
      <c r="R5" t="s">
        <v>1628</v>
      </c>
      <c r="S5">
        <v>777</v>
      </c>
      <c r="T5" t="s">
        <v>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1668</v>
      </c>
      <c r="B2" t="s">
        <v>1453</v>
      </c>
      <c r="C2" t="s">
        <v>1411</v>
      </c>
    </row>
    <row r="3" spans="1:3">
      <c r="A3" t="s">
        <v>1669</v>
      </c>
      <c r="B3" t="s">
        <v>918</v>
      </c>
      <c r="C3" t="s">
        <v>1411</v>
      </c>
    </row>
    <row r="4" spans="1:3">
      <c r="A4" t="s">
        <v>1671</v>
      </c>
      <c r="B4" t="s">
        <v>1166</v>
      </c>
      <c r="C4" t="s">
        <v>1411</v>
      </c>
    </row>
    <row r="5" spans="1:3">
      <c r="A5" t="s">
        <v>1678</v>
      </c>
      <c r="B5" t="s">
        <v>1453</v>
      </c>
      <c r="C5" t="s">
        <v>1411</v>
      </c>
    </row>
    <row r="6" spans="1:3">
      <c r="A6" t="s">
        <v>1676</v>
      </c>
      <c r="B6" t="s">
        <v>1166</v>
      </c>
      <c r="C6" t="s">
        <v>1411</v>
      </c>
    </row>
    <row r="7" spans="1:3">
      <c r="A7" t="s">
        <v>1675</v>
      </c>
      <c r="B7" t="s">
        <v>919</v>
      </c>
      <c r="C7" t="s">
        <v>1411</v>
      </c>
    </row>
    <row r="8" spans="1:3">
      <c r="A8" t="s">
        <v>1683</v>
      </c>
      <c r="B8" t="s">
        <v>1453</v>
      </c>
      <c r="C8" t="s">
        <v>1411</v>
      </c>
    </row>
    <row r="9" spans="1:3">
      <c r="A9" t="s">
        <v>1684</v>
      </c>
      <c r="B9" t="s">
        <v>1452</v>
      </c>
      <c r="C9" t="s">
        <v>1411</v>
      </c>
    </row>
    <row r="10" spans="1:3">
      <c r="A10" t="s">
        <v>1685</v>
      </c>
      <c r="B10" t="s">
        <v>1454</v>
      </c>
      <c r="C10" t="s">
        <v>1411</v>
      </c>
    </row>
    <row r="11" spans="1:3">
      <c r="A11" t="s">
        <v>1686</v>
      </c>
      <c r="B11" t="s">
        <v>1451</v>
      </c>
      <c r="C11" t="s">
        <v>1411</v>
      </c>
    </row>
    <row r="12" spans="1:3">
      <c r="A12" t="s">
        <v>1687</v>
      </c>
      <c r="B12" t="s">
        <v>1281</v>
      </c>
      <c r="C12" t="s">
        <v>1411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1653</v>
      </c>
      <c r="C1" t="s">
        <v>1654</v>
      </c>
      <c r="D1" t="s">
        <v>1656</v>
      </c>
      <c r="E1" t="s">
        <v>1658</v>
      </c>
      <c r="F1" t="s">
        <v>1418</v>
      </c>
      <c r="G1" t="s">
        <v>1419</v>
      </c>
      <c r="H1" t="s">
        <v>1420</v>
      </c>
      <c r="I1" t="s">
        <v>1421</v>
      </c>
    </row>
    <row r="2" spans="1:9">
      <c r="A2" t="s">
        <v>1668</v>
      </c>
      <c r="B2" t="s">
        <v>1367</v>
      </c>
    </row>
    <row r="3" spans="1:9">
      <c r="A3" t="s">
        <v>1669</v>
      </c>
      <c r="C3" t="s">
        <v>1367</v>
      </c>
    </row>
    <row r="4" spans="1:9">
      <c r="A4" t="s">
        <v>1671</v>
      </c>
      <c r="C4" t="s">
        <v>1367</v>
      </c>
    </row>
    <row r="5" spans="1:9">
      <c r="A5" t="s">
        <v>1678</v>
      </c>
      <c r="D5" t="s">
        <v>1367</v>
      </c>
    </row>
    <row r="6" spans="1:9">
      <c r="A6" t="s">
        <v>1676</v>
      </c>
      <c r="D6" t="s">
        <v>1367</v>
      </c>
    </row>
    <row r="7" spans="1:9">
      <c r="A7" t="s">
        <v>1675</v>
      </c>
      <c r="D7" t="s">
        <v>1367</v>
      </c>
    </row>
    <row r="8" spans="1:9">
      <c r="A8" t="s">
        <v>1683</v>
      </c>
      <c r="E8" t="s">
        <v>1367</v>
      </c>
    </row>
    <row r="9" spans="1:9">
      <c r="A9" t="s">
        <v>1684</v>
      </c>
      <c r="F9" t="s">
        <v>1367</v>
      </c>
    </row>
    <row r="10" spans="1:9">
      <c r="A10" t="s">
        <v>1685</v>
      </c>
      <c r="G10" t="s">
        <v>1367</v>
      </c>
    </row>
    <row r="11" spans="1:9">
      <c r="A11" t="s">
        <v>1686</v>
      </c>
      <c r="H11" t="s">
        <v>1367</v>
      </c>
    </row>
    <row r="12" spans="1:9">
      <c r="A12" t="s">
        <v>1687</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1668</v>
      </c>
      <c r="E2" t="s">
        <v>1367</v>
      </c>
      <c r="H2" t="s">
        <v>1367</v>
      </c>
      <c r="I2" t="s">
        <v>1367</v>
      </c>
      <c r="J2" t="s">
        <v>1367</v>
      </c>
      <c r="K2" t="s">
        <v>1367</v>
      </c>
      <c r="M2" t="s">
        <v>1367</v>
      </c>
      <c r="N2" t="s">
        <v>1367</v>
      </c>
    </row>
    <row r="3" spans="1:20">
      <c r="A3" t="s">
        <v>1669</v>
      </c>
      <c r="B3" t="s">
        <v>1367</v>
      </c>
      <c r="E3" t="s">
        <v>1367</v>
      </c>
    </row>
    <row r="4" spans="1:20">
      <c r="A4" t="s">
        <v>1671</v>
      </c>
      <c r="D4" t="s">
        <v>1367</v>
      </c>
      <c r="E4" t="s">
        <v>1367</v>
      </c>
      <c r="F4" t="s">
        <v>1367</v>
      </c>
      <c r="G4" t="s">
        <v>1367</v>
      </c>
    </row>
    <row r="5" spans="1:20">
      <c r="A5" t="s">
        <v>1678</v>
      </c>
      <c r="E5" t="s">
        <v>1367</v>
      </c>
      <c r="H5" t="s">
        <v>1367</v>
      </c>
      <c r="I5" t="s">
        <v>1367</v>
      </c>
      <c r="J5" t="s">
        <v>1367</v>
      </c>
      <c r="K5" t="s">
        <v>1367</v>
      </c>
      <c r="M5" t="s">
        <v>1367</v>
      </c>
      <c r="N5" t="s">
        <v>1367</v>
      </c>
    </row>
    <row r="6" spans="1:20">
      <c r="A6" t="s">
        <v>1676</v>
      </c>
      <c r="D6" t="s">
        <v>1367</v>
      </c>
      <c r="E6" t="s">
        <v>1367</v>
      </c>
      <c r="F6" t="s">
        <v>1367</v>
      </c>
      <c r="G6" t="s">
        <v>1367</v>
      </c>
    </row>
    <row r="7" spans="1:20">
      <c r="A7" t="s">
        <v>1675</v>
      </c>
      <c r="E7" t="s">
        <v>1367</v>
      </c>
      <c r="F7" t="s">
        <v>1367</v>
      </c>
    </row>
    <row r="8" spans="1:20">
      <c r="A8" t="s">
        <v>1683</v>
      </c>
      <c r="E8" t="s">
        <v>1367</v>
      </c>
      <c r="H8" t="s">
        <v>1367</v>
      </c>
      <c r="I8" t="s">
        <v>1367</v>
      </c>
      <c r="J8" t="s">
        <v>1367</v>
      </c>
      <c r="K8" t="s">
        <v>1367</v>
      </c>
      <c r="M8" t="s">
        <v>1367</v>
      </c>
      <c r="N8" t="s">
        <v>1367</v>
      </c>
    </row>
    <row r="9" spans="1:20">
      <c r="A9" t="s">
        <v>1684</v>
      </c>
      <c r="O9" t="s">
        <v>1367</v>
      </c>
    </row>
    <row r="10" spans="1:20">
      <c r="A10" t="s">
        <v>1685</v>
      </c>
      <c r="M10" t="s">
        <v>1367</v>
      </c>
      <c r="N10" t="s">
        <v>1367</v>
      </c>
      <c r="P10" t="s">
        <v>1367</v>
      </c>
      <c r="Q10" t="s">
        <v>1367</v>
      </c>
      <c r="R10" t="s">
        <v>1367</v>
      </c>
    </row>
    <row r="11" spans="1:20">
      <c r="A11" t="s">
        <v>1686</v>
      </c>
      <c r="L11" t="s">
        <v>1367</v>
      </c>
    </row>
    <row r="12" spans="1:20">
      <c r="A12" t="s">
        <v>1687</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4" t="s">
        <v>1097</v>
      </c>
      <c r="C2" s="494" t="s">
        <v>1098</v>
      </c>
      <c r="D2" s="485" t="s">
        <v>1099</v>
      </c>
      <c r="E2" s="487"/>
      <c r="F2" s="488" t="s">
        <v>1100</v>
      </c>
      <c r="G2" s="490"/>
      <c r="H2" s="485" t="s">
        <v>1101</v>
      </c>
      <c r="I2" s="486"/>
      <c r="J2" s="486"/>
      <c r="K2" s="487"/>
      <c r="L2" s="488" t="s">
        <v>1102</v>
      </c>
      <c r="M2" s="489"/>
      <c r="N2" s="490"/>
      <c r="O2" s="212" t="s">
        <v>1103</v>
      </c>
      <c r="P2" s="213" t="s">
        <v>1104</v>
      </c>
      <c r="Q2" s="485" t="s">
        <v>1105</v>
      </c>
      <c r="R2" s="486"/>
      <c r="S2" s="487"/>
      <c r="T2" s="488" t="s">
        <v>1106</v>
      </c>
      <c r="U2" s="489"/>
      <c r="V2" s="490"/>
      <c r="W2" s="209" t="s">
        <v>1107</v>
      </c>
    </row>
    <row r="3" spans="2:28" ht="15.5">
      <c r="B3" s="495"/>
      <c r="C3" s="495"/>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1"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92"/>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92"/>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92"/>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93"/>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91"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92"/>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92"/>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92"/>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92"/>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92"/>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92"/>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92"/>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93"/>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1"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92"/>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92"/>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92"/>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92"/>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92"/>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92"/>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93"/>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1"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92"/>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92"/>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92"/>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92"/>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93"/>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1"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81"/>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81"/>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81"/>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84" t="s">
        <v>1097</v>
      </c>
      <c r="C50" s="484" t="s">
        <v>1098</v>
      </c>
      <c r="D50" s="482" t="s">
        <v>1099</v>
      </c>
      <c r="E50" s="482"/>
      <c r="F50" s="483" t="s">
        <v>1100</v>
      </c>
      <c r="G50" s="483"/>
      <c r="H50" s="482" t="s">
        <v>1101</v>
      </c>
      <c r="I50" s="482"/>
      <c r="J50" s="482"/>
      <c r="K50" s="482"/>
      <c r="L50" s="483" t="s">
        <v>1102</v>
      </c>
      <c r="M50" s="483"/>
      <c r="N50" s="483"/>
      <c r="O50" s="212" t="s">
        <v>1103</v>
      </c>
      <c r="P50" s="213" t="s">
        <v>1104</v>
      </c>
      <c r="Q50" s="482" t="s">
        <v>1105</v>
      </c>
      <c r="R50" s="482"/>
      <c r="S50" s="482"/>
      <c r="T50" s="483" t="s">
        <v>1106</v>
      </c>
      <c r="U50" s="483"/>
      <c r="V50" s="483"/>
      <c r="W50" s="209" t="s">
        <v>1107</v>
      </c>
    </row>
    <row r="51" spans="2:28" ht="15.5">
      <c r="B51" s="484"/>
      <c r="C51" s="484"/>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1"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81"/>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81"/>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81"/>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81"/>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81"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81"/>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81"/>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81"/>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81"/>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81"/>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81"/>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81"/>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81"/>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1"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81"/>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81"/>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81"/>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81"/>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81"/>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81"/>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81"/>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1"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81"/>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81"/>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81"/>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81"/>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81"/>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1"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81"/>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81"/>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81"/>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Company Long Name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Indigenous name</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26 February 2021 at</v>
      </c>
      <c r="E5" s="502"/>
      <c r="F5" s="502"/>
      <c r="G5" s="502"/>
      <c r="H5" s="502"/>
      <c r="I5" s="240"/>
      <c r="J5" s="240"/>
      <c r="K5" s="239"/>
    </row>
    <row r="6" spans="1:11">
      <c r="A6" s="239"/>
      <c r="B6" s="239"/>
      <c r="C6" s="239"/>
      <c r="E6" s="503" t="str">
        <f>Planning!B10</f>
        <v>Maturity Level 3</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4" t="s">
        <v>1057</v>
      </c>
      <c r="C30" s="504"/>
      <c r="D30" s="504"/>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1593</v>
      </c>
      <c r="B32" s="399" t="s">
        <v>383</v>
      </c>
    </row>
    <row r="33" spans="1:2" ht="32" customHeight="1">
      <c r="A33" s="408" t="s">
        <v>801</v>
      </c>
      <c r="B33" s="404" t="s">
        <v>1594</v>
      </c>
    </row>
    <row r="34" spans="1:2" ht="32" customHeight="1">
      <c r="A34" s="408" t="s">
        <v>1595</v>
      </c>
      <c r="B34" s="405" t="s">
        <v>1474</v>
      </c>
    </row>
    <row r="35" spans="1:2" ht="32" customHeight="1">
      <c r="A35" s="408" t="s">
        <v>802</v>
      </c>
      <c r="B35" s="405" t="s">
        <v>1471</v>
      </c>
    </row>
    <row r="36" spans="1:2" ht="32" customHeight="1">
      <c r="A36" s="408" t="s">
        <v>1596</v>
      </c>
      <c r="B36" s="405" t="s">
        <v>1472</v>
      </c>
    </row>
    <row r="37" spans="1:2" ht="32" customHeight="1">
      <c r="A37" s="408" t="s">
        <v>673</v>
      </c>
      <c r="B37" s="405" t="s">
        <v>1597</v>
      </c>
    </row>
    <row r="38" spans="1:2">
      <c r="A38" s="399" t="s">
        <v>1598</v>
      </c>
      <c r="B38" s="399" t="s">
        <v>383</v>
      </c>
    </row>
    <row r="39" spans="1:2" ht="35" customHeight="1">
      <c r="A39" s="408" t="s">
        <v>1599</v>
      </c>
      <c r="B39" s="405" t="s">
        <v>1600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7" t="str">
        <f>'P1PA-SS'!B76</f>
        <v>CMMI Development V2.0 (CMMI-DEV) without SAM</v>
      </c>
      <c r="B2" s="508"/>
      <c r="C2" s="508"/>
      <c r="E2" s="374" t="s">
        <v>1357</v>
      </c>
      <c r="F2" s="374">
        <f>VALUE(RIGHT(Planning!B10,1))</f>
        <v>3</v>
      </c>
      <c r="G2" s="362" t="s">
        <v>1358</v>
      </c>
      <c r="J2" s="507" t="str">
        <f>'P1PA-SS'!B76</f>
        <v>CMMI Development V2.0 (CMMI-DEV) without SAM</v>
      </c>
      <c r="K2" s="508"/>
      <c r="L2" s="508"/>
      <c r="M2" s="508"/>
      <c r="N2" s="508"/>
      <c r="O2" s="508"/>
    </row>
    <row r="3" spans="1:20" s="361" customFormat="1">
      <c r="A3" s="509" t="str">
        <f>'P1PA-SS'!B75</f>
        <v>Maturity Level 3</v>
      </c>
      <c r="B3" s="510"/>
      <c r="C3" s="510"/>
      <c r="D3" s="372"/>
      <c r="E3" s="372"/>
      <c r="F3" s="372"/>
      <c r="G3" s="377"/>
      <c r="H3" s="377"/>
      <c r="I3" s="377"/>
      <c r="J3" s="509" t="str">
        <f>'P1PA-SS'!B75</f>
        <v>Maturity Level 3</v>
      </c>
      <c r="K3" s="510"/>
      <c r="L3" s="510"/>
      <c r="M3" s="510"/>
      <c r="N3" s="510"/>
      <c r="O3" s="510"/>
      <c r="P3" s="377"/>
      <c r="Q3" s="377"/>
      <c r="R3" s="377"/>
      <c r="S3" s="377"/>
      <c r="T3" s="377"/>
    </row>
    <row r="4" spans="1:20">
      <c r="A4" s="378" t="s">
        <v>1573</v>
      </c>
      <c r="B4" s="378" t="s">
        <v>926</v>
      </c>
      <c r="C4" s="379" t="s">
        <v>1574</v>
      </c>
      <c r="F4" s="372" t="s">
        <v>1590</v>
      </c>
      <c r="J4" s="392" t="s">
        <v>926</v>
      </c>
      <c r="K4" s="393">
        <v>1</v>
      </c>
      <c r="L4" s="393">
        <v>2</v>
      </c>
      <c r="M4" s="393">
        <v>3</v>
      </c>
      <c r="N4" s="393">
        <v>4</v>
      </c>
      <c r="O4" s="393">
        <v>5</v>
      </c>
    </row>
    <row r="5" spans="1:20" ht="20.5" customHeight="1">
      <c r="A5" s="511" t="s">
        <v>1578</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1"/>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1"/>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1"/>
      <c r="B8" s="380" t="s">
        <v>1579</v>
      </c>
      <c r="C8" s="373">
        <f t="shared" si="0"/>
        <v>3</v>
      </c>
      <c r="F8" s="372">
        <v>3</v>
      </c>
      <c r="J8" s="394" t="s">
        <v>1579</v>
      </c>
      <c r="K8" s="395" t="str">
        <f t="shared" si="2"/>
        <v>x</v>
      </c>
      <c r="L8" s="395" t="str">
        <f t="shared" si="1"/>
        <v>x</v>
      </c>
      <c r="M8" s="395" t="str">
        <f t="shared" si="1"/>
        <v>x</v>
      </c>
      <c r="N8" s="395" t="str">
        <f t="shared" si="1"/>
        <v/>
      </c>
      <c r="O8" s="395" t="str">
        <f t="shared" si="1"/>
        <v/>
      </c>
    </row>
    <row r="9" spans="1:20" ht="20.5" customHeight="1">
      <c r="A9" s="512" t="s">
        <v>1581</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12"/>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1591</v>
      </c>
      <c r="B11" s="383" t="s">
        <v>1592</v>
      </c>
      <c r="C11" s="373">
        <f t="shared" si="0"/>
        <v>3</v>
      </c>
      <c r="F11" s="372">
        <v>4</v>
      </c>
      <c r="J11" s="394" t="s">
        <v>1592</v>
      </c>
      <c r="K11" s="395" t="str">
        <f t="shared" si="2"/>
        <v>x</v>
      </c>
      <c r="L11" s="395" t="str">
        <f t="shared" si="1"/>
        <v>x</v>
      </c>
      <c r="M11" s="395" t="str">
        <f t="shared" si="1"/>
        <v>x</v>
      </c>
      <c r="N11" s="395" t="str">
        <f t="shared" si="1"/>
        <v/>
      </c>
      <c r="O11" s="395" t="str">
        <f t="shared" si="1"/>
        <v/>
      </c>
    </row>
    <row r="12" spans="1:20" ht="20.5" customHeight="1">
      <c r="A12" s="513" t="s">
        <v>1589</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13"/>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13"/>
      <c r="B14" s="384" t="s">
        <v>1582</v>
      </c>
      <c r="C14" s="373">
        <f t="shared" si="0"/>
        <v>3</v>
      </c>
      <c r="F14" s="372">
        <v>3</v>
      </c>
      <c r="J14" s="394" t="s">
        <v>1582</v>
      </c>
      <c r="K14" s="395" t="str">
        <f t="shared" si="2"/>
        <v>x</v>
      </c>
      <c r="L14" s="395" t="str">
        <f t="shared" si="1"/>
        <v>x</v>
      </c>
      <c r="M14" s="395" t="str">
        <f t="shared" si="1"/>
        <v>x</v>
      </c>
      <c r="N14" s="395" t="str">
        <f t="shared" si="1"/>
        <v/>
      </c>
      <c r="O14" s="395" t="str">
        <f t="shared" si="1"/>
        <v/>
      </c>
    </row>
    <row r="15" spans="1:20" ht="20.5" customHeight="1">
      <c r="A15" s="385" t="s">
        <v>1588</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1587</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14" t="s">
        <v>1586</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14"/>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14"/>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05" t="s">
        <v>1585</v>
      </c>
      <c r="B20" s="390" t="s">
        <v>1584</v>
      </c>
      <c r="C20" s="373">
        <f t="shared" si="0"/>
        <v>3</v>
      </c>
      <c r="F20" s="372">
        <v>4</v>
      </c>
      <c r="J20" s="394" t="s">
        <v>1584</v>
      </c>
      <c r="K20" s="395" t="str">
        <f t="shared" si="2"/>
        <v>x</v>
      </c>
      <c r="L20" s="395" t="str">
        <f t="shared" si="1"/>
        <v>x</v>
      </c>
      <c r="M20" s="395" t="str">
        <f t="shared" si="1"/>
        <v>x</v>
      </c>
      <c r="N20" s="395" t="str">
        <f t="shared" si="1"/>
        <v/>
      </c>
      <c r="O20" s="395" t="str">
        <f t="shared" si="1"/>
        <v/>
      </c>
    </row>
    <row r="21" spans="1:15" ht="20.5" customHeight="1">
      <c r="A21" s="505"/>
      <c r="B21" s="390" t="s">
        <v>1583</v>
      </c>
      <c r="C21" s="373">
        <f t="shared" si="0"/>
        <v>3</v>
      </c>
      <c r="F21" s="372">
        <v>3</v>
      </c>
      <c r="J21" s="394" t="s">
        <v>1583</v>
      </c>
      <c r="K21" s="395" t="str">
        <f t="shared" si="2"/>
        <v>x</v>
      </c>
      <c r="L21" s="395" t="str">
        <f t="shared" si="2"/>
        <v>x</v>
      </c>
      <c r="M21" s="395" t="str">
        <f t="shared" si="2"/>
        <v>x</v>
      </c>
      <c r="N21" s="395" t="str">
        <f t="shared" si="2"/>
        <v/>
      </c>
      <c r="O21" s="395" t="str">
        <f t="shared" si="2"/>
        <v/>
      </c>
    </row>
    <row r="22" spans="1:15" ht="20.5" customHeight="1">
      <c r="A22" s="506" t="s">
        <v>1580</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06"/>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06"/>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number 1，Unit 1，Floor 1, Building #1, No. 1 First Street, Second District, Some city_x000D_
Some province, 777</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5" t="s">
        <v>1136</v>
      </c>
      <c r="B16" s="230" t="str">
        <f>'Project&amp;Support'!B7</f>
        <v>S1-CM</v>
      </c>
      <c r="C16" s="232">
        <f>'Project&amp;Support'!AB7</f>
        <v>1</v>
      </c>
      <c r="D16" s="230" t="str">
        <f>'Project&amp;Support'!C7</f>
        <v>The Configuration Management (CM) function, manages baselines for projects and the organisation.</v>
      </c>
      <c r="E16" s="519" t="str">
        <f>StartupInfo!B11</f>
        <v>Room number 1，Unit 1，Floor 1, Building #1, No. 1 First Street, Second District, Some city, Some province, 777,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1129</v>
      </c>
      <c r="C2" s="523"/>
      <c r="D2" s="523"/>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1128</v>
      </c>
      <c r="C18" s="523"/>
      <c r="D18" s="523"/>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36870D5BA085D4BA8D510C0E9D0950C" ma:contentTypeVersion="9" ma:contentTypeDescription="Create a new document." ma:contentTypeScope="" ma:versionID="97907cd6a7e2e032b10b27878b2f7051">
  <xsd:schema xmlns:xsd="http://www.w3.org/2001/XMLSchema" xmlns:xs="http://www.w3.org/2001/XMLSchema" xmlns:p="http://schemas.microsoft.com/office/2006/metadata/properties" xmlns:ns2="06700ca7-7d3d-4c84-92a6-6594be32cba8" targetNamespace="http://schemas.microsoft.com/office/2006/metadata/properties" ma:root="true" ma:fieldsID="9fddde32be37a43dbce1dd0c5e0d9e53" ns2:_="">
    <xsd:import namespace="06700ca7-7d3d-4c84-92a6-6594be32cba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700ca7-7d3d-4c84-92a6-6594be32c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9F711705-8B09-45D6-9711-C7F9026A1E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700ca7-7d3d-4c84-92a6-6594be32c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2021-02-06T12:54:56Z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0x010100636870D5BA085D4BA8D510C0E9D0950C</vt:lpwstr>
  </property>
</Properties>
</file>