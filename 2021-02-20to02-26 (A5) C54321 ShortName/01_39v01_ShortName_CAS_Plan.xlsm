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2-20to02-26 (A5) C54321 ShortName\"/>
    </mc:Choice>
  </mc:AlternateContent>
  <xr:revisionPtr revIDLastSave="0" documentId="13_ncr:1_{29E44D35-A926-43DB-A162-BE73A9EF7B72}" xr6:coauthVersionLast="46" xr6:coauthVersionMax="46" xr10:uidLastSave="{00000000-0000-0000-0000-000000000000}"/>
  <bookViews>
    <workbookView xWindow="-120" yWindow="-16320" windowWidth="29040" windowHeight="15840" tabRatio="881" activeTab="5"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CASPartDistinct" sheetId="63" state="hidden" r:id="rId24"/>
    <sheet name="CASPart_PA" sheetId="65" state="hidden" r:id="rId25"/>
    <sheet name="CASPart_PrjSup" sheetId="64" state="hidden" r:id="rId26"/>
    <sheet name="PvtPartDistinct" sheetId="60" r:id="rId27"/>
    <sheet name="PvtPart_PA" sheetId="42" r:id="rId28"/>
    <sheet name="PvtPart_PrjSup" sheetId="41" r:id="rId29"/>
    <sheet name="PvtPart_Session" sheetId="39" r:id="rId30"/>
    <sheet name="Schedule3" sheetId="43" state="hidden" r:id="rId31"/>
    <sheet name="ATM_PA" sheetId="44" r:id="rId32"/>
    <sheet name="Schedule4" sheetId="35" r:id="rId33"/>
    <sheet name="Schedule4Actual" sheetId="52" r:id="rId34"/>
    <sheet name="pptxCertificate" sheetId="46" r:id="rId35"/>
    <sheet name="pptxCover" sheetId="47" r:id="rId36"/>
    <sheet name="Standard" sheetId="40" r:id="rId37"/>
    <sheet name="Standard2" sheetId="50" r:id="rId38"/>
    <sheet name="Standard3" sheetId="51" r:id="rId39"/>
    <sheet name="OULC" sheetId="49" r:id="rId40"/>
    <sheet name="Tables" sheetId="4" r:id="rId41"/>
  </sheets>
  <externalReferences>
    <externalReference r:id="rId42"/>
    <externalReference r:id="rId43"/>
    <externalReference r:id="rId44"/>
  </externalReferences>
  <definedNames>
    <definedName name="_xlnm._FilterDatabase" localSheetId="8" hidden="1">Staff!$A$2:$Y$51</definedName>
    <definedName name="_xlnm._FilterDatabase" localSheetId="9" hidden="1">StaffGuide!$A$2:$Y$2</definedName>
    <definedName name="_xlnm._FilterDatabase" localSheetId="38" hidden="1">Standard3!$B$1:$D$16</definedName>
    <definedName name="_xlnm.Print_Area" localSheetId="31">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32">Schedule4!$A$1:$G$110</definedName>
    <definedName name="_xlnm.Print_Area" localSheetId="33">Schedule4Actual!$A$1:$G$110</definedName>
    <definedName name="_xlnm.Print_Area" localSheetId="8">Staff!$A$2:$Y$52</definedName>
    <definedName name="_xlnm.Print_Area" localSheetId="9">StaffGuide!$A$2:$Y$2</definedName>
    <definedName name="_xlnm.Print_Area" localSheetId="38">Standard3!$B$1:$D$16</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46" r:id="rId45"/>
    <pivotCache cacheId="47" r:id="rId46"/>
    <pivotCache cacheId="48" r:id="rId47"/>
    <pivotCache cacheId="49" r:id="rId48"/>
    <pivotCache cacheId="50" r:id="rId49"/>
    <pivotCache cacheId="51" r:id="rId5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9" l="1"/>
  <c r="B68" i="50"/>
  <c r="C68" i="50"/>
  <c r="D68" i="50"/>
  <c r="B69" i="50"/>
  <c r="C69" i="50"/>
  <c r="D69" i="50"/>
  <c r="T89" i="40"/>
  <c r="Q76" i="40"/>
  <c r="R76" i="40"/>
  <c r="S76" i="40"/>
  <c r="T76" i="40"/>
  <c r="Q77" i="40"/>
  <c r="R77" i="40"/>
  <c r="S77" i="40"/>
  <c r="T77" i="40"/>
  <c r="Q78" i="40"/>
  <c r="R78" i="40"/>
  <c r="S78" i="40"/>
  <c r="T78" i="40"/>
  <c r="Q79" i="40"/>
  <c r="R79" i="40"/>
  <c r="S79" i="40"/>
  <c r="T79" i="40"/>
  <c r="Q80" i="40"/>
  <c r="R80" i="40"/>
  <c r="S80" i="40"/>
  <c r="T80" i="40"/>
  <c r="Q81" i="40"/>
  <c r="R81" i="40"/>
  <c r="S81" i="40"/>
  <c r="T81" i="40"/>
  <c r="Q82" i="40"/>
  <c r="R82" i="40"/>
  <c r="S82" i="40"/>
  <c r="T82" i="40"/>
  <c r="Q83" i="40"/>
  <c r="R83" i="40"/>
  <c r="S83" i="40"/>
  <c r="T83" i="40"/>
  <c r="Q84" i="40"/>
  <c r="R84" i="40"/>
  <c r="S84" i="40"/>
  <c r="T84" i="40"/>
  <c r="Q85" i="40"/>
  <c r="R85" i="40"/>
  <c r="S85" i="40"/>
  <c r="T85" i="40"/>
  <c r="Q86" i="40"/>
  <c r="R86" i="40"/>
  <c r="S86" i="40"/>
  <c r="T86" i="40"/>
  <c r="Q87" i="40"/>
  <c r="R87" i="40"/>
  <c r="S87" i="40"/>
  <c r="T87" i="40"/>
  <c r="R75" i="40"/>
  <c r="S75" i="40"/>
  <c r="T75" i="40"/>
  <c r="C13" i="50"/>
  <c r="C12" i="50"/>
  <c r="B33" i="40"/>
  <c r="B34" i="40"/>
  <c r="C32" i="47"/>
  <c r="Y1" i="27"/>
  <c r="X1" i="27"/>
  <c r="W1" i="27"/>
  <c r="V1" i="27"/>
  <c r="U1" i="27"/>
  <c r="T1" i="27"/>
  <c r="S1" i="27"/>
  <c r="R1" i="27"/>
  <c r="Q1" i="27"/>
  <c r="P1" i="27"/>
  <c r="O1" i="27"/>
  <c r="N1" i="27"/>
  <c r="M1" i="27"/>
  <c r="L1" i="27"/>
  <c r="K1" i="27"/>
  <c r="J1" i="27"/>
  <c r="I1" i="27"/>
  <c r="H1" i="27"/>
  <c r="G1" i="27"/>
  <c r="F1" i="27"/>
  <c r="B23" i="19"/>
  <c r="B62" i="50" l="1"/>
  <c r="C62" i="50"/>
  <c r="D62" i="50"/>
  <c r="B63" i="50"/>
  <c r="C63" i="50"/>
  <c r="D63" i="50"/>
  <c r="B64" i="50"/>
  <c r="C64" i="50"/>
  <c r="D64" i="50"/>
  <c r="B65" i="50"/>
  <c r="C65" i="50"/>
  <c r="D65" i="50"/>
  <c r="B66" i="50"/>
  <c r="C66" i="50"/>
  <c r="D66" i="50"/>
  <c r="B67" i="50"/>
  <c r="C67" i="50"/>
  <c r="D67" i="50"/>
  <c r="C6" i="50"/>
  <c r="C7" i="50"/>
  <c r="C8" i="50"/>
  <c r="C9" i="50"/>
  <c r="C10" i="50"/>
  <c r="C11" i="50"/>
  <c r="B124" i="40" l="1"/>
  <c r="B122" i="40"/>
  <c r="B121" i="40"/>
  <c r="B119" i="40"/>
  <c r="B118" i="40"/>
  <c r="B116" i="40"/>
  <c r="B115" i="40"/>
  <c r="B11" i="51"/>
  <c r="B12" i="51"/>
  <c r="B13" i="51"/>
  <c r="B10" i="51"/>
  <c r="B3" i="51"/>
  <c r="B4" i="51"/>
  <c r="B5" i="51"/>
  <c r="B6" i="51"/>
  <c r="B7" i="51"/>
  <c r="B2" i="51"/>
  <c r="D11" i="51"/>
  <c r="D12" i="51"/>
  <c r="D13" i="51"/>
  <c r="D10" i="51"/>
  <c r="D3" i="51"/>
  <c r="D4" i="51"/>
  <c r="D5" i="51"/>
  <c r="D6" i="51"/>
  <c r="D7" i="51"/>
  <c r="D2" i="51"/>
  <c r="C11" i="51"/>
  <c r="C12" i="51"/>
  <c r="C13" i="51"/>
  <c r="C10" i="51"/>
  <c r="C3" i="51"/>
  <c r="C4" i="51"/>
  <c r="C5" i="51"/>
  <c r="C6" i="51"/>
  <c r="C7" i="51"/>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D92" i="40"/>
  <c r="E92" i="40"/>
  <c r="F92" i="40"/>
  <c r="G92" i="40"/>
  <c r="H92" i="40"/>
  <c r="I92" i="40"/>
  <c r="J92" i="40"/>
  <c r="K92" i="40"/>
  <c r="L92" i="40"/>
  <c r="M92" i="40"/>
  <c r="N92" i="40"/>
  <c r="O92" i="40"/>
  <c r="P92" i="40"/>
  <c r="Q92" i="40"/>
  <c r="R92" i="40"/>
  <c r="S92" i="40"/>
  <c r="D93" i="40"/>
  <c r="E93" i="40"/>
  <c r="F93" i="40"/>
  <c r="G93" i="40"/>
  <c r="H93" i="40"/>
  <c r="I93" i="40"/>
  <c r="J93" i="40"/>
  <c r="K93" i="40"/>
  <c r="L93" i="40"/>
  <c r="M93" i="40"/>
  <c r="N93" i="40"/>
  <c r="O93" i="40"/>
  <c r="P93" i="40"/>
  <c r="Q93" i="40"/>
  <c r="R93" i="40"/>
  <c r="S93" i="40"/>
  <c r="C91" i="40"/>
  <c r="C92" i="40"/>
  <c r="C93" i="40"/>
  <c r="C94" i="40"/>
  <c r="C90" i="40"/>
  <c r="B91" i="40"/>
  <c r="B92" i="40"/>
  <c r="B93" i="40"/>
  <c r="B94" i="40"/>
  <c r="B90" i="40"/>
  <c r="B75" i="40"/>
  <c r="D89" i="40"/>
  <c r="E89" i="40"/>
  <c r="F89" i="40"/>
  <c r="G89" i="40"/>
  <c r="H89" i="40"/>
  <c r="I89" i="40"/>
  <c r="J89" i="40"/>
  <c r="K89" i="40"/>
  <c r="L89" i="40"/>
  <c r="M89" i="40"/>
  <c r="N89" i="40"/>
  <c r="O89" i="40"/>
  <c r="P89" i="40"/>
  <c r="Q89" i="40"/>
  <c r="R89" i="40"/>
  <c r="S89" i="40"/>
  <c r="C89" i="40"/>
  <c r="B89" i="40"/>
  <c r="B79" i="40"/>
  <c r="G76" i="40"/>
  <c r="G77" i="40"/>
  <c r="G78" i="40"/>
  <c r="G79" i="40"/>
  <c r="G80" i="40"/>
  <c r="F76" i="40"/>
  <c r="F77" i="40"/>
  <c r="F78" i="40"/>
  <c r="F79" i="40"/>
  <c r="F80" i="40"/>
  <c r="E76" i="40"/>
  <c r="E77" i="40"/>
  <c r="E78" i="40"/>
  <c r="E79" i="40"/>
  <c r="E80" i="40"/>
  <c r="D76" i="40"/>
  <c r="D77" i="40"/>
  <c r="D78" i="40"/>
  <c r="D79" i="40"/>
  <c r="D80" i="40"/>
  <c r="C76" i="40"/>
  <c r="C77" i="40"/>
  <c r="C78" i="40"/>
  <c r="C79" i="40"/>
  <c r="C80" i="40"/>
  <c r="H79" i="40"/>
  <c r="I79" i="40"/>
  <c r="J79" i="40"/>
  <c r="K79" i="40"/>
  <c r="L79" i="40"/>
  <c r="M79" i="40"/>
  <c r="N79" i="40"/>
  <c r="O79" i="40"/>
  <c r="P79" i="40"/>
  <c r="H80" i="40"/>
  <c r="I80" i="40"/>
  <c r="J80" i="40"/>
  <c r="K80" i="40"/>
  <c r="L80" i="40"/>
  <c r="M80" i="40"/>
  <c r="N80" i="40"/>
  <c r="O80" i="40"/>
  <c r="P80" i="40"/>
  <c r="B27" i="40" l="1"/>
  <c r="B28" i="40"/>
  <c r="B29" i="40"/>
  <c r="B30" i="40"/>
  <c r="B31" i="40"/>
  <c r="B32" i="40"/>
  <c r="B35"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4" i="32"/>
  <c r="I11" i="32"/>
  <c r="I15" i="32"/>
  <c r="I6" i="32"/>
  <c r="I7" i="32"/>
  <c r="I8" i="32"/>
  <c r="I20" i="32"/>
  <c r="K20" i="32" s="1"/>
  <c r="L20" i="32" s="1"/>
  <c r="M20" i="32" s="1"/>
  <c r="I21" i="32"/>
  <c r="I22" i="32"/>
  <c r="I23" i="32"/>
  <c r="I24" i="32"/>
  <c r="I25" i="32"/>
  <c r="I26" i="32"/>
  <c r="K26" i="32" s="1"/>
  <c r="L26" i="32" s="1"/>
  <c r="M26" i="32" s="1"/>
  <c r="I27" i="32"/>
  <c r="K27" i="32" s="1"/>
  <c r="L27" i="32" s="1"/>
  <c r="M27" i="32" s="1"/>
  <c r="I3" i="32"/>
  <c r="I10" i="32"/>
  <c r="I2" i="32"/>
  <c r="K15" i="32" l="1"/>
  <c r="L15" i="32" s="1"/>
  <c r="M15" i="32" s="1"/>
  <c r="K2" i="32"/>
  <c r="L2" i="32" s="1"/>
  <c r="M2" i="32" s="1"/>
  <c r="K21" i="32"/>
  <c r="L21" i="32" s="1"/>
  <c r="M21" i="32" s="1"/>
  <c r="B18" i="15" l="1"/>
  <c r="B7" i="24" l="1"/>
  <c r="B8" i="24"/>
  <c r="B21" i="15" s="1"/>
  <c r="B4" i="24"/>
  <c r="I85" i="15" l="1"/>
  <c r="C2" i="51" l="1"/>
  <c r="H76" i="40"/>
  <c r="I76" i="40"/>
  <c r="J76" i="40"/>
  <c r="K76" i="40"/>
  <c r="L76" i="40"/>
  <c r="M76" i="40"/>
  <c r="N76" i="40"/>
  <c r="O76" i="40"/>
  <c r="P76" i="40"/>
  <c r="H77" i="40"/>
  <c r="I77" i="40"/>
  <c r="J77" i="40"/>
  <c r="K77" i="40"/>
  <c r="L77" i="40"/>
  <c r="M77" i="40"/>
  <c r="N77" i="40"/>
  <c r="O77" i="40"/>
  <c r="P77" i="40"/>
  <c r="H78" i="40"/>
  <c r="I78" i="40"/>
  <c r="J78" i="40"/>
  <c r="K78" i="40"/>
  <c r="L78" i="40"/>
  <c r="M78" i="40"/>
  <c r="N78" i="40"/>
  <c r="O78" i="40"/>
  <c r="P78" i="40"/>
  <c r="D75" i="40"/>
  <c r="E75" i="40"/>
  <c r="F75" i="40"/>
  <c r="G75" i="40"/>
  <c r="H75" i="40"/>
  <c r="I75" i="40"/>
  <c r="J75" i="40"/>
  <c r="K75" i="40"/>
  <c r="L75" i="40"/>
  <c r="M75" i="40"/>
  <c r="N75" i="40"/>
  <c r="O75" i="40"/>
  <c r="P75" i="40"/>
  <c r="Q75" i="40"/>
  <c r="C75" i="40"/>
  <c r="B41" i="19" l="1"/>
  <c r="B6" i="15"/>
  <c r="A15" i="52" l="1"/>
  <c r="I13" i="52"/>
  <c r="L12" i="52"/>
  <c r="I12" i="52"/>
  <c r="L11" i="52"/>
  <c r="M11" i="52" s="1"/>
  <c r="J11" i="52" l="1"/>
  <c r="C53" i="50" l="1"/>
  <c r="D52" i="50"/>
  <c r="B52" i="50"/>
  <c r="C60" i="50" l="1"/>
  <c r="C61" i="50"/>
  <c r="D61" i="50"/>
  <c r="B61" i="50"/>
  <c r="D59" i="50"/>
  <c r="C59" i="50"/>
  <c r="E2" i="51" l="1"/>
  <c r="A2" i="51"/>
  <c r="C3" i="50" l="1"/>
  <c r="C4" i="50"/>
  <c r="B59"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8" i="47" l="1"/>
  <c r="B12" i="47"/>
  <c r="B32" i="47" s="1"/>
  <c r="B11" i="47"/>
  <c r="B10" i="47"/>
  <c r="B7" i="47"/>
  <c r="G13" i="46"/>
  <c r="G12" i="46"/>
  <c r="G11" i="46"/>
  <c r="G9" i="46"/>
  <c r="E6" i="46"/>
  <c r="B28" i="47" l="1"/>
  <c r="B132" i="40" l="1"/>
  <c r="B131" i="40"/>
  <c r="B127" i="40" l="1"/>
  <c r="B126" i="40"/>
  <c r="B103" i="40"/>
  <c r="B104" i="40"/>
  <c r="B105" i="40"/>
  <c r="B106" i="40"/>
  <c r="B107" i="40"/>
  <c r="B108" i="40"/>
  <c r="B109" i="40"/>
  <c r="B97" i="40"/>
  <c r="B102" i="40"/>
  <c r="D94" i="40"/>
  <c r="E94" i="40"/>
  <c r="F94" i="40"/>
  <c r="G94" i="40"/>
  <c r="H94" i="40"/>
  <c r="I94" i="40"/>
  <c r="J94" i="40"/>
  <c r="K94" i="40"/>
  <c r="L94" i="40"/>
  <c r="M94" i="40"/>
  <c r="N94" i="40"/>
  <c r="O94" i="40"/>
  <c r="P94" i="40"/>
  <c r="Q94" i="40"/>
  <c r="R94" i="40"/>
  <c r="S94" i="40"/>
  <c r="B76" i="40"/>
  <c r="B77" i="40"/>
  <c r="B78" i="40"/>
  <c r="B80" i="40"/>
  <c r="B81" i="40"/>
  <c r="B82" i="40"/>
  <c r="B83" i="40"/>
  <c r="B84" i="40"/>
  <c r="B85" i="40"/>
  <c r="B86" i="40"/>
  <c r="O74" i="40"/>
  <c r="P74" i="40"/>
  <c r="Q74" i="40"/>
  <c r="R74" i="40"/>
  <c r="S74" i="40"/>
  <c r="T74" i="40"/>
  <c r="D74" i="40"/>
  <c r="E74" i="40"/>
  <c r="F74" i="40"/>
  <c r="G74" i="40"/>
  <c r="H74" i="40"/>
  <c r="I74" i="40"/>
  <c r="J74" i="40"/>
  <c r="K74" i="40"/>
  <c r="L74" i="40"/>
  <c r="M74" i="40"/>
  <c r="N74" i="40"/>
  <c r="C74" i="40"/>
  <c r="B74" i="40"/>
  <c r="B101" i="40" s="1"/>
  <c r="B71" i="40"/>
  <c r="B72" i="40"/>
  <c r="B98" i="40" s="1"/>
  <c r="B70" i="40"/>
  <c r="B68" i="40"/>
  <c r="B66" i="40"/>
  <c r="B67" i="40"/>
  <c r="B65"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3" i="50" s="1"/>
  <c r="D85" i="15"/>
  <c r="B30" i="19"/>
  <c r="I4" i="52" s="1"/>
  <c r="D87" i="15" l="1"/>
  <c r="D60" i="50" s="1"/>
  <c r="I5" i="52"/>
  <c r="C16" i="52"/>
  <c r="B19" i="47"/>
  <c r="B133"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0" i="51" l="1"/>
  <c r="B99" i="40"/>
  <c r="B112" i="40" s="1"/>
  <c r="B21" i="47"/>
  <c r="G23" i="47" s="1"/>
  <c r="B32" i="19"/>
  <c r="B36" i="19" s="1"/>
  <c r="B6" i="19" s="1"/>
  <c r="B2" i="44"/>
  <c r="B53" i="50"/>
  <c r="B5" i="47"/>
  <c r="B40" i="40"/>
  <c r="D5" i="46"/>
  <c r="B6" i="47"/>
  <c r="B41"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60" i="50"/>
  <c r="B36" i="40"/>
  <c r="B69" i="15"/>
  <c r="B37" i="19"/>
  <c r="B70" i="15" s="1"/>
  <c r="D26" i="47" s="1"/>
  <c r="D27" i="47" s="1"/>
  <c r="D28" i="47" s="1"/>
  <c r="G26"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<sst xmlns="http://schemas.openxmlformats.org/spreadsheetml/2006/main" count="4800" uniqueCount="1560">
  <si>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</si>
  <si>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</si>
  <si>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</si>
  <si>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</si>
  <si>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</si>
  <si>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</si>
  <si>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</si>
  <si>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</si>
  <si>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</si>
  <si>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</si>
  <si>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</si>
  <si>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</si>
  <si>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</si>
  <si>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</si>
  <si>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</si>
  <si>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</si>
  <si>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</si>
  <si>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</si>
  <si>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</si>
  <si>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</si>
  <si>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</si>
  <si>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</si>
  <si>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</si>
  <si>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</si>
  <si>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</si>
  <si>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</si>
  <si>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</si>
  <si>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</si>
  <si>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</si>
  <si>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</si>
  <si>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</si>
  <si>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</si>
  <si>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</si>
  <si>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</si>
  <si>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</si>
  <si>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</si>
  <si>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</si>
  <si>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</si>
  <si>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</si>
  <si>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</si>
  <si>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</si>
  <si>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</si>
  <si>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</si>
  <si>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</si>
  <si>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</si>
  <si>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</si>
  <si>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</si>
  <si>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</si>
  <si>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</si>
  <si>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</si>
  <si>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</si>
  <si>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</si>
  <si>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</si>
  <si>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</si>
  <si>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</si>
  <si>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</si>
  <si>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</si>
  <si>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</si>
  <si>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</si>
  <si>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</si>
  <si>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</si>
  <si>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</si>
  <si>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</si>
  <si>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</si>
  <si>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</si>
  <si>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</si>
  <si>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</si>
  <si>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</si>
  <si>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</si>
  <si>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</si>
  <si>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</si>
  <si>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</si>
  <si>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</si>
  <si>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</si>
  <si>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</si>
  <si>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</si>
  <si>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</si>
  <si>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</si>
  <si>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</si>
  <si>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</si>
  <si>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</si>
  <si>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</si>
  <si>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</si>
  <si>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</si>
  <si>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</si>
  <si>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</si>
  <si>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</si>
  <si>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</si>
  <si>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</si>
  <si>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</si>
  <si>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</si>
  <si>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</si>
  <si>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</si>
  <si>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</si>
  <si>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</si>
  <si>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</si>
  <si>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</si>
  <si>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</si>
  <si>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</si>
  <si>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</si>
  <si>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</si>
  <si>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</si>
  <si>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</si>
  <si>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</si>
  <si>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</si>
  <si>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</si>
  <si>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</si>
  <si>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</si>
  <si>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</si>
  <si>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</si>
  <si>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</si>
  <si>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</si>
  <si>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</si>
  <si>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</si>
  <si>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</si>
  <si>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</si>
  <si>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</si>
  <si>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</si>
  <si>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</si>
  <si>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</si>
  <si>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</si>
  <si>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</si>
  <si>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</si>
  <si>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</si>
  <si>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</si>
  <si>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</si>
  <si>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</si>
  <si>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</si>
  <si>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</si>
  <si>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</si>
  <si>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</si>
  <si>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</si>
  <si>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</si>
  <si>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</si>
  <si>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</si>
  <si>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</si>
  <si>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</si>
  <si>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</si>
  <si>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</si>
  <si>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</si>
  <si>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</si>
  <si>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</si>
  <si>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</si>
  <si>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</si>
  <si>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</si>
  <si>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</si>
  <si>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</si>
  <si>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</si>
  <si>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</si>
  <si>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</si>
  <si>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</si>
  <si>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</si>
  <si>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</si>
  <si>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</si>
  <si>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</si>
  <si>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</si>
  <si>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</si>
  <si>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</si>
  <si>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</si>
  <si>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</si>
  <si>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</si>
  <si>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</si>
  <si>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</si>
  <si>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</si>
  <si>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</si>
  <si>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</si>
  <si>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</si>
  <si>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</si>
  <si>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</si>
  <si>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</si>
  <si>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</si>
  <si>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</si>
  <si>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</si>
  <si>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</si>
  <si>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</si>
  <si>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</si>
  <si>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</si>
  <si>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</si>
  <si>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</si>
  <si>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</si>
  <si>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</si>
  <si>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</si>
  <si>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</si>
  <si>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</si>
  <si>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</si>
  <si>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</si>
  <si>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</si>
  <si>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</si>
  <si>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</si>
  <si>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</si>
  <si>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</si>
  <si>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</si>
  <si>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</si>
  <si>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</si>
  <si>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</si>
  <si>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</si>
  <si>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</si>
  <si>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</si>
  <si>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</si>
  <si>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</si>
  <si>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</si>
  <si>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</si>
  <si>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</si>
  <si>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</si>
  <si>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</si>
  <si>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</si>
  <si>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</si>
  <si>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</si>
  <si>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</si>
  <si>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</si>
  <si>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</si>
  <si>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</si>
  <si>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</si>
  <si>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</si>
  <si>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</si>
  <si>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</si>
  <si>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</si>
  <si>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</si>
  <si>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</si>
  <si>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</si>
  <si>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</si>
  <si>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</si>
  <si>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</si>
  <si>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</si>
  <si>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</si>
  <si>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</si>
  <si>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</si>
  <si>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</si>
  <si>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</si>
  <si>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</si>
  <si>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</si>
  <si>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</si>
  <si>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</si>
  <si>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</si>
  <si>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</si>
  <si>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</si>
  <si>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</si>
  <si>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</si>
  <si>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</si>
  <si>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</si>
  <si>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</si>
  <si>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</si>
  <si>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</si>
  <si>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</si>
  <si>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</si>
  <si>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</si>
  <si>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</si>
  <si>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</si>
  <si>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</si>
  <si>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</si>
  <si>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</si>
  <si>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</si>
  <si>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</si>
  <si>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</si>
  <si>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</si>
  <si>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</si>
  <si>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</si>
  <si>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</si>
  <si>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</si>
  <si>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</si>
  <si>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</si>
  <si>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</si>
  <si>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</si>
  <si>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</si>
  <si>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</si>
  <si>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</si>
  <si>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</si>
  <si>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</si>
  <si>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</si>
  <si>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</si>
  <si>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</si>
  <si>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</si>
  <si>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</si>
  <si>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</si>
  <si>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</si>
  <si>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</si>
  <si>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</si>
  <si>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</si>
  <si>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</si>
  <si>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</si>
  <si>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</si>
  <si>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</si>
  <si>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</si>
  <si>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</si>
  <si>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</si>
  <si>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</si>
  <si>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</si>
  <si>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</si>
  <si>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</si>
  <si>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</si>
  <si>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</si>
  <si>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</si>
  <si>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</si>
  <si>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</si>
  <si>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</si>
  <si>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</si>
  <si>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</si>
  <si>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</si>
  <si>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</si>
  <si>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</si>
  <si>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</si>
  <si>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</si>
  <si>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</si>
  <si>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</si>
  <si>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</si>
  <si>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</si>
  <si>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</si>
  <si>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</si>
  <si>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</si>
  <si>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</si>
  <si>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</si>
  <si>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</si>
  <si>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</si>
  <si>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</si>
  <si>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</si>
  <si>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</si>
  <si>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</si>
  <si>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</si>
  <si>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</si>
  <si>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</si>
  <si>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</si>
  <si>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</si>
  <si>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</si>
  <si>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</si>
  <si>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</si>
  <si>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</si>
  <si>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</si>
  <si>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</si>
  <si>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</si>
  <si>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</si>
  <si>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</si>
  <si>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</si>
  <si>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</si>
  <si>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</si>
  <si>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</si>
  <si>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</si>
  <si>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</si>
  <si>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</si>
  <si>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</si>
  <si>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</si>
  <si>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</si>
  <si>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</si>
  <si>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</si>
  <si>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</si>
  <si>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</si>
  <si>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</si>
  <si>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</si>
  <si>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</si>
  <si>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</si>
  <si>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</si>
  <si>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</si>
  <si>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</si>
  <si>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</si>
  <si>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</si>
  <si>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</si>
  <si>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</si>
  <si>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</si>
  <si>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</si>
  <si>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</si>
  <si>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</si>
  <si>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</si>
  <si>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</si>
  <si>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</si>
  <si>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</si>
  <si>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</si>
  <si>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</si>
  <si>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</si>
  <si>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</si>
  <si>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</si>
  <si>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</si>
  <si>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</si>
  <si>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</si>
  <si>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</si>
  <si>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</si>
  <si>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</si>
  <si>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</si>
  <si>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</si>
  <si>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</si>
  <si>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</si>
  <si>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</si>
  <si>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</si>
  <si>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</si>
  <si>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</si>
  <si>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</si>
  <si>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</si>
  <si>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</si>
  <si>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</si>
  <si>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</si>
  <si>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</si>
  <si>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</si>
  <si>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</si>
  <si>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</si>
  <si>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</si>
  <si>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</si>
  <si>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</si>
  <si>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</si>
  <si>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</si>
  <si>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</si>
  <si>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</si>
  <si>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</si>
  <si>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</si>
  <si>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</si>
  <si>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</si>
  <si>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</si>
  <si>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</si>
  <si>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</si>
  <si>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</si>
  <si>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</si>
  <si>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</si>
  <si>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</si>
  <si>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</si>
  <si>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</si>
  <si>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</si>
  <si>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</si>
  <si>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</si>
  <si>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</si>
  <si>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</si>
  <si>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</si>
  <si>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</si>
  <si>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</si>
  <si>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</si>
  <si>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</si>
  <si>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</si>
  <si>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</si>
  <si>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</si>
  <si>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</si>
  <si>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</si>
  <si>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</si>
  <si>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</si>
  <si>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</si>
  <si>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</si>
  <si>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</si>
  <si>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</si>
  <si>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</si>
  <si>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</si>
  <si>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</si>
  <si>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</si>
  <si>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</si>
  <si>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</si>
  <si>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</si>
  <si>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</si>
  <si>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</si>
  <si>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</si>
  <si>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</si>
  <si>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</si>
  <si>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</si>
  <si>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</si>
  <si>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</si>
  <si>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</si>
  <si>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</si>
  <si>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</si>
  <si>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</si>
  <si>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</si>
  <si>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</si>
  <si>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</si>
  <si>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</si>
  <si>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</si>
  <si>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</si>
  <si>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</si>
  <si>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</si>
  <si>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</si>
  <si>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</si>
  <si>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</si>
  <si>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</si>
  <si>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</si>
  <si>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</si>
  <si>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</si>
  <si>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</si>
  <si>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</si>
  <si>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</si>
  <si>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</si>
  <si>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</si>
  <si>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</si>
  <si>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</si>
  <si>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</si>
  <si>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</si>
  <si>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</si>
  <si>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</si>
  <si>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</si>
  <si>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</si>
  <si>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</si>
  <si>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</si>
  <si>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</si>
  <si>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</si>
  <si>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</si>
  <si>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</si>
  <si>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</si>
  <si>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</si>
  <si>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</si>
  <si>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</si>
  <si>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</si>
  <si>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</si>
  <si>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</si>
  <si>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</si>
  <si>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</si>
  <si>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</si>
  <si>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</si>
  <si>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</si>
  <si>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</si>
  <si>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</si>
  <si>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</si>
  <si>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</si>
  <si>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</si>
  <si>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</si>
  <si>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</si>
  <si>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</si>
  <si>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</si>
  <si>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</si>
  <si>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</si>
  <si>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</si>
  <si>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</si>
  <si>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</si>
  <si>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</si>
  <si>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</si>
  <si>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</si>
  <si>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</si>
  <si>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</si>
  <si>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</si>
  <si>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</si>
  <si>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</si>
  <si>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</si>
  <si>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</si>
  <si>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</si>
  <si>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</si>
  <si>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</si>
  <si>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</si>
  <si>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</si>
  <si>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</si>
  <si>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</si>
  <si>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</si>
  <si>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</si>
  <si>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</si>
  <si>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</si>
  <si>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</si>
  <si>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</si>
  <si>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</si>
  <si>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</si>
  <si>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</si>
  <si>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</si>
  <si>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</si>
  <si>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</si>
  <si>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</si>
  <si>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</si>
  <si>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</si>
  <si>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</si>
  <si>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</si>
  <si>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</si>
  <si>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</si>
  <si>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</si>
  <si>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</si>
  <si>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</si>
  <si>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</si>
  <si>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</si>
  <si>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</si>
  <si>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</si>
  <si>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</si>
  <si>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</si>
  <si>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</si>
  <si>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</si>
  <si>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</si>
  <si>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</si>
  <si>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</si>
  <si>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</si>
  <si>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</si>
  <si>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</si>
  <si>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</si>
  <si>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</si>
  <si>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</si>
  <si>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</si>
  <si>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</si>
  <si>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</si>
  <si>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</si>
  <si>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</si>
  <si>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</si>
  <si>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</si>
  <si>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</si>
  <si>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</si>
  <si>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</si>
  <si>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</si>
  <si>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</si>
  <si>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</si>
  <si>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</si>
  <si>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</si>
  <si>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</si>
  <si>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</si>
  <si>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</si>
  <si>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</si>
  <si>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</si>
  <si>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</si>
  <si>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</si>
  <si>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</si>
  <si>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</si>
  <si>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</si>
  <si>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</si>
  <si>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</si>
  <si>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</si>
  <si>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</si>
  <si>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</si>
  <si>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</si>
  <si>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</si>
  <si>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</si>
  <si>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</si>
  <si>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</si>
  <si>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</si>
  <si>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</si>
  <si>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</si>
  <si>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</si>
  <si>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</si>
  <si>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</si>
  <si>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</si>
  <si>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</si>
  <si>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</si>
  <si>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</si>
  <si>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</si>
  <si>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</si>
  <si>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</si>
  <si>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</si>
  <si>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</si>
  <si>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</si>
  <si>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</si>
  <si>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</si>
  <si>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</si>
  <si>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</si>
  <si>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</si>
  <si>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</si>
  <si>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</si>
  <si>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</si>
  <si>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</si>
  <si>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</si>
  <si>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</si>
  <si>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</si>
  <si>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</si>
  <si>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</si>
  <si>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</si>
  <si>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</si>
  <si>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</si>
  <si>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</si>
  <si>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</si>
  <si>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</si>
  <si>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</si>
  <si>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</si>
  <si>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</si>
  <si>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</si>
  <si>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</si>
  <si>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</si>
  <si>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</si>
  <si>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</si>
  <si>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</si>
  <si>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</si>
  <si>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</si>
  <si>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</si>
  <si>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</si>
  <si>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</si>
  <si>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</si>
  <si>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</si>
  <si>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</si>
  <si>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</si>
  <si>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</si>
  <si>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</si>
  <si>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</si>
  <si>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</si>
  <si>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</si>
  <si>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</si>
  <si>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</si>
  <si>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</si>
  <si>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</si>
  <si>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</si>
  <si>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</si>
  <si>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</si>
  <si>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</si>
  <si>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</si>
  <si>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</si>
  <si>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</si>
  <si>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</si>
  <si>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</si>
  <si>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</si>
  <si>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</si>
  <si>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</si>
  <si>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</si>
  <si>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</si>
  <si>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</si>
  <si>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</si>
  <si>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</si>
  <si>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</si>
  <si>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</si>
  <si>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</si>
  <si>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</si>
  <si>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</si>
  <si>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</si>
  <si>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</si>
  <si>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</si>
  <si>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</si>
  <si>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</si>
  <si>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</si>
  <si>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</si>
  <si>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</si>
  <si>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</si>
  <si>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</si>
  <si>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</si>
  <si>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</si>
  <si>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</si>
  <si>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</si>
  <si>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</si>
  <si>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</si>
  <si>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</si>
  <si>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</si>
  <si>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</si>
  <si>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</si>
  <si>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</si>
  <si>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</si>
  <si>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</si>
  <si>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</si>
  <si>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</si>
  <si>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</si>
  <si>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</si>
  <si>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</si>
  <si>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</si>
  <si>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</si>
  <si>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</si>
  <si>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</si>
  <si>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</si>
  <si>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</si>
  <si>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</si>
  <si>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</si>
  <si>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</si>
  <si>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</si>
  <si>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</si>
  <si>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</si>
  <si>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</si>
  <si>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</si>
  <si>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</si>
  <si>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</si>
  <si>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</si>
  <si>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</si>
  <si>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</si>
  <si>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</si>
  <si>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</si>
  <si>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</si>
  <si>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</si>
  <si>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</si>
  <si>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</si>
  <si>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</si>
  <si>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</si>
  <si>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</si>
  <si>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</si>
  <si>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</si>
  <si>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</si>
  <si>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</si>
  <si>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</si>
  <si>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</si>
  <si>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</si>
  <si>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</si>
  <si>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</si>
  <si>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</si>
  <si>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</si>
  <si>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</si>
  <si>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</si>
  <si>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</si>
  <si>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</si>
  <si>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</si>
  <si>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</si>
  <si>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</si>
  <si>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</si>
  <si>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</si>
  <si>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</si>
  <si>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</si>
  <si>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</si>
  <si>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</si>
  <si>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</si>
  <si>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</si>
  <si>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</si>
  <si>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</si>
  <si>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</si>
  <si>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</si>
  <si>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</si>
  <si>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</si>
  <si>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</si>
  <si>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</si>
  <si>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</si>
  <si>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</si>
  <si>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</si>
  <si>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</si>
  <si>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</si>
  <si>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</si>
  <si>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</si>
  <si>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</si>
  <si>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</si>
  <si>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</si>
  <si>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</si>
  <si>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</si>
  <si>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</si>
  <si>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</si>
  <si>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</si>
  <si>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</si>
  <si>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</si>
  <si>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</si>
  <si>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</si>
  <si>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</si>
  <si>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</si>
  <si>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</si>
  <si>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</si>
  <si>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</si>
  <si>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</si>
  <si>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</si>
  <si>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</si>
  <si>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</si>
  <si>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</si>
  <si>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</si>
  <si>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</si>
  <si>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</si>
  <si>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</si>
  <si>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</si>
  <si>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</si>
  <si>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</si>
  <si>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</si>
  <si>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</si>
  <si>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</si>
  <si>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</si>
  <si>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</si>
  <si>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</si>
  <si>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</si>
  <si>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</si>
  <si>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</si>
  <si>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</si>
  <si>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</si>
  <si>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</si>
  <si>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</si>
  <si>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</si>
  <si>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</si>
  <si>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</si>
  <si>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</si>
  <si>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</si>
  <si>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</si>
  <si>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</si>
  <si>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</si>
  <si>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</si>
  <si>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</si>
  <si>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</si>
  <si>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</si>
  <si>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</si>
  <si>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</si>
  <si>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</si>
  <si>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</si>
  <si>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</si>
  <si>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</si>
  <si>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</si>
  <si>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</si>
  <si>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</si>
  <si>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</si>
  <si>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</si>
  <si>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</si>
  <si>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</si>
  <si>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</si>
  <si>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</si>
  <si>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</si>
  <si>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</si>
  <si>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</si>
  <si>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</si>
  <si>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</si>
  <si>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</si>
  <si>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</si>
  <si>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</si>
  <si>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</si>
  <si>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</si>
  <si>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</si>
  <si>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</si>
  <si>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</si>
  <si>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</si>
  <si>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</si>
  <si>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</si>
  <si>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</si>
  <si>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</si>
  <si>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</si>
  <si>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</si>
  <si>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</si>
  <si>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</si>
  <si>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</si>
  <si>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</si>
  <si>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</si>
  <si>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</si>
  <si>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</si>
  <si>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</si>
  <si>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</si>
  <si>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</si>
  <si>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</si>
  <si>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</si>
  <si>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</si>
  <si>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</si>
  <si>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</si>
  <si>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</si>
  <si>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</si>
  <si>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</si>
  <si>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</si>
  <si>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</si>
  <si>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</si>
  <si>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</si>
  <si>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</si>
  <si>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</si>
  <si>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</si>
  <si>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</si>
  <si>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</si>
  <si>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</si>
  <si>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</si>
  <si>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</si>
  <si>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</si>
  <si>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</si>
  <si>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</si>
  <si>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</si>
  <si>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</si>
  <si>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</si>
  <si>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</si>
  <si>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</si>
  <si>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</si>
  <si>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</si>
  <si>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</si>
  <si>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</si>
  <si>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</si>
  <si>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</si>
  <si>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</si>
  <si>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</si>
  <si>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</si>
  <si>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</si>
  <si>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</si>
  <si>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</si>
  <si>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</si>
  <si>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</si>
  <si>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</si>
  <si>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</si>
  <si>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</si>
  <si>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</si>
  <si>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</si>
  <si>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</si>
  <si>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</si>
  <si>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</si>
  <si>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</si>
  <si>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</si>
  <si>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</si>
  <si>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</si>
  <si>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</si>
  <si>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</si>
  <si>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</si>
  <si>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</si>
  <si>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</si>
  <si>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</si>
  <si>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</si>
  <si>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</si>
  <si>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</si>
  <si>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</si>
  <si>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</si>
  <si>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</si>
  <si>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</si>
  <si>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</si>
  <si>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</si>
  <si>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</si>
  <si>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</si>
  <si>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</si>
  <si>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</si>
  <si>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</si>
  <si>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</si>
  <si>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</si>
  <si>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</si>
  <si>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</si>
  <si>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</si>
  <si>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</si>
  <si>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</si>
  <si>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</si>
  <si>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</si>
  <si>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</si>
  <si>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</si>
  <si>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</si>
  <si>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</si>
  <si>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</si>
  <si>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</si>
  <si>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</si>
  <si>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</si>
  <si>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</si>
  <si>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</si>
  <si>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</si>
  <si>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</si>
  <si>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</si>
  <si>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</si>
  <si>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</si>
  <si>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</si>
  <si>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</si>
  <si>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</si>
  <si>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</si>
  <si>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</si>
  <si>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</si>
  <si>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</si>
  <si>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</si>
  <si>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</si>
  <si>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</si>
  <si>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</si>
  <si>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</si>
  <si>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</si>
  <si>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</si>
  <si>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</si>
  <si>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</si>
  <si>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</si>
  <si>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</si>
  <si>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</si>
  <si>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</si>
  <si>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</si>
  <si>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</si>
  <si>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</si>
  <si>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</si>
  <si>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</si>
  <si>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</si>
  <si>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</si>
  <si>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</si>
  <si>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</si>
  <si>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</si>
  <si>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</si>
  <si>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</si>
  <si>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</si>
  <si>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</si>
  <si>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</si>
  <si>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</si>
  <si>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</si>
  <si>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</si>
  <si>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</si>
  <si>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</si>
  <si>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</si>
  <si>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</si>
  <si>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</si>
  <si>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</si>
  <si>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</si>
  <si>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</si>
  <si>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</si>
  <si>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</si>
  <si>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</si>
  <si>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</si>
  <si>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</si>
  <si>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</si>
  <si>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</si>
  <si>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</si>
  <si>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</si>
  <si>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</si>
  <si>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</si>
  <si>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</si>
  <si>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</si>
  <si>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</si>
  <si>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</si>
  <si>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</si>
  <si>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</si>
  <si>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</si>
  <si>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</si>
  <si>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</si>
  <si>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</si>
  <si>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</si>
  <si>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</si>
  <si>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</si>
  <si>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</si>
  <si>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</si>
  <si>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</si>
  <si>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</si>
  <si>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</si>
  <si>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</si>
  <si>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</si>
  <si>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</si>
  <si>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</si>
  <si>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</si>
  <si>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</si>
  <si>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</si>
  <si>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</si>
  <si>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</si>
  <si>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</si>
  <si>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</si>
  <si>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</si>
  <si>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</si>
  <si>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</si>
  <si>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</si>
  <si>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</si>
  <si>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</si>
  <si>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</si>
  <si>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</si>
  <si>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</si>
  <si>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</si>
  <si>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</si>
  <si>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</si>
  <si>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</si>
  <si>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</si>
  <si>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</si>
  <si>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</si>
  <si>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</si>
  <si>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</si>
  <si>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</si>
  <si>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</si>
  <si>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</si>
  <si>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</si>
  <si>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</si>
  <si>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</si>
  <si>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</si>
  <si>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</si>
  <si>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</si>
  <si>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</si>
  <si>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</si>
  <si>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</si>
  <si>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</si>
  <si>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</si>
  <si>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</si>
  <si>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</si>
  <si>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</si>
  <si>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</si>
  <si>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</si>
  <si>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</si>
  <si>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</si>
  <si>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</si>
  <si>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</si>
  <si>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</si>
  <si>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</si>
  <si>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</si>
  <si>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</si>
  <si>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</si>
  <si>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</si>
  <si>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</si>
  <si>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</si>
  <si>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</si>
  <si>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</si>
  <si>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</si>
  <si>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</si>
  <si>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</si>
  <si>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</si>
  <si>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</si>
  <si>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</si>
  <si>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</si>
  <si>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</si>
  <si>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</si>
  <si>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</si>
  <si>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</si>
  <si>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</si>
  <si>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</si>
  <si>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</si>
  <si>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</si>
  <si>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</si>
  <si>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</si>
  <si>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</si>
  <si>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</si>
  <si>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</si>
  <si>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</si>
  <si>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</si>
  <si>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</si>
  <si>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</si>
  <si>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</si>
  <si>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</si>
  <si>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</si>
  <si>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</si>
  <si>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</si>
  <si>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</si>
  <si>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</si>
  <si>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</si>
  <si>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</si>
  <si>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</si>
  <si>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</si>
  <si>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</si>
  <si>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</si>
  <si>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</si>
  <si>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</si>
  <si>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</si>
  <si>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</si>
  <si>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</si>
  <si>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</si>
  <si>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</si>
  <si>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</si>
  <si>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</si>
  <si>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</si>
  <si>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</si>
  <si>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</si>
  <si>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</si>
  <si>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</si>
  <si>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</si>
  <si>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</si>
  <si>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</si>
  <si>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</si>
  <si>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</si>
  <si>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</si>
  <si>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</si>
  <si>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</si>
  <si>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</si>
  <si>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</si>
  <si>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</si>
  <si>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</si>
  <si>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</si>
  <si>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</si>
  <si>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</si>
  <si>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</si>
  <si>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</si>
  <si>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</si>
  <si>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</si>
  <si>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</si>
  <si>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</si>
  <si>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</si>
  <si>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</si>
  <si>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</si>
  <si>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</si>
  <si>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</si>
  <si>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</si>
  <si>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</si>
  <si>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</si>
  <si>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</si>
  <si>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</si>
  <si>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</si>
  <si>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</si>
  <si>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</si>
  <si>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</si>
  <si>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</si>
  <si>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</si>
  <si>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</si>
  <si>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</si>
  <si>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</si>
  <si>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</si>
  <si>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</si>
  <si>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</si>
  <si>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</si>
  <si>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</si>
  <si>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</si>
  <si>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</si>
  <si>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</si>
  <si>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</si>
  <si>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</si>
  <si>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</si>
  <si>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</si>
  <si>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</si>
  <si>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</si>
  <si>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</si>
  <si>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</si>
  <si>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</si>
  <si>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</si>
  <si>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</si>
  <si>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</si>
  <si>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</si>
  <si>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</si>
  <si>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</si>
  <si>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</si>
  <si>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</si>
  <si>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</si>
  <si>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</si>
  <si>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</si>
  <si>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</si>
  <si>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</si>
  <si>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</si>
  <si>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</si>
  <si>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</si>
  <si>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</si>
  <si>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</si>
  <si>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</si>
  <si>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</si>
  <si>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</si>
  <si>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</si>
  <si>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</si>
  <si>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</si>
  <si>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</si>
  <si>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</si>
  <si>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</si>
  <si>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</si>
  <si>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</si>
  <si>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</si>
  <si>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</si>
  <si>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</si>
  <si>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</si>
  <si>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</si>
  <si>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</si>
  <si>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</si>
  <si>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</si>
  <si>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</si>
  <si>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</si>
  <si>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</si>
  <si>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</si>
  <si>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</si>
  <si>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</si>
  <si>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</si>
  <si>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</si>
  <si>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</si>
  <si>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</si>
  <si>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</si>
  <si>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</si>
  <si>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</si>
  <si>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</si>
  <si>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</si>
  <si>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</si>
  <si>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</si>
  <si>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</si>
  <si>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</si>
  <si>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</si>
  <si>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</si>
  <si>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</si>
  <si>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</si>
  <si>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</si>
  <si>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</si>
  <si>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</si>
  <si>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</si>
  <si>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</si>
  <si>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</si>
  <si>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</si>
  <si>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</si>
  <si>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</si>
  <si>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</si>
  <si>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</si>
  <si>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</si>
  <si>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</si>
  <si>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</si>
  <si>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</si>
  <si>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</si>
  <si>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</si>
  <si>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</si>
  <si>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</si>
  <si>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</si>
  <si>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</si>
  <si>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</si>
  <si>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</si>
  <si>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</si>
  <si>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</si>
  <si>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</si>
  <si>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</si>
  <si>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</si>
  <si>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</si>
  <si>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</si>
  <si>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</si>
  <si>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</si>
  <si>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</si>
  <si>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</si>
  <si>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</si>
  <si>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</si>
  <si>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p6</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</si>
  <si>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</si>
  <si>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</si>
  <si>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</si>
  <si>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</si>
  <si>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</si>
  <si>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</si>
  <si>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</si>
  <si>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</si>
  <si>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</si>
  <si>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</si>
  <si>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</si>
  <si>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</si>
  <si>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</si>
  <si>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</si>
  <si>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</si>
  <si>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</si>
  <si>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</si>
  <si>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</si>
  <si>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</si>
  <si>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</si>
  <si>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</si>
  <si>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</si>
  <si>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</si>
  <si>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</si>
  <si>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</si>
  <si>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</si>
  <si>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</si>
  <si>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</si>
  <si>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</si>
  <si>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</si>
  <si>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</si>
  <si>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</si>
  <si>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</si>
  <si>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</si>
  <si>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</si>
  <si>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</si>
  <si>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</si>
  <si>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</si>
  <si>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</si>
  <si>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</si>
  <si>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</si>
  <si>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</si>
  <si>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</si>
  <si>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</si>
  <si>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</si>
  <si>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</si>
  <si>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</si>
  <si>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</si>
  <si>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</si>
  <si>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</si>
  <si>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</si>
  <si>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</si>
  <si>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</si>
  <si>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</si>
  <si>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</si>
  <si>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</si>
  <si>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</si>
  <si>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</si>
  <si>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</si>
  <si>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</si>
  <si>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</si>
  <si>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</si>
  <si>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</si>
  <si>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</si>
  <si>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</si>
  <si>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</si>
  <si>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</si>
  <si>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</si>
  <si>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</si>
  <si>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</si>
  <si>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</si>
  <si>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</si>
  <si>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</si>
  <si>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</si>
  <si>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</si>
  <si>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</si>
  <si>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</si>
  <si>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</si>
  <si>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</si>
  <si>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</si>
  <si>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</si>
  <si>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</si>
  <si>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</si>
  <si>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</si>
  <si>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</si>
  <si>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</si>
  <si>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</si>
  <si>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</si>
  <si>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</si>
  <si>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</si>
  <si>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</si>
  <si>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</si>
  <si>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</si>
  <si>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</si>
  <si>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</si>
  <si>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</si>
  <si>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</si>
  <si>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</si>
  <si>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</si>
  <si>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</si>
  <si>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</si>
  <si>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</si>
  <si>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</si>
  <si>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</si>
  <si>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</si>
  <si>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</si>
  <si>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</si>
  <si>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</si>
  <si>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</si>
  <si>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</si>
  <si>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</si>
  <si>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</si>
  <si>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</si>
  <si>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</si>
  <si>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</si>
  <si>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</si>
  <si>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</si>
  <si>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</si>
  <si>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</si>
  <si>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</si>
  <si>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</si>
  <si>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</si>
  <si>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</si>
  <si>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</si>
  <si>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</si>
  <si>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</si>
  <si>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</si>
  <si>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</si>
  <si>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</si>
  <si>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</si>
  <si>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</si>
  <si>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</si>
  <si>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</si>
  <si>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</si>
  <si>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</si>
  <si>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</si>
  <si>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</si>
  <si>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</si>
  <si>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</si>
  <si>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</si>
  <si>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</si>
  <si>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</si>
  <si>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</si>
  <si>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</si>
  <si>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</si>
  <si>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</si>
  <si>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</si>
  <si>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</si>
  <si>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</si>
  <si>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</si>
  <si>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</si>
  <si>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</si>
  <si>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</si>
  <si>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</si>
  <si>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</si>
  <si>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</si>
  <si>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</si>
  <si>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</si>
  <si>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</si>
  <si>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</si>
  <si>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</si>
  <si>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</si>
  <si>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</si>
  <si>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</si>
  <si>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</si>
  <si>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</si>
  <si>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</si>
  <si>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</si>
  <si>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</si>
  <si>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</si>
  <si>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</si>
  <si>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</si>
  <si>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</si>
  <si>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</si>
  <si>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</si>
  <si>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</si>
  <si>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</si>
  <si>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</si>
  <si>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</si>
  <si>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</si>
  <si>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</si>
  <si>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</si>
  <si>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</si>
  <si>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</si>
  <si>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</si>
  <si>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</si>
  <si>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</si>
  <si>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</si>
  <si>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</si>
  <si>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</si>
  <si>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</si>
  <si>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</si>
  <si>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</si>
  <si>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</si>
  <si>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</si>
  <si>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</si>
  <si>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</si>
  <si>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</si>
  <si>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</si>
  <si>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</si>
  <si>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</si>
  <si>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</si>
  <si>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</si>
  <si>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</si>
  <si>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</si>
  <si>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</si>
  <si>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</si>
  <si>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</si>
  <si>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</si>
  <si>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</si>
  <si>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</si>
  <si>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</si>
  <si>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</si>
  <si>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</si>
  <si>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</si>
  <si>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</si>
  <si>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</si>
  <si>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</si>
  <si>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</si>
  <si>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</si>
  <si>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</si>
  <si>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</si>
  <si>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</si>
  <si>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</si>
  <si>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</si>
  <si>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</si>
  <si>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</si>
  <si>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</si>
  <si>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</si>
  <si>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</si>
  <si>
    <t>Participant's Full Name (required)</t>
  </si>
  <si>
    <t>Participant's Role (required)</t>
  </si>
  <si>
    <t>Function (required)</t>
  </si>
  <si>
    <t>WIP not implemented yet. Use the PvtPartDistinct to complete this</t>
  </si>
  <si>
    <t>WIP. Not implemented yet, use PvtPart_PA to do this</t>
  </si>
  <si>
    <t>WIP. Not implemented yet. Use PvtPart_Prj to do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</si>
</sst>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
      <b/>
      <sz val="11"/>
      <color rgb="FF000000"/>
      <name val="Calibri"/>
      <family val="2"/>
    </font>
  </fonts>
  <fills count="47">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D3D3D3"/>
      </patternFill>
    </fill>
  </fills>
  <borders count="4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61" fillId="46" borderId="45" xfId="0" applyFont="1" applyFill="1" applyBorder="1"/>
    <xf numFmtId="0" fontId="61" fillId="46" borderId="45" xfId="0" applyFont="1" applyFill="1" applyBorder="1" applyAlignment="1">
      <alignment horizontal="center"/>
    </xf>
    <xf numFmtId="0" fontId="0" fillId="0" borderId="0" xfId="0" applyBorder="1"/>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3" fillId="22" borderId="3" xfId="7"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xf numFmtId="0" fontId="43" fillId="0" borderId="24" xfId="0" applyFont="1" applyBorder="1" applyAlignment="1">
      <alignment horizontal="center" vertical="top" wrapText="1"/>
    </xf>
    <xf numFmtId="0" fontId="43" fillId="34" borderId="24" xfId="0" applyFont="1" applyFill="1" applyBorder="1" applyAlignment="1">
      <alignment horizontal="center" vertical="center"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32">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pivotCacheDefinition" Target="pivotCache/pivotCacheDefinition3.xml"/><Relationship Id="rId50" Type="http://schemas.openxmlformats.org/officeDocument/2006/relationships/pivotCacheDefinition" Target="pivotCache/pivotCacheDefinition6.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1.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5.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311150</xdr:colOff>
      <xdr:row>15</xdr:row>
      <xdr:rowOff>66675</xdr:rowOff>
    </xdr:from>
    <xdr:to>
      <xdr:col>1</xdr:col>
      <xdr:colOff>4342130</xdr:colOff>
      <xdr:row>15</xdr:row>
      <xdr:rowOff>725170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025900" y="3409950"/>
          <a:ext cx="4030980"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300-00000A000000}"/>
                </a:ext>
              </a:extLst>
            </xdr:cNvPr>
            <xdr:cNvPicPr>
              <a:picLocks noChangeAspect="1" noChangeArrowheads="1"/>
              <a:extLst>
                <a:ext uri="{84589F7E-364E-4C9E-8A38-B11213B215E9}">
                  <a14:cameraTool cellRange="StartupInfo!$B$16" spid="_x0000_s8372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1-02-20to02-26%20(A5)%20C54321%20ShortName\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02777775" createdVersion="6" refreshedVersion="6" minRefreshableVersion="3" recordCount="30" xr:uid="{7A41DB9D-D643-451D-8180-062948BB04CE}">
  <cacheSource type="worksheet">
    <worksheetSource ref="A1:H1048576" sheet="Schedule2"/>
  </cacheSource>
  <cacheFields count="8">
    <cacheField name="WorkID" numFmtId="0">
      <sharedItems containsBlank="1"/>
    </cacheField>
    <cacheField name="Work name" numFmtId="0">
      <sharedItems containsBlank="1" count="27">
        <s v="p1ProjectNameA"/>
        <s v="p2ProjectNameB"/>
        <s v="p4PRojectNameD"/>
        <s v="p3ProjectNameC"/>
        <s v="s1CM"/>
        <s v="s2EPG/MA"/>
        <s v="s3HR"/>
        <s v="s4PPQA"/>
        <m/>
        <s v="P1SES" u="1"/>
        <s v="EPG/MA" u="1"/>
        <s v="MG6008C" u="1"/>
        <s v="Intelligent supervision platform" u="1"/>
        <s v="p1JFPMS202005001" u="1"/>
        <s v="OT" u="1"/>
        <s v="P4SSM" u="1"/>
        <s v="MG6128L" u="1"/>
        <s v="p3JFPMS202001040" u="1"/>
        <s v="p4JFPMS202003021" u="1"/>
        <s v="PPQA" u="1"/>
        <s v="CM" u="1"/>
        <s v="P5WMS" u="1"/>
        <s v="p2JFPMS202004057" u="1"/>
        <s v="Lawyer remote meeting system" u="1"/>
        <s v="P2BEU" u="1"/>
        <s v="P3EMM" u="1"/>
        <s v="Traffic information control platform" u="1"/>
      </sharedItems>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ount="11">
        <s v="Project manager"/>
        <s v="Developer"/>
        <s v="Designer"/>
        <s v="Analyst"/>
        <s v="Configuration manager"/>
        <s v="Process Engineering"/>
        <s v="Head of training"/>
        <s v="Process Assurance Manager"/>
        <m/>
        <s v="Testers"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40972223" createdVersion="6" refreshedVersion="6" minRefreshableVersion="3" recordCount="30" xr:uid="{8D08BA66-43B5-4625-B4C6-4829463ED122}">
  <cacheSource type="worksheet">
    <worksheetSource ref="D1:H1048576" sheet="Schedule2"/>
  </cacheSource>
  <cacheFields count="5">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p1"/>
    <x v="0"/>
    <x v="0"/>
    <x v="0"/>
    <x v="0"/>
    <s v="p1"/>
    <x v="0"/>
    <s v="[3] Project Management"/>
  </r>
  <r>
    <s v="p1"/>
    <x v="0"/>
    <x v="1"/>
    <x v="0"/>
    <x v="0"/>
    <s v="p1"/>
    <x v="0"/>
    <s v="[3] Project Management"/>
  </r>
  <r>
    <s v="p1"/>
    <x v="0"/>
    <x v="2"/>
    <x v="0"/>
    <x v="0"/>
    <s v="p1"/>
    <x v="0"/>
    <s v="[3] Project Management"/>
  </r>
  <r>
    <s v="p2"/>
    <x v="1"/>
    <x v="3"/>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1"/>
    <x v="0"/>
    <x v="4"/>
    <x v="3"/>
    <x v="1"/>
    <s v="p1"/>
    <x v="0"/>
    <s v="[4] Engineering"/>
  </r>
  <r>
    <s v="p1"/>
    <x v="0"/>
    <x v="5"/>
    <x v="3"/>
    <x v="1"/>
    <s v="p1"/>
    <x v="0"/>
    <s v="[4] Engineering"/>
  </r>
  <r>
    <s v="p1"/>
    <x v="0"/>
    <x v="6"/>
    <x v="3"/>
    <x v="1"/>
    <s v="p1"/>
    <x v="0"/>
    <s v="[4] Engineering"/>
  </r>
  <r>
    <s v="p1"/>
    <x v="0"/>
    <x v="7"/>
    <x v="3"/>
    <x v="1"/>
    <s v="p1"/>
    <x v="0"/>
    <s v="[4] Engineering"/>
  </r>
  <r>
    <s v="p1"/>
    <x v="0"/>
    <x v="8"/>
    <x v="3"/>
    <x v="1"/>
    <s v="p1"/>
    <x v="0"/>
    <s v="[4] Engineering"/>
  </r>
  <r>
    <s v="p3"/>
    <x v="3"/>
    <x v="7"/>
    <x v="4"/>
    <x v="2"/>
    <s v="p3"/>
    <x v="0"/>
    <s v="[4] Engineering"/>
  </r>
  <r>
    <s v="p3"/>
    <x v="3"/>
    <x v="4"/>
    <x v="5"/>
    <x v="1"/>
    <s v="p3"/>
    <x v="0"/>
    <s v="[4] Engineering"/>
  </r>
  <r>
    <s v="p4"/>
    <x v="2"/>
    <x v="5"/>
    <x v="6"/>
    <x v="3"/>
    <s v="p4"/>
    <x v="0"/>
    <s v="[4] Engineering"/>
  </r>
  <r>
    <s v="p4"/>
    <x v="2"/>
    <x v="6"/>
    <x v="6"/>
    <x v="3"/>
    <s v="p4"/>
    <x v="0"/>
    <s v="[4] Engineering"/>
  </r>
  <r>
    <s v="p4"/>
    <x v="2"/>
    <x v="8"/>
    <x v="7"/>
    <x v="1"/>
    <s v="p4"/>
    <x v="0"/>
    <s v="[4] Engineering"/>
  </r>
  <r>
    <s v="s1"/>
    <x v="4"/>
    <x v="9"/>
    <x v="8"/>
    <x v="4"/>
    <s v="s1"/>
    <x v="0"/>
    <s v="[5] Configuration Management"/>
  </r>
  <r>
    <s v="s2"/>
    <x v="5"/>
    <x v="10"/>
    <x v="9"/>
    <x v="5"/>
    <s v="s2"/>
    <x v="0"/>
    <s v="[6] Process Management"/>
  </r>
  <r>
    <s v="s2"/>
    <x v="5"/>
    <x v="11"/>
    <x v="9"/>
    <x v="5"/>
    <s v="s2"/>
    <x v="0"/>
    <s v="[6] Process Management"/>
  </r>
  <r>
    <s v="s2"/>
    <x v="5"/>
    <x v="12"/>
    <x v="9"/>
    <x v="5"/>
    <s v="s2"/>
    <x v="0"/>
    <s v="[6] Process Management"/>
  </r>
  <r>
    <s v="s2"/>
    <x v="5"/>
    <x v="13"/>
    <x v="9"/>
    <x v="5"/>
    <s v="s2"/>
    <x v="0"/>
    <s v="[6] Process Management"/>
  </r>
  <r>
    <s v="s2"/>
    <x v="5"/>
    <x v="14"/>
    <x v="9"/>
    <x v="5"/>
    <s v="s2"/>
    <x v="0"/>
    <s v="[6] Process Management"/>
  </r>
  <r>
    <s v="s3"/>
    <x v="6"/>
    <x v="15"/>
    <x v="10"/>
    <x v="6"/>
    <s v="s3"/>
    <x v="0"/>
    <s v="[7] Organisational Training"/>
  </r>
  <r>
    <s v="s4"/>
    <x v="7"/>
    <x v="16"/>
    <x v="11"/>
    <x v="7"/>
    <s v="s4"/>
    <x v="0"/>
    <s v="[8] Process Quality Assurance"/>
  </r>
  <r>
    <m/>
    <x v="8"/>
    <x v="17"/>
    <x v="12"/>
    <x v="8"/>
    <m/>
    <x v="1"/>
    <m/>
  </r>
  <r>
    <m/>
    <x v="8"/>
    <x v="17"/>
    <x v="12"/>
    <x v="8"/>
    <m/>
    <x v="1"/>
    <m/>
  </r>
  <r>
    <m/>
    <x v="8"/>
    <x v="17"/>
    <x v="12"/>
    <x v="8"/>
    <m/>
    <x v="1"/>
    <m/>
  </r>
  <r>
    <m/>
    <x v="8"/>
    <x v="17"/>
    <x v="12"/>
    <x v="8"/>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3"/>
    <s v="Developer"/>
    <s v="p1"/>
    <s v="x"/>
    <x v="1"/>
  </r>
  <r>
    <x v="3"/>
    <s v="Developer"/>
    <s v="p1"/>
    <s v="x"/>
    <x v="1"/>
  </r>
  <r>
    <x v="3"/>
    <s v="Developer"/>
    <s v="p1"/>
    <s v="x"/>
    <x v="1"/>
  </r>
  <r>
    <x v="3"/>
    <s v="Developer"/>
    <s v="p1"/>
    <s v="x"/>
    <x v="1"/>
  </r>
  <r>
    <x v="3"/>
    <s v="Developer"/>
    <s v="p1"/>
    <s v="x"/>
    <x v="1"/>
  </r>
  <r>
    <x v="4"/>
    <s v="Designer"/>
    <s v="p3"/>
    <s v="x"/>
    <x v="1"/>
  </r>
  <r>
    <x v="5"/>
    <s v="Developer"/>
    <s v="p3"/>
    <s v="x"/>
    <x v="1"/>
  </r>
  <r>
    <x v="6"/>
    <s v="Analyst"/>
    <s v="p4"/>
    <s v="x"/>
    <x v="1"/>
  </r>
  <r>
    <x v="6"/>
    <s v="Analyst"/>
    <s v="p4"/>
    <s v="x"/>
    <x v="1"/>
  </r>
  <r>
    <x v="7"/>
    <s v="Developer"/>
    <s v="p4"/>
    <s v="x"/>
    <x v="1"/>
  </r>
  <r>
    <x v="8"/>
    <s v="Configuration manager"/>
    <s v="s1"/>
    <s v="x"/>
    <x v="2"/>
  </r>
  <r>
    <x v="9"/>
    <s v="Process Engineering"/>
    <s v="s2"/>
    <s v="x"/>
    <x v="3"/>
  </r>
  <r>
    <x v="9"/>
    <s v="Process Engineering"/>
    <s v="s2"/>
    <s v="x"/>
    <x v="3"/>
  </r>
  <r>
    <x v="9"/>
    <s v="Process Engineering"/>
    <s v="s2"/>
    <s v="x"/>
    <x v="3"/>
  </r>
  <r>
    <x v="9"/>
    <s v="Process Engineering"/>
    <s v="s2"/>
    <s v="x"/>
    <x v="3"/>
  </r>
  <r>
    <x v="9"/>
    <s v="Process Engineering"/>
    <s v="s2"/>
    <s v="x"/>
    <x v="3"/>
  </r>
  <r>
    <x v="10"/>
    <s v="Head of training"/>
    <s v="s3"/>
    <s v="x"/>
    <x v="4"/>
  </r>
  <r>
    <x v="11"/>
    <s v="Process Assurance Manager"/>
    <s v="s4"/>
    <s v="x"/>
    <x v="5"/>
  </r>
  <r>
    <x v="12"/>
    <m/>
    <m/>
    <m/>
    <x v="6"/>
  </r>
  <r>
    <x v="12"/>
    <m/>
    <m/>
    <m/>
    <x v="6"/>
  </r>
  <r>
    <x v="12"/>
    <m/>
    <m/>
    <m/>
    <x v="6"/>
  </r>
  <r>
    <x v="12"/>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8" firstHeaderRow="1" firstDataRow="1" firstDataCol="1"/>
  <pivotFields count="8">
    <pivotField dataField="1" showAll="0"/>
    <pivotField showAll="0"/>
    <pivotField showAll="0"/>
    <pivotField axis="axisRow" showAll="0">
      <items count="51">
        <item m="1" x="36"/>
        <item m="1" x="16"/>
        <item m="1" x="46"/>
        <item m="1" x="24"/>
        <item m="1" x="38"/>
        <item m="1" x="20"/>
        <item m="1" x="18"/>
        <item m="1" x="25"/>
        <item m="1" x="29"/>
        <item m="1" x="45"/>
        <item m="1" x="35"/>
        <item m="1" x="41"/>
        <item m="1" x="30"/>
        <item m="1" x="48"/>
        <item m="1" x="15"/>
        <item m="1" x="47"/>
        <item m="1" x="19"/>
        <item m="1" x="28"/>
        <item m="1" x="27"/>
        <item m="1" x="34"/>
        <item m="1" x="37"/>
        <item m="1" x="42"/>
        <item m="1" x="13"/>
        <item m="1" x="23"/>
        <item m="1" x="39"/>
        <item m="1" x="31"/>
        <item m="1" x="17"/>
        <item m="1" x="44"/>
        <item m="1" x="43"/>
        <item m="1" x="40"/>
        <item m="1" x="21"/>
        <item m="1" x="33"/>
        <item m="1" x="32"/>
        <item m="1" x="26"/>
        <item m="1" x="49"/>
        <item m="1" x="22"/>
        <item m="1" x="14"/>
        <item x="12"/>
        <item x="0"/>
        <item x="1"/>
        <item x="2"/>
        <item x="3"/>
        <item x="4"/>
        <item x="5"/>
        <item x="6"/>
        <item x="7"/>
        <item x="8"/>
        <item x="9"/>
        <item x="10"/>
        <item x="11"/>
        <item t="default"/>
      </items>
    </pivotField>
    <pivotField axis="axisRow" showAll="0">
      <items count="12">
        <item x="3"/>
        <item x="4"/>
        <item x="2"/>
        <item x="1"/>
        <item x="6"/>
        <item x="5"/>
        <item x="0"/>
        <item m="1" x="10"/>
        <item m="1" x="9"/>
        <item x="8"/>
        <item x="7"/>
        <item t="default"/>
      </items>
    </pivotField>
    <pivotField showAll="0"/>
    <pivotField axis="axisRow" showAll="0">
      <items count="3">
        <item x="0"/>
        <item x="1"/>
        <item t="default"/>
      </items>
    </pivotField>
    <pivotField showAll="0"/>
  </pivotFields>
  <rowFields count="3">
    <field x="6"/>
    <field x="4"/>
    <field x="3"/>
  </rowFields>
  <rowItems count="25">
    <i>
      <x/>
    </i>
    <i r="1">
      <x/>
    </i>
    <i r="2">
      <x v="44"/>
    </i>
    <i r="1">
      <x v="1"/>
    </i>
    <i r="2">
      <x v="46"/>
    </i>
    <i r="1">
      <x v="2"/>
    </i>
    <i r="2">
      <x v="42"/>
    </i>
    <i r="1">
      <x v="3"/>
    </i>
    <i r="2">
      <x v="41"/>
    </i>
    <i r="2">
      <x v="43"/>
    </i>
    <i r="2">
      <x v="45"/>
    </i>
    <i r="1">
      <x v="4"/>
    </i>
    <i r="2">
      <x v="48"/>
    </i>
    <i r="1">
      <x v="5"/>
    </i>
    <i r="2">
      <x v="47"/>
    </i>
    <i r="1">
      <x v="6"/>
    </i>
    <i r="2">
      <x v="38"/>
    </i>
    <i r="2">
      <x v="39"/>
    </i>
    <i r="2">
      <x v="40"/>
    </i>
    <i r="1">
      <x v="10"/>
    </i>
    <i r="2">
      <x v="4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4" firstHeaderRow="1" firstDataRow="1" firstDataCol="1"/>
  <pivotFields count="8">
    <pivotField showAll="0"/>
    <pivotField showAll="0"/>
    <pivotField axis="axisRow" showAll="0">
      <items count="19">
        <item x="10"/>
        <item x="9"/>
        <item x="11"/>
        <item x="0"/>
        <item x="1"/>
        <item x="12"/>
        <item x="15"/>
        <item x="13"/>
        <item x="14"/>
        <item x="4"/>
        <item x="2"/>
        <item x="16"/>
        <item x="5"/>
        <item x="6"/>
        <item x="3"/>
        <item x="7"/>
        <item x="8"/>
        <item x="17"/>
        <item t="default"/>
      </items>
    </pivotField>
    <pivotField axis="axisRow" showAll="0" sortType="ascending">
      <items count="51">
        <item x="6"/>
        <item m="1" x="36"/>
        <item m="1" x="16"/>
        <item x="8"/>
        <item m="1" x="46"/>
        <item m="1" x="24"/>
        <item x="4"/>
        <item x="3"/>
        <item x="5"/>
        <item x="7"/>
        <item m="1" x="38"/>
        <item m="1" x="20"/>
        <item m="1" x="18"/>
        <item m="1" x="25"/>
        <item m="1" x="29"/>
        <item m="1" x="45"/>
        <item m="1" x="35"/>
        <item m="1" x="41"/>
        <item m="1" x="30"/>
        <item m="1" x="48"/>
        <item m="1" x="15"/>
        <item m="1" x="47"/>
        <item m="1" x="19"/>
        <item m="1" x="28"/>
        <item m="1" x="27"/>
        <item m="1" x="34"/>
        <item m="1" x="37"/>
        <item m="1" x="42"/>
        <item m="1" x="13"/>
        <item x="11"/>
        <item x="9"/>
        <item x="0"/>
        <item x="1"/>
        <item x="2"/>
        <item m="1" x="23"/>
        <item m="1" x="39"/>
        <item m="1" x="31"/>
        <item x="10"/>
        <item m="1" x="17"/>
        <item m="1" x="44"/>
        <item m="1" x="43"/>
        <item m="1" x="40"/>
        <item m="1" x="21"/>
        <item m="1" x="33"/>
        <item m="1" x="32"/>
        <item m="1" x="26"/>
        <item m="1" x="49"/>
        <item m="1" x="22"/>
        <item m="1" x="14"/>
        <item x="12"/>
        <item t="default"/>
      </items>
    </pivotField>
    <pivotField showAll="0"/>
    <pivotField showAll="0"/>
    <pivotField showAll="0"/>
    <pivotField showAll="0"/>
  </pivotFields>
  <rowFields count="2">
    <field x="3"/>
    <field x="2"/>
  </rowFields>
  <rowItems count="41">
    <i>
      <x/>
    </i>
    <i r="1">
      <x v="12"/>
    </i>
    <i r="1">
      <x v="13"/>
    </i>
    <i>
      <x v="3"/>
    </i>
    <i r="1">
      <x v="1"/>
    </i>
    <i>
      <x v="6"/>
    </i>
    <i r="1">
      <x v="15"/>
    </i>
    <i>
      <x v="7"/>
    </i>
    <i r="1">
      <x v="9"/>
    </i>
    <i r="1">
      <x v="12"/>
    </i>
    <i r="1">
      <x v="13"/>
    </i>
    <i r="1">
      <x v="15"/>
    </i>
    <i r="1">
      <x v="16"/>
    </i>
    <i>
      <x v="8"/>
    </i>
    <i r="1">
      <x v="9"/>
    </i>
    <i>
      <x v="9"/>
    </i>
    <i r="1">
      <x v="16"/>
    </i>
    <i>
      <x v="29"/>
    </i>
    <i r="1">
      <x v="11"/>
    </i>
    <i>
      <x v="30"/>
    </i>
    <i r="1">
      <x/>
    </i>
    <i r="1">
      <x v="2"/>
    </i>
    <i r="1">
      <x v="5"/>
    </i>
    <i r="1">
      <x v="7"/>
    </i>
    <i r="1">
      <x v="8"/>
    </i>
    <i>
      <x v="31"/>
    </i>
    <i r="1">
      <x v="3"/>
    </i>
    <i r="1">
      <x v="4"/>
    </i>
    <i r="1">
      <x v="10"/>
    </i>
    <i>
      <x v="32"/>
    </i>
    <i r="1">
      <x v="14"/>
    </i>
    <i>
      <x v="33"/>
    </i>
    <i r="1">
      <x v="3"/>
    </i>
    <i r="1">
      <x v="4"/>
    </i>
    <i r="1">
      <x v="10"/>
    </i>
    <i r="1">
      <x v="14"/>
    </i>
    <i>
      <x v="37"/>
    </i>
    <i r="1">
      <x v="6"/>
    </i>
    <i>
      <x v="49"/>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8">
    <pivotField showAll="0"/>
    <pivotField axis="axisRow" showAll="0">
      <items count="28">
        <item m="1" x="9"/>
        <item m="1" x="24"/>
        <item m="1" x="25"/>
        <item m="1" x="15"/>
        <item m="1" x="21"/>
        <item x="4"/>
        <item x="5"/>
        <item x="6"/>
        <item x="7"/>
        <item x="8"/>
        <item m="1" x="20"/>
        <item m="1" x="16"/>
        <item m="1" x="26"/>
        <item m="1" x="14"/>
        <item m="1" x="19"/>
        <item m="1" x="10"/>
        <item m="1" x="11"/>
        <item m="1" x="12"/>
        <item m="1" x="23"/>
        <item m="1" x="13"/>
        <item m="1" x="22"/>
        <item m="1" x="18"/>
        <item m="1" x="17"/>
        <item x="0"/>
        <item x="1"/>
        <item x="2"/>
        <item x="3"/>
        <item t="default"/>
      </items>
    </pivotField>
    <pivotField showAll="0"/>
    <pivotField axis="axisRow" showAll="0">
      <items count="51">
        <item m="1" x="46"/>
        <item m="1" x="38"/>
        <item m="1" x="35"/>
        <item m="1" x="48"/>
        <item m="1" x="42"/>
        <item m="1" x="13"/>
        <item m="1" x="31"/>
        <item m="1" x="44"/>
        <item m="1" x="40"/>
        <item m="1" x="26"/>
        <item x="12"/>
        <item m="1" x="16"/>
        <item m="1" x="24"/>
        <item m="1" x="47"/>
        <item m="1" x="30"/>
        <item m="1" x="23"/>
        <item m="1" x="21"/>
        <item m="1" x="17"/>
        <item m="1" x="43"/>
        <item m="1" x="33"/>
        <item m="1" x="25"/>
        <item m="1" x="49"/>
        <item m="1" x="20"/>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showAll="0"/>
  </pivotFields>
  <rowFields count="2">
    <field x="1"/>
    <field x="3"/>
  </rowFields>
  <rowItems count="23">
    <i>
      <x v="5"/>
    </i>
    <i r="1">
      <x v="46"/>
    </i>
    <i>
      <x v="6"/>
    </i>
    <i r="1">
      <x v="47"/>
    </i>
    <i>
      <x v="7"/>
    </i>
    <i r="1">
      <x v="48"/>
    </i>
    <i>
      <x v="8"/>
    </i>
    <i r="1">
      <x v="49"/>
    </i>
    <i>
      <x v="9"/>
    </i>
    <i r="1">
      <x v="10"/>
    </i>
    <i>
      <x v="23"/>
    </i>
    <i r="1">
      <x v="38"/>
    </i>
    <i r="1">
      <x v="41"/>
    </i>
    <i>
      <x v="24"/>
    </i>
    <i r="1">
      <x v="39"/>
    </i>
    <i>
      <x v="25"/>
    </i>
    <i r="1">
      <x v="40"/>
    </i>
    <i r="1">
      <x v="44"/>
    </i>
    <i r="1">
      <x v="45"/>
    </i>
    <i>
      <x v="26"/>
    </i>
    <i r="1">
      <x v="42"/>
    </i>
    <i r="1">
      <x v="4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4" firstHeaderRow="1" firstDataRow="1" firstDataCol="1"/>
  <pivotFields count="5">
    <pivotField axis="axisRow" showAll="0">
      <items count="51">
        <item m="1" x="16"/>
        <item m="1" x="24"/>
        <item m="1" x="20"/>
        <item m="1" x="25"/>
        <item m="1" x="30"/>
        <item m="1" x="47"/>
        <item m="1" x="23"/>
        <item m="1" x="17"/>
        <item m="1" x="43"/>
        <item m="1" x="21"/>
        <item m="1" x="33"/>
        <item m="1" x="49"/>
        <item x="12"/>
        <item m="1" x="44"/>
        <item m="1" x="35"/>
        <item m="1" x="31"/>
        <item m="1" x="38"/>
        <item m="1" x="40"/>
        <item m="1" x="26"/>
        <item m="1" x="46"/>
        <item m="1" x="48"/>
        <item m="1" x="42"/>
        <item m="1" x="13"/>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1">
    <i>
      <x v="6"/>
    </i>
    <i r="1">
      <x v="12"/>
    </i>
    <i>
      <x v="8"/>
    </i>
    <i r="1">
      <x v="38"/>
    </i>
    <i r="1">
      <x v="39"/>
    </i>
    <i r="1">
      <x v="40"/>
    </i>
    <i>
      <x v="9"/>
    </i>
    <i r="1">
      <x v="41"/>
    </i>
    <i r="1">
      <x v="42"/>
    </i>
    <i r="1">
      <x v="43"/>
    </i>
    <i r="1">
      <x v="44"/>
    </i>
    <i r="1">
      <x v="45"/>
    </i>
    <i>
      <x v="10"/>
    </i>
    <i r="1">
      <x v="46"/>
    </i>
    <i>
      <x v="11"/>
    </i>
    <i r="1">
      <x v="47"/>
    </i>
    <i>
      <x v="12"/>
    </i>
    <i r="1">
      <x v="48"/>
    </i>
    <i>
      <x v="13"/>
    </i>
    <i r="1">
      <x v="4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6" sqref="A6"/>
    </sheetView>
  </sheetViews>
  <sheetFormatPr defaultRowHeight="14.5"/>
  <cols>
    <col min="1" max="1" width="86.81640625" style="168" customWidth="1"/>
    <col min="2" max="16384" width="8.7265625" style="9"/>
  </cols>
  <sheetData>
    <row r="2" spans="1:1">
      <c r="A2" s="168" t="s">
        <v>1408</v>
      </c>
    </row>
    <row r="3" spans="1:1">
      <c r="A3" s="169" t="s">
        <v>1409</v>
      </c>
    </row>
    <row r="4" spans="1:1">
      <c r="A4" s="169"/>
    </row>
    <row r="5" spans="1:1">
      <c r="A5" s="168" t="s">
        <v>1415</v>
      </c>
    </row>
    <row r="6" spans="1:1" s="168" customFormat="1">
      <c r="A6" s="169" t="s">
        <v>1416</v>
      </c>
    </row>
    <row r="8" spans="1:1">
      <c r="A8" s="168" t="s">
        <v>1418</v>
      </c>
    </row>
    <row r="9" spans="1:1">
      <c r="A9" s="169" t="s">
        <v>1414</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A16" sqref="A16"/>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1377</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1417</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1376</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6" t="s">
        <v>1518</v>
      </c>
      <c r="B1" s="356"/>
    </row>
    <row r="2" spans="1:2" ht="43.5">
      <c r="A2" s="126" t="s">
        <v>1519</v>
      </c>
      <c r="B2" s="126" t="s">
        <v>1520</v>
      </c>
    </row>
    <row r="3" spans="1:2">
      <c r="B3" s="357" t="s">
        <v>1521</v>
      </c>
    </row>
    <row r="4" spans="1:2">
      <c r="B4" s="358" t="s">
        <v>1522</v>
      </c>
    </row>
    <row r="5" spans="1:2" ht="29">
      <c r="B5" s="359" t="s">
        <v>1523</v>
      </c>
    </row>
    <row r="7" spans="1:2" ht="72.5">
      <c r="A7" s="126" t="s">
        <v>1524</v>
      </c>
      <c r="B7" s="126" t="s">
        <v>1525</v>
      </c>
    </row>
    <row r="9" spans="1:2" ht="29">
      <c r="A9" s="126" t="s">
        <v>1526</v>
      </c>
      <c r="B9" s="126" t="s">
        <v>1527</v>
      </c>
    </row>
    <row r="11" spans="1:2">
      <c r="A11" s="356" t="s">
        <v>1528</v>
      </c>
      <c r="B11" s="356"/>
    </row>
    <row r="12" spans="1:2">
      <c r="A12" s="126" t="s">
        <v>1411</v>
      </c>
      <c r="B12" s="126" t="s">
        <v>1529</v>
      </c>
    </row>
    <row r="13" spans="1:2" ht="43.5">
      <c r="A13" s="126" t="s">
        <v>1378</v>
      </c>
      <c r="B13" s="126" t="s">
        <v>1530</v>
      </c>
    </row>
    <row r="14" spans="1:2">
      <c r="A14" s="126" t="s">
        <v>1531</v>
      </c>
      <c r="B14" s="126" t="s">
        <v>1532</v>
      </c>
    </row>
    <row r="15" spans="1:2" ht="58">
      <c r="A15" s="126" t="s">
        <v>1010</v>
      </c>
      <c r="B15" s="126" t="s">
        <v>1533</v>
      </c>
    </row>
    <row r="16" spans="1:2" ht="43.5">
      <c r="A16" s="136" t="s">
        <v>1011</v>
      </c>
      <c r="B16" s="126" t="s">
        <v>1534</v>
      </c>
    </row>
    <row r="17" spans="1:2">
      <c r="A17" s="136" t="s">
        <v>1024</v>
      </c>
      <c r="B17" s="126" t="s">
        <v>1535</v>
      </c>
    </row>
    <row r="18" spans="1:2" ht="29">
      <c r="A18" s="136" t="s">
        <v>1012</v>
      </c>
      <c r="B18" s="126" t="s">
        <v>1536</v>
      </c>
    </row>
    <row r="19" spans="1:2" ht="43.5">
      <c r="A19" s="136" t="s">
        <v>1336</v>
      </c>
      <c r="B19" s="126" t="s">
        <v>1537</v>
      </c>
    </row>
    <row r="20" spans="1:2">
      <c r="A20" s="136" t="s">
        <v>1077</v>
      </c>
      <c r="B20" s="126" t="s">
        <v>1538</v>
      </c>
    </row>
    <row r="21" spans="1:2">
      <c r="A21" s="136" t="s">
        <v>1539</v>
      </c>
    </row>
    <row r="22" spans="1:2">
      <c r="A22" s="136" t="s">
        <v>1540</v>
      </c>
    </row>
    <row r="23" spans="1:2">
      <c r="A23" s="136" t="s">
        <v>1541</v>
      </c>
    </row>
    <row r="24" spans="1:2">
      <c r="A24" s="136" t="s">
        <v>1542</v>
      </c>
    </row>
    <row r="25" spans="1:2">
      <c r="A25" s="136" t="s">
        <v>1017</v>
      </c>
    </row>
    <row r="26" spans="1:2">
      <c r="A26" s="136" t="s">
        <v>1018</v>
      </c>
    </row>
    <row r="27" spans="1:2">
      <c r="A27" s="136" t="s">
        <v>1019</v>
      </c>
    </row>
    <row r="28" spans="1:2">
      <c r="A28" s="136" t="s">
        <v>1412</v>
      </c>
    </row>
    <row r="29" spans="1:2">
      <c r="A29" s="136" t="s">
        <v>1413</v>
      </c>
    </row>
    <row r="30" spans="1:2">
      <c r="A30" s="136" t="s">
        <v>709</v>
      </c>
    </row>
    <row r="31" spans="1:2">
      <c r="A31" s="136" t="s">
        <v>1543</v>
      </c>
    </row>
    <row r="32" spans="1:2">
      <c r="A32" s="136" t="s">
        <v>1015</v>
      </c>
    </row>
    <row r="33" spans="1:1">
      <c r="A33" s="136" t="s">
        <v>1544</v>
      </c>
    </row>
    <row r="34" spans="1:1">
      <c r="A34" s="136" t="s">
        <v>1545</v>
      </c>
    </row>
    <row r="35" spans="1:1">
      <c r="A35" s="136" t="s">
        <v>1546</v>
      </c>
    </row>
    <row r="36" spans="1:1">
      <c r="A36" s="136" t="s">
        <v>1547</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1410</v>
      </c>
      <c r="G2" s="147" t="s">
        <v>1352</v>
      </c>
      <c r="H2" s="147" t="s">
        <v>1353</v>
      </c>
    </row>
    <row r="7" spans="1:31" s="82" customFormat="1">
      <c r="A7" t="s">
        <v>1411</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1378</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1336</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1339</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1340</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1341</v>
      </c>
      <c r="B17" s="147"/>
      <c r="C17" s="147"/>
      <c r="D17" s="147"/>
      <c r="E17" s="147"/>
      <c r="F17" s="147"/>
      <c r="G17" s="147"/>
      <c r="H17" s="147"/>
      <c r="I17" s="140">
        <f t="shared" si="0"/>
        <v>0</v>
      </c>
      <c r="K17" s="141"/>
      <c r="AD17" s="82"/>
      <c r="AE17" s="82"/>
      <c r="AF17" s="82"/>
    </row>
    <row r="18" spans="1:32" s="140" customFormat="1">
      <c r="A18" t="s">
        <v>1342</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1412</v>
      </c>
      <c r="B23" s="147"/>
      <c r="C23" s="147"/>
      <c r="D23" s="147" t="s">
        <v>417</v>
      </c>
      <c r="E23" s="147"/>
      <c r="F23" s="147"/>
      <c r="G23" s="147"/>
      <c r="H23" s="147"/>
      <c r="I23" s="140">
        <f t="shared" si="0"/>
        <v>1</v>
      </c>
      <c r="K23" s="141"/>
      <c r="AD23" s="82"/>
      <c r="AE23" s="82"/>
      <c r="AF23" s="82"/>
    </row>
    <row r="24" spans="1:32" s="140" customFormat="1">
      <c r="A24" t="s">
        <v>1413</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1324</v>
      </c>
      <c r="B26" s="147"/>
      <c r="C26" s="147"/>
      <c r="D26" s="147"/>
      <c r="E26" s="147"/>
      <c r="F26" s="147"/>
      <c r="G26" s="147"/>
      <c r="H26" s="147"/>
      <c r="I26" s="140">
        <f t="shared" si="0"/>
        <v>0</v>
      </c>
      <c r="K26" s="141"/>
      <c r="AD26" s="82"/>
      <c r="AE26" s="82"/>
      <c r="AF26" s="82"/>
    </row>
    <row r="27" spans="1:32" s="140" customFormat="1">
      <c r="A27" t="s">
        <v>1325</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1351</v>
      </c>
      <c r="B29" s="147"/>
      <c r="C29" s="147"/>
      <c r="D29" s="147"/>
      <c r="E29" s="147"/>
      <c r="F29" s="147"/>
      <c r="G29" s="147"/>
      <c r="H29" s="147"/>
      <c r="I29" s="140">
        <f t="shared" si="0"/>
        <v>0</v>
      </c>
      <c r="K29" s="141"/>
      <c r="AD29" s="82"/>
      <c r="AE29" s="82"/>
      <c r="AF29" s="82"/>
    </row>
    <row r="30" spans="1:32">
      <c r="A30" t="s">
        <v>1343</v>
      </c>
      <c r="I30" s="140">
        <f t="shared" si="0"/>
        <v>0</v>
      </c>
    </row>
    <row r="31" spans="1:32">
      <c r="A31" t="s">
        <v>1344</v>
      </c>
    </row>
    <row r="32" spans="1:32">
      <c r="A32" t="s">
        <v>1345</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27" sqref="B27"/>
    </sheetView>
  </sheetViews>
  <sheetFormatPr defaultRowHeight="14.5"/>
  <cols>
    <col min="1" max="1" width="54.26953125" style="9" customWidth="1"/>
    <col min="2" max="2" width="56" style="9" customWidth="1"/>
  </cols>
  <sheetData>
    <row r="1" spans="1:2">
      <c r="A1" s="1" t="s">
        <v>0</v>
      </c>
      <c r="B1" s="24" t="s">
        <v>762</v>
      </c>
    </row>
    <row r="2" spans="1:2">
      <c r="A2" s="2" t="s">
        <v>1</v>
      </c>
      <c r="B2" s="3" t="s">
        <v>1419</v>
      </c>
    </row>
    <row r="3" spans="1:2">
      <c r="A3" s="2" t="s">
        <v>2</v>
      </c>
      <c r="B3" s="3">
        <v>11</v>
      </c>
    </row>
    <row r="4" spans="1:2">
      <c r="A4" s="2" t="s">
        <v>769</v>
      </c>
      <c r="B4" s="3" t="s">
        <v>1420</v>
      </c>
    </row>
    <row r="5" spans="1:2">
      <c r="A5" s="2" t="s">
        <v>3</v>
      </c>
      <c r="B5" s="4">
        <v>54321</v>
      </c>
    </row>
    <row r="6" spans="1:2">
      <c r="A6" s="5" t="s">
        <v>4</v>
      </c>
      <c r="B6" s="5"/>
    </row>
    <row r="7" spans="1:2">
      <c r="A7" s="2" t="s">
        <v>5</v>
      </c>
      <c r="B7" s="6" t="s">
        <v>6</v>
      </c>
    </row>
    <row r="8" spans="1:2">
      <c r="A8" s="2" t="s">
        <v>7</v>
      </c>
      <c r="B8" s="6" t="s">
        <v>8</v>
      </c>
    </row>
    <row r="9" spans="1:2">
      <c r="A9" s="2" t="s">
        <v>9</v>
      </c>
      <c r="B9" s="6" t="s">
        <v>1356</v>
      </c>
    </row>
    <row r="10" spans="1:2" ht="52">
      <c r="A10" s="2" t="s">
        <v>10</v>
      </c>
      <c r="B10" s="6" t="s">
        <v>1357</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1421</v>
      </c>
    </row>
    <row r="17" spans="1:2">
      <c r="A17" s="2" t="s">
        <v>20</v>
      </c>
      <c r="B17" s="28" t="s">
        <v>1422</v>
      </c>
    </row>
    <row r="18" spans="1:2">
      <c r="A18" s="2" t="s">
        <v>21</v>
      </c>
      <c r="B18" s="6" t="s">
        <v>1423</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1424</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1425</v>
      </c>
    </row>
    <row r="29" spans="1:2">
      <c r="A29" s="2" t="s">
        <v>9</v>
      </c>
      <c r="B29" s="6" t="s">
        <v>1426</v>
      </c>
    </row>
    <row r="30" spans="1:2">
      <c r="A30" s="2" t="s">
        <v>12</v>
      </c>
      <c r="B30" s="104" t="s">
        <v>1427</v>
      </c>
    </row>
    <row r="31" spans="1:2">
      <c r="A31" s="2" t="s">
        <v>14</v>
      </c>
      <c r="B31" s="29" t="s">
        <v>1428</v>
      </c>
    </row>
    <row r="32" spans="1:2">
      <c r="A32" s="5" t="s">
        <v>32</v>
      </c>
      <c r="B32" s="5"/>
    </row>
    <row r="33" spans="1:5">
      <c r="A33" s="2" t="s">
        <v>5</v>
      </c>
      <c r="B33" s="6" t="s">
        <v>1429</v>
      </c>
    </row>
    <row r="34" spans="1:5">
      <c r="A34" s="2" t="s">
        <v>7</v>
      </c>
      <c r="B34" s="6" t="s">
        <v>1421</v>
      </c>
    </row>
    <row r="35" spans="1:5">
      <c r="A35" s="2" t="s">
        <v>12</v>
      </c>
      <c r="B35" s="104" t="s">
        <v>1430</v>
      </c>
    </row>
    <row r="36" spans="1:5">
      <c r="A36" s="2" t="s">
        <v>14</v>
      </c>
      <c r="B36" s="29" t="s">
        <v>1431</v>
      </c>
    </row>
    <row r="37" spans="1:5">
      <c r="A37" s="5" t="s">
        <v>33</v>
      </c>
      <c r="B37" s="5"/>
    </row>
    <row r="38" spans="1:5">
      <c r="A38" s="2" t="s">
        <v>5</v>
      </c>
      <c r="B38" s="6" t="s">
        <v>1432</v>
      </c>
    </row>
    <row r="39" spans="1:5">
      <c r="A39" s="2" t="s">
        <v>7</v>
      </c>
      <c r="B39" s="6" t="s">
        <v>787</v>
      </c>
    </row>
    <row r="40" spans="1:5">
      <c r="A40" s="2" t="s">
        <v>9</v>
      </c>
      <c r="B40" s="6" t="s">
        <v>1433</v>
      </c>
    </row>
    <row r="41" spans="1:5">
      <c r="A41" s="2" t="s">
        <v>12</v>
      </c>
      <c r="B41" s="104" t="s">
        <v>787</v>
      </c>
    </row>
    <row r="42" spans="1:5">
      <c r="A42" s="2" t="s">
        <v>14</v>
      </c>
      <c r="B42" s="93" t="s">
        <v>787</v>
      </c>
    </row>
    <row r="43" spans="1:5">
      <c r="A43" s="8" t="s">
        <v>34</v>
      </c>
      <c r="B43" s="5"/>
    </row>
    <row r="44" spans="1:5">
      <c r="A44" s="2" t="s">
        <v>5</v>
      </c>
      <c r="B44" s="6" t="s">
        <v>1434</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31" priority="2" operator="equal">
      <formula>"xxx"</formula>
    </cfRule>
  </conditionalFormatting>
  <conditionalFormatting sqref="B4">
    <cfRule type="cellIs" dxfId="130"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abSelected="1" workbookViewId="0">
      <selection activeCell="B4" sqref="B4"/>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3'!B16</f>
        <v>Company Full Name Ltd.</v>
      </c>
      <c r="C3" s="12" t="s">
        <v>1075</v>
      </c>
    </row>
    <row r="4" spans="1:3">
      <c r="A4" s="12" t="s">
        <v>755</v>
      </c>
      <c r="B4" s="12" t="s">
        <v>1435</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1436</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1437</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0" t="s">
        <v>1400</v>
      </c>
      <c r="C42" s="129" t="s">
        <v>939</v>
      </c>
      <c r="D42" s="136" t="s">
        <v>1181</v>
      </c>
    </row>
    <row r="43" spans="1:4" s="129" customFormat="1" ht="29">
      <c r="A43" s="129" t="s">
        <v>602</v>
      </c>
      <c r="B43" s="341" t="s">
        <v>1401</v>
      </c>
      <c r="C43" s="129" t="s">
        <v>939</v>
      </c>
      <c r="D43" s="136" t="s">
        <v>1181</v>
      </c>
    </row>
    <row r="44" spans="1:4" s="129" customFormat="1">
      <c r="A44" s="129" t="s">
        <v>603</v>
      </c>
      <c r="B44" s="340" t="s">
        <v>1371</v>
      </c>
      <c r="C44" s="129" t="s">
        <v>939</v>
      </c>
      <c r="D44" s="136" t="s">
        <v>1181</v>
      </c>
    </row>
    <row r="45" spans="1:4" s="136" customFormat="1">
      <c r="B45" s="340"/>
    </row>
    <row r="46" spans="1:4" s="136" customFormat="1">
      <c r="A46" s="136" t="s">
        <v>607</v>
      </c>
      <c r="B46" s="341" t="s">
        <v>1375</v>
      </c>
      <c r="C46" s="279" t="s">
        <v>939</v>
      </c>
      <c r="D46" s="136" t="s">
        <v>1181</v>
      </c>
    </row>
    <row r="47" spans="1:4" s="136" customFormat="1">
      <c r="A47" s="136" t="s">
        <v>608</v>
      </c>
      <c r="B47" s="342" t="s">
        <v>1372</v>
      </c>
      <c r="C47" s="279" t="s">
        <v>939</v>
      </c>
      <c r="D47" s="136" t="s">
        <v>1181</v>
      </c>
    </row>
    <row r="48" spans="1:4" s="136" customFormat="1">
      <c r="A48" s="136" t="s">
        <v>609</v>
      </c>
      <c r="B48" s="341" t="s">
        <v>1292</v>
      </c>
      <c r="C48" s="136" t="s">
        <v>939</v>
      </c>
    </row>
    <row r="49" spans="1:3" s="136" customFormat="1">
      <c r="A49" s="136" t="s">
        <v>610</v>
      </c>
      <c r="B49" s="341" t="s">
        <v>640</v>
      </c>
      <c r="C49" s="136" t="s">
        <v>939</v>
      </c>
    </row>
    <row r="50" spans="1:3" s="136" customFormat="1">
      <c r="A50" s="136" t="s">
        <v>611</v>
      </c>
      <c r="B50" s="341" t="s">
        <v>1373</v>
      </c>
      <c r="C50" s="136" t="s">
        <v>939</v>
      </c>
    </row>
    <row r="51" spans="1:3" s="136" customFormat="1">
      <c r="A51" s="136" t="s">
        <v>620</v>
      </c>
      <c r="B51" s="341" t="s">
        <v>1374</v>
      </c>
      <c r="C51" s="136" t="s">
        <v>939</v>
      </c>
    </row>
    <row r="52" spans="1:3" s="55" customFormat="1" ht="15.5">
      <c r="B52" s="343"/>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1" workbookViewId="0">
      <selection activeCell="B3" sqref="B3"/>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1438</v>
      </c>
    </row>
    <row r="6" spans="1:3" s="89" customFormat="1" ht="14.5">
      <c r="A6" s="89" t="s">
        <v>38</v>
      </c>
      <c r="B6" s="89" t="s">
        <v>1439</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0" t="s">
        <v>1440</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2"/>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3"/>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O1" zoomScale="85" zoomScaleNormal="85" workbookViewId="0">
      <selection activeCell="AH5" sqref="AH5"/>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7" t="s">
        <v>1328</v>
      </c>
      <c r="AC1" s="363" t="s">
        <v>1329</v>
      </c>
      <c r="AD1" s="363"/>
      <c r="AE1" s="363"/>
      <c r="AF1" s="363"/>
      <c r="AG1" s="363"/>
      <c r="AH1" s="363"/>
      <c r="AI1" s="363"/>
    </row>
    <row r="2" spans="1:35" s="314" customFormat="1" ht="68">
      <c r="A2" s="308" t="s">
        <v>935</v>
      </c>
      <c r="B2" s="308" t="s">
        <v>19</v>
      </c>
      <c r="C2" s="308" t="s">
        <v>388</v>
      </c>
      <c r="D2" s="308" t="s">
        <v>936</v>
      </c>
      <c r="E2" s="308" t="s">
        <v>1262</v>
      </c>
      <c r="F2" s="309" t="s">
        <v>1263</v>
      </c>
      <c r="G2" s="309" t="s">
        <v>1264</v>
      </c>
      <c r="H2" s="308" t="s">
        <v>1233</v>
      </c>
      <c r="I2" s="310" t="s">
        <v>982</v>
      </c>
      <c r="J2" s="311" t="s">
        <v>937</v>
      </c>
      <c r="K2" s="311" t="s">
        <v>938</v>
      </c>
      <c r="L2" s="311" t="s">
        <v>889</v>
      </c>
      <c r="M2" s="311" t="s">
        <v>939</v>
      </c>
      <c r="N2" s="311" t="s">
        <v>940</v>
      </c>
      <c r="O2" s="311" t="s">
        <v>941</v>
      </c>
      <c r="P2" s="311" t="s">
        <v>942</v>
      </c>
      <c r="Q2" s="311" t="s">
        <v>943</v>
      </c>
      <c r="R2" s="311" t="s">
        <v>944</v>
      </c>
      <c r="S2" s="311" t="s">
        <v>945</v>
      </c>
      <c r="T2" s="311" t="s">
        <v>805</v>
      </c>
      <c r="U2" s="311" t="s">
        <v>946</v>
      </c>
      <c r="V2" s="311" t="s">
        <v>947</v>
      </c>
      <c r="W2" s="311" t="s">
        <v>948</v>
      </c>
      <c r="X2" s="311" t="s">
        <v>949</v>
      </c>
      <c r="Y2" s="311" t="s">
        <v>803</v>
      </c>
      <c r="Z2" s="311" t="s">
        <v>950</v>
      </c>
      <c r="AA2" s="311" t="s">
        <v>951</v>
      </c>
      <c r="AB2" s="310"/>
      <c r="AC2" s="312" t="s">
        <v>1330</v>
      </c>
      <c r="AD2" s="312" t="s">
        <v>1331</v>
      </c>
      <c r="AE2" s="312" t="s">
        <v>1332</v>
      </c>
      <c r="AF2" s="312" t="s">
        <v>1333</v>
      </c>
      <c r="AG2" s="312" t="s">
        <v>1334</v>
      </c>
      <c r="AH2" s="312" t="s">
        <v>1280</v>
      </c>
      <c r="AI2" s="313" t="s">
        <v>1335</v>
      </c>
    </row>
    <row r="3" spans="1:35" s="314" customFormat="1" ht="23.5" customHeight="1">
      <c r="A3" s="315" t="s">
        <v>952</v>
      </c>
      <c r="B3" s="314" t="s">
        <v>1441</v>
      </c>
      <c r="C3" s="315" t="s">
        <v>1442</v>
      </c>
      <c r="D3" s="315" t="s">
        <v>1265</v>
      </c>
      <c r="E3" s="315" t="s">
        <v>1443</v>
      </c>
      <c r="F3" s="316">
        <v>44044</v>
      </c>
      <c r="G3" s="316">
        <v>44166</v>
      </c>
      <c r="H3" s="315" t="s">
        <v>1327</v>
      </c>
      <c r="I3" s="317"/>
      <c r="J3" s="318" t="s">
        <v>1326</v>
      </c>
      <c r="K3" s="318" t="s">
        <v>1326</v>
      </c>
      <c r="L3" s="318"/>
      <c r="M3" s="318" t="s">
        <v>1302</v>
      </c>
      <c r="N3" s="318" t="s">
        <v>1302</v>
      </c>
      <c r="O3" s="318" t="s">
        <v>1302</v>
      </c>
      <c r="P3" s="318"/>
      <c r="Q3" s="318"/>
      <c r="R3" s="318"/>
      <c r="S3" s="318"/>
      <c r="T3" s="318"/>
      <c r="U3" s="318" t="s">
        <v>1326</v>
      </c>
      <c r="V3" s="318" t="s">
        <v>1326</v>
      </c>
      <c r="W3" s="318" t="s">
        <v>1326</v>
      </c>
      <c r="X3" s="318"/>
      <c r="Y3" s="318"/>
      <c r="Z3" s="318"/>
      <c r="AA3" s="318"/>
      <c r="AB3" s="317">
        <v>8</v>
      </c>
      <c r="AC3" s="319" t="s">
        <v>417</v>
      </c>
      <c r="AD3" s="319" t="s">
        <v>417</v>
      </c>
      <c r="AE3" s="319"/>
      <c r="AF3" s="319"/>
      <c r="AG3" s="319"/>
      <c r="AH3" s="319"/>
      <c r="AI3" s="320"/>
    </row>
    <row r="4" spans="1:35" s="314" customFormat="1" ht="23.5" customHeight="1">
      <c r="A4" s="315" t="s">
        <v>953</v>
      </c>
      <c r="B4" s="314" t="s">
        <v>1444</v>
      </c>
      <c r="C4" s="315" t="s">
        <v>1445</v>
      </c>
      <c r="D4" s="315" t="s">
        <v>1265</v>
      </c>
      <c r="E4" s="315" t="s">
        <v>1443</v>
      </c>
      <c r="F4" s="321">
        <v>43966</v>
      </c>
      <c r="G4" s="321">
        <v>44148</v>
      </c>
      <c r="H4" s="315" t="s">
        <v>1327</v>
      </c>
      <c r="I4" s="317"/>
      <c r="J4" s="318"/>
      <c r="K4" s="318"/>
      <c r="L4" s="318"/>
      <c r="M4" s="318"/>
      <c r="N4" s="318"/>
      <c r="O4" s="318"/>
      <c r="P4" s="318"/>
      <c r="Q4" s="318"/>
      <c r="R4" s="318"/>
      <c r="S4" s="318" t="s">
        <v>1302</v>
      </c>
      <c r="T4" s="318"/>
      <c r="U4" s="318"/>
      <c r="V4" s="318"/>
      <c r="W4" s="318"/>
      <c r="X4" s="318"/>
      <c r="Y4" s="318"/>
      <c r="Z4" s="318"/>
      <c r="AA4" s="318"/>
      <c r="AB4" s="317">
        <v>7</v>
      </c>
      <c r="AC4" s="319"/>
      <c r="AD4" s="319" t="s">
        <v>417</v>
      </c>
      <c r="AE4" s="319"/>
      <c r="AF4" s="319"/>
      <c r="AG4" s="319"/>
      <c r="AH4" s="319"/>
      <c r="AI4" s="320"/>
    </row>
    <row r="5" spans="1:35" s="314" customFormat="1" ht="23.5" customHeight="1">
      <c r="A5" s="315" t="s">
        <v>954</v>
      </c>
      <c r="B5" s="314" t="s">
        <v>1446</v>
      </c>
      <c r="C5" s="315" t="s">
        <v>1447</v>
      </c>
      <c r="D5" s="315" t="s">
        <v>1265</v>
      </c>
      <c r="E5" s="315" t="s">
        <v>1443</v>
      </c>
      <c r="F5" s="321">
        <v>43900</v>
      </c>
      <c r="G5" s="321">
        <v>44104</v>
      </c>
      <c r="H5" s="315" t="s">
        <v>1327</v>
      </c>
      <c r="I5" s="317"/>
      <c r="J5" s="318" t="s">
        <v>1302</v>
      </c>
      <c r="K5" s="318" t="s">
        <v>1302</v>
      </c>
      <c r="L5" s="318"/>
      <c r="M5" s="318"/>
      <c r="N5" s="318"/>
      <c r="O5" s="318"/>
      <c r="P5" s="318"/>
      <c r="Q5" s="318"/>
      <c r="R5" s="318"/>
      <c r="S5" s="318"/>
      <c r="T5" s="318"/>
      <c r="U5" s="318"/>
      <c r="V5" s="318"/>
      <c r="W5" s="318"/>
      <c r="X5" s="318"/>
      <c r="Y5" s="318"/>
      <c r="Z5" s="318"/>
      <c r="AA5" s="318"/>
      <c r="AB5" s="317">
        <v>8</v>
      </c>
      <c r="AC5" s="319"/>
      <c r="AD5" s="319"/>
      <c r="AE5" s="319"/>
      <c r="AF5" s="319"/>
      <c r="AG5" s="319"/>
      <c r="AH5" s="319"/>
      <c r="AI5" s="320"/>
    </row>
    <row r="6" spans="1:35" s="314" customFormat="1" ht="23.5" customHeight="1">
      <c r="A6" s="315" t="s">
        <v>955</v>
      </c>
      <c r="B6" s="314" t="s">
        <v>1448</v>
      </c>
      <c r="C6" s="321" t="s">
        <v>1449</v>
      </c>
      <c r="D6" s="315" t="s">
        <v>1265</v>
      </c>
      <c r="E6" s="315" t="s">
        <v>1450</v>
      </c>
      <c r="F6" s="321">
        <v>44086</v>
      </c>
      <c r="G6" s="321">
        <v>44237</v>
      </c>
      <c r="H6" s="315" t="s">
        <v>1327</v>
      </c>
      <c r="I6" s="317"/>
      <c r="J6" s="318"/>
      <c r="K6" s="318"/>
      <c r="L6" s="318"/>
      <c r="M6" s="318" t="s">
        <v>1326</v>
      </c>
      <c r="N6" s="318" t="s">
        <v>1326</v>
      </c>
      <c r="O6" s="318" t="s">
        <v>1326</v>
      </c>
      <c r="P6" s="318"/>
      <c r="Q6" s="318"/>
      <c r="R6" s="318"/>
      <c r="S6" s="318" t="s">
        <v>1326</v>
      </c>
      <c r="T6" s="318"/>
      <c r="U6" s="318" t="s">
        <v>1302</v>
      </c>
      <c r="V6" s="318" t="s">
        <v>1302</v>
      </c>
      <c r="W6" s="318" t="s">
        <v>1302</v>
      </c>
      <c r="X6" s="318"/>
      <c r="Y6" s="318"/>
      <c r="Z6" s="318"/>
      <c r="AA6" s="318"/>
      <c r="AB6" s="317">
        <v>7</v>
      </c>
      <c r="AC6" s="319" t="s">
        <v>417</v>
      </c>
      <c r="AD6" s="319" t="s">
        <v>417</v>
      </c>
      <c r="AE6" s="319"/>
      <c r="AF6" s="319"/>
      <c r="AG6" s="319"/>
      <c r="AH6" s="319"/>
      <c r="AI6" s="320"/>
    </row>
    <row r="7" spans="1:35" s="314" customFormat="1" ht="23.5" customHeight="1">
      <c r="A7" s="315" t="s">
        <v>956</v>
      </c>
      <c r="B7" s="314" t="s">
        <v>1451</v>
      </c>
      <c r="C7" s="321" t="s">
        <v>1452</v>
      </c>
      <c r="D7" s="315" t="s">
        <v>1265</v>
      </c>
      <c r="E7" s="321" t="s">
        <v>1453</v>
      </c>
      <c r="F7" s="321">
        <v>44150</v>
      </c>
      <c r="G7" s="321">
        <v>44279</v>
      </c>
      <c r="H7" s="315" t="s">
        <v>1327</v>
      </c>
      <c r="I7" s="317"/>
      <c r="J7" s="318"/>
      <c r="K7" s="318"/>
      <c r="L7" s="318"/>
      <c r="M7" s="318"/>
      <c r="N7" s="318"/>
      <c r="O7" s="318"/>
      <c r="P7" s="318"/>
      <c r="Q7" s="318"/>
      <c r="R7" s="318"/>
      <c r="S7" s="318"/>
      <c r="T7" s="318"/>
      <c r="U7" s="318"/>
      <c r="V7" s="318"/>
      <c r="W7" s="318"/>
      <c r="X7" s="318"/>
      <c r="Y7" s="318"/>
      <c r="Z7" s="318"/>
      <c r="AA7" s="318"/>
      <c r="AB7" s="322">
        <v>7</v>
      </c>
      <c r="AC7" s="319"/>
      <c r="AD7" s="319"/>
      <c r="AE7" s="319"/>
      <c r="AF7" s="319"/>
      <c r="AG7" s="319"/>
      <c r="AH7" s="319"/>
      <c r="AI7" s="320"/>
    </row>
    <row r="8" spans="1:35" s="314" customFormat="1" ht="23.5" customHeight="1">
      <c r="A8" s="315" t="s">
        <v>1323</v>
      </c>
      <c r="B8" s="314" t="s">
        <v>1454</v>
      </c>
      <c r="C8" s="321" t="s">
        <v>1455</v>
      </c>
      <c r="D8" s="315" t="s">
        <v>1265</v>
      </c>
      <c r="E8" s="321" t="s">
        <v>1450</v>
      </c>
      <c r="F8" s="321">
        <v>44073</v>
      </c>
      <c r="G8" s="321">
        <v>44293</v>
      </c>
      <c r="H8" s="315" t="s">
        <v>1327</v>
      </c>
      <c r="I8" s="317"/>
      <c r="J8" s="318"/>
      <c r="K8" s="318"/>
      <c r="L8" s="318"/>
      <c r="M8" s="318"/>
      <c r="N8" s="318"/>
      <c r="O8" s="318"/>
      <c r="P8" s="318"/>
      <c r="Q8" s="318"/>
      <c r="R8" s="318"/>
      <c r="S8" s="318"/>
      <c r="T8" s="318"/>
      <c r="U8" s="318"/>
      <c r="V8" s="318"/>
      <c r="W8" s="318"/>
      <c r="X8" s="318"/>
      <c r="Y8" s="318"/>
      <c r="Z8" s="318"/>
      <c r="AA8" s="318"/>
      <c r="AB8" s="322">
        <v>7</v>
      </c>
      <c r="AC8" s="319"/>
      <c r="AD8" s="319"/>
      <c r="AE8" s="319"/>
      <c r="AF8" s="319"/>
      <c r="AG8" s="319"/>
      <c r="AH8" s="319"/>
      <c r="AI8" s="320"/>
    </row>
    <row r="9" spans="1:35" s="314" customFormat="1" ht="26">
      <c r="A9" s="323" t="s">
        <v>958</v>
      </c>
      <c r="B9" s="323" t="s">
        <v>1034</v>
      </c>
      <c r="C9" s="323" t="s">
        <v>1266</v>
      </c>
      <c r="D9" s="323" t="s">
        <v>1267</v>
      </c>
      <c r="E9" s="324"/>
      <c r="F9" s="325"/>
      <c r="G9" s="325"/>
      <c r="H9" s="315" t="s">
        <v>1327</v>
      </c>
      <c r="I9" s="318"/>
      <c r="J9" s="318"/>
      <c r="K9" s="318"/>
      <c r="L9" s="318"/>
      <c r="M9" s="318"/>
      <c r="N9" s="318"/>
      <c r="O9" s="318"/>
      <c r="P9" s="318"/>
      <c r="Q9" s="318"/>
      <c r="R9" s="318"/>
      <c r="S9" s="318"/>
      <c r="T9" s="318"/>
      <c r="U9" s="318"/>
      <c r="V9" s="318"/>
      <c r="W9" s="318"/>
      <c r="X9" s="318"/>
      <c r="Y9" s="318" t="s">
        <v>1302</v>
      </c>
      <c r="Z9" s="318"/>
      <c r="AA9" s="318"/>
      <c r="AB9" s="322">
        <v>1</v>
      </c>
      <c r="AC9" s="319"/>
      <c r="AD9" s="319"/>
      <c r="AE9" s="319" t="s">
        <v>417</v>
      </c>
      <c r="AF9" s="319"/>
      <c r="AG9" s="319"/>
      <c r="AH9" s="319"/>
      <c r="AI9" s="320"/>
    </row>
    <row r="10" spans="1:35" s="314" customFormat="1" ht="65">
      <c r="A10" s="323" t="s">
        <v>959</v>
      </c>
      <c r="B10" s="323" t="s">
        <v>1035</v>
      </c>
      <c r="C10" s="323" t="s">
        <v>1268</v>
      </c>
      <c r="D10" s="323" t="s">
        <v>1267</v>
      </c>
      <c r="E10" s="324"/>
      <c r="F10" s="325"/>
      <c r="G10" s="325"/>
      <c r="H10" s="315" t="s">
        <v>1327</v>
      </c>
      <c r="I10" s="318"/>
      <c r="J10" s="318"/>
      <c r="K10" s="318"/>
      <c r="L10" s="318"/>
      <c r="M10" s="318"/>
      <c r="N10" s="318"/>
      <c r="O10" s="318"/>
      <c r="P10" s="318" t="s">
        <v>1302</v>
      </c>
      <c r="Q10" s="318" t="s">
        <v>1302</v>
      </c>
      <c r="R10" s="318" t="s">
        <v>1302</v>
      </c>
      <c r="S10" s="318"/>
      <c r="T10" s="318"/>
      <c r="U10" s="318"/>
      <c r="V10" s="318"/>
      <c r="W10" s="318"/>
      <c r="X10" s="318" t="s">
        <v>1302</v>
      </c>
      <c r="Y10" s="318"/>
      <c r="Z10" s="318" t="s">
        <v>1302</v>
      </c>
      <c r="AA10" s="318"/>
      <c r="AB10" s="322">
        <v>1</v>
      </c>
      <c r="AC10" s="319"/>
      <c r="AD10" s="319"/>
      <c r="AE10" s="319"/>
      <c r="AF10" s="319" t="s">
        <v>417</v>
      </c>
      <c r="AG10" s="319"/>
      <c r="AH10" s="319"/>
      <c r="AI10" s="320"/>
    </row>
    <row r="11" spans="1:35" s="314" customFormat="1" ht="39">
      <c r="A11" s="323" t="s">
        <v>960</v>
      </c>
      <c r="B11" s="323" t="s">
        <v>1036</v>
      </c>
      <c r="C11" s="323" t="s">
        <v>1269</v>
      </c>
      <c r="D11" s="323" t="s">
        <v>1267</v>
      </c>
      <c r="E11" s="324"/>
      <c r="F11" s="325"/>
      <c r="G11" s="325"/>
      <c r="H11" s="315" t="s">
        <v>1327</v>
      </c>
      <c r="I11" s="318"/>
      <c r="J11" s="318"/>
      <c r="K11" s="318"/>
      <c r="L11" s="318"/>
      <c r="M11" s="318"/>
      <c r="N11" s="318"/>
      <c r="O11" s="318"/>
      <c r="P11" s="318"/>
      <c r="Q11" s="318"/>
      <c r="R11" s="318"/>
      <c r="S11" s="318"/>
      <c r="T11" s="318" t="s">
        <v>1302</v>
      </c>
      <c r="U11" s="318"/>
      <c r="V11" s="318"/>
      <c r="W11" s="318"/>
      <c r="X11" s="318"/>
      <c r="Y11" s="318"/>
      <c r="Z11" s="318"/>
      <c r="AA11" s="318"/>
      <c r="AB11" s="322">
        <v>1</v>
      </c>
      <c r="AC11" s="319"/>
      <c r="AD11" s="319"/>
      <c r="AE11" s="319"/>
      <c r="AF11" s="319"/>
      <c r="AG11" s="319" t="s">
        <v>417</v>
      </c>
      <c r="AH11" s="319"/>
      <c r="AI11" s="320"/>
    </row>
    <row r="12" spans="1:35" s="314" customFormat="1" ht="26">
      <c r="A12" s="323" t="s">
        <v>961</v>
      </c>
      <c r="B12" s="323" t="s">
        <v>1037</v>
      </c>
      <c r="C12" s="323" t="s">
        <v>1270</v>
      </c>
      <c r="D12" s="323" t="s">
        <v>1267</v>
      </c>
      <c r="E12" s="324"/>
      <c r="F12" s="325"/>
      <c r="G12" s="325"/>
      <c r="H12" s="315" t="s">
        <v>1327</v>
      </c>
      <c r="I12" s="318"/>
      <c r="J12" s="318"/>
      <c r="K12" s="318"/>
      <c r="L12" s="318" t="s">
        <v>1302</v>
      </c>
      <c r="M12" s="318"/>
      <c r="N12" s="318"/>
      <c r="O12" s="318"/>
      <c r="P12" s="318"/>
      <c r="Q12" s="318"/>
      <c r="R12" s="318"/>
      <c r="S12" s="318"/>
      <c r="T12" s="318"/>
      <c r="U12" s="318"/>
      <c r="V12" s="318"/>
      <c r="W12" s="318"/>
      <c r="X12" s="318"/>
      <c r="Y12" s="318"/>
      <c r="Z12" s="318"/>
      <c r="AA12" s="318"/>
      <c r="AB12" s="322">
        <v>1</v>
      </c>
      <c r="AC12" s="319"/>
      <c r="AD12" s="319"/>
      <c r="AE12" s="319"/>
      <c r="AF12" s="319"/>
      <c r="AG12" s="319"/>
      <c r="AH12" s="319" t="s">
        <v>417</v>
      </c>
      <c r="AI12" s="320"/>
    </row>
    <row r="13" spans="1:35" s="314" customFormat="1" ht="13">
      <c r="A13" s="323" t="s">
        <v>970</v>
      </c>
      <c r="B13" s="323" t="s">
        <v>1271</v>
      </c>
      <c r="C13" s="323" t="s">
        <v>1272</v>
      </c>
      <c r="D13" s="323" t="s">
        <v>1267</v>
      </c>
      <c r="E13" s="324"/>
      <c r="F13" s="325"/>
      <c r="G13" s="325"/>
      <c r="H13" s="315" t="s">
        <v>1327</v>
      </c>
      <c r="I13" s="318"/>
      <c r="J13" s="318"/>
      <c r="K13" s="318"/>
      <c r="L13" s="318"/>
      <c r="M13" s="318"/>
      <c r="N13" s="318"/>
      <c r="O13" s="318"/>
      <c r="P13" s="318"/>
      <c r="Q13" s="318"/>
      <c r="R13" s="318"/>
      <c r="S13" s="318"/>
      <c r="T13" s="318"/>
      <c r="U13" s="318"/>
      <c r="V13" s="318"/>
      <c r="W13" s="318"/>
      <c r="X13" s="318"/>
      <c r="Y13" s="318"/>
      <c r="Z13" s="318"/>
      <c r="AA13" s="318"/>
      <c r="AB13" s="322">
        <v>1</v>
      </c>
      <c r="AC13" s="319"/>
      <c r="AD13" s="319"/>
      <c r="AE13" s="319"/>
      <c r="AF13" s="319"/>
      <c r="AG13" s="319"/>
      <c r="AH13" s="319"/>
      <c r="AI13" s="320"/>
    </row>
  </sheetData>
  <sortState xmlns:xlrd2="http://schemas.microsoft.com/office/spreadsheetml/2017/richdata2" ref="A3:AA7">
    <sortCondition ref="A3:A7"/>
  </sortState>
  <mergeCells count="1">
    <mergeCell ref="AC1:AI1"/>
  </mergeCells>
  <conditionalFormatting sqref="J3:AA15">
    <cfRule type="cellIs" dxfId="129" priority="5" operator="equal">
      <formula>"s"</formula>
    </cfRule>
    <cfRule type="cellIs" dxfId="128" priority="6" operator="equal">
      <formula>"a"</formula>
    </cfRule>
  </conditionalFormatting>
  <conditionalFormatting sqref="AC3:AH13">
    <cfRule type="cellIs" dxfId="127"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7">
        <f t="shared" ref="F1:Y1" si="0">COUNTA(F3:F1048576)</f>
        <v>8</v>
      </c>
      <c r="G1" s="307">
        <f t="shared" si="0"/>
        <v>1</v>
      </c>
      <c r="H1" s="307">
        <f t="shared" si="0"/>
        <v>13</v>
      </c>
      <c r="I1" s="307">
        <f t="shared" si="0"/>
        <v>6</v>
      </c>
      <c r="J1" s="307">
        <f t="shared" si="0"/>
        <v>0</v>
      </c>
      <c r="K1" s="307">
        <f t="shared" si="0"/>
        <v>0</v>
      </c>
      <c r="L1" s="307">
        <f t="shared" si="0"/>
        <v>2</v>
      </c>
      <c r="M1" s="307">
        <f t="shared" si="0"/>
        <v>6</v>
      </c>
      <c r="N1" s="307">
        <f t="shared" si="0"/>
        <v>1</v>
      </c>
      <c r="O1" s="307">
        <f t="shared" si="0"/>
        <v>28</v>
      </c>
      <c r="P1" s="307">
        <f t="shared" si="0"/>
        <v>6</v>
      </c>
      <c r="Q1" s="307">
        <f t="shared" si="0"/>
        <v>2</v>
      </c>
      <c r="R1" s="307">
        <f t="shared" si="0"/>
        <v>2</v>
      </c>
      <c r="S1" s="307">
        <f t="shared" si="0"/>
        <v>1</v>
      </c>
      <c r="T1" s="307">
        <f t="shared" si="0"/>
        <v>6</v>
      </c>
      <c r="U1" s="307">
        <f t="shared" si="0"/>
        <v>6</v>
      </c>
      <c r="V1" s="307">
        <f t="shared" si="0"/>
        <v>6</v>
      </c>
      <c r="W1" s="307">
        <f t="shared" si="0"/>
        <v>11</v>
      </c>
      <c r="X1" s="307">
        <f t="shared" si="0"/>
        <v>12</v>
      </c>
      <c r="Y1" s="307">
        <f t="shared" si="0"/>
        <v>0</v>
      </c>
    </row>
    <row r="2" spans="1:25" s="65" customFormat="1">
      <c r="A2" s="351" t="s">
        <v>935</v>
      </c>
      <c r="B2" s="351" t="s">
        <v>962</v>
      </c>
      <c r="C2" s="351" t="s">
        <v>19</v>
      </c>
      <c r="D2" s="351" t="s">
        <v>963</v>
      </c>
      <c r="E2" s="351" t="s">
        <v>964</v>
      </c>
      <c r="F2" s="352" t="s">
        <v>949</v>
      </c>
      <c r="G2" s="352" t="s">
        <v>803</v>
      </c>
      <c r="H2" s="352" t="s">
        <v>950</v>
      </c>
      <c r="I2" s="352" t="s">
        <v>946</v>
      </c>
      <c r="J2" s="352" t="s">
        <v>965</v>
      </c>
      <c r="K2" s="352" t="s">
        <v>966</v>
      </c>
      <c r="L2" s="352" t="s">
        <v>942</v>
      </c>
      <c r="M2" s="352" t="s">
        <v>947</v>
      </c>
      <c r="N2" s="352" t="s">
        <v>805</v>
      </c>
      <c r="O2" s="352" t="s">
        <v>939</v>
      </c>
      <c r="P2" s="352" t="s">
        <v>948</v>
      </c>
      <c r="Q2" s="352" t="s">
        <v>943</v>
      </c>
      <c r="R2" s="352" t="s">
        <v>944</v>
      </c>
      <c r="S2" s="352" t="s">
        <v>889</v>
      </c>
      <c r="T2" s="352" t="s">
        <v>937</v>
      </c>
      <c r="U2" s="352" t="s">
        <v>940</v>
      </c>
      <c r="V2" s="352" t="s">
        <v>945</v>
      </c>
      <c r="W2" s="352" t="s">
        <v>938</v>
      </c>
      <c r="X2" s="352" t="s">
        <v>941</v>
      </c>
      <c r="Y2" s="352" t="s">
        <v>951</v>
      </c>
    </row>
    <row r="3" spans="1:25">
      <c r="A3" s="353" t="s">
        <v>952</v>
      </c>
      <c r="B3" s="353" t="s">
        <v>1441</v>
      </c>
      <c r="C3" s="353" t="s">
        <v>1456</v>
      </c>
      <c r="D3" s="353" t="s">
        <v>1277</v>
      </c>
      <c r="E3" s="353" t="s">
        <v>1260</v>
      </c>
      <c r="F3" s="354"/>
      <c r="G3" s="354"/>
      <c r="H3" s="354"/>
      <c r="I3" s="354"/>
      <c r="J3" s="354"/>
      <c r="K3" s="354"/>
      <c r="L3" s="354"/>
      <c r="M3" s="354"/>
      <c r="N3" s="354"/>
      <c r="O3" s="354" t="s">
        <v>417</v>
      </c>
      <c r="P3" s="354"/>
      <c r="Q3" s="354"/>
      <c r="R3" s="354"/>
      <c r="S3" s="354"/>
      <c r="T3" s="354" t="s">
        <v>417</v>
      </c>
      <c r="U3" s="354" t="s">
        <v>417</v>
      </c>
      <c r="V3" s="354"/>
      <c r="W3" s="354" t="s">
        <v>417</v>
      </c>
      <c r="X3" s="354" t="s">
        <v>417</v>
      </c>
      <c r="Y3" s="354"/>
    </row>
    <row r="4" spans="1:25">
      <c r="A4" s="353" t="s">
        <v>952</v>
      </c>
      <c r="B4" s="353" t="s">
        <v>1441</v>
      </c>
      <c r="C4" s="353" t="s">
        <v>1457</v>
      </c>
      <c r="D4" s="353" t="s">
        <v>1276</v>
      </c>
      <c r="E4" s="353" t="s">
        <v>1260</v>
      </c>
      <c r="F4" s="354" t="s">
        <v>417</v>
      </c>
      <c r="G4" s="354"/>
      <c r="H4" s="354" t="s">
        <v>417</v>
      </c>
      <c r="I4" s="354" t="s">
        <v>417</v>
      </c>
      <c r="J4" s="354"/>
      <c r="K4" s="354"/>
      <c r="L4" s="354"/>
      <c r="M4" s="354" t="s">
        <v>417</v>
      </c>
      <c r="N4" s="354"/>
      <c r="O4" s="354" t="s">
        <v>417</v>
      </c>
      <c r="P4" s="354" t="s">
        <v>417</v>
      </c>
      <c r="Q4" s="354"/>
      <c r="R4" s="354"/>
      <c r="S4" s="354"/>
      <c r="T4" s="354"/>
      <c r="U4" s="354"/>
      <c r="V4" s="354" t="s">
        <v>417</v>
      </c>
      <c r="W4" s="354"/>
      <c r="X4" s="354"/>
      <c r="Y4" s="354"/>
    </row>
    <row r="5" spans="1:25">
      <c r="A5" s="353" t="s">
        <v>952</v>
      </c>
      <c r="B5" s="353" t="s">
        <v>1441</v>
      </c>
      <c r="C5" s="353" t="s">
        <v>1458</v>
      </c>
      <c r="D5" s="353" t="s">
        <v>1278</v>
      </c>
      <c r="E5" s="353" t="s">
        <v>1260</v>
      </c>
      <c r="F5" s="354"/>
      <c r="G5" s="354"/>
      <c r="H5" s="354"/>
      <c r="I5" s="354"/>
      <c r="J5" s="354"/>
      <c r="K5" s="354"/>
      <c r="L5" s="354"/>
      <c r="M5" s="354"/>
      <c r="N5" s="354"/>
      <c r="O5" s="354" t="s">
        <v>417</v>
      </c>
      <c r="P5" s="354"/>
      <c r="Q5" s="354"/>
      <c r="R5" s="354"/>
      <c r="S5" s="354"/>
      <c r="T5" s="354"/>
      <c r="U5" s="354"/>
      <c r="V5" s="354"/>
      <c r="W5" s="354"/>
      <c r="X5" s="354" t="s">
        <v>417</v>
      </c>
      <c r="Y5" s="354"/>
    </row>
    <row r="6" spans="1:25">
      <c r="A6" s="353" t="s">
        <v>953</v>
      </c>
      <c r="B6" s="353" t="s">
        <v>1444</v>
      </c>
      <c r="C6" s="353" t="s">
        <v>1459</v>
      </c>
      <c r="D6" s="353" t="s">
        <v>967</v>
      </c>
      <c r="E6" s="353" t="s">
        <v>1260</v>
      </c>
      <c r="F6" s="354"/>
      <c r="G6" s="354"/>
      <c r="H6" s="354" t="s">
        <v>417</v>
      </c>
      <c r="I6" s="354"/>
      <c r="J6" s="354"/>
      <c r="K6" s="354"/>
      <c r="L6" s="354"/>
      <c r="M6" s="354"/>
      <c r="N6" s="354"/>
      <c r="O6" s="354" t="s">
        <v>417</v>
      </c>
      <c r="P6" s="354"/>
      <c r="Q6" s="354"/>
      <c r="R6" s="354"/>
      <c r="S6" s="354"/>
      <c r="T6" s="354"/>
      <c r="U6" s="354" t="s">
        <v>417</v>
      </c>
      <c r="V6" s="354"/>
      <c r="W6" s="354"/>
      <c r="X6" s="354"/>
      <c r="Y6" s="354"/>
    </row>
    <row r="7" spans="1:25">
      <c r="A7" s="353" t="s">
        <v>953</v>
      </c>
      <c r="B7" s="353" t="s">
        <v>1444</v>
      </c>
      <c r="C7" s="353" t="s">
        <v>1460</v>
      </c>
      <c r="D7" s="353" t="s">
        <v>969</v>
      </c>
      <c r="E7" s="353" t="s">
        <v>1260</v>
      </c>
      <c r="F7" s="354"/>
      <c r="G7" s="354"/>
      <c r="H7" s="354"/>
      <c r="I7" s="354"/>
      <c r="J7" s="354"/>
      <c r="K7" s="354"/>
      <c r="L7" s="354"/>
      <c r="M7" s="354"/>
      <c r="N7" s="354"/>
      <c r="O7" s="354" t="s">
        <v>417</v>
      </c>
      <c r="P7" s="354"/>
      <c r="Q7" s="354"/>
      <c r="R7" s="354"/>
      <c r="S7" s="354"/>
      <c r="T7" s="354"/>
      <c r="U7" s="354"/>
      <c r="V7" s="354"/>
      <c r="W7" s="354" t="s">
        <v>417</v>
      </c>
      <c r="X7" s="354"/>
      <c r="Y7" s="354"/>
    </row>
    <row r="8" spans="1:25">
      <c r="A8" s="353" t="s">
        <v>953</v>
      </c>
      <c r="B8" s="353" t="s">
        <v>1444</v>
      </c>
      <c r="C8" s="353" t="s">
        <v>1461</v>
      </c>
      <c r="D8" s="353" t="s">
        <v>1277</v>
      </c>
      <c r="E8" s="353" t="s">
        <v>1260</v>
      </c>
      <c r="F8" s="354"/>
      <c r="G8" s="354"/>
      <c r="H8" s="354"/>
      <c r="I8" s="354"/>
      <c r="J8" s="354"/>
      <c r="K8" s="354"/>
      <c r="L8" s="354"/>
      <c r="M8" s="354"/>
      <c r="N8" s="354"/>
      <c r="O8" s="354" t="s">
        <v>417</v>
      </c>
      <c r="P8" s="354"/>
      <c r="Q8" s="354"/>
      <c r="R8" s="354"/>
      <c r="S8" s="354"/>
      <c r="T8" s="354" t="s">
        <v>417</v>
      </c>
      <c r="U8" s="354"/>
      <c r="V8" s="354"/>
      <c r="W8" s="354" t="s">
        <v>417</v>
      </c>
      <c r="X8" s="354" t="s">
        <v>417</v>
      </c>
      <c r="Y8" s="354"/>
    </row>
    <row r="9" spans="1:25">
      <c r="A9" s="353" t="s">
        <v>953</v>
      </c>
      <c r="B9" s="353" t="s">
        <v>1444</v>
      </c>
      <c r="C9" s="353" t="s">
        <v>1462</v>
      </c>
      <c r="D9" s="353" t="s">
        <v>1276</v>
      </c>
      <c r="E9" s="353" t="s">
        <v>1260</v>
      </c>
      <c r="F9" s="354" t="s">
        <v>417</v>
      </c>
      <c r="G9" s="354"/>
      <c r="H9" s="354" t="s">
        <v>417</v>
      </c>
      <c r="I9" s="354" t="s">
        <v>417</v>
      </c>
      <c r="J9" s="354"/>
      <c r="K9" s="354"/>
      <c r="L9" s="354"/>
      <c r="M9" s="354" t="s">
        <v>417</v>
      </c>
      <c r="N9" s="354"/>
      <c r="O9" s="354" t="s">
        <v>417</v>
      </c>
      <c r="P9" s="354" t="s">
        <v>417</v>
      </c>
      <c r="Q9" s="354"/>
      <c r="R9" s="354"/>
      <c r="S9" s="354"/>
      <c r="T9" s="354"/>
      <c r="U9" s="354"/>
      <c r="V9" s="354" t="s">
        <v>417</v>
      </c>
      <c r="W9" s="354"/>
      <c r="X9" s="354"/>
      <c r="Y9" s="354"/>
    </row>
    <row r="10" spans="1:25">
      <c r="A10" s="353" t="s">
        <v>953</v>
      </c>
      <c r="B10" s="353" t="s">
        <v>1444</v>
      </c>
      <c r="C10" s="353" t="s">
        <v>1463</v>
      </c>
      <c r="D10" s="353" t="s">
        <v>1278</v>
      </c>
      <c r="E10" s="353" t="s">
        <v>1260</v>
      </c>
      <c r="F10" s="354"/>
      <c r="G10" s="354"/>
      <c r="H10" s="354"/>
      <c r="I10" s="354"/>
      <c r="J10" s="354"/>
      <c r="K10" s="354"/>
      <c r="L10" s="354"/>
      <c r="M10" s="354"/>
      <c r="N10" s="354"/>
      <c r="O10" s="354" t="s">
        <v>417</v>
      </c>
      <c r="P10" s="354"/>
      <c r="Q10" s="354"/>
      <c r="R10" s="354"/>
      <c r="S10" s="354"/>
      <c r="T10" s="354"/>
      <c r="U10" s="354"/>
      <c r="V10" s="354"/>
      <c r="W10" s="354"/>
      <c r="X10" s="354" t="s">
        <v>417</v>
      </c>
      <c r="Y10" s="354"/>
    </row>
    <row r="11" spans="1:25">
      <c r="A11" s="353" t="s">
        <v>954</v>
      </c>
      <c r="B11" s="353" t="s">
        <v>1446</v>
      </c>
      <c r="C11" s="353" t="s">
        <v>1464</v>
      </c>
      <c r="D11" s="353" t="s">
        <v>967</v>
      </c>
      <c r="E11" s="353" t="s">
        <v>1260</v>
      </c>
      <c r="F11" s="354"/>
      <c r="G11" s="354"/>
      <c r="H11" s="354" t="s">
        <v>417</v>
      </c>
      <c r="I11" s="354"/>
      <c r="J11" s="354"/>
      <c r="K11" s="354"/>
      <c r="L11" s="354"/>
      <c r="M11" s="354"/>
      <c r="N11" s="354"/>
      <c r="O11" s="354" t="s">
        <v>417</v>
      </c>
      <c r="P11" s="354"/>
      <c r="Q11" s="354"/>
      <c r="R11" s="354"/>
      <c r="S11" s="354"/>
      <c r="T11" s="354"/>
      <c r="U11" s="354" t="s">
        <v>417</v>
      </c>
      <c r="V11" s="354"/>
      <c r="W11" s="354"/>
      <c r="X11" s="354"/>
      <c r="Y11" s="354"/>
    </row>
    <row r="12" spans="1:25">
      <c r="A12" s="353" t="s">
        <v>954</v>
      </c>
      <c r="B12" s="353" t="s">
        <v>1446</v>
      </c>
      <c r="C12" s="353" t="s">
        <v>1465</v>
      </c>
      <c r="D12" s="353" t="s">
        <v>969</v>
      </c>
      <c r="E12" s="353" t="s">
        <v>1260</v>
      </c>
      <c r="F12" s="354"/>
      <c r="G12" s="354"/>
      <c r="H12" s="354"/>
      <c r="I12" s="354"/>
      <c r="J12" s="354"/>
      <c r="K12" s="354"/>
      <c r="L12" s="354"/>
      <c r="M12" s="354"/>
      <c r="N12" s="354"/>
      <c r="O12" s="354" t="s">
        <v>417</v>
      </c>
      <c r="P12" s="354"/>
      <c r="Q12" s="354"/>
      <c r="R12" s="354"/>
      <c r="S12" s="354"/>
      <c r="T12" s="354"/>
      <c r="U12" s="354"/>
      <c r="V12" s="354"/>
      <c r="W12" s="354" t="s">
        <v>417</v>
      </c>
      <c r="X12" s="354"/>
      <c r="Y12" s="354"/>
    </row>
    <row r="13" spans="1:25">
      <c r="A13" s="353" t="s">
        <v>954</v>
      </c>
      <c r="B13" s="353" t="s">
        <v>1446</v>
      </c>
      <c r="C13" s="353" t="s">
        <v>1466</v>
      </c>
      <c r="D13" s="353" t="s">
        <v>1277</v>
      </c>
      <c r="E13" s="353" t="s">
        <v>1260</v>
      </c>
      <c r="F13" s="354"/>
      <c r="G13" s="354"/>
      <c r="H13" s="354"/>
      <c r="I13" s="354"/>
      <c r="J13" s="354"/>
      <c r="K13" s="354"/>
      <c r="L13" s="354"/>
      <c r="M13" s="354"/>
      <c r="N13" s="354"/>
      <c r="O13" s="354" t="s">
        <v>417</v>
      </c>
      <c r="P13" s="354"/>
      <c r="Q13" s="354"/>
      <c r="R13" s="354"/>
      <c r="S13" s="354"/>
      <c r="T13" s="354" t="s">
        <v>417</v>
      </c>
      <c r="U13" s="354"/>
      <c r="V13" s="354"/>
      <c r="W13" s="354" t="s">
        <v>417</v>
      </c>
      <c r="X13" s="354" t="s">
        <v>417</v>
      </c>
      <c r="Y13" s="354"/>
    </row>
    <row r="14" spans="1:25">
      <c r="A14" s="353" t="s">
        <v>954</v>
      </c>
      <c r="B14" s="353" t="s">
        <v>1446</v>
      </c>
      <c r="C14" s="353" t="s">
        <v>1467</v>
      </c>
      <c r="D14" s="353" t="s">
        <v>1276</v>
      </c>
      <c r="E14" s="353" t="s">
        <v>1260</v>
      </c>
      <c r="F14" s="354" t="s">
        <v>417</v>
      </c>
      <c r="G14" s="354"/>
      <c r="H14" s="354" t="s">
        <v>417</v>
      </c>
      <c r="I14" s="354" t="s">
        <v>417</v>
      </c>
      <c r="J14" s="354"/>
      <c r="K14" s="354"/>
      <c r="L14" s="354"/>
      <c r="M14" s="354" t="s">
        <v>417</v>
      </c>
      <c r="N14" s="354"/>
      <c r="O14" s="354" t="s">
        <v>417</v>
      </c>
      <c r="P14" s="354" t="s">
        <v>417</v>
      </c>
      <c r="Q14" s="354"/>
      <c r="R14" s="354"/>
      <c r="S14" s="354"/>
      <c r="T14" s="354"/>
      <c r="U14" s="354"/>
      <c r="V14" s="354" t="s">
        <v>417</v>
      </c>
      <c r="W14" s="354"/>
      <c r="X14" s="354"/>
      <c r="Y14" s="354"/>
    </row>
    <row r="15" spans="1:25">
      <c r="A15" s="353" t="s">
        <v>954</v>
      </c>
      <c r="B15" s="353" t="s">
        <v>1446</v>
      </c>
      <c r="C15" s="353" t="s">
        <v>1468</v>
      </c>
      <c r="D15" s="353" t="s">
        <v>1278</v>
      </c>
      <c r="E15" s="353" t="s">
        <v>1260</v>
      </c>
      <c r="F15" s="354"/>
      <c r="G15" s="354"/>
      <c r="H15" s="354"/>
      <c r="I15" s="354"/>
      <c r="J15" s="354"/>
      <c r="K15" s="354"/>
      <c r="L15" s="354"/>
      <c r="M15" s="354"/>
      <c r="N15" s="354"/>
      <c r="O15" s="354" t="s">
        <v>417</v>
      </c>
      <c r="P15" s="354"/>
      <c r="Q15" s="354"/>
      <c r="R15" s="354"/>
      <c r="S15" s="354"/>
      <c r="T15" s="354"/>
      <c r="U15" s="354"/>
      <c r="V15" s="354"/>
      <c r="W15" s="354"/>
      <c r="X15" s="354" t="s">
        <v>417</v>
      </c>
      <c r="Y15" s="354"/>
    </row>
    <row r="16" spans="1:25">
      <c r="A16" s="353" t="s">
        <v>955</v>
      </c>
      <c r="B16" s="353" t="s">
        <v>1448</v>
      </c>
      <c r="C16" s="353" t="s">
        <v>1469</v>
      </c>
      <c r="D16" s="353" t="s">
        <v>967</v>
      </c>
      <c r="E16" s="353" t="s">
        <v>1260</v>
      </c>
      <c r="F16" s="354"/>
      <c r="G16" s="354"/>
      <c r="H16" s="354" t="s">
        <v>417</v>
      </c>
      <c r="I16" s="354"/>
      <c r="J16" s="354"/>
      <c r="K16" s="354"/>
      <c r="L16" s="354"/>
      <c r="M16" s="354"/>
      <c r="N16" s="354"/>
      <c r="O16" s="354" t="s">
        <v>417</v>
      </c>
      <c r="P16" s="354"/>
      <c r="Q16" s="354"/>
      <c r="R16" s="354"/>
      <c r="S16" s="354"/>
      <c r="T16" s="354"/>
      <c r="U16" s="354" t="s">
        <v>417</v>
      </c>
      <c r="V16" s="354"/>
      <c r="W16" s="354"/>
      <c r="X16" s="354"/>
      <c r="Y16" s="354"/>
    </row>
    <row r="17" spans="1:25">
      <c r="A17" s="353" t="s">
        <v>955</v>
      </c>
      <c r="B17" s="353" t="s">
        <v>1448</v>
      </c>
      <c r="C17" s="353" t="s">
        <v>1470</v>
      </c>
      <c r="D17" s="353" t="s">
        <v>969</v>
      </c>
      <c r="E17" s="353" t="s">
        <v>1260</v>
      </c>
      <c r="F17" s="354"/>
      <c r="G17" s="354"/>
      <c r="H17" s="354"/>
      <c r="I17" s="354"/>
      <c r="J17" s="354"/>
      <c r="K17" s="354"/>
      <c r="L17" s="354"/>
      <c r="M17" s="354"/>
      <c r="N17" s="354"/>
      <c r="O17" s="354" t="s">
        <v>417</v>
      </c>
      <c r="P17" s="354"/>
      <c r="Q17" s="354"/>
      <c r="R17" s="354"/>
      <c r="S17" s="354"/>
      <c r="T17" s="354"/>
      <c r="U17" s="354"/>
      <c r="V17" s="354"/>
      <c r="W17" s="354" t="s">
        <v>417</v>
      </c>
      <c r="X17" s="354"/>
      <c r="Y17" s="354"/>
    </row>
    <row r="18" spans="1:25">
      <c r="A18" s="353" t="s">
        <v>955</v>
      </c>
      <c r="B18" s="353" t="s">
        <v>1448</v>
      </c>
      <c r="C18" s="353" t="s">
        <v>1471</v>
      </c>
      <c r="D18" s="353" t="s">
        <v>1277</v>
      </c>
      <c r="E18" s="353" t="s">
        <v>1260</v>
      </c>
      <c r="F18" s="354"/>
      <c r="G18" s="354"/>
      <c r="H18" s="354"/>
      <c r="I18" s="354"/>
      <c r="J18" s="354"/>
      <c r="K18" s="354"/>
      <c r="L18" s="354"/>
      <c r="M18" s="354"/>
      <c r="N18" s="354"/>
      <c r="O18" s="354" t="s">
        <v>417</v>
      </c>
      <c r="P18" s="354"/>
      <c r="Q18" s="354"/>
      <c r="R18" s="354"/>
      <c r="S18" s="354"/>
      <c r="T18" s="354" t="s">
        <v>417</v>
      </c>
      <c r="U18" s="354"/>
      <c r="V18" s="354"/>
      <c r="W18" s="354" t="s">
        <v>417</v>
      </c>
      <c r="X18" s="354" t="s">
        <v>417</v>
      </c>
      <c r="Y18" s="354"/>
    </row>
    <row r="19" spans="1:25">
      <c r="A19" s="353" t="s">
        <v>955</v>
      </c>
      <c r="B19" s="353" t="s">
        <v>1448</v>
      </c>
      <c r="C19" s="353" t="s">
        <v>1472</v>
      </c>
      <c r="D19" s="353" t="s">
        <v>1276</v>
      </c>
      <c r="E19" s="353" t="s">
        <v>1260</v>
      </c>
      <c r="F19" s="354" t="s">
        <v>417</v>
      </c>
      <c r="G19" s="354"/>
      <c r="H19" s="354" t="s">
        <v>417</v>
      </c>
      <c r="I19" s="354" t="s">
        <v>417</v>
      </c>
      <c r="J19" s="354"/>
      <c r="K19" s="354"/>
      <c r="L19" s="354"/>
      <c r="M19" s="354" t="s">
        <v>417</v>
      </c>
      <c r="N19" s="354"/>
      <c r="O19" s="354" t="s">
        <v>417</v>
      </c>
      <c r="P19" s="354" t="s">
        <v>417</v>
      </c>
      <c r="Q19" s="354"/>
      <c r="R19" s="354"/>
      <c r="S19" s="354"/>
      <c r="T19" s="354"/>
      <c r="U19" s="354"/>
      <c r="V19" s="354" t="s">
        <v>417</v>
      </c>
      <c r="W19" s="354"/>
      <c r="X19" s="354"/>
      <c r="Y19" s="354"/>
    </row>
    <row r="20" spans="1:25">
      <c r="A20" s="353" t="s">
        <v>955</v>
      </c>
      <c r="B20" s="353" t="s">
        <v>1448</v>
      </c>
      <c r="C20" s="353" t="s">
        <v>1473</v>
      </c>
      <c r="D20" s="353" t="s">
        <v>1278</v>
      </c>
      <c r="E20" s="353" t="s">
        <v>1260</v>
      </c>
      <c r="F20" s="354"/>
      <c r="G20" s="354"/>
      <c r="H20" s="354"/>
      <c r="I20" s="354"/>
      <c r="J20" s="354"/>
      <c r="K20" s="354"/>
      <c r="L20" s="354"/>
      <c r="M20" s="354"/>
      <c r="N20" s="354"/>
      <c r="O20" s="354" t="s">
        <v>417</v>
      </c>
      <c r="P20" s="354"/>
      <c r="Q20" s="354"/>
      <c r="R20" s="354"/>
      <c r="S20" s="354"/>
      <c r="T20" s="354"/>
      <c r="U20" s="354"/>
      <c r="V20" s="354"/>
      <c r="W20" s="354"/>
      <c r="X20" s="354" t="s">
        <v>417</v>
      </c>
      <c r="Y20" s="354"/>
    </row>
    <row r="21" spans="1:25">
      <c r="A21" s="353" t="s">
        <v>956</v>
      </c>
      <c r="B21" s="353" t="s">
        <v>1451</v>
      </c>
      <c r="C21" s="353" t="s">
        <v>1474</v>
      </c>
      <c r="D21" s="353" t="s">
        <v>967</v>
      </c>
      <c r="E21" s="353" t="s">
        <v>1260</v>
      </c>
      <c r="F21" s="354"/>
      <c r="G21" s="354"/>
      <c r="H21" s="354" t="s">
        <v>417</v>
      </c>
      <c r="I21" s="354"/>
      <c r="J21" s="354"/>
      <c r="K21" s="354"/>
      <c r="L21" s="354"/>
      <c r="M21" s="354"/>
      <c r="N21" s="354"/>
      <c r="O21" s="354" t="s">
        <v>417</v>
      </c>
      <c r="P21" s="354"/>
      <c r="Q21" s="354"/>
      <c r="R21" s="354"/>
      <c r="S21" s="354"/>
      <c r="T21" s="354"/>
      <c r="U21" s="354" t="s">
        <v>417</v>
      </c>
      <c r="V21" s="354"/>
      <c r="W21" s="354"/>
      <c r="X21" s="354"/>
      <c r="Y21" s="354"/>
    </row>
    <row r="22" spans="1:25">
      <c r="A22" s="353" t="s">
        <v>956</v>
      </c>
      <c r="B22" s="353" t="s">
        <v>1451</v>
      </c>
      <c r="C22" s="353" t="s">
        <v>1475</v>
      </c>
      <c r="D22" s="353" t="s">
        <v>969</v>
      </c>
      <c r="E22" s="353" t="s">
        <v>1260</v>
      </c>
      <c r="F22" s="354"/>
      <c r="G22" s="354"/>
      <c r="H22" s="354"/>
      <c r="I22" s="354"/>
      <c r="J22" s="354"/>
      <c r="K22" s="354"/>
      <c r="L22" s="354"/>
      <c r="M22" s="354"/>
      <c r="N22" s="354"/>
      <c r="O22" s="354" t="s">
        <v>417</v>
      </c>
      <c r="P22" s="354"/>
      <c r="Q22" s="354"/>
      <c r="R22" s="354"/>
      <c r="S22" s="354"/>
      <c r="T22" s="354"/>
      <c r="U22" s="354"/>
      <c r="V22" s="354"/>
      <c r="W22" s="354" t="s">
        <v>417</v>
      </c>
      <c r="X22" s="354"/>
      <c r="Y22" s="354"/>
    </row>
    <row r="23" spans="1:25">
      <c r="A23" s="353" t="s">
        <v>956</v>
      </c>
      <c r="B23" s="353" t="s">
        <v>1451</v>
      </c>
      <c r="C23" s="353" t="s">
        <v>1476</v>
      </c>
      <c r="D23" s="353" t="s">
        <v>1277</v>
      </c>
      <c r="E23" s="353" t="s">
        <v>1260</v>
      </c>
      <c r="F23" s="354"/>
      <c r="G23" s="354"/>
      <c r="H23" s="354"/>
      <c r="I23" s="354"/>
      <c r="J23" s="354"/>
      <c r="K23" s="354"/>
      <c r="L23" s="354"/>
      <c r="M23" s="354"/>
      <c r="N23" s="354"/>
      <c r="O23" s="354" t="s">
        <v>417</v>
      </c>
      <c r="P23" s="354"/>
      <c r="Q23" s="354"/>
      <c r="R23" s="354"/>
      <c r="S23" s="354"/>
      <c r="T23" s="354" t="s">
        <v>417</v>
      </c>
      <c r="U23" s="354"/>
      <c r="V23" s="354"/>
      <c r="W23" s="354" t="s">
        <v>417</v>
      </c>
      <c r="X23" s="354" t="s">
        <v>417</v>
      </c>
      <c r="Y23" s="354"/>
    </row>
    <row r="24" spans="1:25">
      <c r="A24" s="353" t="s">
        <v>956</v>
      </c>
      <c r="B24" s="353" t="s">
        <v>1451</v>
      </c>
      <c r="C24" s="353" t="s">
        <v>1477</v>
      </c>
      <c r="D24" s="353" t="s">
        <v>1276</v>
      </c>
      <c r="E24" s="353" t="s">
        <v>1260</v>
      </c>
      <c r="F24" s="354" t="s">
        <v>417</v>
      </c>
      <c r="G24" s="354"/>
      <c r="H24" s="354" t="s">
        <v>417</v>
      </c>
      <c r="I24" s="354" t="s">
        <v>417</v>
      </c>
      <c r="J24" s="354"/>
      <c r="K24" s="354"/>
      <c r="L24" s="354"/>
      <c r="M24" s="354" t="s">
        <v>417</v>
      </c>
      <c r="N24" s="354"/>
      <c r="O24" s="354" t="s">
        <v>417</v>
      </c>
      <c r="P24" s="354" t="s">
        <v>417</v>
      </c>
      <c r="Q24" s="354"/>
      <c r="R24" s="354"/>
      <c r="S24" s="354"/>
      <c r="T24" s="354"/>
      <c r="U24" s="354"/>
      <c r="V24" s="354" t="s">
        <v>417</v>
      </c>
      <c r="W24" s="354"/>
      <c r="X24" s="354"/>
      <c r="Y24" s="354"/>
    </row>
    <row r="25" spans="1:25">
      <c r="A25" s="353" t="s">
        <v>956</v>
      </c>
      <c r="B25" s="353" t="s">
        <v>1451</v>
      </c>
      <c r="C25" s="353" t="s">
        <v>1478</v>
      </c>
      <c r="D25" s="353" t="s">
        <v>1278</v>
      </c>
      <c r="E25" s="353" t="s">
        <v>1260</v>
      </c>
      <c r="F25" s="354"/>
      <c r="G25" s="354"/>
      <c r="H25" s="354"/>
      <c r="I25" s="354"/>
      <c r="J25" s="354"/>
      <c r="K25" s="354"/>
      <c r="L25" s="354"/>
      <c r="M25" s="354"/>
      <c r="N25" s="354"/>
      <c r="O25" s="354" t="s">
        <v>417</v>
      </c>
      <c r="P25" s="354"/>
      <c r="Q25" s="354"/>
      <c r="R25" s="354"/>
      <c r="S25" s="354"/>
      <c r="T25" s="354"/>
      <c r="U25" s="354"/>
      <c r="V25" s="354"/>
      <c r="W25" s="354"/>
      <c r="X25" s="354" t="s">
        <v>417</v>
      </c>
      <c r="Y25" s="354"/>
    </row>
    <row r="26" spans="1:25">
      <c r="A26" s="353" t="s">
        <v>1323</v>
      </c>
      <c r="B26" s="353" t="s">
        <v>1454</v>
      </c>
      <c r="C26" s="353" t="s">
        <v>1479</v>
      </c>
      <c r="D26" s="353" t="s">
        <v>967</v>
      </c>
      <c r="E26" s="353" t="s">
        <v>1260</v>
      </c>
      <c r="F26" s="354"/>
      <c r="G26" s="354"/>
      <c r="H26" s="354" t="s">
        <v>417</v>
      </c>
      <c r="I26" s="354"/>
      <c r="J26" s="354"/>
      <c r="K26" s="354"/>
      <c r="L26" s="354"/>
      <c r="M26" s="354"/>
      <c r="N26" s="354"/>
      <c r="O26" s="354" t="s">
        <v>417</v>
      </c>
      <c r="P26" s="354"/>
      <c r="Q26" s="354"/>
      <c r="R26" s="354"/>
      <c r="S26" s="354"/>
      <c r="T26" s="354"/>
      <c r="U26" s="354" t="s">
        <v>417</v>
      </c>
      <c r="V26" s="354"/>
      <c r="W26" s="354"/>
      <c r="X26" s="354"/>
      <c r="Y26" s="354"/>
    </row>
    <row r="27" spans="1:25">
      <c r="A27" s="353" t="s">
        <v>1323</v>
      </c>
      <c r="B27" s="353" t="s">
        <v>1454</v>
      </c>
      <c r="C27" s="353" t="s">
        <v>1480</v>
      </c>
      <c r="D27" s="353" t="s">
        <v>969</v>
      </c>
      <c r="E27" s="353" t="s">
        <v>1260</v>
      </c>
      <c r="F27" s="354"/>
      <c r="G27" s="354"/>
      <c r="H27" s="354"/>
      <c r="I27" s="354"/>
      <c r="J27" s="354"/>
      <c r="K27" s="354"/>
      <c r="L27" s="354"/>
      <c r="M27" s="354"/>
      <c r="N27" s="354"/>
      <c r="O27" s="354" t="s">
        <v>417</v>
      </c>
      <c r="P27" s="354"/>
      <c r="Q27" s="354"/>
      <c r="R27" s="354"/>
      <c r="S27" s="354"/>
      <c r="T27" s="354"/>
      <c r="U27" s="354"/>
      <c r="V27" s="354"/>
      <c r="W27" s="354" t="s">
        <v>417</v>
      </c>
      <c r="X27" s="354"/>
      <c r="Y27" s="354"/>
    </row>
    <row r="28" spans="1:25">
      <c r="A28" s="353" t="s">
        <v>1323</v>
      </c>
      <c r="B28" s="353" t="s">
        <v>1454</v>
      </c>
      <c r="C28" s="353" t="s">
        <v>1481</v>
      </c>
      <c r="D28" s="353" t="s">
        <v>1277</v>
      </c>
      <c r="E28" s="353" t="s">
        <v>1260</v>
      </c>
      <c r="F28" s="354"/>
      <c r="G28" s="354"/>
      <c r="H28" s="354"/>
      <c r="I28" s="354"/>
      <c r="J28" s="354"/>
      <c r="K28" s="354"/>
      <c r="L28" s="354"/>
      <c r="M28" s="354"/>
      <c r="N28" s="354"/>
      <c r="O28" s="354" t="s">
        <v>417</v>
      </c>
      <c r="P28" s="354"/>
      <c r="Q28" s="354"/>
      <c r="R28" s="354"/>
      <c r="S28" s="354"/>
      <c r="T28" s="354" t="s">
        <v>417</v>
      </c>
      <c r="U28" s="354"/>
      <c r="V28" s="354"/>
      <c r="W28" s="354" t="s">
        <v>417</v>
      </c>
      <c r="X28" s="354" t="s">
        <v>417</v>
      </c>
      <c r="Y28" s="354"/>
    </row>
    <row r="29" spans="1:25">
      <c r="A29" s="353" t="s">
        <v>1323</v>
      </c>
      <c r="B29" s="353" t="s">
        <v>1454</v>
      </c>
      <c r="C29" s="353" t="s">
        <v>1482</v>
      </c>
      <c r="D29" s="353" t="s">
        <v>1276</v>
      </c>
      <c r="E29" s="353" t="s">
        <v>1260</v>
      </c>
      <c r="F29" s="354" t="s">
        <v>417</v>
      </c>
      <c r="G29" s="354"/>
      <c r="H29" s="354" t="s">
        <v>417</v>
      </c>
      <c r="I29" s="354" t="s">
        <v>417</v>
      </c>
      <c r="J29" s="354"/>
      <c r="K29" s="354"/>
      <c r="L29" s="354"/>
      <c r="M29" s="354" t="s">
        <v>417</v>
      </c>
      <c r="N29" s="354"/>
      <c r="O29" s="354" t="s">
        <v>417</v>
      </c>
      <c r="P29" s="354" t="s">
        <v>417</v>
      </c>
      <c r="Q29" s="354"/>
      <c r="R29" s="354"/>
      <c r="S29" s="354"/>
      <c r="T29" s="354"/>
      <c r="U29" s="354"/>
      <c r="V29" s="354" t="s">
        <v>417</v>
      </c>
      <c r="W29" s="354"/>
      <c r="X29" s="354"/>
      <c r="Y29" s="354"/>
    </row>
    <row r="30" spans="1:25">
      <c r="A30" s="353" t="s">
        <v>1323</v>
      </c>
      <c r="B30" s="353" t="s">
        <v>1454</v>
      </c>
      <c r="C30" s="353" t="s">
        <v>1483</v>
      </c>
      <c r="D30" s="353" t="s">
        <v>1278</v>
      </c>
      <c r="E30" s="353" t="s">
        <v>1260</v>
      </c>
      <c r="F30" s="354"/>
      <c r="G30" s="354"/>
      <c r="H30" s="354"/>
      <c r="I30" s="354"/>
      <c r="J30" s="354"/>
      <c r="K30" s="354"/>
      <c r="L30" s="354"/>
      <c r="M30" s="354"/>
      <c r="N30" s="354"/>
      <c r="O30" s="354" t="s">
        <v>417</v>
      </c>
      <c r="P30" s="354"/>
      <c r="Q30" s="354"/>
      <c r="R30" s="354"/>
      <c r="S30" s="354"/>
      <c r="T30" s="354"/>
      <c r="U30" s="354"/>
      <c r="V30" s="354"/>
      <c r="W30" s="354"/>
      <c r="X30" s="354" t="s">
        <v>417</v>
      </c>
      <c r="Y30" s="354"/>
    </row>
    <row r="31" spans="1:25">
      <c r="A31" s="353" t="s">
        <v>958</v>
      </c>
      <c r="B31" s="353" t="s">
        <v>1034</v>
      </c>
      <c r="C31" s="353" t="s">
        <v>1484</v>
      </c>
      <c r="D31" s="353" t="s">
        <v>1275</v>
      </c>
      <c r="E31" s="353" t="s">
        <v>1260</v>
      </c>
      <c r="F31" s="354"/>
      <c r="G31" s="354" t="s">
        <v>417</v>
      </c>
      <c r="H31" s="354"/>
      <c r="I31" s="354"/>
      <c r="J31" s="354"/>
      <c r="K31" s="354"/>
      <c r="L31" s="354"/>
      <c r="M31" s="354"/>
      <c r="N31" s="354"/>
      <c r="O31" s="354"/>
      <c r="P31" s="354"/>
      <c r="Q31" s="354"/>
      <c r="R31" s="354"/>
      <c r="S31" s="354"/>
      <c r="T31" s="354"/>
      <c r="U31" s="354"/>
      <c r="V31" s="354"/>
      <c r="W31" s="354"/>
      <c r="X31" s="354"/>
      <c r="Y31" s="354"/>
    </row>
    <row r="32" spans="1:25">
      <c r="A32" s="353" t="s">
        <v>959</v>
      </c>
      <c r="B32" s="353" t="s">
        <v>1035</v>
      </c>
      <c r="C32" s="353" t="s">
        <v>1485</v>
      </c>
      <c r="D32" s="353" t="s">
        <v>1279</v>
      </c>
      <c r="E32" s="353" t="s">
        <v>1260</v>
      </c>
      <c r="F32" s="354" t="s">
        <v>417</v>
      </c>
      <c r="G32" s="354"/>
      <c r="H32" s="354" t="s">
        <v>417</v>
      </c>
      <c r="I32" s="354"/>
      <c r="J32" s="354"/>
      <c r="K32" s="354"/>
      <c r="L32" s="354" t="s">
        <v>417</v>
      </c>
      <c r="M32" s="354"/>
      <c r="N32" s="354"/>
      <c r="O32" s="354"/>
      <c r="P32" s="354"/>
      <c r="Q32" s="354" t="s">
        <v>417</v>
      </c>
      <c r="R32" s="354" t="s">
        <v>417</v>
      </c>
      <c r="S32" s="354"/>
      <c r="T32" s="354"/>
      <c r="U32" s="354"/>
      <c r="V32" s="354"/>
      <c r="W32" s="354"/>
      <c r="X32" s="354"/>
      <c r="Y32" s="354"/>
    </row>
    <row r="33" spans="1:25">
      <c r="A33" s="353" t="s">
        <v>959</v>
      </c>
      <c r="B33" s="353" t="s">
        <v>1035</v>
      </c>
      <c r="C33" s="353" t="s">
        <v>1486</v>
      </c>
      <c r="D33" s="353" t="s">
        <v>1279</v>
      </c>
      <c r="E33" s="353" t="s">
        <v>1260</v>
      </c>
      <c r="F33" s="354" t="s">
        <v>417</v>
      </c>
      <c r="G33" s="354"/>
      <c r="H33" s="354" t="s">
        <v>417</v>
      </c>
      <c r="I33" s="354"/>
      <c r="J33" s="354"/>
      <c r="K33" s="354"/>
      <c r="L33" s="354" t="s">
        <v>417</v>
      </c>
      <c r="M33" s="354"/>
      <c r="N33" s="354"/>
      <c r="O33" s="354"/>
      <c r="P33" s="354"/>
      <c r="Q33" s="354" t="s">
        <v>417</v>
      </c>
      <c r="R33" s="354" t="s">
        <v>417</v>
      </c>
      <c r="S33" s="354"/>
      <c r="T33" s="354"/>
      <c r="U33" s="354"/>
      <c r="V33" s="354"/>
      <c r="W33" s="354"/>
      <c r="X33" s="354"/>
      <c r="Y33" s="354"/>
    </row>
    <row r="34" spans="1:25">
      <c r="A34" s="353" t="s">
        <v>960</v>
      </c>
      <c r="B34" s="353" t="s">
        <v>1036</v>
      </c>
      <c r="C34" s="353" t="s">
        <v>1487</v>
      </c>
      <c r="D34" s="353" t="s">
        <v>1274</v>
      </c>
      <c r="E34" s="353" t="s">
        <v>1260</v>
      </c>
      <c r="F34" s="354"/>
      <c r="G34" s="354"/>
      <c r="H34" s="354"/>
      <c r="I34" s="354"/>
      <c r="J34" s="354"/>
      <c r="K34" s="354"/>
      <c r="L34" s="354"/>
      <c r="M34" s="354"/>
      <c r="N34" s="354" t="s">
        <v>417</v>
      </c>
      <c r="O34" s="354"/>
      <c r="P34" s="354"/>
      <c r="Q34" s="354"/>
      <c r="R34" s="354"/>
      <c r="S34" s="354"/>
      <c r="T34" s="354"/>
      <c r="U34" s="354"/>
      <c r="V34" s="354"/>
      <c r="W34" s="354"/>
      <c r="X34" s="354"/>
      <c r="Y34" s="354"/>
    </row>
    <row r="35" spans="1:25">
      <c r="A35" s="353" t="s">
        <v>961</v>
      </c>
      <c r="B35" s="353" t="s">
        <v>1037</v>
      </c>
      <c r="C35" s="353" t="s">
        <v>1488</v>
      </c>
      <c r="D35" s="353" t="s">
        <v>1489</v>
      </c>
      <c r="E35" s="353" t="s">
        <v>1260</v>
      </c>
      <c r="F35" s="354"/>
      <c r="G35" s="354"/>
      <c r="H35" s="354"/>
      <c r="I35" s="354"/>
      <c r="J35" s="354"/>
      <c r="K35" s="354"/>
      <c r="L35" s="354"/>
      <c r="M35" s="354"/>
      <c r="N35" s="354"/>
      <c r="O35" s="354"/>
      <c r="P35" s="354"/>
      <c r="Q35" s="354"/>
      <c r="R35" s="354"/>
      <c r="S35" s="354" t="s">
        <v>417</v>
      </c>
      <c r="T35" s="354"/>
      <c r="U35" s="354"/>
      <c r="V35" s="354"/>
      <c r="W35" s="354"/>
      <c r="X35" s="354"/>
      <c r="Y35" s="354"/>
    </row>
  </sheetData>
  <phoneticPr fontId="55" type="noConversion"/>
  <conditionalFormatting sqref="F34:Y34">
    <cfRule type="cellIs" dxfId="126" priority="14" operator="equal">
      <formula>"x"</formula>
    </cfRule>
  </conditionalFormatting>
  <conditionalFormatting sqref="C35:C1048576 C1:C2">
    <cfRule type="duplicateValues" dxfId="125" priority="13"/>
  </conditionalFormatting>
  <conditionalFormatting sqref="F3:Y7 F28:Y28 F33:Y33 Y31 Y29">
    <cfRule type="cellIs" dxfId="124" priority="12" operator="equal">
      <formula>"x"</formula>
    </cfRule>
  </conditionalFormatting>
  <conditionalFormatting sqref="Y13:Y17">
    <cfRule type="cellIs" dxfId="123" priority="11" operator="equal">
      <formula>"x"</formula>
    </cfRule>
  </conditionalFormatting>
  <conditionalFormatting sqref="F13:X17">
    <cfRule type="cellIs" dxfId="122" priority="10" operator="equal">
      <formula>"x"</formula>
    </cfRule>
  </conditionalFormatting>
  <conditionalFormatting sqref="F18:Y22">
    <cfRule type="cellIs" dxfId="121" priority="9" operator="equal">
      <formula>"x"</formula>
    </cfRule>
  </conditionalFormatting>
  <conditionalFormatting sqref="F8:Y12">
    <cfRule type="cellIs" dxfId="120" priority="8" operator="equal">
      <formula>"x"</formula>
    </cfRule>
  </conditionalFormatting>
  <conditionalFormatting sqref="F23:Y27">
    <cfRule type="cellIs" dxfId="119" priority="7" operator="equal">
      <formula>"x"</formula>
    </cfRule>
  </conditionalFormatting>
  <conditionalFormatting sqref="F31:X31">
    <cfRule type="cellIs" dxfId="118" priority="6" operator="equal">
      <formula>"x"</formula>
    </cfRule>
  </conditionalFormatting>
  <conditionalFormatting sqref="F29:X29">
    <cfRule type="cellIs" dxfId="117" priority="5" operator="equal">
      <formula>"x"</formula>
    </cfRule>
  </conditionalFormatting>
  <conditionalFormatting sqref="F30:Y30">
    <cfRule type="cellIs" dxfId="116" priority="4" operator="equal">
      <formula>"x"</formula>
    </cfRule>
  </conditionalFormatting>
  <conditionalFormatting sqref="C3:C31 C33:C34">
    <cfRule type="duplicateValues" dxfId="115" priority="3"/>
  </conditionalFormatting>
  <conditionalFormatting sqref="F32:Y32">
    <cfRule type="cellIs" dxfId="114" priority="2" operator="equal">
      <formula>"x"</formula>
    </cfRule>
  </conditionalFormatting>
  <conditionalFormatting sqref="C32">
    <cfRule type="duplicateValues" dxfId="113"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1338</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12" priority="12" operator="equal">
      <formula>"x"</formula>
    </cfRule>
  </conditionalFormatting>
  <conditionalFormatting sqref="H1">
    <cfRule type="cellIs" dxfId="111" priority="11" operator="equal">
      <formula>"x"</formula>
    </cfRule>
  </conditionalFormatting>
  <conditionalFormatting sqref="F4:Y4">
    <cfRule type="cellIs" dxfId="110" priority="10" operator="equal">
      <formula>"x"</formula>
    </cfRule>
  </conditionalFormatting>
  <conditionalFormatting sqref="F5:Y6">
    <cfRule type="cellIs" dxfId="109" priority="9" operator="equal">
      <formula>"x"</formula>
    </cfRule>
  </conditionalFormatting>
  <conditionalFormatting sqref="F7:Y7">
    <cfRule type="cellIs" dxfId="108" priority="8" operator="equal">
      <formula>"x"</formula>
    </cfRule>
  </conditionalFormatting>
  <conditionalFormatting sqref="F8:Y8">
    <cfRule type="cellIs" dxfId="107" priority="7" operator="equal">
      <formula>"x"</formula>
    </cfRule>
  </conditionalFormatting>
  <conditionalFormatting sqref="F9:Y9">
    <cfRule type="cellIs" dxfId="106" priority="6" operator="equal">
      <formula>"x"</formula>
    </cfRule>
  </conditionalFormatting>
  <conditionalFormatting sqref="F10:Y10">
    <cfRule type="cellIs" dxfId="105" priority="5" operator="equal">
      <formula>"x"</formula>
    </cfRule>
  </conditionalFormatting>
  <conditionalFormatting sqref="F11:Y11">
    <cfRule type="cellIs" dxfId="104" priority="4" operator="equal">
      <formula>"x"</formula>
    </cfRule>
  </conditionalFormatting>
  <conditionalFormatting sqref="F12:Y12">
    <cfRule type="cellIs" dxfId="103" priority="3" operator="equal">
      <formula>"x"</formula>
    </cfRule>
  </conditionalFormatting>
  <conditionalFormatting sqref="C1:C1048576">
    <cfRule type="duplicateValues" dxfId="102"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1441</v>
      </c>
      <c r="B10" s="144">
        <v>3</v>
      </c>
      <c r="C10" s="144"/>
      <c r="D10" s="144"/>
      <c r="E10" s="144"/>
      <c r="F10" s="144"/>
      <c r="G10" s="144"/>
      <c r="H10" s="144"/>
      <c r="I10" s="144"/>
      <c r="J10" s="144"/>
      <c r="K10" s="144"/>
      <c r="L10" s="144"/>
      <c r="M10" s="144">
        <v>3</v>
      </c>
    </row>
    <row r="11" spans="1:13">
      <c r="A11" s="142" t="s">
        <v>1444</v>
      </c>
      <c r="B11" s="144"/>
      <c r="C11" s="144">
        <v>5</v>
      </c>
      <c r="D11" s="144"/>
      <c r="E11" s="144"/>
      <c r="F11" s="144"/>
      <c r="G11" s="144"/>
      <c r="H11" s="144"/>
      <c r="I11" s="144"/>
      <c r="J11" s="144"/>
      <c r="K11" s="144"/>
      <c r="L11" s="144"/>
      <c r="M11" s="144">
        <v>5</v>
      </c>
    </row>
    <row r="12" spans="1:13">
      <c r="A12" s="142" t="s">
        <v>1446</v>
      </c>
      <c r="B12" s="144"/>
      <c r="C12" s="144"/>
      <c r="D12" s="144">
        <v>5</v>
      </c>
      <c r="E12" s="144"/>
      <c r="F12" s="144"/>
      <c r="G12" s="144"/>
      <c r="H12" s="144"/>
      <c r="I12" s="144"/>
      <c r="J12" s="144"/>
      <c r="K12" s="144"/>
      <c r="L12" s="144"/>
      <c r="M12" s="144">
        <v>5</v>
      </c>
    </row>
    <row r="13" spans="1:13">
      <c r="A13" s="142" t="s">
        <v>1448</v>
      </c>
      <c r="B13" s="144"/>
      <c r="C13" s="144"/>
      <c r="D13" s="144"/>
      <c r="E13" s="144">
        <v>5</v>
      </c>
      <c r="F13" s="144"/>
      <c r="G13" s="144"/>
      <c r="H13" s="144"/>
      <c r="I13" s="144"/>
      <c r="J13" s="144"/>
      <c r="K13" s="144"/>
      <c r="L13" s="144"/>
      <c r="M13" s="144">
        <v>5</v>
      </c>
    </row>
    <row r="14" spans="1:13">
      <c r="A14" s="142" t="s">
        <v>1451</v>
      </c>
      <c r="B14" s="144"/>
      <c r="C14" s="144"/>
      <c r="D14" s="144"/>
      <c r="E14" s="144"/>
      <c r="F14" s="144">
        <v>5</v>
      </c>
      <c r="G14" s="144"/>
      <c r="H14" s="144"/>
      <c r="I14" s="144"/>
      <c r="J14" s="144"/>
      <c r="K14" s="144"/>
      <c r="L14" s="144"/>
      <c r="M14" s="144">
        <v>5</v>
      </c>
    </row>
    <row r="15" spans="1:13">
      <c r="A15" s="142" t="s">
        <v>1454</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1456</v>
      </c>
      <c r="B6" s="144">
        <v>1</v>
      </c>
      <c r="C6" s="144"/>
      <c r="D6" s="144"/>
      <c r="E6" s="144"/>
      <c r="F6" s="144"/>
      <c r="G6" s="144"/>
      <c r="H6" s="144"/>
      <c r="I6" s="144"/>
      <c r="J6" s="144"/>
      <c r="K6" s="144"/>
      <c r="L6" s="144"/>
      <c r="M6" s="144">
        <v>1</v>
      </c>
    </row>
    <row r="7" spans="1:14">
      <c r="A7" s="142" t="s">
        <v>1457</v>
      </c>
      <c r="B7" s="144">
        <v>1</v>
      </c>
      <c r="C7" s="144"/>
      <c r="D7" s="144"/>
      <c r="E7" s="144"/>
      <c r="F7" s="144"/>
      <c r="G7" s="144"/>
      <c r="H7" s="144"/>
      <c r="I7" s="144"/>
      <c r="J7" s="144"/>
      <c r="K7" s="144"/>
      <c r="L7" s="144"/>
      <c r="M7" s="144">
        <v>1</v>
      </c>
    </row>
    <row r="8" spans="1:14">
      <c r="A8" s="142" t="s">
        <v>1458</v>
      </c>
      <c r="B8" s="144">
        <v>1</v>
      </c>
      <c r="C8" s="144"/>
      <c r="D8" s="144"/>
      <c r="E8" s="144"/>
      <c r="F8" s="144"/>
      <c r="G8" s="144"/>
      <c r="H8" s="144"/>
      <c r="I8" s="144"/>
      <c r="J8" s="144"/>
      <c r="K8" s="144"/>
      <c r="L8" s="144"/>
      <c r="M8" s="144">
        <v>1</v>
      </c>
    </row>
    <row r="9" spans="1:14">
      <c r="A9" s="142" t="s">
        <v>1459</v>
      </c>
      <c r="B9" s="144"/>
      <c r="C9" s="144">
        <v>1</v>
      </c>
      <c r="D9" s="144"/>
      <c r="E9" s="144"/>
      <c r="F9" s="144"/>
      <c r="G9" s="144"/>
      <c r="H9" s="144"/>
      <c r="I9" s="144"/>
      <c r="J9" s="144"/>
      <c r="K9" s="144"/>
      <c r="L9" s="144"/>
      <c r="M9" s="144">
        <v>1</v>
      </c>
    </row>
    <row r="10" spans="1:14">
      <c r="A10" s="142" t="s">
        <v>1460</v>
      </c>
      <c r="B10" s="144"/>
      <c r="C10" s="144">
        <v>1</v>
      </c>
      <c r="D10" s="144"/>
      <c r="E10" s="144"/>
      <c r="F10" s="144"/>
      <c r="G10" s="144"/>
      <c r="H10" s="144"/>
      <c r="I10" s="144"/>
      <c r="J10" s="144"/>
      <c r="K10" s="144"/>
      <c r="L10" s="144"/>
      <c r="M10" s="144">
        <v>1</v>
      </c>
    </row>
    <row r="11" spans="1:14">
      <c r="A11" s="142" t="s">
        <v>1461</v>
      </c>
      <c r="B11" s="144"/>
      <c r="C11" s="144">
        <v>1</v>
      </c>
      <c r="D11" s="144"/>
      <c r="E11" s="144"/>
      <c r="F11" s="144"/>
      <c r="G11" s="144"/>
      <c r="H11" s="144"/>
      <c r="I11" s="144"/>
      <c r="J11" s="144"/>
      <c r="K11" s="144"/>
      <c r="L11" s="144"/>
      <c r="M11" s="144">
        <v>1</v>
      </c>
    </row>
    <row r="12" spans="1:14">
      <c r="A12" s="142" t="s">
        <v>1462</v>
      </c>
      <c r="B12" s="144"/>
      <c r="C12" s="144">
        <v>1</v>
      </c>
      <c r="D12" s="144"/>
      <c r="E12" s="144"/>
      <c r="F12" s="144"/>
      <c r="G12" s="144"/>
      <c r="H12" s="144"/>
      <c r="I12" s="144"/>
      <c r="J12" s="144"/>
      <c r="K12" s="144"/>
      <c r="L12" s="144"/>
      <c r="M12" s="144">
        <v>1</v>
      </c>
    </row>
    <row r="13" spans="1:14">
      <c r="A13" s="142" t="s">
        <v>1463</v>
      </c>
      <c r="B13" s="144"/>
      <c r="C13" s="144">
        <v>1</v>
      </c>
      <c r="D13" s="144"/>
      <c r="E13" s="144"/>
      <c r="F13" s="144"/>
      <c r="G13" s="144"/>
      <c r="H13" s="144"/>
      <c r="I13" s="144"/>
      <c r="J13" s="144"/>
      <c r="K13" s="144"/>
      <c r="L13" s="144"/>
      <c r="M13" s="144">
        <v>1</v>
      </c>
    </row>
    <row r="14" spans="1:14">
      <c r="A14" s="142" t="s">
        <v>1464</v>
      </c>
      <c r="B14" s="144"/>
      <c r="C14" s="144"/>
      <c r="D14" s="144">
        <v>1</v>
      </c>
      <c r="E14" s="144"/>
      <c r="F14" s="144"/>
      <c r="G14" s="144"/>
      <c r="H14" s="144"/>
      <c r="I14" s="144"/>
      <c r="J14" s="144"/>
      <c r="K14" s="144"/>
      <c r="L14" s="144"/>
      <c r="M14" s="144">
        <v>1</v>
      </c>
    </row>
    <row r="15" spans="1:14">
      <c r="A15" s="142" t="s">
        <v>1465</v>
      </c>
      <c r="B15" s="144"/>
      <c r="C15" s="144"/>
      <c r="D15" s="144">
        <v>1</v>
      </c>
      <c r="E15" s="144"/>
      <c r="F15" s="144"/>
      <c r="G15" s="144"/>
      <c r="H15" s="144"/>
      <c r="I15" s="144"/>
      <c r="J15" s="144"/>
      <c r="K15" s="144"/>
      <c r="L15" s="144"/>
      <c r="M15" s="144">
        <v>1</v>
      </c>
    </row>
    <row r="16" spans="1:14">
      <c r="A16" s="142" t="s">
        <v>1466</v>
      </c>
      <c r="B16" s="144"/>
      <c r="C16" s="144"/>
      <c r="D16" s="144">
        <v>1</v>
      </c>
      <c r="E16" s="144"/>
      <c r="F16" s="144"/>
      <c r="G16" s="144"/>
      <c r="H16" s="144"/>
      <c r="I16" s="144"/>
      <c r="J16" s="144"/>
      <c r="K16" s="144"/>
      <c r="L16" s="144"/>
      <c r="M16" s="144">
        <v>1</v>
      </c>
    </row>
    <row r="17" spans="1:13">
      <c r="A17" s="142" t="s">
        <v>1467</v>
      </c>
      <c r="B17" s="144"/>
      <c r="C17" s="144"/>
      <c r="D17" s="144">
        <v>1</v>
      </c>
      <c r="E17" s="144"/>
      <c r="F17" s="144"/>
      <c r="G17" s="144"/>
      <c r="H17" s="144"/>
      <c r="I17" s="144"/>
      <c r="J17" s="144"/>
      <c r="K17" s="144"/>
      <c r="L17" s="144"/>
      <c r="M17" s="144">
        <v>1</v>
      </c>
    </row>
    <row r="18" spans="1:13">
      <c r="A18" s="142" t="s">
        <v>1468</v>
      </c>
      <c r="B18" s="144"/>
      <c r="C18" s="144"/>
      <c r="D18" s="144">
        <v>1</v>
      </c>
      <c r="E18" s="144"/>
      <c r="F18" s="144"/>
      <c r="G18" s="144"/>
      <c r="H18" s="144"/>
      <c r="I18" s="144"/>
      <c r="J18" s="144"/>
      <c r="K18" s="144"/>
      <c r="L18" s="144"/>
      <c r="M18" s="144">
        <v>1</v>
      </c>
    </row>
    <row r="19" spans="1:13">
      <c r="A19" s="142" t="s">
        <v>1469</v>
      </c>
      <c r="B19" s="144"/>
      <c r="C19" s="144"/>
      <c r="D19" s="144"/>
      <c r="E19" s="144">
        <v>1</v>
      </c>
      <c r="F19" s="144"/>
      <c r="G19" s="144"/>
      <c r="H19" s="144"/>
      <c r="I19" s="144"/>
      <c r="J19" s="144"/>
      <c r="K19" s="144"/>
      <c r="L19" s="144"/>
      <c r="M19" s="144">
        <v>1</v>
      </c>
    </row>
    <row r="20" spans="1:13">
      <c r="A20" s="142" t="s">
        <v>1470</v>
      </c>
      <c r="B20" s="144"/>
      <c r="C20" s="144"/>
      <c r="D20" s="144"/>
      <c r="E20" s="144">
        <v>1</v>
      </c>
      <c r="F20" s="144"/>
      <c r="G20" s="144"/>
      <c r="H20" s="144"/>
      <c r="I20" s="144"/>
      <c r="J20" s="144"/>
      <c r="K20" s="144"/>
      <c r="L20" s="144"/>
      <c r="M20" s="144">
        <v>1</v>
      </c>
    </row>
    <row r="21" spans="1:13">
      <c r="A21" s="142" t="s">
        <v>1471</v>
      </c>
      <c r="B21" s="144"/>
      <c r="C21" s="144"/>
      <c r="D21" s="144"/>
      <c r="E21" s="144">
        <v>1</v>
      </c>
      <c r="F21" s="144"/>
      <c r="G21" s="144"/>
      <c r="H21" s="144"/>
      <c r="I21" s="144"/>
      <c r="J21" s="144"/>
      <c r="K21" s="144"/>
      <c r="L21" s="144"/>
      <c r="M21" s="144">
        <v>1</v>
      </c>
    </row>
    <row r="22" spans="1:13">
      <c r="A22" s="142" t="s">
        <v>1472</v>
      </c>
      <c r="B22" s="144"/>
      <c r="C22" s="144"/>
      <c r="D22" s="144"/>
      <c r="E22" s="144">
        <v>1</v>
      </c>
      <c r="F22" s="144"/>
      <c r="G22" s="144"/>
      <c r="H22" s="144"/>
      <c r="I22" s="144"/>
      <c r="J22" s="144"/>
      <c r="K22" s="144"/>
      <c r="L22" s="144"/>
      <c r="M22" s="144">
        <v>1</v>
      </c>
    </row>
    <row r="23" spans="1:13">
      <c r="A23" s="142" t="s">
        <v>1473</v>
      </c>
      <c r="B23" s="144"/>
      <c r="C23" s="144"/>
      <c r="D23" s="144"/>
      <c r="E23" s="144">
        <v>1</v>
      </c>
      <c r="F23" s="144"/>
      <c r="G23" s="144"/>
      <c r="H23" s="144"/>
      <c r="I23" s="144"/>
      <c r="J23" s="144"/>
      <c r="K23" s="144"/>
      <c r="L23" s="144"/>
      <c r="M23" s="144">
        <v>1</v>
      </c>
    </row>
    <row r="24" spans="1:13">
      <c r="A24" s="142" t="s">
        <v>1474</v>
      </c>
      <c r="B24" s="144"/>
      <c r="C24" s="144"/>
      <c r="D24" s="144"/>
      <c r="E24" s="144"/>
      <c r="F24" s="144">
        <v>1</v>
      </c>
      <c r="G24" s="144"/>
      <c r="H24" s="144"/>
      <c r="I24" s="144"/>
      <c r="J24" s="144"/>
      <c r="K24" s="144"/>
      <c r="L24" s="144"/>
      <c r="M24" s="144">
        <v>1</v>
      </c>
    </row>
    <row r="25" spans="1:13">
      <c r="A25" s="142" t="s">
        <v>1475</v>
      </c>
      <c r="B25" s="144"/>
      <c r="C25" s="144"/>
      <c r="D25" s="144"/>
      <c r="E25" s="144"/>
      <c r="F25" s="144">
        <v>1</v>
      </c>
      <c r="G25" s="144"/>
      <c r="H25" s="144"/>
      <c r="I25" s="144"/>
      <c r="J25" s="144"/>
      <c r="K25" s="144"/>
      <c r="L25" s="144"/>
      <c r="M25" s="144">
        <v>1</v>
      </c>
    </row>
    <row r="26" spans="1:13">
      <c r="A26" s="142" t="s">
        <v>1476</v>
      </c>
      <c r="B26" s="144"/>
      <c r="C26" s="144"/>
      <c r="D26" s="144"/>
      <c r="E26" s="144"/>
      <c r="F26" s="144">
        <v>1</v>
      </c>
      <c r="G26" s="144"/>
      <c r="H26" s="144"/>
      <c r="I26" s="144"/>
      <c r="J26" s="144"/>
      <c r="K26" s="144"/>
      <c r="L26" s="144"/>
      <c r="M26" s="144">
        <v>1</v>
      </c>
    </row>
    <row r="27" spans="1:13">
      <c r="A27" s="142" t="s">
        <v>1477</v>
      </c>
      <c r="B27" s="144"/>
      <c r="C27" s="144"/>
      <c r="D27" s="144"/>
      <c r="E27" s="144"/>
      <c r="F27" s="144">
        <v>1</v>
      </c>
      <c r="G27" s="144"/>
      <c r="H27" s="144"/>
      <c r="I27" s="144"/>
      <c r="J27" s="144"/>
      <c r="K27" s="144"/>
      <c r="L27" s="144"/>
      <c r="M27" s="144">
        <v>1</v>
      </c>
    </row>
    <row r="28" spans="1:13">
      <c r="A28" s="142" t="s">
        <v>1478</v>
      </c>
      <c r="B28" s="144"/>
      <c r="C28" s="144"/>
      <c r="D28" s="144"/>
      <c r="E28" s="144"/>
      <c r="F28" s="144">
        <v>1</v>
      </c>
      <c r="G28" s="144"/>
      <c r="H28" s="144"/>
      <c r="I28" s="144"/>
      <c r="J28" s="144"/>
      <c r="K28" s="144"/>
      <c r="L28" s="144"/>
      <c r="M28" s="144">
        <v>1</v>
      </c>
    </row>
    <row r="29" spans="1:13">
      <c r="A29" s="142" t="s">
        <v>1479</v>
      </c>
      <c r="B29" s="144"/>
      <c r="C29" s="144"/>
      <c r="D29" s="144"/>
      <c r="E29" s="144"/>
      <c r="F29" s="144"/>
      <c r="G29" s="144">
        <v>1</v>
      </c>
      <c r="H29" s="144"/>
      <c r="I29" s="144"/>
      <c r="J29" s="144"/>
      <c r="K29" s="144"/>
      <c r="L29" s="144"/>
      <c r="M29" s="144">
        <v>1</v>
      </c>
    </row>
    <row r="30" spans="1:13">
      <c r="A30" s="142" t="s">
        <v>1480</v>
      </c>
      <c r="B30" s="144"/>
      <c r="C30" s="144"/>
      <c r="D30" s="144"/>
      <c r="E30" s="144"/>
      <c r="F30" s="144"/>
      <c r="G30" s="144">
        <v>1</v>
      </c>
      <c r="H30" s="144"/>
      <c r="I30" s="144"/>
      <c r="J30" s="144"/>
      <c r="K30" s="144"/>
      <c r="L30" s="144"/>
      <c r="M30" s="144">
        <v>1</v>
      </c>
    </row>
    <row r="31" spans="1:13">
      <c r="A31" s="142" t="s">
        <v>1481</v>
      </c>
      <c r="B31" s="144"/>
      <c r="C31" s="144"/>
      <c r="D31" s="144"/>
      <c r="E31" s="144"/>
      <c r="F31" s="144"/>
      <c r="G31" s="144">
        <v>1</v>
      </c>
      <c r="H31" s="144"/>
      <c r="I31" s="144"/>
      <c r="J31" s="144"/>
      <c r="K31" s="144"/>
      <c r="L31" s="144"/>
      <c r="M31" s="144">
        <v>1</v>
      </c>
    </row>
    <row r="32" spans="1:13">
      <c r="A32" s="142" t="s">
        <v>1482</v>
      </c>
      <c r="B32" s="144"/>
      <c r="C32" s="144"/>
      <c r="D32" s="144"/>
      <c r="E32" s="144"/>
      <c r="F32" s="144"/>
      <c r="G32" s="144">
        <v>1</v>
      </c>
      <c r="H32" s="144"/>
      <c r="I32" s="144"/>
      <c r="J32" s="144"/>
      <c r="K32" s="144"/>
      <c r="L32" s="144"/>
      <c r="M32" s="144">
        <v>1</v>
      </c>
    </row>
    <row r="33" spans="1:13">
      <c r="A33" s="142" t="s">
        <v>1483</v>
      </c>
      <c r="B33" s="144"/>
      <c r="C33" s="144"/>
      <c r="D33" s="144"/>
      <c r="E33" s="144"/>
      <c r="F33" s="144"/>
      <c r="G33" s="144">
        <v>1</v>
      </c>
      <c r="H33" s="144"/>
      <c r="I33" s="144"/>
      <c r="J33" s="144"/>
      <c r="K33" s="144"/>
      <c r="L33" s="144"/>
      <c r="M33" s="144">
        <v>1</v>
      </c>
    </row>
    <row r="34" spans="1:13">
      <c r="A34" s="142" t="s">
        <v>1484</v>
      </c>
      <c r="B34" s="144"/>
      <c r="C34" s="144"/>
      <c r="D34" s="144"/>
      <c r="E34" s="144"/>
      <c r="F34" s="144"/>
      <c r="G34" s="144"/>
      <c r="H34" s="144">
        <v>1</v>
      </c>
      <c r="I34" s="144"/>
      <c r="J34" s="144"/>
      <c r="K34" s="144"/>
      <c r="L34" s="144"/>
      <c r="M34" s="144">
        <v>1</v>
      </c>
    </row>
    <row r="35" spans="1:13">
      <c r="A35" s="142" t="s">
        <v>1485</v>
      </c>
      <c r="B35" s="144"/>
      <c r="C35" s="144"/>
      <c r="D35" s="144"/>
      <c r="E35" s="144"/>
      <c r="F35" s="144"/>
      <c r="G35" s="144"/>
      <c r="H35" s="144"/>
      <c r="I35" s="144">
        <v>1</v>
      </c>
      <c r="J35" s="144"/>
      <c r="K35" s="144"/>
      <c r="L35" s="144"/>
      <c r="M35" s="144">
        <v>1</v>
      </c>
    </row>
    <row r="36" spans="1:13">
      <c r="A36" s="142" t="s">
        <v>1486</v>
      </c>
      <c r="B36" s="144"/>
      <c r="C36" s="144"/>
      <c r="D36" s="144"/>
      <c r="E36" s="144"/>
      <c r="F36" s="144"/>
      <c r="G36" s="144"/>
      <c r="H36" s="144"/>
      <c r="I36" s="144">
        <v>1</v>
      </c>
      <c r="J36" s="144"/>
      <c r="K36" s="144"/>
      <c r="L36" s="144"/>
      <c r="M36" s="144">
        <v>1</v>
      </c>
    </row>
    <row r="37" spans="1:13">
      <c r="A37" s="142" t="s">
        <v>1487</v>
      </c>
      <c r="B37" s="144"/>
      <c r="C37" s="144"/>
      <c r="D37" s="144"/>
      <c r="E37" s="144"/>
      <c r="F37" s="144"/>
      <c r="G37" s="144"/>
      <c r="H37" s="144"/>
      <c r="I37" s="144"/>
      <c r="J37" s="144">
        <v>1</v>
      </c>
      <c r="K37" s="144"/>
      <c r="L37" s="144"/>
      <c r="M37" s="144">
        <v>1</v>
      </c>
    </row>
    <row r="38" spans="1:13">
      <c r="A38" s="142" t="s">
        <v>1488</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1459</v>
      </c>
    </row>
    <row r="3" spans="1:3">
      <c r="B3" t="s">
        <v>977</v>
      </c>
    </row>
    <row r="4" spans="1:3">
      <c r="C4" t="s">
        <v>1548</v>
      </c>
    </row>
    <row r="5" spans="1:3">
      <c r="B5" t="s">
        <v>978</v>
      </c>
    </row>
    <row r="6" spans="1:3">
      <c r="C6" t="s">
        <v>939</v>
      </c>
    </row>
    <row r="7" spans="1:3">
      <c r="C7" t="s">
        <v>940</v>
      </c>
    </row>
    <row r="8" spans="1:3">
      <c r="C8" t="s">
        <v>950</v>
      </c>
    </row>
    <row r="9" spans="1:3">
      <c r="A9" t="s">
        <v>1464</v>
      </c>
    </row>
    <row r="10" spans="1:3">
      <c r="B10" t="s">
        <v>977</v>
      </c>
    </row>
    <row r="11" spans="1:3">
      <c r="C11" t="s">
        <v>1549</v>
      </c>
    </row>
    <row r="12" spans="1:3">
      <c r="B12" t="s">
        <v>978</v>
      </c>
    </row>
    <row r="13" spans="1:3">
      <c r="C13" t="s">
        <v>939</v>
      </c>
    </row>
    <row r="14" spans="1:3">
      <c r="C14" t="s">
        <v>940</v>
      </c>
    </row>
    <row r="15" spans="1:3">
      <c r="C15" t="s">
        <v>950</v>
      </c>
    </row>
    <row r="16" spans="1:3">
      <c r="A16" t="s">
        <v>1469</v>
      </c>
    </row>
    <row r="17" spans="1:3">
      <c r="B17" t="s">
        <v>977</v>
      </c>
    </row>
    <row r="18" spans="1:3">
      <c r="C18" t="s">
        <v>1550</v>
      </c>
    </row>
    <row r="19" spans="1:3">
      <c r="B19" t="s">
        <v>978</v>
      </c>
    </row>
    <row r="20" spans="1:3">
      <c r="C20" t="s">
        <v>939</v>
      </c>
    </row>
    <row r="21" spans="1:3">
      <c r="C21" t="s">
        <v>940</v>
      </c>
    </row>
    <row r="22" spans="1:3">
      <c r="C22" t="s">
        <v>950</v>
      </c>
    </row>
    <row r="23" spans="1:3">
      <c r="A23" t="s">
        <v>1474</v>
      </c>
    </row>
    <row r="24" spans="1:3">
      <c r="B24" t="s">
        <v>977</v>
      </c>
    </row>
    <row r="25" spans="1:3">
      <c r="C25" t="s">
        <v>1551</v>
      </c>
    </row>
    <row r="26" spans="1:3">
      <c r="B26" t="s">
        <v>978</v>
      </c>
    </row>
    <row r="27" spans="1:3">
      <c r="C27" t="s">
        <v>939</v>
      </c>
    </row>
    <row r="28" spans="1:3">
      <c r="C28" t="s">
        <v>940</v>
      </c>
    </row>
    <row r="29" spans="1:3">
      <c r="C29" t="s">
        <v>950</v>
      </c>
    </row>
    <row r="30" spans="1:3">
      <c r="A30" t="s">
        <v>1479</v>
      </c>
    </row>
    <row r="31" spans="1:3">
      <c r="B31" t="s">
        <v>977</v>
      </c>
    </row>
    <row r="32" spans="1:3">
      <c r="C32" t="s">
        <v>1552</v>
      </c>
    </row>
    <row r="33" spans="1:3">
      <c r="B33" t="s">
        <v>978</v>
      </c>
    </row>
    <row r="34" spans="1:3">
      <c r="C34" t="s">
        <v>939</v>
      </c>
    </row>
    <row r="35" spans="1:3">
      <c r="C35" t="s">
        <v>940</v>
      </c>
    </row>
    <row r="36" spans="1:3">
      <c r="C36" t="s">
        <v>950</v>
      </c>
    </row>
    <row r="37" spans="1:3">
      <c r="A37" t="s">
        <v>1484</v>
      </c>
    </row>
    <row r="38" spans="1:3">
      <c r="B38" t="s">
        <v>977</v>
      </c>
    </row>
    <row r="39" spans="1:3">
      <c r="C39" t="s">
        <v>1285</v>
      </c>
    </row>
    <row r="40" spans="1:3">
      <c r="B40" t="s">
        <v>978</v>
      </c>
    </row>
    <row r="41" spans="1:3">
      <c r="C41" t="s">
        <v>803</v>
      </c>
    </row>
    <row r="42" spans="1:3">
      <c r="A42" t="s">
        <v>1460</v>
      </c>
    </row>
    <row r="43" spans="1:3">
      <c r="B43" t="s">
        <v>977</v>
      </c>
    </row>
    <row r="44" spans="1:3">
      <c r="C44" t="s">
        <v>1548</v>
      </c>
    </row>
    <row r="45" spans="1:3">
      <c r="B45" t="s">
        <v>978</v>
      </c>
    </row>
    <row r="46" spans="1:3">
      <c r="C46" t="s">
        <v>938</v>
      </c>
    </row>
    <row r="47" spans="1:3">
      <c r="C47" t="s">
        <v>939</v>
      </c>
    </row>
    <row r="48" spans="1:3">
      <c r="A48" t="s">
        <v>1465</v>
      </c>
    </row>
    <row r="49" spans="1:3">
      <c r="B49" t="s">
        <v>977</v>
      </c>
    </row>
    <row r="50" spans="1:3">
      <c r="C50" t="s">
        <v>1549</v>
      </c>
    </row>
    <row r="51" spans="1:3">
      <c r="B51" t="s">
        <v>978</v>
      </c>
    </row>
    <row r="52" spans="1:3">
      <c r="C52" t="s">
        <v>938</v>
      </c>
    </row>
    <row r="53" spans="1:3">
      <c r="C53" t="s">
        <v>939</v>
      </c>
    </row>
    <row r="54" spans="1:3">
      <c r="A54" t="s">
        <v>1475</v>
      </c>
    </row>
    <row r="55" spans="1:3">
      <c r="B55" t="s">
        <v>977</v>
      </c>
    </row>
    <row r="56" spans="1:3">
      <c r="C56" t="s">
        <v>1551</v>
      </c>
    </row>
    <row r="57" spans="1:3">
      <c r="B57" t="s">
        <v>978</v>
      </c>
    </row>
    <row r="58" spans="1:3">
      <c r="C58" t="s">
        <v>938</v>
      </c>
    </row>
    <row r="59" spans="1:3">
      <c r="C59" t="s">
        <v>939</v>
      </c>
    </row>
    <row r="60" spans="1:3">
      <c r="A60" t="s">
        <v>1480</v>
      </c>
    </row>
    <row r="61" spans="1:3">
      <c r="B61" t="s">
        <v>977</v>
      </c>
    </row>
    <row r="62" spans="1:3">
      <c r="C62" t="s">
        <v>1552</v>
      </c>
    </row>
    <row r="63" spans="1:3">
      <c r="B63" t="s">
        <v>978</v>
      </c>
    </row>
    <row r="64" spans="1:3">
      <c r="C64" t="s">
        <v>938</v>
      </c>
    </row>
    <row r="65" spans="1:3">
      <c r="C65" t="s">
        <v>939</v>
      </c>
    </row>
    <row r="66" spans="1:3">
      <c r="A66" t="s">
        <v>1456</v>
      </c>
    </row>
    <row r="67" spans="1:3">
      <c r="B67" t="s">
        <v>977</v>
      </c>
    </row>
    <row r="68" spans="1:3">
      <c r="C68" t="s">
        <v>1553</v>
      </c>
    </row>
    <row r="69" spans="1:3">
      <c r="B69" t="s">
        <v>978</v>
      </c>
    </row>
    <row r="70" spans="1:3">
      <c r="C70" t="s">
        <v>937</v>
      </c>
    </row>
    <row r="71" spans="1:3">
      <c r="C71" t="s">
        <v>938</v>
      </c>
    </row>
    <row r="72" spans="1:3">
      <c r="C72" t="s">
        <v>939</v>
      </c>
    </row>
    <row r="73" spans="1:3">
      <c r="C73" t="s">
        <v>940</v>
      </c>
    </row>
    <row r="74" spans="1:3">
      <c r="C74" t="s">
        <v>941</v>
      </c>
    </row>
    <row r="75" spans="1:3">
      <c r="A75" t="s">
        <v>1461</v>
      </c>
    </row>
    <row r="76" spans="1:3">
      <c r="B76" t="s">
        <v>977</v>
      </c>
    </row>
    <row r="77" spans="1:3">
      <c r="C77" t="s">
        <v>1548</v>
      </c>
    </row>
    <row r="78" spans="1:3">
      <c r="B78" t="s">
        <v>978</v>
      </c>
    </row>
    <row r="79" spans="1:3">
      <c r="C79" t="s">
        <v>937</v>
      </c>
    </row>
    <row r="80" spans="1:3">
      <c r="C80" t="s">
        <v>938</v>
      </c>
    </row>
    <row r="81" spans="1:3">
      <c r="C81" t="s">
        <v>939</v>
      </c>
    </row>
    <row r="82" spans="1:3">
      <c r="C82" t="s">
        <v>941</v>
      </c>
    </row>
    <row r="83" spans="1:3">
      <c r="A83" t="s">
        <v>1466</v>
      </c>
    </row>
    <row r="84" spans="1:3">
      <c r="B84" t="s">
        <v>977</v>
      </c>
    </row>
    <row r="85" spans="1:3">
      <c r="C85" t="s">
        <v>1549</v>
      </c>
    </row>
    <row r="86" spans="1:3">
      <c r="B86" t="s">
        <v>978</v>
      </c>
    </row>
    <row r="87" spans="1:3">
      <c r="C87" t="s">
        <v>937</v>
      </c>
    </row>
    <row r="88" spans="1:3">
      <c r="C88" t="s">
        <v>938</v>
      </c>
    </row>
    <row r="89" spans="1:3">
      <c r="C89" t="s">
        <v>939</v>
      </c>
    </row>
    <row r="90" spans="1:3">
      <c r="C90" t="s">
        <v>941</v>
      </c>
    </row>
    <row r="91" spans="1:3">
      <c r="A91" t="s">
        <v>1471</v>
      </c>
    </row>
    <row r="92" spans="1:3">
      <c r="B92" t="s">
        <v>977</v>
      </c>
    </row>
    <row r="93" spans="1:3">
      <c r="C93" t="s">
        <v>1550</v>
      </c>
    </row>
    <row r="94" spans="1:3">
      <c r="B94" t="s">
        <v>978</v>
      </c>
    </row>
    <row r="95" spans="1:3">
      <c r="C95" t="s">
        <v>937</v>
      </c>
    </row>
    <row r="96" spans="1:3">
      <c r="C96" t="s">
        <v>938</v>
      </c>
    </row>
    <row r="97" spans="1:3">
      <c r="C97" t="s">
        <v>939</v>
      </c>
    </row>
    <row r="98" spans="1:3">
      <c r="C98" t="s">
        <v>941</v>
      </c>
    </row>
    <row r="99" spans="1:3">
      <c r="A99" t="s">
        <v>1476</v>
      </c>
    </row>
    <row r="100" spans="1:3">
      <c r="B100" t="s">
        <v>977</v>
      </c>
    </row>
    <row r="101" spans="1:3">
      <c r="C101" t="s">
        <v>1551</v>
      </c>
    </row>
    <row r="102" spans="1:3">
      <c r="B102" t="s">
        <v>978</v>
      </c>
    </row>
    <row r="103" spans="1:3">
      <c r="C103" t="s">
        <v>937</v>
      </c>
    </row>
    <row r="104" spans="1:3">
      <c r="C104" t="s">
        <v>938</v>
      </c>
    </row>
    <row r="105" spans="1:3">
      <c r="C105" t="s">
        <v>939</v>
      </c>
    </row>
    <row r="106" spans="1:3">
      <c r="C106" t="s">
        <v>941</v>
      </c>
    </row>
    <row r="107" spans="1:3">
      <c r="A107" t="s">
        <v>1481</v>
      </c>
    </row>
    <row r="108" spans="1:3">
      <c r="B108" t="s">
        <v>977</v>
      </c>
    </row>
    <row r="109" spans="1:3">
      <c r="C109" t="s">
        <v>1552</v>
      </c>
    </row>
    <row r="110" spans="1:3">
      <c r="B110" t="s">
        <v>978</v>
      </c>
    </row>
    <row r="111" spans="1:3">
      <c r="C111" t="s">
        <v>937</v>
      </c>
    </row>
    <row r="112" spans="1:3">
      <c r="C112" t="s">
        <v>938</v>
      </c>
    </row>
    <row r="113" spans="1:3">
      <c r="C113" t="s">
        <v>939</v>
      </c>
    </row>
    <row r="114" spans="1:3">
      <c r="C114" t="s">
        <v>941</v>
      </c>
    </row>
    <row r="115" spans="1:3">
      <c r="A115" t="s">
        <v>1488</v>
      </c>
    </row>
    <row r="116" spans="1:3">
      <c r="B116" t="s">
        <v>977</v>
      </c>
    </row>
    <row r="117" spans="1:3">
      <c r="C117" t="s">
        <v>1283</v>
      </c>
    </row>
    <row r="118" spans="1:3">
      <c r="B118" t="s">
        <v>978</v>
      </c>
    </row>
    <row r="119" spans="1:3">
      <c r="C119" t="s">
        <v>889</v>
      </c>
    </row>
    <row r="120" spans="1:3">
      <c r="A120" t="s">
        <v>1486</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1485</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1457</v>
      </c>
    </row>
    <row r="139" spans="1:3">
      <c r="B139" t="s">
        <v>977</v>
      </c>
    </row>
    <row r="140" spans="1:3">
      <c r="C140" t="s">
        <v>1553</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1462</v>
      </c>
    </row>
    <row r="150" spans="1:3">
      <c r="B150" t="s">
        <v>977</v>
      </c>
    </row>
    <row r="151" spans="1:3">
      <c r="C151" t="s">
        <v>1548</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1467</v>
      </c>
    </row>
    <row r="161" spans="1:3">
      <c r="B161" t="s">
        <v>977</v>
      </c>
    </row>
    <row r="162" spans="1:3">
      <c r="C162" t="s">
        <v>1549</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1472</v>
      </c>
    </row>
    <row r="172" spans="1:3">
      <c r="B172" t="s">
        <v>977</v>
      </c>
    </row>
    <row r="173" spans="1:3">
      <c r="C173" t="s">
        <v>1550</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1477</v>
      </c>
    </row>
    <row r="183" spans="1:3">
      <c r="B183" t="s">
        <v>977</v>
      </c>
    </row>
    <row r="184" spans="1:3">
      <c r="C184" t="s">
        <v>1551</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1482</v>
      </c>
    </row>
    <row r="194" spans="1:3">
      <c r="B194" t="s">
        <v>977</v>
      </c>
    </row>
    <row r="195" spans="1:3">
      <c r="C195" t="s">
        <v>1552</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1458</v>
      </c>
    </row>
    <row r="205" spans="1:3">
      <c r="B205" t="s">
        <v>977</v>
      </c>
    </row>
    <row r="206" spans="1:3">
      <c r="C206" t="s">
        <v>1553</v>
      </c>
    </row>
    <row r="207" spans="1:3">
      <c r="B207" t="s">
        <v>978</v>
      </c>
    </row>
    <row r="208" spans="1:3">
      <c r="C208" t="s">
        <v>939</v>
      </c>
    </row>
    <row r="209" spans="1:3">
      <c r="C209" t="s">
        <v>941</v>
      </c>
    </row>
    <row r="210" spans="1:3">
      <c r="A210" t="s">
        <v>1463</v>
      </c>
    </row>
    <row r="211" spans="1:3">
      <c r="B211" t="s">
        <v>977</v>
      </c>
    </row>
    <row r="212" spans="1:3">
      <c r="C212" t="s">
        <v>1548</v>
      </c>
    </row>
    <row r="213" spans="1:3">
      <c r="B213" t="s">
        <v>978</v>
      </c>
    </row>
    <row r="214" spans="1:3">
      <c r="C214" t="s">
        <v>939</v>
      </c>
    </row>
    <row r="215" spans="1:3">
      <c r="C215" t="s">
        <v>941</v>
      </c>
    </row>
    <row r="216" spans="1:3">
      <c r="A216" t="s">
        <v>1468</v>
      </c>
    </row>
    <row r="217" spans="1:3">
      <c r="B217" t="s">
        <v>977</v>
      </c>
    </row>
    <row r="218" spans="1:3">
      <c r="C218" t="s">
        <v>1549</v>
      </c>
    </row>
    <row r="219" spans="1:3">
      <c r="B219" t="s">
        <v>978</v>
      </c>
    </row>
    <row r="220" spans="1:3">
      <c r="C220" t="s">
        <v>939</v>
      </c>
    </row>
    <row r="221" spans="1:3">
      <c r="C221" t="s">
        <v>941</v>
      </c>
    </row>
    <row r="222" spans="1:3">
      <c r="A222" t="s">
        <v>1473</v>
      </c>
    </row>
    <row r="223" spans="1:3">
      <c r="B223" t="s">
        <v>977</v>
      </c>
    </row>
    <row r="224" spans="1:3">
      <c r="C224" t="s">
        <v>1550</v>
      </c>
    </row>
    <row r="225" spans="1:3">
      <c r="B225" t="s">
        <v>978</v>
      </c>
    </row>
    <row r="226" spans="1:3">
      <c r="C226" t="s">
        <v>939</v>
      </c>
    </row>
    <row r="227" spans="1:3">
      <c r="C227" t="s">
        <v>941</v>
      </c>
    </row>
    <row r="228" spans="1:3">
      <c r="A228" t="s">
        <v>1478</v>
      </c>
    </row>
    <row r="229" spans="1:3">
      <c r="B229" t="s">
        <v>977</v>
      </c>
    </row>
    <row r="230" spans="1:3">
      <c r="C230" t="s">
        <v>1551</v>
      </c>
    </row>
    <row r="231" spans="1:3">
      <c r="B231" t="s">
        <v>978</v>
      </c>
    </row>
    <row r="232" spans="1:3">
      <c r="C232" t="s">
        <v>939</v>
      </c>
    </row>
    <row r="233" spans="1:3">
      <c r="C233" t="s">
        <v>941</v>
      </c>
    </row>
    <row r="234" spans="1:3">
      <c r="A234" t="s">
        <v>1483</v>
      </c>
    </row>
    <row r="235" spans="1:3">
      <c r="B235" t="s">
        <v>977</v>
      </c>
    </row>
    <row r="236" spans="1:3">
      <c r="C236" t="s">
        <v>1552</v>
      </c>
    </row>
    <row r="237" spans="1:3">
      <c r="B237" t="s">
        <v>978</v>
      </c>
    </row>
    <row r="238" spans="1:3">
      <c r="C238" t="s">
        <v>939</v>
      </c>
    </row>
    <row r="239" spans="1:3">
      <c r="C239" t="s">
        <v>941</v>
      </c>
    </row>
    <row r="240" spans="1:3">
      <c r="A240" t="s">
        <v>1487</v>
      </c>
    </row>
    <row r="241" spans="1:3">
      <c r="B241" t="s">
        <v>977</v>
      </c>
    </row>
    <row r="242" spans="1:3">
      <c r="C242" t="s">
        <v>1282</v>
      </c>
    </row>
    <row r="243" spans="1:3">
      <c r="B243" t="s">
        <v>978</v>
      </c>
    </row>
    <row r="244" spans="1:3">
      <c r="C244" t="s">
        <v>805</v>
      </c>
    </row>
    <row r="245" spans="1:3">
      <c r="A245" t="s">
        <v>1470</v>
      </c>
    </row>
    <row r="246" spans="1:3">
      <c r="B246" t="s">
        <v>977</v>
      </c>
    </row>
    <row r="247" spans="1:3">
      <c r="C247" t="s">
        <v>1550</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64" zoomScale="85" zoomScaleNormal="85" workbookViewId="0">
      <selection activeCell="B99" sqref="B99"/>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1337</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4"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1354</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0"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1"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1358</v>
      </c>
      <c r="I87" s="103" t="str">
        <f>StartupInfo!B48</f>
        <v>tbd</v>
      </c>
      <c r="J87" s="103"/>
      <c r="K87" s="103"/>
      <c r="L87" s="103"/>
      <c r="M87" s="103"/>
      <c r="N87" s="103"/>
      <c r="O87" s="103"/>
      <c r="P87" s="103"/>
      <c r="Q87" s="103"/>
      <c r="R87" s="103"/>
      <c r="S87" s="103"/>
      <c r="T87" s="103"/>
      <c r="U87" s="103"/>
      <c r="V87" s="102" t="str">
        <f>'Agreement 3'!B42</f>
        <v>tbd</v>
      </c>
      <c r="W87" s="12"/>
      <c r="X87" s="364"/>
      <c r="Y87" s="364"/>
      <c r="Z87" s="364"/>
      <c r="AA87" s="364"/>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1490</v>
      </c>
      <c r="C91" s="136" t="s">
        <v>1286</v>
      </c>
      <c r="D91" s="136" t="s">
        <v>8</v>
      </c>
      <c r="E91" s="136" t="s">
        <v>1086</v>
      </c>
      <c r="F91" s="136" t="s">
        <v>1256</v>
      </c>
      <c r="G91" s="136"/>
      <c r="H91" s="136" t="s">
        <v>1042</v>
      </c>
      <c r="I91" s="136" t="s">
        <v>1491</v>
      </c>
      <c r="J91" s="136" t="s">
        <v>1173</v>
      </c>
      <c r="K91" s="136" t="s">
        <v>1174</v>
      </c>
      <c r="L91" s="136">
        <v>8</v>
      </c>
      <c r="M91" s="219">
        <v>44137</v>
      </c>
      <c r="N91" s="136"/>
      <c r="O91" s="136">
        <v>17</v>
      </c>
      <c r="P91" s="136" t="s">
        <v>432</v>
      </c>
      <c r="Q91" s="136" t="s">
        <v>1153</v>
      </c>
      <c r="R91" s="136">
        <v>13</v>
      </c>
      <c r="S91" s="136">
        <v>9</v>
      </c>
      <c r="T91" s="136" t="s">
        <v>1154</v>
      </c>
      <c r="U91" s="136" t="s">
        <v>1155</v>
      </c>
      <c r="V91" s="35" t="s">
        <v>1492</v>
      </c>
      <c r="W91" s="136"/>
      <c r="AA91" s="355"/>
    </row>
    <row r="92" spans="1:36" s="126" customFormat="1">
      <c r="A92" s="126" t="s">
        <v>1210</v>
      </c>
      <c r="B92" s="283" t="s">
        <v>1493</v>
      </c>
      <c r="C92" s="136" t="s">
        <v>1286</v>
      </c>
      <c r="D92" s="136" t="s">
        <v>8</v>
      </c>
      <c r="E92" s="136" t="s">
        <v>1086</v>
      </c>
      <c r="F92" s="136" t="s">
        <v>1256</v>
      </c>
      <c r="G92" s="136"/>
      <c r="H92" s="136" t="s">
        <v>1042</v>
      </c>
      <c r="I92" s="136" t="s">
        <v>1494</v>
      </c>
      <c r="J92" s="136" t="s">
        <v>1173</v>
      </c>
      <c r="K92" s="136"/>
      <c r="L92" s="136">
        <v>8</v>
      </c>
      <c r="M92" s="219">
        <v>44202</v>
      </c>
      <c r="N92" s="136"/>
      <c r="O92" s="136">
        <v>17</v>
      </c>
      <c r="P92" s="136" t="s">
        <v>432</v>
      </c>
      <c r="Q92" s="136" t="s">
        <v>1153</v>
      </c>
      <c r="R92" s="136">
        <v>13</v>
      </c>
      <c r="S92" s="136">
        <v>1</v>
      </c>
      <c r="T92" s="136" t="s">
        <v>1154</v>
      </c>
      <c r="U92" s="136" t="s">
        <v>1155</v>
      </c>
      <c r="V92" s="35" t="s">
        <v>1495</v>
      </c>
      <c r="W92" s="136"/>
      <c r="AA92" s="355"/>
    </row>
    <row r="93" spans="1:36" s="126" customFormat="1">
      <c r="A93" s="126" t="s">
        <v>1210</v>
      </c>
      <c r="B93" s="283" t="s">
        <v>1496</v>
      </c>
      <c r="C93" s="136" t="s">
        <v>1286</v>
      </c>
      <c r="D93" s="136" t="s">
        <v>8</v>
      </c>
      <c r="E93" s="136" t="s">
        <v>1086</v>
      </c>
      <c r="F93" s="136" t="s">
        <v>1256</v>
      </c>
      <c r="G93" s="136"/>
      <c r="H93" s="136" t="s">
        <v>1042</v>
      </c>
      <c r="I93" s="136" t="s">
        <v>1497</v>
      </c>
      <c r="J93" s="136" t="s">
        <v>1152</v>
      </c>
      <c r="K93" s="136"/>
      <c r="L93" s="136">
        <v>8</v>
      </c>
      <c r="M93" s="219">
        <v>44202</v>
      </c>
      <c r="N93" s="136"/>
      <c r="O93" s="136">
        <v>15</v>
      </c>
      <c r="P93" s="136" t="s">
        <v>432</v>
      </c>
      <c r="Q93" s="136" t="s">
        <v>1153</v>
      </c>
      <c r="R93" s="136">
        <v>16</v>
      </c>
      <c r="S93" s="136">
        <v>4</v>
      </c>
      <c r="T93" s="136" t="s">
        <v>1154</v>
      </c>
      <c r="U93" s="136" t="s">
        <v>1155</v>
      </c>
      <c r="V93" s="35" t="s">
        <v>1498</v>
      </c>
      <c r="W93" s="136"/>
      <c r="AA93" s="355"/>
    </row>
    <row r="94" spans="1:36" s="126" customFormat="1">
      <c r="A94" s="126" t="s">
        <v>1210</v>
      </c>
      <c r="B94" s="283" t="s">
        <v>1499</v>
      </c>
      <c r="C94" s="136" t="s">
        <v>1286</v>
      </c>
      <c r="D94" s="136" t="s">
        <v>8</v>
      </c>
      <c r="E94" s="136" t="s">
        <v>1086</v>
      </c>
      <c r="F94" s="136" t="s">
        <v>1256</v>
      </c>
      <c r="G94" s="136"/>
      <c r="H94" s="136" t="s">
        <v>1042</v>
      </c>
      <c r="I94" s="136" t="s">
        <v>1500</v>
      </c>
      <c r="J94" s="136" t="s">
        <v>1152</v>
      </c>
      <c r="K94" s="136"/>
      <c r="L94" s="136">
        <v>8</v>
      </c>
      <c r="M94" s="219">
        <v>44148</v>
      </c>
      <c r="N94" s="136"/>
      <c r="O94" s="136">
        <v>12</v>
      </c>
      <c r="P94" s="136" t="s">
        <v>432</v>
      </c>
      <c r="Q94" s="136" t="s">
        <v>1153</v>
      </c>
      <c r="R94" s="136">
        <v>19</v>
      </c>
      <c r="S94" s="136">
        <v>5</v>
      </c>
      <c r="T94" s="136" t="s">
        <v>1154</v>
      </c>
      <c r="U94" s="136" t="s">
        <v>1155</v>
      </c>
      <c r="V94" s="35" t="s">
        <v>1501</v>
      </c>
      <c r="W94" s="136"/>
      <c r="AA94" s="355"/>
    </row>
    <row r="95" spans="1:36" s="126" customFormat="1">
      <c r="A95" s="126" t="s">
        <v>1210</v>
      </c>
      <c r="B95" s="283" t="s">
        <v>1502</v>
      </c>
      <c r="C95" s="136" t="s">
        <v>1286</v>
      </c>
      <c r="D95" s="136" t="s">
        <v>8</v>
      </c>
      <c r="E95" s="136" t="s">
        <v>1086</v>
      </c>
      <c r="F95" s="136" t="s">
        <v>1256</v>
      </c>
      <c r="G95" s="136"/>
      <c r="H95" s="136" t="s">
        <v>1042</v>
      </c>
      <c r="I95" s="136" t="s">
        <v>1503</v>
      </c>
      <c r="J95" s="136" t="s">
        <v>1173</v>
      </c>
      <c r="K95" s="136" t="s">
        <v>1174</v>
      </c>
      <c r="L95" s="136">
        <v>8</v>
      </c>
      <c r="M95" s="219">
        <v>44137</v>
      </c>
      <c r="N95" s="136"/>
      <c r="O95" s="136">
        <v>16</v>
      </c>
      <c r="P95" s="136" t="s">
        <v>432</v>
      </c>
      <c r="Q95" s="136" t="s">
        <v>1153</v>
      </c>
      <c r="R95" s="136">
        <v>17</v>
      </c>
      <c r="S95" s="136">
        <v>2</v>
      </c>
      <c r="T95" s="136" t="s">
        <v>1154</v>
      </c>
      <c r="U95" s="136" t="s">
        <v>1155</v>
      </c>
      <c r="V95" s="35" t="s">
        <v>1504</v>
      </c>
      <c r="W95" s="136"/>
      <c r="AA95" s="355"/>
    </row>
    <row r="96" spans="1:36" s="126" customFormat="1">
      <c r="A96" s="126" t="s">
        <v>1210</v>
      </c>
      <c r="B96" s="283" t="s">
        <v>1505</v>
      </c>
      <c r="C96" s="136" t="s">
        <v>1286</v>
      </c>
      <c r="D96" s="136" t="s">
        <v>8</v>
      </c>
      <c r="E96" s="136" t="s">
        <v>1086</v>
      </c>
      <c r="F96" s="136" t="s">
        <v>1256</v>
      </c>
      <c r="G96" s="136"/>
      <c r="H96" s="136" t="s">
        <v>1042</v>
      </c>
      <c r="I96" s="136" t="s">
        <v>1506</v>
      </c>
      <c r="J96" s="136" t="s">
        <v>1173</v>
      </c>
      <c r="K96" s="136"/>
      <c r="L96" s="136">
        <v>8</v>
      </c>
      <c r="M96" s="219">
        <v>44202</v>
      </c>
      <c r="N96" s="136"/>
      <c r="O96" s="136">
        <v>18</v>
      </c>
      <c r="P96" s="136" t="s">
        <v>432</v>
      </c>
      <c r="Q96" s="136" t="s">
        <v>1153</v>
      </c>
      <c r="R96" s="136">
        <v>15</v>
      </c>
      <c r="S96" s="136">
        <v>1</v>
      </c>
      <c r="T96" s="136" t="s">
        <v>1154</v>
      </c>
      <c r="U96" s="136" t="s">
        <v>1155</v>
      </c>
      <c r="V96" s="35" t="s">
        <v>1507</v>
      </c>
      <c r="W96" s="136"/>
      <c r="AA96" s="355"/>
    </row>
    <row r="97" spans="1:27" s="126" customFormat="1">
      <c r="A97" s="126" t="s">
        <v>1210</v>
      </c>
      <c r="B97" s="283" t="s">
        <v>1508</v>
      </c>
      <c r="C97" s="136" t="s">
        <v>1286</v>
      </c>
      <c r="D97" s="136" t="s">
        <v>8</v>
      </c>
      <c r="E97" s="136" t="s">
        <v>777</v>
      </c>
      <c r="F97" s="136" t="s">
        <v>772</v>
      </c>
      <c r="G97" s="136"/>
      <c r="H97" s="136" t="s">
        <v>1426</v>
      </c>
      <c r="I97" s="136" t="s">
        <v>1509</v>
      </c>
      <c r="J97" s="136" t="s">
        <v>1152</v>
      </c>
      <c r="K97" s="136" t="s">
        <v>1174</v>
      </c>
      <c r="L97" s="136">
        <v>8</v>
      </c>
      <c r="M97" s="219">
        <v>44144</v>
      </c>
      <c r="N97" s="136"/>
      <c r="O97" s="136">
        <v>20</v>
      </c>
      <c r="P97" s="136" t="s">
        <v>432</v>
      </c>
      <c r="Q97" s="136" t="s">
        <v>1153</v>
      </c>
      <c r="R97" s="136">
        <v>14</v>
      </c>
      <c r="S97" s="136">
        <v>2</v>
      </c>
      <c r="T97" s="136" t="s">
        <v>1154</v>
      </c>
      <c r="U97" s="136" t="s">
        <v>1155</v>
      </c>
      <c r="V97" s="35" t="s">
        <v>1510</v>
      </c>
      <c r="W97" s="136"/>
      <c r="AA97" s="355"/>
    </row>
    <row r="98" spans="1:27" s="126" customFormat="1">
      <c r="A98" s="126" t="s">
        <v>1210</v>
      </c>
      <c r="B98" s="283" t="s">
        <v>1511</v>
      </c>
      <c r="C98" s="136" t="s">
        <v>1286</v>
      </c>
      <c r="D98" s="136" t="s">
        <v>8</v>
      </c>
      <c r="E98" s="136" t="s">
        <v>777</v>
      </c>
      <c r="F98" s="136" t="s">
        <v>772</v>
      </c>
      <c r="G98" s="136"/>
      <c r="H98" s="136" t="s">
        <v>1426</v>
      </c>
      <c r="I98" s="136" t="s">
        <v>1512</v>
      </c>
      <c r="J98" s="136" t="s">
        <v>1173</v>
      </c>
      <c r="K98" s="136" t="s">
        <v>1174</v>
      </c>
      <c r="L98" s="136">
        <v>8</v>
      </c>
      <c r="M98" s="219">
        <v>44144</v>
      </c>
      <c r="N98" s="136"/>
      <c r="O98" s="136">
        <v>5</v>
      </c>
      <c r="P98" s="136" t="s">
        <v>432</v>
      </c>
      <c r="Q98" s="136" t="s">
        <v>1153</v>
      </c>
      <c r="R98" s="136">
        <v>14</v>
      </c>
      <c r="S98" s="136">
        <v>3</v>
      </c>
      <c r="T98" s="136" t="s">
        <v>1154</v>
      </c>
      <c r="U98" s="136" t="s">
        <v>1155</v>
      </c>
      <c r="V98" s="35" t="s">
        <v>1513</v>
      </c>
      <c r="W98" s="136"/>
      <c r="AA98" s="355"/>
    </row>
    <row r="99" spans="1:27" s="126" customFormat="1">
      <c r="A99" s="126" t="s">
        <v>1210</v>
      </c>
      <c r="B99" s="283" t="s">
        <v>1514</v>
      </c>
      <c r="C99" s="136" t="s">
        <v>1286</v>
      </c>
      <c r="D99" s="136" t="s">
        <v>8</v>
      </c>
      <c r="E99" s="136" t="s">
        <v>1086</v>
      </c>
      <c r="F99" s="136" t="s">
        <v>1256</v>
      </c>
      <c r="G99" s="136"/>
      <c r="H99" s="136" t="s">
        <v>1042</v>
      </c>
      <c r="I99" s="136" t="s">
        <v>1515</v>
      </c>
      <c r="J99" s="136" t="s">
        <v>1173</v>
      </c>
      <c r="K99" s="136" t="s">
        <v>1174</v>
      </c>
      <c r="L99" s="136">
        <v>8</v>
      </c>
      <c r="M99" s="219">
        <v>44202</v>
      </c>
      <c r="N99" s="136"/>
      <c r="O99" s="136">
        <v>17</v>
      </c>
      <c r="P99" s="136" t="s">
        <v>432</v>
      </c>
      <c r="Q99" s="136" t="s">
        <v>1153</v>
      </c>
      <c r="R99" s="136">
        <v>17</v>
      </c>
      <c r="S99" s="136">
        <v>1</v>
      </c>
      <c r="T99" s="136" t="s">
        <v>1154</v>
      </c>
      <c r="U99" s="136" t="s">
        <v>1155</v>
      </c>
      <c r="V99" s="35" t="s">
        <v>1516</v>
      </c>
      <c r="W99" s="136"/>
      <c r="AA99" s="355"/>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5"/>
    </row>
    <row r="101" spans="1:27" s="126" customFormat="1">
      <c r="A101" s="283" t="s">
        <v>1043</v>
      </c>
      <c r="B101" s="283" t="s">
        <v>1517</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5"/>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5"/>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5"/>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1346</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1347</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5" t="s">
        <v>1032</v>
      </c>
      <c r="B125" s="365"/>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6" t="s">
        <v>885</v>
      </c>
      <c r="B143" s="366"/>
    </row>
    <row r="145" spans="1:3">
      <c r="A145" s="295" t="s">
        <v>840</v>
      </c>
      <c r="B145" s="296"/>
      <c r="C145" s="297"/>
    </row>
    <row r="146" spans="1:3">
      <c r="A146" s="367" t="s">
        <v>841</v>
      </c>
      <c r="B146" s="369"/>
      <c r="C146" s="298" t="s">
        <v>1294</v>
      </c>
    </row>
    <row r="147" spans="1:3" ht="15" thickBot="1">
      <c r="A147" s="368"/>
      <c r="B147" s="370"/>
      <c r="C147" s="298" t="s">
        <v>1297</v>
      </c>
    </row>
    <row r="148" spans="1:3">
      <c r="A148" s="299" t="s">
        <v>803</v>
      </c>
      <c r="B148" s="299" t="s">
        <v>1295</v>
      </c>
      <c r="C148" s="297"/>
    </row>
    <row r="149" spans="1:3" ht="15" thickBot="1">
      <c r="A149" s="300" t="s">
        <v>886</v>
      </c>
      <c r="B149" s="300" t="s">
        <v>887</v>
      </c>
      <c r="C149" s="297"/>
    </row>
    <row r="150" spans="1:3">
      <c r="A150" s="301" t="s">
        <v>802</v>
      </c>
      <c r="B150" s="301" t="s">
        <v>1298</v>
      </c>
      <c r="C150" s="297"/>
    </row>
    <row r="151" spans="1:3" ht="15" thickBot="1">
      <c r="A151" s="300" t="s">
        <v>886</v>
      </c>
      <c r="B151" s="300" t="s">
        <v>887</v>
      </c>
      <c r="C151" s="297"/>
    </row>
    <row r="152" spans="1:3">
      <c r="A152" s="301" t="s">
        <v>888</v>
      </c>
      <c r="B152" s="301" t="s">
        <v>1299</v>
      </c>
      <c r="C152" s="297"/>
    </row>
    <row r="153" spans="1:3" ht="15" thickBot="1">
      <c r="A153" s="300" t="s">
        <v>886</v>
      </c>
      <c r="B153" s="300" t="s">
        <v>887</v>
      </c>
      <c r="C153" s="297"/>
    </row>
    <row r="154" spans="1:3">
      <c r="A154" s="301" t="s">
        <v>804</v>
      </c>
      <c r="B154" s="301" t="s">
        <v>1296</v>
      </c>
      <c r="C154" s="302"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101"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3"/>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1348</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1349</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5" t="s">
        <v>1175</v>
      </c>
      <c r="B135" s="365"/>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4" t="s">
        <v>1315</v>
      </c>
      <c r="B219" s="130" t="s">
        <v>1314</v>
      </c>
      <c r="C219" s="126" t="s">
        <v>390</v>
      </c>
    </row>
    <row r="221" spans="1:3">
      <c r="A221" s="108" t="s">
        <v>871</v>
      </c>
      <c r="B221" s="108"/>
    </row>
    <row r="222" spans="1:3">
      <c r="A222" s="33" t="s">
        <v>872</v>
      </c>
      <c r="B222" s="34"/>
      <c r="C222" s="35"/>
    </row>
    <row r="223" spans="1:3" ht="87">
      <c r="A223" s="304" t="s">
        <v>1350</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1402</v>
      </c>
      <c r="B1" s="108"/>
    </row>
    <row r="2" spans="1:3">
      <c r="A2" s="33" t="s">
        <v>1403</v>
      </c>
      <c r="B2" s="34"/>
      <c r="C2" s="35"/>
    </row>
    <row r="3" spans="1:3" s="136" customFormat="1">
      <c r="A3" s="135" t="s">
        <v>1405</v>
      </c>
      <c r="B3" s="126"/>
    </row>
    <row r="4" spans="1:3" s="136" customFormat="1">
      <c r="B4" s="126"/>
    </row>
    <row r="5" spans="1:3">
      <c r="A5" s="33" t="s">
        <v>1404</v>
      </c>
      <c r="B5" s="34"/>
      <c r="C5" s="35"/>
    </row>
    <row r="6" spans="1:3" s="136" customFormat="1">
      <c r="A6" s="135" t="s">
        <v>1406</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1407</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41"/>
  <sheetViews>
    <sheetView workbookViewId="0">
      <selection sqref="A1:XFD1048576"/>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1441</v>
      </c>
      <c r="C2" t="s">
        <v>937</v>
      </c>
      <c r="D2" t="s">
        <v>1456</v>
      </c>
      <c r="E2" t="s">
        <v>1277</v>
      </c>
      <c r="F2" t="s">
        <v>952</v>
      </c>
      <c r="G2" t="s">
        <v>417</v>
      </c>
    </row>
    <row r="3" spans="1:7">
      <c r="A3" t="s">
        <v>952</v>
      </c>
      <c r="B3" t="s">
        <v>1441</v>
      </c>
      <c r="C3" t="s">
        <v>938</v>
      </c>
      <c r="D3" t="s">
        <v>1456</v>
      </c>
      <c r="E3" t="s">
        <v>1277</v>
      </c>
      <c r="F3" t="s">
        <v>952</v>
      </c>
      <c r="G3" t="s">
        <v>417</v>
      </c>
    </row>
    <row r="4" spans="1:7">
      <c r="A4" t="s">
        <v>952</v>
      </c>
      <c r="B4" t="s">
        <v>1441</v>
      </c>
      <c r="C4" t="s">
        <v>939</v>
      </c>
      <c r="D4" t="s">
        <v>1456</v>
      </c>
      <c r="E4" t="s">
        <v>1277</v>
      </c>
      <c r="F4" t="s">
        <v>952</v>
      </c>
      <c r="G4" t="s">
        <v>417</v>
      </c>
    </row>
    <row r="5" spans="1:7">
      <c r="A5" t="s">
        <v>952</v>
      </c>
      <c r="B5" t="s">
        <v>1441</v>
      </c>
      <c r="C5" t="s">
        <v>939</v>
      </c>
      <c r="D5" t="s">
        <v>1457</v>
      </c>
      <c r="E5" t="s">
        <v>1276</v>
      </c>
      <c r="F5" t="s">
        <v>952</v>
      </c>
    </row>
    <row r="6" spans="1:7">
      <c r="A6" t="s">
        <v>952</v>
      </c>
      <c r="B6" t="s">
        <v>1441</v>
      </c>
      <c r="C6" t="s">
        <v>939</v>
      </c>
      <c r="D6" t="s">
        <v>1458</v>
      </c>
      <c r="E6" t="s">
        <v>1278</v>
      </c>
      <c r="F6" t="s">
        <v>952</v>
      </c>
    </row>
    <row r="7" spans="1:7">
      <c r="A7" t="s">
        <v>952</v>
      </c>
      <c r="B7" t="s">
        <v>1441</v>
      </c>
      <c r="C7" t="s">
        <v>940</v>
      </c>
      <c r="D7" t="s">
        <v>1456</v>
      </c>
      <c r="E7" t="s">
        <v>1277</v>
      </c>
      <c r="F7" t="s">
        <v>952</v>
      </c>
      <c r="G7" t="s">
        <v>417</v>
      </c>
    </row>
    <row r="8" spans="1:7">
      <c r="A8" t="s">
        <v>952</v>
      </c>
      <c r="B8" t="s">
        <v>1441</v>
      </c>
      <c r="C8" t="s">
        <v>941</v>
      </c>
      <c r="D8" t="s">
        <v>1456</v>
      </c>
      <c r="E8" t="s">
        <v>1277</v>
      </c>
      <c r="F8" t="s">
        <v>952</v>
      </c>
      <c r="G8" t="s">
        <v>417</v>
      </c>
    </row>
    <row r="9" spans="1:7">
      <c r="A9" t="s">
        <v>952</v>
      </c>
      <c r="B9" t="s">
        <v>1441</v>
      </c>
      <c r="C9" t="s">
        <v>941</v>
      </c>
      <c r="D9" t="s">
        <v>1458</v>
      </c>
      <c r="E9" t="s">
        <v>1278</v>
      </c>
      <c r="F9" t="s">
        <v>952</v>
      </c>
    </row>
    <row r="10" spans="1:7">
      <c r="A10" t="s">
        <v>952</v>
      </c>
      <c r="B10" t="s">
        <v>1441</v>
      </c>
      <c r="C10" t="s">
        <v>946</v>
      </c>
      <c r="D10" t="s">
        <v>1457</v>
      </c>
      <c r="E10" t="s">
        <v>1276</v>
      </c>
      <c r="F10" t="s">
        <v>952</v>
      </c>
      <c r="G10" t="s">
        <v>417</v>
      </c>
    </row>
    <row r="11" spans="1:7">
      <c r="A11" t="s">
        <v>952</v>
      </c>
      <c r="B11" t="s">
        <v>1441</v>
      </c>
      <c r="C11" t="s">
        <v>947</v>
      </c>
      <c r="D11" t="s">
        <v>1457</v>
      </c>
      <c r="E11" t="s">
        <v>1276</v>
      </c>
      <c r="F11" t="s">
        <v>952</v>
      </c>
      <c r="G11" t="s">
        <v>417</v>
      </c>
    </row>
    <row r="12" spans="1:7">
      <c r="A12" t="s">
        <v>952</v>
      </c>
      <c r="B12" t="s">
        <v>1441</v>
      </c>
      <c r="C12" t="s">
        <v>948</v>
      </c>
      <c r="D12" t="s">
        <v>1457</v>
      </c>
      <c r="E12" t="s">
        <v>1276</v>
      </c>
      <c r="F12" t="s">
        <v>952</v>
      </c>
      <c r="G12" t="s">
        <v>417</v>
      </c>
    </row>
    <row r="13" spans="1:7">
      <c r="A13" t="s">
        <v>953</v>
      </c>
      <c r="B13" t="s">
        <v>1444</v>
      </c>
      <c r="C13" t="s">
        <v>945</v>
      </c>
      <c r="D13" t="s">
        <v>1462</v>
      </c>
      <c r="E13" t="s">
        <v>1276</v>
      </c>
      <c r="F13" t="s">
        <v>953</v>
      </c>
      <c r="G13" t="s">
        <v>417</v>
      </c>
    </row>
    <row r="14" spans="1:7">
      <c r="A14" t="s">
        <v>954</v>
      </c>
      <c r="B14" t="s">
        <v>1446</v>
      </c>
      <c r="C14" t="s">
        <v>937</v>
      </c>
      <c r="D14" t="s">
        <v>1466</v>
      </c>
      <c r="E14" t="s">
        <v>1277</v>
      </c>
      <c r="F14" t="s">
        <v>954</v>
      </c>
      <c r="G14" t="s">
        <v>417</v>
      </c>
    </row>
    <row r="15" spans="1:7">
      <c r="A15" t="s">
        <v>954</v>
      </c>
      <c r="B15" t="s">
        <v>1446</v>
      </c>
      <c r="C15" t="s">
        <v>938</v>
      </c>
      <c r="D15" t="s">
        <v>1465</v>
      </c>
      <c r="E15" t="s">
        <v>969</v>
      </c>
      <c r="F15" t="s">
        <v>954</v>
      </c>
      <c r="G15" t="s">
        <v>417</v>
      </c>
    </row>
    <row r="16" spans="1:7">
      <c r="A16" t="s">
        <v>954</v>
      </c>
      <c r="B16" t="s">
        <v>1446</v>
      </c>
      <c r="C16" t="s">
        <v>938</v>
      </c>
      <c r="D16" t="s">
        <v>1466</v>
      </c>
      <c r="E16" t="s">
        <v>1277</v>
      </c>
      <c r="F16" t="s">
        <v>954</v>
      </c>
    </row>
    <row r="17" spans="1:7">
      <c r="A17" t="s">
        <v>955</v>
      </c>
      <c r="B17" t="s">
        <v>1448</v>
      </c>
      <c r="C17" t="s">
        <v>939</v>
      </c>
      <c r="D17" t="s">
        <v>1469</v>
      </c>
      <c r="E17" t="s">
        <v>967</v>
      </c>
      <c r="F17" t="s">
        <v>955</v>
      </c>
      <c r="G17" t="s">
        <v>417</v>
      </c>
    </row>
    <row r="18" spans="1:7">
      <c r="A18" t="s">
        <v>955</v>
      </c>
      <c r="B18" t="s">
        <v>1448</v>
      </c>
      <c r="C18" t="s">
        <v>939</v>
      </c>
      <c r="D18" t="s">
        <v>1470</v>
      </c>
      <c r="E18" t="s">
        <v>969</v>
      </c>
      <c r="F18" t="s">
        <v>955</v>
      </c>
    </row>
    <row r="19" spans="1:7">
      <c r="A19" t="s">
        <v>955</v>
      </c>
      <c r="B19" t="s">
        <v>1448</v>
      </c>
      <c r="C19" t="s">
        <v>939</v>
      </c>
      <c r="D19" t="s">
        <v>1471</v>
      </c>
      <c r="E19" t="s">
        <v>1277</v>
      </c>
      <c r="F19" t="s">
        <v>955</v>
      </c>
    </row>
    <row r="20" spans="1:7">
      <c r="A20" t="s">
        <v>955</v>
      </c>
      <c r="B20" t="s">
        <v>1448</v>
      </c>
      <c r="C20" t="s">
        <v>939</v>
      </c>
      <c r="D20" t="s">
        <v>1472</v>
      </c>
      <c r="E20" t="s">
        <v>1276</v>
      </c>
      <c r="F20" t="s">
        <v>955</v>
      </c>
    </row>
    <row r="21" spans="1:7">
      <c r="A21" t="s">
        <v>955</v>
      </c>
      <c r="B21" t="s">
        <v>1448</v>
      </c>
      <c r="C21" t="s">
        <v>939</v>
      </c>
      <c r="D21" t="s">
        <v>1473</v>
      </c>
      <c r="E21" t="s">
        <v>1278</v>
      </c>
      <c r="F21" t="s">
        <v>955</v>
      </c>
    </row>
    <row r="22" spans="1:7">
      <c r="A22" t="s">
        <v>955</v>
      </c>
      <c r="B22" t="s">
        <v>1448</v>
      </c>
      <c r="C22" t="s">
        <v>940</v>
      </c>
      <c r="D22" t="s">
        <v>1469</v>
      </c>
      <c r="E22" t="s">
        <v>967</v>
      </c>
      <c r="F22" t="s">
        <v>955</v>
      </c>
      <c r="G22" t="s">
        <v>417</v>
      </c>
    </row>
    <row r="23" spans="1:7">
      <c r="A23" t="s">
        <v>955</v>
      </c>
      <c r="B23" t="s">
        <v>1448</v>
      </c>
      <c r="C23" t="s">
        <v>941</v>
      </c>
      <c r="D23" t="s">
        <v>1471</v>
      </c>
      <c r="E23" t="s">
        <v>1277</v>
      </c>
      <c r="F23" t="s">
        <v>955</v>
      </c>
      <c r="G23" t="s">
        <v>417</v>
      </c>
    </row>
    <row r="24" spans="1:7">
      <c r="A24" t="s">
        <v>955</v>
      </c>
      <c r="B24" t="s">
        <v>1448</v>
      </c>
      <c r="C24" t="s">
        <v>941</v>
      </c>
      <c r="D24" t="s">
        <v>1473</v>
      </c>
      <c r="E24" t="s">
        <v>1278</v>
      </c>
      <c r="F24" t="s">
        <v>955</v>
      </c>
    </row>
    <row r="25" spans="1:7">
      <c r="A25" t="s">
        <v>955</v>
      </c>
      <c r="B25" t="s">
        <v>1448</v>
      </c>
      <c r="C25" t="s">
        <v>945</v>
      </c>
      <c r="D25" t="s">
        <v>1472</v>
      </c>
      <c r="E25" t="s">
        <v>1276</v>
      </c>
      <c r="F25" t="s">
        <v>955</v>
      </c>
      <c r="G25" t="s">
        <v>417</v>
      </c>
    </row>
    <row r="26" spans="1:7">
      <c r="A26" t="s">
        <v>955</v>
      </c>
      <c r="B26" t="s">
        <v>1448</v>
      </c>
      <c r="C26" t="s">
        <v>946</v>
      </c>
      <c r="D26" t="s">
        <v>1472</v>
      </c>
      <c r="E26" t="s">
        <v>1276</v>
      </c>
      <c r="F26" t="s">
        <v>955</v>
      </c>
      <c r="G26" t="s">
        <v>417</v>
      </c>
    </row>
    <row r="27" spans="1:7">
      <c r="A27" t="s">
        <v>955</v>
      </c>
      <c r="B27" t="s">
        <v>1448</v>
      </c>
      <c r="C27" t="s">
        <v>947</v>
      </c>
      <c r="D27" t="s">
        <v>1472</v>
      </c>
      <c r="E27" t="s">
        <v>1276</v>
      </c>
      <c r="F27" t="s">
        <v>955</v>
      </c>
      <c r="G27" t="s">
        <v>417</v>
      </c>
    </row>
    <row r="28" spans="1:7">
      <c r="A28" t="s">
        <v>955</v>
      </c>
      <c r="B28" t="s">
        <v>1448</v>
      </c>
      <c r="C28" t="s">
        <v>948</v>
      </c>
      <c r="D28" t="s">
        <v>1472</v>
      </c>
      <c r="E28" t="s">
        <v>1276</v>
      </c>
      <c r="F28" t="s">
        <v>955</v>
      </c>
      <c r="G28" t="s">
        <v>417</v>
      </c>
    </row>
    <row r="29" spans="1:7">
      <c r="A29" t="s">
        <v>958</v>
      </c>
      <c r="B29" t="s">
        <v>1034</v>
      </c>
      <c r="C29" t="s">
        <v>803</v>
      </c>
      <c r="D29" t="s">
        <v>1484</v>
      </c>
      <c r="E29" t="s">
        <v>1275</v>
      </c>
      <c r="F29" t="s">
        <v>958</v>
      </c>
      <c r="G29" t="s">
        <v>417</v>
      </c>
    </row>
    <row r="30" spans="1:7">
      <c r="A30" t="s">
        <v>959</v>
      </c>
      <c r="B30" t="s">
        <v>1035</v>
      </c>
      <c r="C30" t="s">
        <v>942</v>
      </c>
      <c r="D30" t="s">
        <v>1485</v>
      </c>
      <c r="E30" t="s">
        <v>1279</v>
      </c>
      <c r="F30" t="s">
        <v>959</v>
      </c>
      <c r="G30" t="s">
        <v>417</v>
      </c>
    </row>
    <row r="31" spans="1:7">
      <c r="A31" t="s">
        <v>959</v>
      </c>
      <c r="B31" t="s">
        <v>1035</v>
      </c>
      <c r="C31" t="s">
        <v>942</v>
      </c>
      <c r="D31" t="s">
        <v>1486</v>
      </c>
      <c r="E31" t="s">
        <v>1279</v>
      </c>
      <c r="F31" t="s">
        <v>959</v>
      </c>
    </row>
    <row r="32" spans="1:7">
      <c r="A32" t="s">
        <v>959</v>
      </c>
      <c r="B32" t="s">
        <v>1035</v>
      </c>
      <c r="C32" t="s">
        <v>943</v>
      </c>
      <c r="D32" t="s">
        <v>1485</v>
      </c>
      <c r="E32" t="s">
        <v>1279</v>
      </c>
      <c r="F32" t="s">
        <v>959</v>
      </c>
      <c r="G32" t="s">
        <v>417</v>
      </c>
    </row>
    <row r="33" spans="1:7">
      <c r="A33" t="s">
        <v>959</v>
      </c>
      <c r="B33" t="s">
        <v>1035</v>
      </c>
      <c r="C33" t="s">
        <v>943</v>
      </c>
      <c r="D33" t="s">
        <v>1486</v>
      </c>
      <c r="E33" t="s">
        <v>1279</v>
      </c>
      <c r="F33" t="s">
        <v>959</v>
      </c>
    </row>
    <row r="34" spans="1:7">
      <c r="A34" t="s">
        <v>959</v>
      </c>
      <c r="B34" t="s">
        <v>1035</v>
      </c>
      <c r="C34" t="s">
        <v>944</v>
      </c>
      <c r="D34" t="s">
        <v>1485</v>
      </c>
      <c r="E34" t="s">
        <v>1279</v>
      </c>
      <c r="F34" t="s">
        <v>959</v>
      </c>
      <c r="G34" t="s">
        <v>417</v>
      </c>
    </row>
    <row r="35" spans="1:7">
      <c r="A35" t="s">
        <v>959</v>
      </c>
      <c r="B35" t="s">
        <v>1035</v>
      </c>
      <c r="C35" t="s">
        <v>944</v>
      </c>
      <c r="D35" t="s">
        <v>1486</v>
      </c>
      <c r="E35" t="s">
        <v>1279</v>
      </c>
      <c r="F35" t="s">
        <v>959</v>
      </c>
    </row>
    <row r="36" spans="1:7">
      <c r="A36" t="s">
        <v>959</v>
      </c>
      <c r="B36" t="s">
        <v>1035</v>
      </c>
      <c r="C36" t="s">
        <v>949</v>
      </c>
      <c r="D36" t="s">
        <v>1485</v>
      </c>
      <c r="E36" t="s">
        <v>1279</v>
      </c>
      <c r="F36" t="s">
        <v>959</v>
      </c>
      <c r="G36" t="s">
        <v>417</v>
      </c>
    </row>
    <row r="37" spans="1:7">
      <c r="A37" t="s">
        <v>959</v>
      </c>
      <c r="B37" t="s">
        <v>1035</v>
      </c>
      <c r="C37" t="s">
        <v>949</v>
      </c>
      <c r="D37" t="s">
        <v>1486</v>
      </c>
      <c r="E37" t="s">
        <v>1279</v>
      </c>
      <c r="F37" t="s">
        <v>959</v>
      </c>
    </row>
    <row r="38" spans="1:7">
      <c r="A38" t="s">
        <v>959</v>
      </c>
      <c r="B38" t="s">
        <v>1035</v>
      </c>
      <c r="C38" t="s">
        <v>950</v>
      </c>
      <c r="D38" t="s">
        <v>1485</v>
      </c>
      <c r="E38" t="s">
        <v>1279</v>
      </c>
      <c r="F38" t="s">
        <v>959</v>
      </c>
      <c r="G38" t="s">
        <v>417</v>
      </c>
    </row>
    <row r="39" spans="1:7">
      <c r="A39" t="s">
        <v>959</v>
      </c>
      <c r="B39" t="s">
        <v>1035</v>
      </c>
      <c r="C39" t="s">
        <v>950</v>
      </c>
      <c r="D39" t="s">
        <v>1486</v>
      </c>
      <c r="E39" t="s">
        <v>1279</v>
      </c>
      <c r="F39" t="s">
        <v>959</v>
      </c>
    </row>
    <row r="40" spans="1:7">
      <c r="A40" t="s">
        <v>960</v>
      </c>
      <c r="B40" t="s">
        <v>1036</v>
      </c>
      <c r="C40" t="s">
        <v>805</v>
      </c>
      <c r="D40" t="s">
        <v>1487</v>
      </c>
      <c r="E40" t="s">
        <v>1274</v>
      </c>
      <c r="F40" t="s">
        <v>960</v>
      </c>
      <c r="G40" t="s">
        <v>417</v>
      </c>
    </row>
    <row r="41" spans="1:7">
      <c r="A41" t="s">
        <v>961</v>
      </c>
      <c r="B41" t="s">
        <v>1037</v>
      </c>
      <c r="C41" t="s">
        <v>889</v>
      </c>
      <c r="D41" t="s">
        <v>1488</v>
      </c>
      <c r="E41" t="s">
        <v>1489</v>
      </c>
      <c r="F41" t="s">
        <v>961</v>
      </c>
      <c r="G41" t="s">
        <v>417</v>
      </c>
    </row>
  </sheetData>
  <sortState xmlns:xlrd2="http://schemas.microsoft.com/office/spreadsheetml/2017/richdata2" ref="A2:G41">
    <sortCondition ref="A2:A41"/>
    <sortCondition ref="C2:C41"/>
    <sortCondition ref="D2:D41"/>
    <sortCondition ref="G2:G41"/>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E28" sqref="E28"/>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7.6328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1441</v>
      </c>
      <c r="C2" s="167" t="s">
        <v>946</v>
      </c>
      <c r="D2" s="120" t="s">
        <v>1457</v>
      </c>
      <c r="E2" s="120" t="s">
        <v>1276</v>
      </c>
      <c r="F2" s="167" t="s">
        <v>952</v>
      </c>
      <c r="G2" s="121" t="s">
        <v>417</v>
      </c>
      <c r="H2" s="120" t="s">
        <v>1060</v>
      </c>
      <c r="I2" s="145">
        <f>VLOOKUP(C2,tbl_PAcount,6,FALSE)</f>
        <v>6</v>
      </c>
      <c r="J2" s="145">
        <v>11</v>
      </c>
      <c r="K2" s="145">
        <f>SUM(I2:J11)</f>
        <v>89</v>
      </c>
      <c r="L2" s="145">
        <f>K2*4</f>
        <v>356</v>
      </c>
      <c r="M2" s="145">
        <f>L2/60</f>
        <v>5.9333333333333336</v>
      </c>
      <c r="N2" s="162">
        <v>4</v>
      </c>
    </row>
    <row r="3" spans="1:14" s="136" customFormat="1">
      <c r="A3" s="120" t="s">
        <v>952</v>
      </c>
      <c r="B3" s="120" t="s">
        <v>1441</v>
      </c>
      <c r="C3" s="167" t="s">
        <v>947</v>
      </c>
      <c r="D3" s="120" t="s">
        <v>1457</v>
      </c>
      <c r="E3" s="120" t="s">
        <v>1276</v>
      </c>
      <c r="F3" s="167" t="s">
        <v>952</v>
      </c>
      <c r="G3" s="121" t="s">
        <v>417</v>
      </c>
      <c r="H3" s="120" t="s">
        <v>1060</v>
      </c>
      <c r="I3" s="145">
        <f>VLOOKUP(C3,tbl_PAcount,6,FALSE)</f>
        <v>10</v>
      </c>
      <c r="J3" s="145"/>
      <c r="K3" s="145"/>
      <c r="L3" s="145"/>
      <c r="M3" s="145"/>
      <c r="N3" s="145"/>
    </row>
    <row r="4" spans="1:14" s="136" customFormat="1">
      <c r="A4" s="120" t="s">
        <v>952</v>
      </c>
      <c r="B4" s="120" t="s">
        <v>1441</v>
      </c>
      <c r="C4" s="167" t="s">
        <v>948</v>
      </c>
      <c r="D4" s="120" t="s">
        <v>1457</v>
      </c>
      <c r="E4" s="120" t="s">
        <v>1276</v>
      </c>
      <c r="F4" s="167" t="s">
        <v>952</v>
      </c>
      <c r="G4" s="121" t="s">
        <v>417</v>
      </c>
      <c r="H4" s="120" t="s">
        <v>1060</v>
      </c>
      <c r="I4" s="145">
        <f>VLOOKUP(C4,tbl_PAcount,6,FALSE)</f>
        <v>15</v>
      </c>
      <c r="J4" s="145"/>
      <c r="K4" s="145"/>
      <c r="L4" s="145"/>
      <c r="M4" s="145"/>
      <c r="N4" s="145"/>
    </row>
    <row r="5" spans="1:14" s="136" customFormat="1">
      <c r="A5" s="120" t="s">
        <v>953</v>
      </c>
      <c r="B5" s="120" t="s">
        <v>1444</v>
      </c>
      <c r="C5" s="167" t="s">
        <v>945</v>
      </c>
      <c r="D5" s="120" t="s">
        <v>1462</v>
      </c>
      <c r="E5" s="120" t="s">
        <v>1276</v>
      </c>
      <c r="F5" s="167" t="s">
        <v>953</v>
      </c>
      <c r="G5" s="121" t="s">
        <v>417</v>
      </c>
      <c r="H5" s="120" t="s">
        <v>1060</v>
      </c>
      <c r="I5" s="145"/>
      <c r="J5" s="145"/>
      <c r="K5" s="145"/>
      <c r="L5" s="145"/>
      <c r="M5" s="145"/>
      <c r="N5" s="145"/>
    </row>
    <row r="6" spans="1:14" s="136" customFormat="1">
      <c r="A6" s="120" t="s">
        <v>955</v>
      </c>
      <c r="B6" s="120" t="s">
        <v>1448</v>
      </c>
      <c r="C6" s="167" t="s">
        <v>946</v>
      </c>
      <c r="D6" s="120" t="s">
        <v>1472</v>
      </c>
      <c r="E6" s="120" t="s">
        <v>1276</v>
      </c>
      <c r="F6" s="167" t="s">
        <v>955</v>
      </c>
      <c r="G6" s="121" t="s">
        <v>417</v>
      </c>
      <c r="H6" s="120" t="s">
        <v>1060</v>
      </c>
      <c r="I6" s="145">
        <f>VLOOKUP(C6,tbl_PAcount,6,FALSE)</f>
        <v>6</v>
      </c>
      <c r="J6" s="145"/>
      <c r="K6" s="145"/>
      <c r="L6" s="145"/>
      <c r="M6" s="145"/>
      <c r="N6" s="162"/>
    </row>
    <row r="7" spans="1:14" s="136" customFormat="1">
      <c r="A7" s="120" t="s">
        <v>955</v>
      </c>
      <c r="B7" s="120" t="s">
        <v>1448</v>
      </c>
      <c r="C7" s="167" t="s">
        <v>947</v>
      </c>
      <c r="D7" s="120" t="s">
        <v>1472</v>
      </c>
      <c r="E7" s="120" t="s">
        <v>1276</v>
      </c>
      <c r="F7" s="167" t="s">
        <v>955</v>
      </c>
      <c r="G7" s="121" t="s">
        <v>417</v>
      </c>
      <c r="H7" s="120" t="s">
        <v>1060</v>
      </c>
      <c r="I7" s="145">
        <f>VLOOKUP(C7,tbl_PAcount,6,FALSE)</f>
        <v>10</v>
      </c>
      <c r="J7" s="145"/>
      <c r="K7" s="145"/>
      <c r="L7" s="145"/>
      <c r="M7" s="145"/>
      <c r="N7" s="162"/>
    </row>
    <row r="8" spans="1:14" s="136" customFormat="1">
      <c r="A8" s="120" t="s">
        <v>955</v>
      </c>
      <c r="B8" s="120" t="s">
        <v>1448</v>
      </c>
      <c r="C8" s="167" t="s">
        <v>948</v>
      </c>
      <c r="D8" s="120" t="s">
        <v>1472</v>
      </c>
      <c r="E8" s="120" t="s">
        <v>1276</v>
      </c>
      <c r="F8" s="167" t="s">
        <v>955</v>
      </c>
      <c r="G8" s="121" t="s">
        <v>417</v>
      </c>
      <c r="H8" s="120" t="s">
        <v>1060</v>
      </c>
      <c r="I8" s="145">
        <f>VLOOKUP(C8,tbl_PAcount,6,FALSE)</f>
        <v>15</v>
      </c>
      <c r="J8" s="145"/>
      <c r="K8" s="145"/>
      <c r="L8" s="145"/>
      <c r="M8" s="145"/>
      <c r="N8" s="162"/>
    </row>
    <row r="9" spans="1:14" s="136" customFormat="1">
      <c r="A9" s="120" t="s">
        <v>955</v>
      </c>
      <c r="B9" s="120" t="s">
        <v>1448</v>
      </c>
      <c r="C9" s="167" t="s">
        <v>945</v>
      </c>
      <c r="D9" s="120" t="s">
        <v>1472</v>
      </c>
      <c r="E9" s="120" t="s">
        <v>1276</v>
      </c>
      <c r="F9" s="167" t="s">
        <v>955</v>
      </c>
      <c r="G9" s="121" t="s">
        <v>417</v>
      </c>
      <c r="H9" s="120" t="s">
        <v>1060</v>
      </c>
      <c r="I9" s="145"/>
      <c r="J9" s="145"/>
      <c r="K9" s="145"/>
      <c r="L9" s="145"/>
      <c r="M9" s="145"/>
      <c r="N9" s="145"/>
    </row>
    <row r="10" spans="1:14" s="136" customFormat="1">
      <c r="A10" s="120" t="s">
        <v>952</v>
      </c>
      <c r="B10" s="120" t="s">
        <v>1441</v>
      </c>
      <c r="C10" s="167" t="s">
        <v>937</v>
      </c>
      <c r="D10" s="120" t="s">
        <v>1456</v>
      </c>
      <c r="E10" s="120" t="s">
        <v>1277</v>
      </c>
      <c r="F10" s="167" t="s">
        <v>952</v>
      </c>
      <c r="G10" s="121" t="s">
        <v>417</v>
      </c>
      <c r="H10" s="120" t="s">
        <v>1061</v>
      </c>
      <c r="I10" s="145">
        <f>VLOOKUP(C10,tbl_PAcount,6,FALSE)</f>
        <v>10</v>
      </c>
      <c r="J10" s="145"/>
      <c r="K10" s="145"/>
      <c r="L10" s="145"/>
      <c r="M10" s="145"/>
      <c r="N10" s="145"/>
    </row>
    <row r="11" spans="1:14" s="136" customFormat="1">
      <c r="A11" s="120" t="s">
        <v>952</v>
      </c>
      <c r="B11" s="120" t="s">
        <v>1441</v>
      </c>
      <c r="C11" s="167" t="s">
        <v>939</v>
      </c>
      <c r="D11" s="120" t="s">
        <v>1456</v>
      </c>
      <c r="E11" s="120" t="s">
        <v>1277</v>
      </c>
      <c r="F11" s="167" t="s">
        <v>952</v>
      </c>
      <c r="G11" s="121" t="s">
        <v>417</v>
      </c>
      <c r="H11" s="120" t="s">
        <v>1061</v>
      </c>
      <c r="I11" s="145">
        <f>VLOOKUP(C11,tbl_PAcount,6,FALSE)</f>
        <v>6</v>
      </c>
      <c r="J11" s="145"/>
      <c r="K11" s="145"/>
      <c r="L11" s="145"/>
      <c r="M11" s="145"/>
      <c r="N11" s="145"/>
    </row>
    <row r="12" spans="1:14" s="136" customFormat="1">
      <c r="A12" s="120" t="s">
        <v>952</v>
      </c>
      <c r="B12" s="120" t="s">
        <v>1441</v>
      </c>
      <c r="C12" s="167" t="s">
        <v>940</v>
      </c>
      <c r="D12" s="120" t="s">
        <v>1456</v>
      </c>
      <c r="E12" s="120" t="s">
        <v>1277</v>
      </c>
      <c r="F12" s="167" t="s">
        <v>952</v>
      </c>
      <c r="G12" s="121" t="s">
        <v>417</v>
      </c>
      <c r="H12" s="120" t="s">
        <v>1061</v>
      </c>
      <c r="I12" s="145"/>
      <c r="J12" s="145"/>
      <c r="K12" s="145"/>
      <c r="L12" s="145"/>
      <c r="M12" s="145"/>
      <c r="N12" s="145"/>
    </row>
    <row r="13" spans="1:14" s="136" customFormat="1">
      <c r="A13" s="120" t="s">
        <v>952</v>
      </c>
      <c r="B13" s="120" t="s">
        <v>1441</v>
      </c>
      <c r="C13" s="167" t="s">
        <v>938</v>
      </c>
      <c r="D13" s="120" t="s">
        <v>1456</v>
      </c>
      <c r="E13" s="120" t="s">
        <v>1277</v>
      </c>
      <c r="F13" s="167" t="s">
        <v>952</v>
      </c>
      <c r="G13" s="121" t="s">
        <v>417</v>
      </c>
      <c r="H13" s="120" t="s">
        <v>1061</v>
      </c>
      <c r="I13" s="145"/>
      <c r="J13" s="145"/>
      <c r="K13" s="145"/>
      <c r="L13" s="145"/>
      <c r="M13" s="145"/>
      <c r="N13" s="145"/>
    </row>
    <row r="14" spans="1:14" s="136" customFormat="1">
      <c r="A14" s="120" t="s">
        <v>952</v>
      </c>
      <c r="B14" s="120" t="s">
        <v>1441</v>
      </c>
      <c r="C14" s="167" t="s">
        <v>941</v>
      </c>
      <c r="D14" s="120" t="s">
        <v>1456</v>
      </c>
      <c r="E14" s="120" t="s">
        <v>1277</v>
      </c>
      <c r="F14" s="167" t="s">
        <v>952</v>
      </c>
      <c r="G14" s="121" t="s">
        <v>417</v>
      </c>
      <c r="H14" s="120" t="s">
        <v>1061</v>
      </c>
      <c r="I14" s="145"/>
      <c r="J14" s="145"/>
      <c r="K14" s="145"/>
      <c r="L14" s="145"/>
      <c r="M14" s="145"/>
      <c r="N14" s="145"/>
    </row>
    <row r="15" spans="1:14" s="136" customFormat="1">
      <c r="A15" s="120" t="s">
        <v>954</v>
      </c>
      <c r="B15" s="120" t="s">
        <v>1446</v>
      </c>
      <c r="C15" s="167" t="s">
        <v>938</v>
      </c>
      <c r="D15" s="120" t="s">
        <v>1465</v>
      </c>
      <c r="E15" s="120" t="s">
        <v>969</v>
      </c>
      <c r="F15" s="167" t="s">
        <v>954</v>
      </c>
      <c r="G15" s="121" t="s">
        <v>417</v>
      </c>
      <c r="H15" s="120" t="s">
        <v>1061</v>
      </c>
      <c r="I15" s="145">
        <f>VLOOKUP(C15,tbl_PAcount,6,FALSE)</f>
        <v>10</v>
      </c>
      <c r="J15" s="145">
        <v>11</v>
      </c>
      <c r="K15" s="145">
        <f>SUM(I15:J22)</f>
        <v>69</v>
      </c>
      <c r="L15" s="145">
        <f>K15*4</f>
        <v>276</v>
      </c>
      <c r="M15" s="145">
        <f>L15/60</f>
        <v>4.5999999999999996</v>
      </c>
      <c r="N15" s="162">
        <v>4</v>
      </c>
    </row>
    <row r="16" spans="1:14" s="136" customFormat="1">
      <c r="A16" s="120" t="s">
        <v>954</v>
      </c>
      <c r="B16" s="120" t="s">
        <v>1446</v>
      </c>
      <c r="C16" s="167" t="s">
        <v>937</v>
      </c>
      <c r="D16" s="120" t="s">
        <v>1466</v>
      </c>
      <c r="E16" s="120" t="s">
        <v>1277</v>
      </c>
      <c r="F16" s="167" t="s">
        <v>954</v>
      </c>
      <c r="G16" s="121" t="s">
        <v>417</v>
      </c>
      <c r="H16" s="120" t="s">
        <v>1061</v>
      </c>
      <c r="I16" s="145"/>
      <c r="J16" s="145"/>
      <c r="K16" s="145"/>
      <c r="L16" s="145"/>
      <c r="M16" s="145"/>
      <c r="N16" s="145"/>
    </row>
    <row r="17" spans="1:14" s="136" customFormat="1">
      <c r="A17" s="120" t="s">
        <v>955</v>
      </c>
      <c r="B17" s="120" t="s">
        <v>1448</v>
      </c>
      <c r="C17" s="167" t="s">
        <v>939</v>
      </c>
      <c r="D17" s="120" t="s">
        <v>1469</v>
      </c>
      <c r="E17" s="120" t="s">
        <v>967</v>
      </c>
      <c r="F17" s="167" t="s">
        <v>955</v>
      </c>
      <c r="G17" s="121" t="s">
        <v>417</v>
      </c>
      <c r="H17" s="120" t="s">
        <v>1061</v>
      </c>
      <c r="I17" s="145"/>
      <c r="J17" s="145"/>
      <c r="K17" s="145"/>
      <c r="L17" s="145"/>
      <c r="M17" s="145"/>
      <c r="N17" s="145"/>
    </row>
    <row r="18" spans="1:14" s="136" customFormat="1">
      <c r="A18" s="120" t="s">
        <v>955</v>
      </c>
      <c r="B18" s="120" t="s">
        <v>1448</v>
      </c>
      <c r="C18" s="167" t="s">
        <v>940</v>
      </c>
      <c r="D18" s="120" t="s">
        <v>1469</v>
      </c>
      <c r="E18" s="120" t="s">
        <v>967</v>
      </c>
      <c r="F18" s="167" t="s">
        <v>955</v>
      </c>
      <c r="G18" s="121" t="s">
        <v>417</v>
      </c>
      <c r="H18" s="120" t="s">
        <v>1061</v>
      </c>
      <c r="I18" s="145"/>
      <c r="J18" s="145"/>
      <c r="K18" s="145"/>
      <c r="L18" s="145"/>
      <c r="M18" s="145"/>
      <c r="N18" s="145"/>
    </row>
    <row r="19" spans="1:14" s="141" customFormat="1">
      <c r="A19" s="362" t="s">
        <v>955</v>
      </c>
      <c r="B19" s="362" t="s">
        <v>1448</v>
      </c>
      <c r="C19" s="362" t="s">
        <v>941</v>
      </c>
      <c r="D19" s="362" t="s">
        <v>1471</v>
      </c>
      <c r="E19" s="362" t="s">
        <v>1277</v>
      </c>
      <c r="F19" s="306" t="s">
        <v>955</v>
      </c>
      <c r="G19" s="121" t="s">
        <v>417</v>
      </c>
      <c r="H19" s="120" t="s">
        <v>1061</v>
      </c>
      <c r="I19" s="145"/>
      <c r="J19" s="145"/>
      <c r="K19" s="362"/>
      <c r="L19" s="362"/>
      <c r="M19" s="362"/>
      <c r="N19" s="362"/>
    </row>
    <row r="20" spans="1:14" s="136" customFormat="1">
      <c r="A20" s="120" t="s">
        <v>958</v>
      </c>
      <c r="B20" s="120" t="s">
        <v>1034</v>
      </c>
      <c r="C20" s="167" t="s">
        <v>803</v>
      </c>
      <c r="D20" s="120" t="s">
        <v>1484</v>
      </c>
      <c r="E20" s="120" t="s">
        <v>1275</v>
      </c>
      <c r="F20" s="167" t="s">
        <v>958</v>
      </c>
      <c r="G20" s="121" t="s">
        <v>417</v>
      </c>
      <c r="H20" s="120" t="s">
        <v>1062</v>
      </c>
      <c r="I20" s="145">
        <f t="shared" ref="I20:I27" si="0">VLOOKUP(C20,tbl_PAcount,6,FALSE)</f>
        <v>7</v>
      </c>
      <c r="J20" s="145">
        <v>11</v>
      </c>
      <c r="K20" s="145">
        <f>I20</f>
        <v>7</v>
      </c>
      <c r="L20" s="145">
        <f>K20*4</f>
        <v>28</v>
      </c>
      <c r="M20" s="145">
        <f>L20/60</f>
        <v>0.46666666666666667</v>
      </c>
      <c r="N20" s="162">
        <v>1</v>
      </c>
    </row>
    <row r="21" spans="1:14" s="136" customFormat="1">
      <c r="A21" s="120" t="s">
        <v>959</v>
      </c>
      <c r="B21" s="120" t="s">
        <v>1035</v>
      </c>
      <c r="C21" s="167" t="s">
        <v>949</v>
      </c>
      <c r="D21" s="120" t="s">
        <v>1485</v>
      </c>
      <c r="E21" s="120" t="s">
        <v>1279</v>
      </c>
      <c r="F21" s="167" t="s">
        <v>959</v>
      </c>
      <c r="G21" s="121" t="s">
        <v>417</v>
      </c>
      <c r="H21" s="120" t="s">
        <v>1063</v>
      </c>
      <c r="I21" s="145">
        <f t="shared" si="0"/>
        <v>11</v>
      </c>
      <c r="J21" s="145">
        <v>11</v>
      </c>
      <c r="K21" s="145">
        <f>SUM(I21:J25)</f>
        <v>74</v>
      </c>
      <c r="L21" s="145">
        <f>K21*4</f>
        <v>296</v>
      </c>
      <c r="M21" s="145">
        <f>L21/60</f>
        <v>4.9333333333333336</v>
      </c>
      <c r="N21" s="162">
        <v>5</v>
      </c>
    </row>
    <row r="22" spans="1:14">
      <c r="A22" s="305" t="s">
        <v>959</v>
      </c>
      <c r="B22" s="305" t="s">
        <v>1035</v>
      </c>
      <c r="C22" s="306" t="s">
        <v>950</v>
      </c>
      <c r="D22" s="305" t="s">
        <v>1485</v>
      </c>
      <c r="E22" s="305" t="s">
        <v>1279</v>
      </c>
      <c r="F22" s="306" t="s">
        <v>959</v>
      </c>
      <c r="G22" s="121" t="s">
        <v>417</v>
      </c>
      <c r="H22" s="120" t="s">
        <v>1063</v>
      </c>
      <c r="I22" s="145">
        <f t="shared" si="0"/>
        <v>8</v>
      </c>
      <c r="J22" s="145"/>
      <c r="K22" s="305"/>
      <c r="L22" s="305"/>
      <c r="M22" s="305"/>
      <c r="N22" s="305"/>
    </row>
    <row r="23" spans="1:14">
      <c r="A23" s="305" t="s">
        <v>959</v>
      </c>
      <c r="B23" s="305" t="s">
        <v>1035</v>
      </c>
      <c r="C23" s="306" t="s">
        <v>942</v>
      </c>
      <c r="D23" s="305" t="s">
        <v>1485</v>
      </c>
      <c r="E23" s="305" t="s">
        <v>1279</v>
      </c>
      <c r="F23" s="306" t="s">
        <v>959</v>
      </c>
      <c r="G23" s="121" t="s">
        <v>417</v>
      </c>
      <c r="H23" s="120" t="s">
        <v>1063</v>
      </c>
      <c r="I23" s="145">
        <f t="shared" si="0"/>
        <v>22</v>
      </c>
      <c r="J23" s="145"/>
      <c r="K23" s="305"/>
      <c r="L23" s="305"/>
      <c r="M23" s="305"/>
      <c r="N23" s="305"/>
    </row>
    <row r="24" spans="1:14">
      <c r="A24" s="305" t="s">
        <v>959</v>
      </c>
      <c r="B24" s="305" t="s">
        <v>1035</v>
      </c>
      <c r="C24" s="306" t="s">
        <v>943</v>
      </c>
      <c r="D24" s="305" t="s">
        <v>1485</v>
      </c>
      <c r="E24" s="305" t="s">
        <v>1279</v>
      </c>
      <c r="F24" s="306" t="s">
        <v>959</v>
      </c>
      <c r="G24" s="121" t="s">
        <v>417</v>
      </c>
      <c r="H24" s="120" t="s">
        <v>1063</v>
      </c>
      <c r="I24" s="145">
        <f t="shared" si="0"/>
        <v>11</v>
      </c>
      <c r="J24" s="145"/>
      <c r="K24" s="305"/>
      <c r="L24" s="305"/>
      <c r="M24" s="305"/>
      <c r="N24" s="305"/>
    </row>
    <row r="25" spans="1:14">
      <c r="A25" s="305" t="s">
        <v>959</v>
      </c>
      <c r="B25" s="305" t="s">
        <v>1035</v>
      </c>
      <c r="C25" s="306" t="s">
        <v>944</v>
      </c>
      <c r="D25" s="305" t="s">
        <v>1485</v>
      </c>
      <c r="E25" s="305" t="s">
        <v>1279</v>
      </c>
      <c r="F25" s="306" t="s">
        <v>959</v>
      </c>
      <c r="G25" s="121" t="s">
        <v>417</v>
      </c>
      <c r="H25" s="120" t="s">
        <v>1063</v>
      </c>
      <c r="I25" s="145">
        <f t="shared" si="0"/>
        <v>11</v>
      </c>
      <c r="J25" s="145"/>
      <c r="K25" s="305"/>
      <c r="L25" s="305"/>
      <c r="M25" s="305"/>
      <c r="N25" s="305"/>
    </row>
    <row r="26" spans="1:14">
      <c r="A26" s="305" t="s">
        <v>960</v>
      </c>
      <c r="B26" s="305" t="s">
        <v>1036</v>
      </c>
      <c r="C26" s="306" t="s">
        <v>805</v>
      </c>
      <c r="D26" s="305" t="s">
        <v>1487</v>
      </c>
      <c r="E26" s="305" t="s">
        <v>1274</v>
      </c>
      <c r="F26" s="306" t="s">
        <v>960</v>
      </c>
      <c r="G26" s="121" t="s">
        <v>417</v>
      </c>
      <c r="H26" s="120" t="s">
        <v>1064</v>
      </c>
      <c r="I26" s="145">
        <f t="shared" si="0"/>
        <v>9</v>
      </c>
      <c r="J26" s="145">
        <v>11</v>
      </c>
      <c r="K26" s="145">
        <f>J26+I26</f>
        <v>20</v>
      </c>
      <c r="L26" s="145">
        <f>K26*4</f>
        <v>80</v>
      </c>
      <c r="M26" s="145">
        <f>L26/60</f>
        <v>1.3333333333333333</v>
      </c>
      <c r="N26" s="162">
        <v>1</v>
      </c>
    </row>
    <row r="27" spans="1:14">
      <c r="A27" s="305" t="s">
        <v>961</v>
      </c>
      <c r="B27" s="305" t="s">
        <v>1037</v>
      </c>
      <c r="C27" s="306" t="s">
        <v>889</v>
      </c>
      <c r="D27" s="305" t="s">
        <v>1488</v>
      </c>
      <c r="E27" s="305" t="s">
        <v>1489</v>
      </c>
      <c r="F27" s="306" t="s">
        <v>961</v>
      </c>
      <c r="G27" s="121" t="s">
        <v>417</v>
      </c>
      <c r="H27" s="120" t="s">
        <v>1070</v>
      </c>
      <c r="I27" s="145">
        <f t="shared" si="0"/>
        <v>6</v>
      </c>
      <c r="J27" s="145">
        <v>11</v>
      </c>
      <c r="K27" s="145">
        <f>J27+I27</f>
        <v>17</v>
      </c>
      <c r="L27" s="145">
        <f>K27*4</f>
        <v>68</v>
      </c>
      <c r="M27" s="145">
        <f>L27/60</f>
        <v>1.1333333333333333</v>
      </c>
      <c r="N27" s="162">
        <v>1</v>
      </c>
    </row>
  </sheetData>
  <sortState xmlns:xlrd2="http://schemas.microsoft.com/office/spreadsheetml/2017/richdata2" ref="A2:O29">
    <sortCondition ref="H2:H29"/>
    <sortCondition ref="B2:B29"/>
    <sortCondition ref="A2:A29"/>
    <sortCondition ref="E2:E29"/>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4BB2-5DCA-419E-8527-28F7C2B8C4F4}">
  <sheetPr>
    <tabColor theme="5" tint="0.79998168889431442"/>
  </sheetPr>
  <dimension ref="A1:C3"/>
  <sheetViews>
    <sheetView workbookViewId="0">
      <selection activeCell="A4" sqref="A4"/>
    </sheetView>
  </sheetViews>
  <sheetFormatPr defaultRowHeight="14.5"/>
  <cols>
    <col min="1" max="1" width="30.08984375" bestFit="1" customWidth="1"/>
    <col min="2" max="2" width="25.1796875" bestFit="1" customWidth="1"/>
    <col min="3" max="3" width="17.7265625" bestFit="1" customWidth="1"/>
  </cols>
  <sheetData>
    <row r="1" spans="1:3">
      <c r="A1" t="s">
        <v>1554</v>
      </c>
      <c r="B1" t="s">
        <v>1555</v>
      </c>
      <c r="C1" t="s">
        <v>1556</v>
      </c>
    </row>
    <row r="3" spans="1:3">
      <c r="A3" t="s">
        <v>1557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D45BB-3217-4165-8D49-3071D1354AAA}">
  <sheetPr>
    <tabColor theme="5" tint="0.79998168889431442"/>
  </sheetPr>
  <dimension ref="A1:T3"/>
  <sheetViews>
    <sheetView workbookViewId="0">
      <selection activeCell="B1" sqref="B1"/>
    </sheetView>
  </sheetViews>
  <sheetFormatPr defaultRowHeight="14.5"/>
  <cols>
    <col min="1" max="1" width="15.6328125" bestFit="1" customWidth="1"/>
    <col min="2" max="2" width="5" bestFit="1" customWidth="1"/>
    <col min="3" max="3" width="4.6328125" bestFit="1" customWidth="1"/>
    <col min="4" max="4" width="3.36328125" bestFit="1" customWidth="1"/>
    <col min="5" max="5" width="3.08984375" bestFit="1" customWidth="1"/>
    <col min="6" max="6" width="2.81640625" bestFit="1" customWidth="1"/>
    <col min="7" max="7" width="2.54296875" bestFit="1" customWidth="1"/>
    <col min="8" max="8" width="3.81640625" bestFit="1" customWidth="1"/>
    <col min="9" max="9" width="5.453125" bestFit="1" customWidth="1"/>
    <col min="10" max="10" width="3.81640625" bestFit="1" customWidth="1"/>
    <col min="11" max="11" width="4.08984375" bestFit="1" customWidth="1"/>
    <col min="12" max="12" width="3.26953125" bestFit="1" customWidth="1"/>
    <col min="13" max="13" width="4.36328125" bestFit="1" customWidth="1"/>
    <col min="14" max="14" width="4.453125" bestFit="1" customWidth="1"/>
    <col min="15" max="15" width="3.81640625" bestFit="1" customWidth="1"/>
    <col min="16" max="16" width="4.90625" bestFit="1" customWidth="1"/>
    <col min="17" max="17" width="4.453125" bestFit="1" customWidth="1"/>
    <col min="18" max="18" width="5.54296875" bestFit="1" customWidth="1"/>
    <col min="19" max="19" width="4.90625" bestFit="1" customWidth="1"/>
    <col min="20" max="20" width="2" bestFit="1" customWidth="1"/>
  </cols>
  <sheetData>
    <row r="1" spans="1:20" ht="15" thickBot="1">
      <c r="A1" s="360" t="s">
        <v>980</v>
      </c>
      <c r="B1" s="361" t="s">
        <v>940</v>
      </c>
      <c r="C1" s="361" t="s">
        <v>889</v>
      </c>
      <c r="D1" s="361" t="s">
        <v>941</v>
      </c>
      <c r="E1" s="361" t="s">
        <v>939</v>
      </c>
      <c r="F1" s="361" t="s">
        <v>938</v>
      </c>
      <c r="G1" s="361" t="s">
        <v>937</v>
      </c>
      <c r="H1" s="361" t="s">
        <v>946</v>
      </c>
      <c r="I1" s="361" t="s">
        <v>948</v>
      </c>
      <c r="J1" s="361" t="s">
        <v>947</v>
      </c>
      <c r="K1" s="361" t="s">
        <v>945</v>
      </c>
      <c r="L1" s="361" t="s">
        <v>805</v>
      </c>
      <c r="M1" s="361" t="s">
        <v>949</v>
      </c>
      <c r="N1" s="361" t="s">
        <v>950</v>
      </c>
      <c r="O1" s="361" t="s">
        <v>803</v>
      </c>
      <c r="P1" s="361" t="s">
        <v>944</v>
      </c>
      <c r="Q1" s="361" t="s">
        <v>943</v>
      </c>
      <c r="R1" s="361" t="s">
        <v>942</v>
      </c>
      <c r="S1" s="361" t="s">
        <v>965</v>
      </c>
      <c r="T1" s="361" t="s">
        <v>966</v>
      </c>
    </row>
    <row r="3" spans="1:20">
      <c r="A3" t="s">
        <v>1558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E6EF2-D009-4F67-8B89-4D916A86C26D}">
  <sheetPr>
    <tabColor theme="5" tint="0.79998168889431442"/>
  </sheetPr>
  <dimension ref="A3"/>
  <sheetViews>
    <sheetView workbookViewId="0">
      <selection activeCell="A3" sqref="A3"/>
    </sheetView>
  </sheetViews>
  <sheetFormatPr defaultRowHeight="14.5"/>
  <sheetData>
    <row r="3" spans="1:1">
      <c r="A3" t="s">
        <v>1559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8"/>
  <sheetViews>
    <sheetView workbookViewId="0">
      <selection activeCell="A18" sqref="A18"/>
    </sheetView>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1" t="s">
        <v>1469</v>
      </c>
      <c r="B6" s="144">
        <v>2</v>
      </c>
    </row>
    <row r="7" spans="1:2">
      <c r="A7" s="137" t="s">
        <v>1275</v>
      </c>
      <c r="B7" s="144">
        <v>1</v>
      </c>
    </row>
    <row r="8" spans="1:2">
      <c r="A8" s="331" t="s">
        <v>1484</v>
      </c>
      <c r="B8" s="144">
        <v>1</v>
      </c>
    </row>
    <row r="9" spans="1:2">
      <c r="A9" s="137" t="s">
        <v>969</v>
      </c>
      <c r="B9" s="144">
        <v>1</v>
      </c>
    </row>
    <row r="10" spans="1:2">
      <c r="A10" s="331" t="s">
        <v>1465</v>
      </c>
      <c r="B10" s="144">
        <v>1</v>
      </c>
    </row>
    <row r="11" spans="1:2">
      <c r="A11" s="137" t="s">
        <v>1277</v>
      </c>
      <c r="B11" s="144">
        <v>7</v>
      </c>
    </row>
    <row r="12" spans="1:2">
      <c r="A12" s="331" t="s">
        <v>1456</v>
      </c>
      <c r="B12" s="144">
        <v>5</v>
      </c>
    </row>
    <row r="13" spans="1:2">
      <c r="A13" s="331" t="s">
        <v>1466</v>
      </c>
      <c r="B13" s="144">
        <v>1</v>
      </c>
    </row>
    <row r="14" spans="1:2">
      <c r="A14" s="331" t="s">
        <v>1471</v>
      </c>
      <c r="B14" s="144">
        <v>1</v>
      </c>
    </row>
    <row r="15" spans="1:2">
      <c r="A15" s="137" t="s">
        <v>1274</v>
      </c>
      <c r="B15" s="144">
        <v>1</v>
      </c>
    </row>
    <row r="16" spans="1:2">
      <c r="A16" s="331" t="s">
        <v>1487</v>
      </c>
      <c r="B16" s="144">
        <v>1</v>
      </c>
    </row>
    <row r="17" spans="1:2">
      <c r="A17" s="137" t="s">
        <v>1279</v>
      </c>
      <c r="B17" s="144">
        <v>5</v>
      </c>
    </row>
    <row r="18" spans="1:2">
      <c r="A18" s="331" t="s">
        <v>1485</v>
      </c>
      <c r="B18" s="144">
        <v>5</v>
      </c>
    </row>
    <row r="19" spans="1:2">
      <c r="A19" s="137" t="s">
        <v>1276</v>
      </c>
      <c r="B19" s="144">
        <v>8</v>
      </c>
    </row>
    <row r="20" spans="1:2">
      <c r="A20" s="331" t="s">
        <v>1457</v>
      </c>
      <c r="B20" s="144">
        <v>3</v>
      </c>
    </row>
    <row r="21" spans="1:2">
      <c r="A21" s="331" t="s">
        <v>1462</v>
      </c>
      <c r="B21" s="144">
        <v>1</v>
      </c>
    </row>
    <row r="22" spans="1:2">
      <c r="A22" s="331" t="s">
        <v>1472</v>
      </c>
      <c r="B22" s="144">
        <v>4</v>
      </c>
    </row>
    <row r="23" spans="1:2">
      <c r="A23" s="137" t="s">
        <v>1489</v>
      </c>
      <c r="B23" s="144">
        <v>1</v>
      </c>
    </row>
    <row r="24" spans="1:2">
      <c r="A24" s="331" t="s">
        <v>1488</v>
      </c>
      <c r="B24" s="144">
        <v>1</v>
      </c>
    </row>
    <row r="25" spans="1:2">
      <c r="A25" s="142" t="s">
        <v>975</v>
      </c>
      <c r="B25" s="144"/>
    </row>
    <row r="26" spans="1:2">
      <c r="A26" s="137" t="s">
        <v>975</v>
      </c>
      <c r="B26" s="144"/>
    </row>
    <row r="27" spans="1:2">
      <c r="A27" s="331" t="s">
        <v>975</v>
      </c>
      <c r="B27" s="144"/>
    </row>
    <row r="28" spans="1:2">
      <c r="A28" s="142" t="s">
        <v>976</v>
      </c>
      <c r="B28" s="144">
        <v>26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4"/>
  <sheetViews>
    <sheetView workbookViewId="0">
      <selection activeCell="A5" sqref="A5:A45"/>
    </sheetView>
  </sheetViews>
  <sheetFormatPr defaultRowHeight="14.5"/>
  <cols>
    <col min="1" max="1" width="18.906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1469</v>
      </c>
    </row>
    <row r="5" spans="1:6">
      <c r="A5" s="137" t="s">
        <v>939</v>
      </c>
    </row>
    <row r="6" spans="1:6">
      <c r="A6" s="137" t="s">
        <v>940</v>
      </c>
    </row>
    <row r="7" spans="1:6">
      <c r="A7" s="142" t="s">
        <v>1484</v>
      </c>
    </row>
    <row r="8" spans="1:6">
      <c r="A8" s="137" t="s">
        <v>803</v>
      </c>
    </row>
    <row r="9" spans="1:6">
      <c r="A9" s="142" t="s">
        <v>1465</v>
      </c>
    </row>
    <row r="10" spans="1:6">
      <c r="A10" s="137" t="s">
        <v>938</v>
      </c>
    </row>
    <row r="11" spans="1:6">
      <c r="A11" s="142" t="s">
        <v>1456</v>
      </c>
    </row>
    <row r="12" spans="1:6">
      <c r="A12" s="137" t="s">
        <v>937</v>
      </c>
    </row>
    <row r="13" spans="1:6">
      <c r="A13" s="137" t="s">
        <v>939</v>
      </c>
    </row>
    <row r="14" spans="1:6">
      <c r="A14" s="137" t="s">
        <v>940</v>
      </c>
    </row>
    <row r="15" spans="1:6">
      <c r="A15" s="137" t="s">
        <v>938</v>
      </c>
    </row>
    <row r="16" spans="1:6">
      <c r="A16" s="137" t="s">
        <v>941</v>
      </c>
    </row>
    <row r="17" spans="1:1">
      <c r="A17" s="142" t="s">
        <v>1466</v>
      </c>
    </row>
    <row r="18" spans="1:1">
      <c r="A18" s="137" t="s">
        <v>937</v>
      </c>
    </row>
    <row r="19" spans="1:1">
      <c r="A19" s="142" t="s">
        <v>1471</v>
      </c>
    </row>
    <row r="20" spans="1:1">
      <c r="A20" s="137" t="s">
        <v>941</v>
      </c>
    </row>
    <row r="21" spans="1:1">
      <c r="A21" s="142" t="s">
        <v>1488</v>
      </c>
    </row>
    <row r="22" spans="1:1">
      <c r="A22" s="137" t="s">
        <v>889</v>
      </c>
    </row>
    <row r="23" spans="1:1">
      <c r="A23" s="142" t="s">
        <v>1485</v>
      </c>
    </row>
    <row r="24" spans="1:1">
      <c r="A24" s="137" t="s">
        <v>949</v>
      </c>
    </row>
    <row r="25" spans="1:1">
      <c r="A25" s="137" t="s">
        <v>950</v>
      </c>
    </row>
    <row r="26" spans="1:1">
      <c r="A26" s="137" t="s">
        <v>942</v>
      </c>
    </row>
    <row r="27" spans="1:1">
      <c r="A27" s="137" t="s">
        <v>943</v>
      </c>
    </row>
    <row r="28" spans="1:1">
      <c r="A28" s="137" t="s">
        <v>944</v>
      </c>
    </row>
    <row r="29" spans="1:1">
      <c r="A29" s="142" t="s">
        <v>1457</v>
      </c>
    </row>
    <row r="30" spans="1:1">
      <c r="A30" s="137" t="s">
        <v>946</v>
      </c>
    </row>
    <row r="31" spans="1:1">
      <c r="A31" s="137" t="s">
        <v>947</v>
      </c>
    </row>
    <row r="32" spans="1:1">
      <c r="A32" s="137" t="s">
        <v>948</v>
      </c>
    </row>
    <row r="33" spans="1:1">
      <c r="A33" s="142" t="s">
        <v>1462</v>
      </c>
    </row>
    <row r="34" spans="1:1">
      <c r="A34" s="137" t="s">
        <v>945</v>
      </c>
    </row>
    <row r="35" spans="1:1">
      <c r="A35" s="142" t="s">
        <v>1472</v>
      </c>
    </row>
    <row r="36" spans="1:1">
      <c r="A36" s="137" t="s">
        <v>946</v>
      </c>
    </row>
    <row r="37" spans="1:1">
      <c r="A37" s="137" t="s">
        <v>947</v>
      </c>
    </row>
    <row r="38" spans="1:1">
      <c r="A38" s="137" t="s">
        <v>948</v>
      </c>
    </row>
    <row r="39" spans="1:1">
      <c r="A39" s="137" t="s">
        <v>945</v>
      </c>
    </row>
    <row r="40" spans="1:1">
      <c r="A40" s="142" t="s">
        <v>1487</v>
      </c>
    </row>
    <row r="41" spans="1:1">
      <c r="A41" s="137" t="s">
        <v>805</v>
      </c>
    </row>
    <row r="42" spans="1:1">
      <c r="A42" s="142" t="s">
        <v>975</v>
      </c>
    </row>
    <row r="43" spans="1:1">
      <c r="A43" s="137" t="s">
        <v>975</v>
      </c>
    </row>
    <row r="44" spans="1:1">
      <c r="A44" s="142" t="s">
        <v>976</v>
      </c>
    </row>
  </sheetData>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6"/>
  <sheetViews>
    <sheetView workbookViewId="0">
      <selection activeCell="A4" sqref="A4:A27"/>
    </sheetView>
  </sheetViews>
  <sheetFormatPr defaultRowHeight="14.5"/>
  <cols>
    <col min="1" max="1" width="21.45312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1484</v>
      </c>
    </row>
    <row r="6" spans="1:6">
      <c r="A6" s="142" t="s">
        <v>1035</v>
      </c>
    </row>
    <row r="7" spans="1:6">
      <c r="A7" s="137" t="s">
        <v>1485</v>
      </c>
    </row>
    <row r="8" spans="1:6">
      <c r="A8" s="142" t="s">
        <v>1036</v>
      </c>
    </row>
    <row r="9" spans="1:6">
      <c r="A9" s="137" t="s">
        <v>1487</v>
      </c>
    </row>
    <row r="10" spans="1:6">
      <c r="A10" s="142" t="s">
        <v>1037</v>
      </c>
    </row>
    <row r="11" spans="1:6">
      <c r="A11" s="137" t="s">
        <v>1488</v>
      </c>
    </row>
    <row r="12" spans="1:6">
      <c r="A12" s="142" t="s">
        <v>975</v>
      </c>
    </row>
    <row r="13" spans="1:6">
      <c r="A13" s="137" t="s">
        <v>975</v>
      </c>
    </row>
    <row r="14" spans="1:6">
      <c r="A14" s="142" t="s">
        <v>1441</v>
      </c>
    </row>
    <row r="15" spans="1:6">
      <c r="A15" s="137" t="s">
        <v>1457</v>
      </c>
    </row>
    <row r="16" spans="1:6">
      <c r="A16" s="137" t="s">
        <v>1456</v>
      </c>
    </row>
    <row r="17" spans="1:1">
      <c r="A17" s="142" t="s">
        <v>1444</v>
      </c>
    </row>
    <row r="18" spans="1:1">
      <c r="A18" s="137" t="s">
        <v>1462</v>
      </c>
    </row>
    <row r="19" spans="1:1">
      <c r="A19" s="142" t="s">
        <v>1448</v>
      </c>
    </row>
    <row r="20" spans="1:1">
      <c r="A20" s="137" t="s">
        <v>1472</v>
      </c>
    </row>
    <row r="21" spans="1:1">
      <c r="A21" s="137" t="s">
        <v>1469</v>
      </c>
    </row>
    <row r="22" spans="1:1">
      <c r="A22" s="137" t="s">
        <v>1471</v>
      </c>
    </row>
    <row r="23" spans="1:1">
      <c r="A23" s="142" t="s">
        <v>1446</v>
      </c>
    </row>
    <row r="24" spans="1:1">
      <c r="A24" s="137" t="s">
        <v>1465</v>
      </c>
    </row>
    <row r="25" spans="1:1">
      <c r="A25" s="137" t="s">
        <v>1466</v>
      </c>
    </row>
    <row r="26" spans="1:1">
      <c r="A26" s="142" t="s">
        <v>976</v>
      </c>
    </row>
  </sheetData>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4"/>
  <sheetViews>
    <sheetView workbookViewId="0">
      <selection activeCell="A7" sqref="A7"/>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1457</v>
      </c>
    </row>
    <row r="8" spans="1:1">
      <c r="A8" s="137" t="s">
        <v>1462</v>
      </c>
    </row>
    <row r="9" spans="1:1">
      <c r="A9" s="137" t="s">
        <v>1472</v>
      </c>
    </row>
    <row r="10" spans="1:1">
      <c r="A10" s="142" t="s">
        <v>1061</v>
      </c>
    </row>
    <row r="11" spans="1:1">
      <c r="A11" s="137" t="s">
        <v>1456</v>
      </c>
    </row>
    <row r="12" spans="1:1">
      <c r="A12" s="137" t="s">
        <v>1465</v>
      </c>
    </row>
    <row r="13" spans="1:1">
      <c r="A13" s="137" t="s">
        <v>1466</v>
      </c>
    </row>
    <row r="14" spans="1:1">
      <c r="A14" s="137" t="s">
        <v>1469</v>
      </c>
    </row>
    <row r="15" spans="1:1">
      <c r="A15" s="137" t="s">
        <v>1471</v>
      </c>
    </row>
    <row r="16" spans="1:1">
      <c r="A16" s="142" t="s">
        <v>1062</v>
      </c>
    </row>
    <row r="17" spans="1:1">
      <c r="A17" s="137" t="s">
        <v>1484</v>
      </c>
    </row>
    <row r="18" spans="1:1">
      <c r="A18" s="142" t="s">
        <v>1063</v>
      </c>
    </row>
    <row r="19" spans="1:1">
      <c r="A19" s="137" t="s">
        <v>1485</v>
      </c>
    </row>
    <row r="20" spans="1:1">
      <c r="A20" s="142" t="s">
        <v>1064</v>
      </c>
    </row>
    <row r="21" spans="1:1">
      <c r="A21" s="137" t="s">
        <v>1487</v>
      </c>
    </row>
    <row r="22" spans="1:1">
      <c r="A22" s="142" t="s">
        <v>1070</v>
      </c>
    </row>
    <row r="23" spans="1:1">
      <c r="A23" s="137" t="s">
        <v>1488</v>
      </c>
    </row>
    <row r="24" spans="1:1">
      <c r="A24" s="142" t="s">
        <v>976</v>
      </c>
    </row>
  </sheetData>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71" t="s">
        <v>1066</v>
      </c>
      <c r="D45" s="371"/>
      <c r="E45" s="371"/>
      <c r="F45" s="146" t="s">
        <v>1093</v>
      </c>
    </row>
    <row r="46" spans="1:6">
      <c r="A46" s="33" t="s">
        <v>1067</v>
      </c>
      <c r="C46" s="371"/>
      <c r="D46" s="371"/>
      <c r="E46" s="371"/>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2"/>
      <c r="F5" s="332"/>
      <c r="G5" s="332"/>
      <c r="H5" s="332"/>
      <c r="I5" s="332"/>
      <c r="J5" s="332"/>
      <c r="K5" s="338" t="s">
        <v>417</v>
      </c>
      <c r="L5" s="332"/>
      <c r="M5" s="332"/>
      <c r="N5" s="332"/>
      <c r="O5" s="332"/>
      <c r="P5" s="332"/>
      <c r="Q5" s="332"/>
      <c r="R5" s="332"/>
      <c r="S5" s="338" t="s">
        <v>417</v>
      </c>
      <c r="T5" s="332"/>
      <c r="U5" s="332"/>
      <c r="V5" s="332"/>
      <c r="W5" s="339" t="s">
        <v>417</v>
      </c>
      <c r="X5" s="338"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3" t="s">
        <v>417</v>
      </c>
      <c r="Q6" s="333" t="s">
        <v>417</v>
      </c>
      <c r="R6" s="333" t="s">
        <v>417</v>
      </c>
      <c r="S6" s="338" t="s">
        <v>417</v>
      </c>
      <c r="T6" s="212"/>
      <c r="U6" s="338" t="s">
        <v>417</v>
      </c>
      <c r="V6" s="212"/>
      <c r="W6" s="212"/>
      <c r="X6" s="212"/>
    </row>
    <row r="7" spans="1:24">
      <c r="A7" s="141" t="str">
        <f>'P1PA-SS'!A93</f>
        <v>Appraisal team member</v>
      </c>
      <c r="B7" s="146" t="str">
        <f>'P1PA-SS'!B93</f>
        <v>ATM-3</v>
      </c>
      <c r="C7" s="141" t="str">
        <f>'P1PA-SS'!V93</f>
        <v>atm3.email@gmail.com</v>
      </c>
      <c r="D7" s="140">
        <f t="shared" si="0"/>
        <v>8</v>
      </c>
      <c r="E7" s="212">
        <v>3</v>
      </c>
      <c r="F7" s="326">
        <v>2</v>
      </c>
      <c r="G7" s="212"/>
      <c r="H7" s="212"/>
      <c r="I7" s="326">
        <v>1</v>
      </c>
      <c r="J7" s="326"/>
      <c r="K7" s="212"/>
      <c r="L7" s="212"/>
      <c r="M7" s="212"/>
      <c r="N7" s="212"/>
      <c r="O7" s="212"/>
      <c r="P7" s="333" t="s">
        <v>417</v>
      </c>
      <c r="Q7" s="333" t="s">
        <v>417</v>
      </c>
      <c r="R7" s="333" t="s">
        <v>417</v>
      </c>
      <c r="S7" s="338" t="s">
        <v>417</v>
      </c>
      <c r="T7" s="212"/>
      <c r="U7" s="338" t="s">
        <v>417</v>
      </c>
      <c r="V7" s="212"/>
      <c r="W7" s="212"/>
      <c r="X7" s="212"/>
    </row>
    <row r="8" spans="1:24" s="141" customFormat="1">
      <c r="A8" s="141" t="str">
        <f>'P1PA-SS'!A94</f>
        <v>Appraisal team member</v>
      </c>
      <c r="B8" s="146" t="str">
        <f>'P1PA-SS'!B94</f>
        <v>ATM-4</v>
      </c>
      <c r="C8" s="141" t="str">
        <f>'P1PA-SS'!V94</f>
        <v>atm4.email@gmail.com</v>
      </c>
      <c r="D8" s="140">
        <f>COUNTA(E8:X8)</f>
        <v>5</v>
      </c>
      <c r="E8" s="332"/>
      <c r="F8" s="332"/>
      <c r="G8" s="332"/>
      <c r="H8" s="332"/>
      <c r="I8" s="332"/>
      <c r="J8" s="332"/>
      <c r="K8" s="332"/>
      <c r="L8" s="332"/>
      <c r="M8" s="332"/>
      <c r="N8" s="333" t="s">
        <v>417</v>
      </c>
      <c r="O8" s="332"/>
      <c r="P8" s="333" t="s">
        <v>417</v>
      </c>
      <c r="Q8" s="333" t="s">
        <v>417</v>
      </c>
      <c r="R8" s="333" t="s">
        <v>417</v>
      </c>
      <c r="S8" s="332"/>
      <c r="T8" s="332"/>
      <c r="U8" s="338" t="s">
        <v>417</v>
      </c>
      <c r="V8" s="332"/>
      <c r="W8" s="332"/>
      <c r="X8" s="332"/>
    </row>
    <row r="9" spans="1:24" s="141" customFormat="1">
      <c r="A9" s="141" t="str">
        <f>'P1PA-SS'!A95</f>
        <v>Appraisal team member</v>
      </c>
      <c r="B9" s="146" t="str">
        <f>'P1PA-SS'!B95</f>
        <v>ATM-5</v>
      </c>
      <c r="C9" s="141" t="str">
        <f>'P1PA-SS'!V95</f>
        <v>atm5.email@gmail.com</v>
      </c>
      <c r="D9" s="140">
        <f>COUNTA(E9:X9)</f>
        <v>5</v>
      </c>
      <c r="E9" s="333" t="s">
        <v>417</v>
      </c>
      <c r="F9" s="333" t="s">
        <v>417</v>
      </c>
      <c r="G9" s="332"/>
      <c r="H9" s="333" t="s">
        <v>417</v>
      </c>
      <c r="I9" s="333" t="s">
        <v>417</v>
      </c>
      <c r="J9" s="333" t="s">
        <v>417</v>
      </c>
      <c r="K9" s="332"/>
      <c r="L9" s="332"/>
      <c r="M9" s="332"/>
      <c r="N9" s="332"/>
      <c r="O9" s="332"/>
      <c r="P9" s="332"/>
      <c r="Q9" s="332"/>
      <c r="R9" s="332"/>
      <c r="S9" s="332"/>
      <c r="T9" s="332"/>
      <c r="U9" s="332"/>
      <c r="V9" s="332"/>
      <c r="W9" s="332"/>
      <c r="X9" s="332"/>
    </row>
    <row r="10" spans="1:24" s="141" customFormat="1">
      <c r="A10" s="141" t="str">
        <f>'P1PA-SS'!A96</f>
        <v>Appraisal team member</v>
      </c>
      <c r="B10" s="146" t="str">
        <f>'P1PA-SS'!B96</f>
        <v>ATM-6</v>
      </c>
      <c r="C10" s="141" t="str">
        <f>'P1PA-SS'!V96</f>
        <v>atm6.email@gmail.com</v>
      </c>
      <c r="D10" s="140">
        <f>COUNTA(E10:X10)</f>
        <v>5</v>
      </c>
      <c r="E10" s="332"/>
      <c r="F10" s="332"/>
      <c r="G10" s="339" t="s">
        <v>417</v>
      </c>
      <c r="H10" s="332"/>
      <c r="I10" s="332"/>
      <c r="J10" s="332"/>
      <c r="K10" s="332"/>
      <c r="L10" s="338" t="s">
        <v>417</v>
      </c>
      <c r="M10" s="338" t="s">
        <v>417</v>
      </c>
      <c r="N10" s="332"/>
      <c r="O10" s="338" t="s">
        <v>417</v>
      </c>
      <c r="P10" s="332"/>
      <c r="Q10" s="332"/>
      <c r="R10" s="332"/>
      <c r="S10" s="332"/>
      <c r="T10" s="338" t="s">
        <v>417</v>
      </c>
      <c r="U10" s="332"/>
      <c r="V10" s="332"/>
      <c r="W10" s="332"/>
      <c r="X10" s="332"/>
    </row>
    <row r="11" spans="1:24" s="141" customFormat="1">
      <c r="A11" s="141" t="str">
        <f>'P1PA-SS'!A97</f>
        <v>Appraisal team member</v>
      </c>
      <c r="B11" s="146" t="str">
        <f>'P1PA-SS'!B97</f>
        <v>ATM-7</v>
      </c>
      <c r="C11" s="141" t="str">
        <f>'P1PA-SS'!V97</f>
        <v>atm7.email@gmail.com</v>
      </c>
      <c r="D11" s="140">
        <f t="shared" si="0"/>
        <v>5</v>
      </c>
      <c r="E11" s="212"/>
      <c r="F11" s="212"/>
      <c r="G11" s="212"/>
      <c r="H11" s="326"/>
      <c r="I11" s="212"/>
      <c r="J11" s="212"/>
      <c r="K11" s="212"/>
      <c r="L11" s="212"/>
      <c r="M11" s="212"/>
      <c r="N11" s="326"/>
      <c r="O11" s="212"/>
      <c r="P11" s="212" t="s">
        <v>417</v>
      </c>
      <c r="Q11" s="212" t="s">
        <v>417</v>
      </c>
      <c r="R11" s="212" t="s">
        <v>417</v>
      </c>
      <c r="S11" s="212" t="s">
        <v>417</v>
      </c>
      <c r="T11" s="212"/>
      <c r="U11" s="326" t="s">
        <v>417</v>
      </c>
      <c r="V11" s="212"/>
      <c r="W11" s="212"/>
      <c r="X11" s="212"/>
    </row>
    <row r="12" spans="1:24" s="141" customFormat="1">
      <c r="B12" s="146"/>
      <c r="D12" s="140"/>
      <c r="E12" s="212">
        <v>3</v>
      </c>
      <c r="F12" s="212">
        <v>2</v>
      </c>
      <c r="G12" s="212"/>
      <c r="H12" s="326"/>
      <c r="I12" s="212">
        <v>1</v>
      </c>
      <c r="J12" s="212">
        <v>4</v>
      </c>
      <c r="K12" s="212"/>
      <c r="L12" s="212"/>
      <c r="M12" s="212"/>
      <c r="N12" s="326"/>
      <c r="O12" s="212"/>
      <c r="P12" s="212"/>
      <c r="Q12" s="212"/>
      <c r="R12" s="212"/>
      <c r="S12" s="212"/>
      <c r="T12" s="212">
        <v>5</v>
      </c>
      <c r="U12" s="326"/>
      <c r="V12" s="212"/>
      <c r="W12" s="212"/>
      <c r="X12" s="212">
        <v>6</v>
      </c>
    </row>
    <row r="13" spans="1:24" s="141" customFormat="1">
      <c r="B13" s="146"/>
      <c r="C13" s="141" t="s">
        <v>1369</v>
      </c>
      <c r="D13" s="140"/>
      <c r="E13" s="212"/>
      <c r="F13" s="212"/>
      <c r="G13" s="212"/>
      <c r="H13" s="326"/>
      <c r="I13" s="212" t="s">
        <v>1368</v>
      </c>
      <c r="J13" s="212"/>
      <c r="K13" s="212"/>
      <c r="L13" s="212"/>
      <c r="M13" s="212"/>
      <c r="N13" s="326"/>
      <c r="O13" s="212"/>
      <c r="P13" s="212"/>
      <c r="Q13" s="212"/>
      <c r="R13" s="212"/>
      <c r="S13" s="212"/>
      <c r="T13" s="212" t="s">
        <v>1370</v>
      </c>
      <c r="U13" s="326"/>
      <c r="V13" s="212"/>
      <c r="W13" s="212"/>
      <c r="X13" s="212"/>
    </row>
    <row r="14" spans="1:24" s="334" customFormat="1" ht="43.5">
      <c r="B14" s="335"/>
      <c r="C14" s="334" t="s">
        <v>1366</v>
      </c>
      <c r="D14" s="112"/>
      <c r="E14" s="336" t="s">
        <v>1361</v>
      </c>
      <c r="F14" s="336" t="s">
        <v>1361</v>
      </c>
      <c r="G14" s="336"/>
      <c r="H14" s="337"/>
      <c r="I14" s="336" t="s">
        <v>1362</v>
      </c>
      <c r="J14" s="336" t="s">
        <v>1363</v>
      </c>
      <c r="K14" s="336"/>
      <c r="L14" s="336"/>
      <c r="M14" s="336"/>
      <c r="N14" s="337"/>
      <c r="O14" s="336"/>
      <c r="P14" s="336"/>
      <c r="Q14" s="336"/>
      <c r="R14" s="336"/>
      <c r="S14" s="336"/>
      <c r="T14" s="336" t="s">
        <v>1367</v>
      </c>
      <c r="U14" s="337"/>
      <c r="V14" s="336"/>
      <c r="W14" s="336"/>
      <c r="X14" s="336" t="s">
        <v>1368</v>
      </c>
    </row>
    <row r="15" spans="1:24" s="334" customFormat="1" ht="29">
      <c r="B15" s="335"/>
      <c r="C15" s="334" t="s">
        <v>1364</v>
      </c>
      <c r="D15" s="112"/>
      <c r="E15" s="336" t="s">
        <v>1365</v>
      </c>
      <c r="F15" s="336" t="s">
        <v>1362</v>
      </c>
      <c r="G15" s="336"/>
      <c r="H15" s="337"/>
      <c r="I15" s="336" t="s">
        <v>1365</v>
      </c>
      <c r="J15" s="336" t="s">
        <v>1362</v>
      </c>
      <c r="K15" s="336"/>
      <c r="L15" s="336"/>
      <c r="M15" s="336"/>
      <c r="N15" s="337"/>
      <c r="O15" s="336"/>
      <c r="P15" s="336"/>
      <c r="Q15" s="336"/>
      <c r="R15" s="336"/>
      <c r="S15" s="336"/>
      <c r="T15" s="336" t="s">
        <v>1365</v>
      </c>
      <c r="U15" s="337"/>
      <c r="V15" s="336"/>
      <c r="W15" s="336"/>
      <c r="X15" s="336" t="s">
        <v>1365</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1355</v>
      </c>
    </row>
    <row r="23" spans="1:24">
      <c r="C23" s="165" t="s">
        <v>1108</v>
      </c>
    </row>
    <row r="24" spans="1:24">
      <c r="C24" s="221" t="s">
        <v>1183</v>
      </c>
    </row>
  </sheetData>
  <pageMargins left="0.7" right="0.7" top="0.75" bottom="0.75" header="0.3" footer="0.3"/>
  <pageSetup scale="66"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3" t="s">
        <v>1359</v>
      </c>
      <c r="B1" s="383"/>
      <c r="C1" s="383"/>
      <c r="D1" s="383"/>
      <c r="E1" s="383"/>
      <c r="F1" s="383"/>
      <c r="G1" s="383"/>
      <c r="H1" s="70"/>
      <c r="I1" s="155" t="s">
        <v>988</v>
      </c>
      <c r="J1" s="156" t="s">
        <v>989</v>
      </c>
      <c r="K1" s="150" t="s">
        <v>990</v>
      </c>
      <c r="L1" s="150" t="s">
        <v>991</v>
      </c>
      <c r="M1" s="151"/>
      <c r="N1" s="72"/>
      <c r="O1" s="72"/>
      <c r="P1" s="72"/>
    </row>
    <row r="2" spans="1:16" ht="14.5" customHeight="1">
      <c r="A2" s="384" t="str">
        <f>CONCATENATE(TEXT(Planning!B26,"[$-x-sysdate]dddd, mmmm dd, yyyy")," (Technology test)")</f>
        <v>Thursday, 18 February 2021 (Technology test)</v>
      </c>
      <c r="B2" s="384"/>
      <c r="C2" s="384"/>
      <c r="D2" s="384"/>
      <c r="E2" s="384"/>
      <c r="F2" s="384"/>
      <c r="G2" s="384"/>
      <c r="H2" s="70"/>
      <c r="I2" s="150"/>
      <c r="J2" s="150"/>
      <c r="K2" s="150"/>
      <c r="L2" s="151"/>
      <c r="M2" s="151"/>
      <c r="N2" s="72"/>
      <c r="O2" s="72"/>
      <c r="P2" s="72"/>
    </row>
    <row r="3" spans="1:16">
      <c r="A3" s="374" t="str">
        <f>J3</f>
        <v>Day 1-2</v>
      </c>
      <c r="B3" s="374"/>
      <c r="C3" s="376" t="str">
        <f>CONCATENATE(TEXT(I3,"[$-x-sysdate]dddd, mmmm dd, yyyy")," to ",TEXT(K3,"[$-x-sysdate]dddd, mmmm dd, yyyy"))</f>
        <v>Saturday, 20 February 2021 to Sunday, 21 February 2021</v>
      </c>
      <c r="D3" s="376"/>
      <c r="E3" s="376"/>
      <c r="F3" s="374" t="str">
        <f>A3</f>
        <v>Day 1-2</v>
      </c>
      <c r="G3" s="374"/>
      <c r="H3" s="70"/>
      <c r="I3" s="157">
        <f>Planning!B27</f>
        <v>44247</v>
      </c>
      <c r="J3" s="158" t="str">
        <f>_xlfn.CONCAT("Day 1-",L3)</f>
        <v>Day 1-2</v>
      </c>
      <c r="K3" s="159">
        <f>Planning!B27+Planning!B29-1</f>
        <v>44248</v>
      </c>
      <c r="L3" s="150">
        <f>K3-I3+1</f>
        <v>2</v>
      </c>
      <c r="M3" s="151"/>
      <c r="N3" s="72"/>
      <c r="O3" s="72"/>
      <c r="P3" s="72"/>
    </row>
    <row r="4" spans="1:16" ht="29">
      <c r="A4" s="374" t="s">
        <v>992</v>
      </c>
      <c r="B4" s="374"/>
      <c r="C4" s="73" t="str">
        <f>J11</f>
        <v>Mini team 1:ATM-5 / ATM-6 / ATM-7</v>
      </c>
      <c r="D4" s="73" t="str">
        <f>M11</f>
        <v>Mini team 2: ATM-1 / ATM-2 / ATM-3 / ATM-4</v>
      </c>
      <c r="E4" s="73" t="str">
        <f>CONCATENATE("LA team: ",'Agreement 3'!B7," and ATMs if applicable")</f>
        <v>LA team: van Zyl, Pieter and ATMs if applicable</v>
      </c>
      <c r="F4" s="374" t="s">
        <v>993</v>
      </c>
      <c r="G4" s="374"/>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2" t="s">
        <v>994</v>
      </c>
      <c r="D5" s="372" t="s">
        <v>994</v>
      </c>
      <c r="E5" s="372"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2"/>
      <c r="D6" s="372"/>
      <c r="E6" s="372"/>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2"/>
      <c r="D7" s="372"/>
      <c r="E7" s="372"/>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2"/>
      <c r="D8" s="372"/>
      <c r="E8" s="372"/>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2"/>
      <c r="D9" s="372"/>
      <c r="E9" s="372"/>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2"/>
      <c r="D10" s="372"/>
      <c r="E10" s="372"/>
      <c r="F10" s="75">
        <v>0.375</v>
      </c>
      <c r="G10" s="75">
        <v>0.41666666666666669</v>
      </c>
      <c r="H10" s="70"/>
      <c r="I10" s="159"/>
      <c r="J10" s="151"/>
      <c r="K10" s="151"/>
      <c r="L10" s="151"/>
      <c r="M10" s="151"/>
      <c r="N10" s="72"/>
      <c r="O10" s="72"/>
      <c r="P10" s="72"/>
    </row>
    <row r="11" spans="1:16" ht="18" customHeight="1">
      <c r="A11" s="75">
        <v>0.66666666666666696</v>
      </c>
      <c r="B11" s="75">
        <v>0.70833333333333337</v>
      </c>
      <c r="C11" s="372"/>
      <c r="D11" s="372"/>
      <c r="E11" s="372"/>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2"/>
      <c r="D12" s="372"/>
      <c r="E12" s="372"/>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2"/>
      <c r="D13" s="372"/>
      <c r="E13" s="372"/>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9" t="str">
        <f>CONCATENATE("Schedule above includes ",Planning!B28," non-working day(s).")</f>
        <v>Schedule above includes 0 non-working day(s).</v>
      </c>
      <c r="B15" s="379"/>
      <c r="C15" s="379"/>
      <c r="D15" s="379"/>
      <c r="E15" s="379"/>
      <c r="F15" s="379"/>
      <c r="G15" s="379"/>
      <c r="H15" s="70"/>
      <c r="I15" s="150"/>
      <c r="K15" s="154"/>
      <c r="L15" s="150"/>
      <c r="M15" s="151"/>
      <c r="N15" s="72"/>
      <c r="O15" s="72"/>
      <c r="P15" s="72"/>
    </row>
    <row r="16" spans="1:16">
      <c r="A16" s="377" t="str">
        <f>J4</f>
        <v>Day 3</v>
      </c>
      <c r="B16" s="377"/>
      <c r="C16" s="378">
        <f>I4</f>
        <v>44249</v>
      </c>
      <c r="D16" s="378"/>
      <c r="E16" s="378"/>
      <c r="F16" s="377" t="str">
        <f>A16</f>
        <v>Day 3</v>
      </c>
      <c r="G16" s="377"/>
      <c r="H16" s="70"/>
      <c r="I16" s="150"/>
      <c r="K16" s="154"/>
      <c r="L16" s="151"/>
      <c r="M16" s="151"/>
      <c r="N16" s="72"/>
      <c r="O16" s="72"/>
      <c r="P16" s="72"/>
    </row>
    <row r="17" spans="1:18" ht="29">
      <c r="A17" s="377" t="s">
        <v>992</v>
      </c>
      <c r="B17" s="377"/>
      <c r="C17" s="76" t="str">
        <f>C4</f>
        <v>Mini team 1:ATM-5 / ATM-6 / ATM-7</v>
      </c>
      <c r="D17" s="76" t="str">
        <f>D4</f>
        <v>Mini team 2: ATM-1 / ATM-2 / ATM-3 / ATM-4</v>
      </c>
      <c r="E17" s="76"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80" t="s">
        <v>1058</v>
      </c>
      <c r="D19" s="381"/>
      <c r="E19" s="382"/>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3" t="s">
        <v>1059</v>
      </c>
      <c r="D20" s="373"/>
      <c r="E20" s="37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3"/>
      <c r="D21" s="373"/>
      <c r="E21" s="373"/>
      <c r="F21" s="75">
        <v>0.22916666666666666</v>
      </c>
      <c r="G21" s="75">
        <v>0.25</v>
      </c>
      <c r="H21" s="70"/>
      <c r="I21" s="151"/>
      <c r="J21" s="151"/>
      <c r="K21" s="151"/>
      <c r="L21" s="151"/>
      <c r="M21" s="151"/>
      <c r="N21" s="72"/>
      <c r="O21" s="72"/>
      <c r="P21" s="72"/>
    </row>
    <row r="22" spans="1:18" ht="18.649999999999999" customHeight="1">
      <c r="A22" s="75">
        <v>0.5</v>
      </c>
      <c r="B22" s="75">
        <v>0.52083333333333337</v>
      </c>
      <c r="C22" s="372" t="s">
        <v>999</v>
      </c>
      <c r="D22" s="372"/>
      <c r="E22" s="372"/>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2"/>
      <c r="D23" s="372"/>
      <c r="E23" s="372"/>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2" t="s">
        <v>1000</v>
      </c>
      <c r="D28" s="372"/>
      <c r="E28" s="372"/>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2" t="s">
        <v>1000</v>
      </c>
      <c r="D33" s="372"/>
      <c r="E33" s="372"/>
      <c r="F33" s="75">
        <v>0.47916666666666669</v>
      </c>
      <c r="G33" s="75">
        <v>0.5</v>
      </c>
      <c r="H33" s="70"/>
      <c r="I33" s="151"/>
      <c r="J33" s="151"/>
      <c r="K33" s="151"/>
      <c r="L33" s="151"/>
      <c r="M33" s="151"/>
      <c r="N33" s="72"/>
      <c r="O33" s="72"/>
      <c r="P33" s="72"/>
    </row>
    <row r="34" spans="1:16" ht="18.649999999999999" customHeight="1">
      <c r="A34" s="75">
        <v>0.75</v>
      </c>
      <c r="B34" s="75">
        <v>0.83333333333333337</v>
      </c>
      <c r="C34" s="372" t="s">
        <v>1001</v>
      </c>
      <c r="D34" s="372"/>
      <c r="E34" s="372"/>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76" t="str">
        <f>C17</f>
        <v>Mini team 1:ATM-5 / ATM-6 / ATM-7</v>
      </c>
      <c r="D36" s="76" t="str">
        <f>D17</f>
        <v>Mini team 2: ATM-1 / ATM-2 / ATM-3 / ATM-4</v>
      </c>
      <c r="E36" s="76" t="str">
        <f>E17</f>
        <v>LA team: van Zyl, Pieter and ATMs if applicable</v>
      </c>
      <c r="F36" s="377" t="s">
        <v>993</v>
      </c>
      <c r="G36" s="377"/>
      <c r="H36" s="79"/>
    </row>
    <row r="37" spans="1:16" ht="18" customHeight="1">
      <c r="A37" s="75">
        <v>0.41666666666666669</v>
      </c>
      <c r="B37" s="75">
        <v>0.4375</v>
      </c>
      <c r="C37" s="372" t="s">
        <v>1000</v>
      </c>
      <c r="D37" s="372"/>
      <c r="E37" s="77"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2" t="s">
        <v>999</v>
      </c>
      <c r="D41" s="372"/>
      <c r="E41" s="372"/>
      <c r="F41" s="75">
        <v>0.25</v>
      </c>
      <c r="G41" s="75">
        <v>0.27083333333333331</v>
      </c>
      <c r="H41" s="79"/>
    </row>
    <row r="42" spans="1:16" ht="18" customHeight="1">
      <c r="A42" s="75">
        <v>0.52083333333333337</v>
      </c>
      <c r="B42" s="75">
        <v>0.54166666666666663</v>
      </c>
      <c r="C42" s="372"/>
      <c r="D42" s="372"/>
      <c r="E42" s="372"/>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2" t="s">
        <v>1000</v>
      </c>
      <c r="D48" s="372"/>
      <c r="E48" s="372" t="s">
        <v>998</v>
      </c>
      <c r="F48" s="75">
        <v>0.39583333333333331</v>
      </c>
      <c r="G48" s="75">
        <v>0.41666666666666669</v>
      </c>
      <c r="H48" s="79"/>
    </row>
    <row r="49" spans="1:8" ht="18" customHeight="1">
      <c r="A49" s="75">
        <v>0.66666666666666663</v>
      </c>
      <c r="B49" s="75">
        <v>0.6875</v>
      </c>
      <c r="C49" s="372"/>
      <c r="D49" s="372"/>
      <c r="E49" s="372"/>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2" t="s">
        <v>1000</v>
      </c>
      <c r="D52" s="372"/>
      <c r="E52" s="372"/>
      <c r="F52" s="75">
        <v>0.47916666666666669</v>
      </c>
      <c r="G52" s="75">
        <v>0.5</v>
      </c>
      <c r="H52" s="79"/>
    </row>
    <row r="53" spans="1:8" ht="18" customHeight="1">
      <c r="A53" s="75">
        <v>0.75</v>
      </c>
      <c r="B53" s="75">
        <v>0.83333333333333337</v>
      </c>
      <c r="C53" s="372" t="s">
        <v>1001</v>
      </c>
      <c r="D53" s="372"/>
      <c r="E53" s="372"/>
      <c r="F53" s="75">
        <v>0.5</v>
      </c>
      <c r="G53" s="75">
        <v>0.58333333333333337</v>
      </c>
      <c r="H53" s="79"/>
    </row>
    <row r="54" spans="1:8">
      <c r="A54" s="374" t="str">
        <f>J6</f>
        <v>Day 5</v>
      </c>
      <c r="B54" s="374"/>
      <c r="C54" s="376">
        <f>I6</f>
        <v>44251</v>
      </c>
      <c r="D54" s="376"/>
      <c r="E54" s="376"/>
      <c r="F54" s="374" t="str">
        <f>A54</f>
        <v>Day 5</v>
      </c>
      <c r="G54" s="374"/>
      <c r="H54" s="79"/>
    </row>
    <row r="55" spans="1:8" ht="29">
      <c r="A55" s="374" t="s">
        <v>992</v>
      </c>
      <c r="B55" s="374"/>
      <c r="C55" s="73" t="str">
        <f>C36</f>
        <v>Mini team 1:ATM-5 / ATM-6 / ATM-7</v>
      </c>
      <c r="D55" s="73" t="str">
        <f>D36</f>
        <v>Mini team 2: ATM-1 / ATM-2 / ATM-3 / ATM-4</v>
      </c>
      <c r="E55" s="73" t="str">
        <f>E36</f>
        <v>LA team: van Zyl, Pieter and ATMs if applicable</v>
      </c>
      <c r="F55" s="374" t="s">
        <v>993</v>
      </c>
      <c r="G55" s="374"/>
      <c r="H55" s="79"/>
    </row>
    <row r="56" spans="1:8" ht="18" customHeight="1">
      <c r="A56" s="75">
        <v>0.41666666666666669</v>
      </c>
      <c r="B56" s="75">
        <v>0.4375</v>
      </c>
      <c r="C56" s="372" t="s">
        <v>1002</v>
      </c>
      <c r="D56" s="372"/>
      <c r="E56" s="77"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2" t="s">
        <v>999</v>
      </c>
      <c r="D60" s="372"/>
      <c r="E60" s="372"/>
      <c r="F60" s="75">
        <v>0.25</v>
      </c>
      <c r="G60" s="75">
        <v>0.27083333333333331</v>
      </c>
      <c r="H60" s="79"/>
    </row>
    <row r="61" spans="1:8" ht="18" customHeight="1">
      <c r="A61" s="75">
        <v>0.52083333333333337</v>
      </c>
      <c r="B61" s="75">
        <v>0.54166666666666663</v>
      </c>
      <c r="C61" s="372"/>
      <c r="D61" s="372"/>
      <c r="E61" s="372"/>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2" t="s">
        <v>1000</v>
      </c>
      <c r="D68" s="372"/>
      <c r="E68" s="372"/>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72" t="s">
        <v>1000</v>
      </c>
      <c r="D71" s="372"/>
      <c r="E71" s="372"/>
      <c r="F71" s="75">
        <v>0.47916666666666669</v>
      </c>
      <c r="G71" s="75">
        <v>0.5</v>
      </c>
      <c r="H71" s="79"/>
    </row>
    <row r="72" spans="1:8" ht="18" customHeight="1">
      <c r="A72" s="75">
        <v>0.75</v>
      </c>
      <c r="B72" s="75">
        <v>0.83333333333333337</v>
      </c>
      <c r="C72" s="372" t="s">
        <v>1001</v>
      </c>
      <c r="D72" s="372"/>
      <c r="E72" s="372"/>
      <c r="F72" s="75">
        <v>0.5</v>
      </c>
      <c r="G72" s="75">
        <v>0.58333333333333337</v>
      </c>
      <c r="H72" s="79"/>
    </row>
    <row r="73" spans="1:8">
      <c r="A73" s="374" t="str">
        <f>J7</f>
        <v>Day 6</v>
      </c>
      <c r="B73" s="374"/>
      <c r="C73" s="376">
        <f>I7</f>
        <v>44252</v>
      </c>
      <c r="D73" s="376"/>
      <c r="E73" s="376"/>
      <c r="F73" s="374" t="str">
        <f>A73</f>
        <v>Day 6</v>
      </c>
      <c r="G73" s="374"/>
      <c r="H73" s="79"/>
    </row>
    <row r="74" spans="1:8" ht="29">
      <c r="A74" s="374" t="s">
        <v>992</v>
      </c>
      <c r="B74" s="374"/>
      <c r="C74" s="73" t="str">
        <f>C55</f>
        <v>Mini team 1:ATM-5 / ATM-6 / ATM-7</v>
      </c>
      <c r="D74" s="73" t="str">
        <f>D55</f>
        <v>Mini team 2: ATM-1 / ATM-2 / ATM-3 / ATM-4</v>
      </c>
      <c r="E74" s="73" t="str">
        <f>E55</f>
        <v>LA team: van Zyl, Pieter and ATMs if applicable</v>
      </c>
      <c r="F74" s="374" t="s">
        <v>993</v>
      </c>
      <c r="G74" s="374"/>
      <c r="H74" s="79"/>
    </row>
    <row r="75" spans="1:8" ht="18" customHeight="1">
      <c r="A75" s="75">
        <v>0.41666666666666669</v>
      </c>
      <c r="B75" s="75">
        <v>0.4375</v>
      </c>
      <c r="C75" s="372" t="s">
        <v>1000</v>
      </c>
      <c r="D75" s="372"/>
      <c r="E75" s="372"/>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2" t="s">
        <v>1000</v>
      </c>
      <c r="D78" s="372"/>
      <c r="E78" s="372"/>
      <c r="F78" s="75">
        <v>0.22916666666666666</v>
      </c>
      <c r="G78" s="75">
        <v>0.25</v>
      </c>
      <c r="H78" s="79"/>
    </row>
    <row r="79" spans="1:8" ht="18" customHeight="1">
      <c r="A79" s="75">
        <v>0.5</v>
      </c>
      <c r="B79" s="75">
        <v>0.52083333333333337</v>
      </c>
      <c r="C79" s="372" t="s">
        <v>999</v>
      </c>
      <c r="D79" s="372"/>
      <c r="E79" s="372"/>
      <c r="F79" s="75">
        <v>0.25</v>
      </c>
      <c r="G79" s="75">
        <v>0.27083333333333331</v>
      </c>
      <c r="H79" s="79"/>
    </row>
    <row r="80" spans="1:8" ht="18" customHeight="1">
      <c r="A80" s="75">
        <v>0.52083333333333337</v>
      </c>
      <c r="B80" s="75">
        <v>0.54166666666666663</v>
      </c>
      <c r="C80" s="372"/>
      <c r="D80" s="372"/>
      <c r="E80" s="372"/>
      <c r="F80" s="75">
        <v>0.27083333333333331</v>
      </c>
      <c r="G80" s="75">
        <v>0.29166666666666669</v>
      </c>
      <c r="H80" s="79"/>
    </row>
    <row r="81" spans="1:8" ht="18" customHeight="1">
      <c r="A81" s="75">
        <v>0.54166666666666663</v>
      </c>
      <c r="B81" s="75">
        <v>0.5625</v>
      </c>
      <c r="C81" s="375" t="s">
        <v>1003</v>
      </c>
      <c r="D81" s="375"/>
      <c r="E81" s="375"/>
      <c r="F81" s="75">
        <v>0.29166666666666669</v>
      </c>
      <c r="G81" s="75">
        <v>0.3125</v>
      </c>
      <c r="H81" s="79"/>
    </row>
    <row r="82" spans="1:8" ht="18" customHeight="1">
      <c r="A82" s="75">
        <v>0.5625</v>
      </c>
      <c r="B82" s="75">
        <v>0.58333333333333337</v>
      </c>
      <c r="C82" s="375"/>
      <c r="D82" s="375"/>
      <c r="E82" s="375"/>
      <c r="F82" s="75">
        <v>0.3125</v>
      </c>
      <c r="G82" s="75">
        <v>0.33333333333333331</v>
      </c>
      <c r="H82" s="79"/>
    </row>
    <row r="83" spans="1:8" ht="18" customHeight="1">
      <c r="A83" s="75">
        <v>0.58333333333333337</v>
      </c>
      <c r="B83" s="75">
        <v>0.60416666666666663</v>
      </c>
      <c r="C83" s="375"/>
      <c r="D83" s="375"/>
      <c r="E83" s="375"/>
      <c r="F83" s="75">
        <v>0.33333333333333331</v>
      </c>
      <c r="G83" s="75">
        <v>0.35416666666666669</v>
      </c>
      <c r="H83" s="79"/>
    </row>
    <row r="84" spans="1:8" ht="18" customHeight="1">
      <c r="A84" s="75">
        <v>0.60416666666666663</v>
      </c>
      <c r="B84" s="75">
        <v>0.625</v>
      </c>
      <c r="C84" s="375"/>
      <c r="D84" s="375"/>
      <c r="E84" s="375"/>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2" t="s">
        <v>1000</v>
      </c>
      <c r="D87" s="372"/>
      <c r="E87" s="372"/>
      <c r="F87" s="75">
        <v>0.41666666666666669</v>
      </c>
      <c r="G87" s="75">
        <v>0.4375</v>
      </c>
      <c r="H87" s="79"/>
    </row>
    <row r="88" spans="1:8" ht="18" customHeight="1">
      <c r="A88" s="75">
        <v>0.6875</v>
      </c>
      <c r="B88" s="75">
        <v>0.70833333333333337</v>
      </c>
      <c r="C88" s="372"/>
      <c r="D88" s="372"/>
      <c r="E88" s="372"/>
      <c r="F88" s="75">
        <v>0.4375</v>
      </c>
      <c r="G88" s="75">
        <v>0.45833333333333331</v>
      </c>
      <c r="H88" s="79"/>
    </row>
    <row r="89" spans="1:8" ht="18" customHeight="1">
      <c r="A89" s="75">
        <v>0.70833333333333337</v>
      </c>
      <c r="B89" s="75">
        <v>0.72916666666666663</v>
      </c>
      <c r="C89" s="372"/>
      <c r="D89" s="372"/>
      <c r="E89" s="372"/>
      <c r="F89" s="75">
        <v>0.45833333333333331</v>
      </c>
      <c r="G89" s="75">
        <v>0.47916666666666669</v>
      </c>
      <c r="H89" s="79"/>
    </row>
    <row r="90" spans="1:8" ht="18" customHeight="1">
      <c r="A90" s="75">
        <v>0.72916666666666663</v>
      </c>
      <c r="B90" s="75">
        <v>0.75</v>
      </c>
      <c r="C90" s="372"/>
      <c r="D90" s="372"/>
      <c r="E90" s="372"/>
      <c r="F90" s="75">
        <v>0.47916666666666669</v>
      </c>
      <c r="G90" s="75">
        <v>0.5</v>
      </c>
      <c r="H90" s="79"/>
    </row>
    <row r="91" spans="1:8" ht="18" customHeight="1">
      <c r="A91" s="75">
        <v>0.75</v>
      </c>
      <c r="B91" s="75">
        <v>0.83333333333333337</v>
      </c>
      <c r="C91" s="372" t="s">
        <v>1001</v>
      </c>
      <c r="D91" s="372"/>
      <c r="E91" s="372"/>
      <c r="F91" s="75">
        <v>0.5</v>
      </c>
      <c r="G91" s="75">
        <v>0.58333333333333337</v>
      </c>
      <c r="H91" s="79"/>
    </row>
    <row r="92" spans="1:8">
      <c r="A92" s="374" t="str">
        <f>J8</f>
        <v>Day 7</v>
      </c>
      <c r="B92" s="374"/>
      <c r="C92" s="376">
        <f>I8</f>
        <v>44253</v>
      </c>
      <c r="D92" s="376"/>
      <c r="E92" s="376"/>
      <c r="F92" s="374" t="str">
        <f>A92</f>
        <v>Day 7</v>
      </c>
      <c r="G92" s="374"/>
      <c r="H92" s="79"/>
    </row>
    <row r="93" spans="1:8" ht="29">
      <c r="A93" s="374" t="s">
        <v>992</v>
      </c>
      <c r="B93" s="374"/>
      <c r="C93" s="73" t="str">
        <f>C74</f>
        <v>Mini team 1:ATM-5 / ATM-6 / ATM-7</v>
      </c>
      <c r="D93" s="73" t="str">
        <f>D74</f>
        <v>Mini team 2: ATM-1 / ATM-2 / ATM-3 / ATM-4</v>
      </c>
      <c r="E93" s="73" t="str">
        <f>E74</f>
        <v>LA team: van Zyl, Pieter and ATMs if applicable</v>
      </c>
      <c r="F93" s="374" t="s">
        <v>993</v>
      </c>
      <c r="G93" s="374"/>
      <c r="H93" s="79"/>
    </row>
    <row r="94" spans="1:8" ht="18" customHeight="1">
      <c r="A94" s="75">
        <v>0.41666666666666669</v>
      </c>
      <c r="B94" s="75">
        <v>0.4375</v>
      </c>
      <c r="C94" s="373" t="s">
        <v>1067</v>
      </c>
      <c r="D94" s="373"/>
      <c r="E94" s="373"/>
      <c r="F94" s="75">
        <v>0.16666666666666666</v>
      </c>
      <c r="G94" s="75">
        <v>0.1875</v>
      </c>
      <c r="H94" s="79"/>
    </row>
    <row r="95" spans="1:8" ht="18" customHeight="1">
      <c r="A95" s="75">
        <v>0.4375</v>
      </c>
      <c r="B95" s="75">
        <v>0.45833333333333331</v>
      </c>
      <c r="C95" s="373"/>
      <c r="D95" s="373"/>
      <c r="E95" s="373"/>
      <c r="F95" s="75">
        <v>0.1875</v>
      </c>
      <c r="G95" s="75">
        <v>0.20833333333333334</v>
      </c>
      <c r="H95" s="79"/>
    </row>
    <row r="96" spans="1:8" ht="18" customHeight="1">
      <c r="A96" s="75">
        <v>0.45833333333333331</v>
      </c>
      <c r="B96" s="75">
        <v>0.47916666666666669</v>
      </c>
      <c r="C96" s="373" t="s">
        <v>1068</v>
      </c>
      <c r="D96" s="373"/>
      <c r="E96" s="373"/>
      <c r="F96" s="75">
        <v>0.20833333333333334</v>
      </c>
      <c r="G96" s="75">
        <v>0.22916666666666666</v>
      </c>
      <c r="H96" s="79"/>
    </row>
    <row r="97" spans="1:8" ht="18" customHeight="1">
      <c r="A97" s="75">
        <v>0.47916666666666669</v>
      </c>
      <c r="B97" s="75">
        <v>0.5</v>
      </c>
      <c r="C97" s="373"/>
      <c r="D97" s="373"/>
      <c r="E97" s="373"/>
      <c r="F97" s="75">
        <v>0.22916666666666666</v>
      </c>
      <c r="G97" s="75">
        <v>0.25</v>
      </c>
      <c r="H97" s="79"/>
    </row>
    <row r="98" spans="1:8" ht="18" customHeight="1">
      <c r="A98" s="75">
        <v>0.5</v>
      </c>
      <c r="B98" s="75">
        <v>0.52083333333333337</v>
      </c>
      <c r="C98" s="372" t="s">
        <v>999</v>
      </c>
      <c r="D98" s="372"/>
      <c r="E98" s="372"/>
      <c r="F98" s="75">
        <v>0.25</v>
      </c>
      <c r="G98" s="75">
        <v>0.27083333333333331</v>
      </c>
      <c r="H98" s="79"/>
    </row>
    <row r="99" spans="1:8" ht="18" customHeight="1">
      <c r="A99" s="75">
        <v>0.52083333333333337</v>
      </c>
      <c r="B99" s="75">
        <v>0.54166666666666663</v>
      </c>
      <c r="C99" s="372"/>
      <c r="D99" s="372"/>
      <c r="E99" s="372"/>
      <c r="F99" s="75">
        <v>0.27083333333333331</v>
      </c>
      <c r="G99" s="75">
        <v>0.29166666666666669</v>
      </c>
      <c r="H99" s="79"/>
    </row>
    <row r="100" spans="1:8" ht="18" customHeight="1">
      <c r="A100" s="75">
        <v>0.54166666666666663</v>
      </c>
      <c r="B100" s="75">
        <v>0.5625</v>
      </c>
      <c r="C100" s="372" t="s">
        <v>1004</v>
      </c>
      <c r="D100" s="372"/>
      <c r="E100" s="372"/>
      <c r="F100" s="75">
        <v>0.29166666666666669</v>
      </c>
      <c r="G100" s="75">
        <v>0.3125</v>
      </c>
      <c r="H100" s="79"/>
    </row>
    <row r="101" spans="1:8" ht="18" customHeight="1">
      <c r="A101" s="75">
        <v>0.5625</v>
      </c>
      <c r="B101" s="75">
        <v>0.58333333333333337</v>
      </c>
      <c r="C101" s="372"/>
      <c r="D101" s="372"/>
      <c r="E101" s="372"/>
      <c r="F101" s="75">
        <v>0.3125</v>
      </c>
      <c r="G101" s="75">
        <v>0.33333333333333331</v>
      </c>
      <c r="H101" s="79"/>
    </row>
    <row r="102" spans="1:8" ht="18" customHeight="1">
      <c r="A102" s="75">
        <v>0.58333333333333337</v>
      </c>
      <c r="B102" s="75">
        <v>0.60416666666666663</v>
      </c>
      <c r="C102" s="372"/>
      <c r="D102" s="372"/>
      <c r="E102" s="372"/>
      <c r="F102" s="75">
        <v>0.33333333333333331</v>
      </c>
      <c r="G102" s="75">
        <v>0.35416666666666669</v>
      </c>
      <c r="H102" s="79"/>
    </row>
    <row r="103" spans="1:8" ht="18" customHeight="1">
      <c r="A103" s="75">
        <v>0.60416666666666663</v>
      </c>
      <c r="B103" s="75">
        <v>0.625</v>
      </c>
      <c r="C103" s="372"/>
      <c r="D103" s="372"/>
      <c r="E103" s="372"/>
      <c r="F103" s="75">
        <v>0.35416666666666669</v>
      </c>
      <c r="G103" s="75">
        <v>0.375</v>
      </c>
      <c r="H103" s="79"/>
    </row>
    <row r="104" spans="1:8" ht="18" customHeight="1">
      <c r="A104" s="75">
        <v>0.625</v>
      </c>
      <c r="B104" s="75">
        <v>0.64583333333333337</v>
      </c>
      <c r="C104" s="373" t="s">
        <v>1069</v>
      </c>
      <c r="D104" s="373"/>
      <c r="E104" s="373"/>
      <c r="F104" s="75">
        <v>0.375</v>
      </c>
      <c r="G104" s="75">
        <v>0.39583333333333331</v>
      </c>
      <c r="H104" s="79"/>
    </row>
    <row r="105" spans="1:8" ht="18" customHeight="1">
      <c r="A105" s="75">
        <v>0.64583333333333337</v>
      </c>
      <c r="B105" s="75">
        <v>0.66666666666666663</v>
      </c>
      <c r="C105" s="373"/>
      <c r="D105" s="373"/>
      <c r="E105" s="373"/>
      <c r="F105" s="75">
        <v>0.39583333333333331</v>
      </c>
      <c r="G105" s="75">
        <v>0.41666666666666669</v>
      </c>
      <c r="H105" s="79"/>
    </row>
    <row r="106" spans="1:8" ht="18" customHeight="1">
      <c r="A106" s="75">
        <v>0.66666666666666663</v>
      </c>
      <c r="B106" s="75">
        <v>0.6875</v>
      </c>
      <c r="C106" s="372" t="s">
        <v>1005</v>
      </c>
      <c r="D106" s="372"/>
      <c r="E106" s="372"/>
      <c r="F106" s="75">
        <v>0.41666666666666669</v>
      </c>
      <c r="G106" s="75">
        <v>0.4375</v>
      </c>
      <c r="H106" s="79"/>
    </row>
    <row r="107" spans="1:8" ht="18" customHeight="1">
      <c r="A107" s="75">
        <v>0.6875</v>
      </c>
      <c r="B107" s="75">
        <v>0.70833333333333337</v>
      </c>
      <c r="C107" s="372"/>
      <c r="D107" s="372"/>
      <c r="E107" s="372"/>
      <c r="F107" s="75">
        <v>0.4375</v>
      </c>
      <c r="G107" s="75">
        <v>0.45833333333333331</v>
      </c>
      <c r="H107" s="79"/>
    </row>
    <row r="108" spans="1:8" ht="18" customHeight="1">
      <c r="A108" s="75">
        <v>0.70833333333333337</v>
      </c>
      <c r="B108" s="75">
        <v>0.72916666666666663</v>
      </c>
      <c r="C108" s="372" t="s">
        <v>1006</v>
      </c>
      <c r="D108" s="372"/>
      <c r="E108" s="372"/>
      <c r="F108" s="75">
        <v>0.45833333333333331</v>
      </c>
      <c r="G108" s="75">
        <v>0.47916666666666669</v>
      </c>
      <c r="H108" s="79"/>
    </row>
    <row r="109" spans="1:8" ht="18" customHeight="1">
      <c r="A109" s="75">
        <v>0.72916666666666663</v>
      </c>
      <c r="B109" s="75">
        <v>0.75</v>
      </c>
      <c r="C109" s="372"/>
      <c r="D109" s="372"/>
      <c r="E109" s="372"/>
      <c r="F109" s="75">
        <v>0.47916666666666669</v>
      </c>
      <c r="G109" s="75">
        <v>0.5</v>
      </c>
      <c r="H109" s="79"/>
    </row>
    <row r="110" spans="1:8" ht="18" customHeight="1">
      <c r="A110" s="75">
        <v>0.75</v>
      </c>
      <c r="B110" s="75">
        <v>0.83333333333333337</v>
      </c>
      <c r="C110" s="372"/>
      <c r="D110" s="372"/>
      <c r="E110" s="372"/>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3" t="s">
        <v>1360</v>
      </c>
      <c r="B1" s="383"/>
      <c r="C1" s="383"/>
      <c r="D1" s="383"/>
      <c r="E1" s="383"/>
      <c r="F1" s="383"/>
      <c r="G1" s="383"/>
      <c r="H1" s="70"/>
      <c r="I1" s="155" t="s">
        <v>988</v>
      </c>
      <c r="J1" s="156" t="s">
        <v>989</v>
      </c>
      <c r="K1" s="150" t="s">
        <v>990</v>
      </c>
      <c r="L1" s="150" t="s">
        <v>991</v>
      </c>
      <c r="M1" s="151"/>
      <c r="N1" s="72"/>
      <c r="O1" s="72"/>
      <c r="P1" s="72"/>
    </row>
    <row r="2" spans="1:16" ht="14.5" customHeight="1">
      <c r="A2" s="384" t="str">
        <f>CONCATENATE(TEXT(Planning!B26,"[$-x-sysdate]dddd, mmmm dd, yyyy")," (Technology test)")</f>
        <v>Thursday, 18 February 2021 (Technology test)</v>
      </c>
      <c r="B2" s="384"/>
      <c r="C2" s="384"/>
      <c r="D2" s="384"/>
      <c r="E2" s="384"/>
      <c r="F2" s="384"/>
      <c r="G2" s="384"/>
      <c r="H2" s="70"/>
      <c r="I2" s="150"/>
      <c r="J2" s="150"/>
      <c r="K2" s="150"/>
      <c r="L2" s="151"/>
      <c r="M2" s="151"/>
      <c r="N2" s="72"/>
      <c r="O2" s="72"/>
      <c r="P2" s="72"/>
    </row>
    <row r="3" spans="1:16">
      <c r="A3" s="374" t="str">
        <f>J3</f>
        <v>Day 1-2</v>
      </c>
      <c r="B3" s="374"/>
      <c r="C3" s="376" t="str">
        <f>CONCATENATE(TEXT(I3,"[$-x-sysdate]dddd, mmmm dd, yyyy")," to ",TEXT(K3,"[$-x-sysdate]dddd, mmmm dd, yyyy"))</f>
        <v>Saturday, 20 February 2021 to Sunday, 21 February 2021</v>
      </c>
      <c r="D3" s="376"/>
      <c r="E3" s="376"/>
      <c r="F3" s="374" t="str">
        <f>A3</f>
        <v>Day 1-2</v>
      </c>
      <c r="G3" s="374"/>
      <c r="H3" s="70"/>
      <c r="I3" s="157">
        <f>Planning!B27</f>
        <v>44247</v>
      </c>
      <c r="J3" s="158" t="str">
        <f>_xlfn.CONCAT("Day 1-",L3)</f>
        <v>Day 1-2</v>
      </c>
      <c r="K3" s="159">
        <f>Planning!B27+Planning!B29-1</f>
        <v>44248</v>
      </c>
      <c r="L3" s="150">
        <f>K3-I3+1</f>
        <v>2</v>
      </c>
      <c r="M3" s="151"/>
      <c r="N3" s="72"/>
      <c r="O3" s="72"/>
      <c r="P3" s="72"/>
    </row>
    <row r="4" spans="1:16" ht="29">
      <c r="A4" s="374" t="s">
        <v>992</v>
      </c>
      <c r="B4" s="374"/>
      <c r="C4" s="269" t="str">
        <f>Schedule4!C4</f>
        <v>Mini team 1:ATM-5 / ATM-6 / ATM-7</v>
      </c>
      <c r="D4" s="269" t="str">
        <f>Schedule4!D4</f>
        <v>Mini team 2: ATM-1 / ATM-2 / ATM-3 / ATM-4</v>
      </c>
      <c r="E4" s="269" t="str">
        <f>Schedule4!E4</f>
        <v>LA team: van Zyl, Pieter and ATMs if applicable</v>
      </c>
      <c r="F4" s="374" t="s">
        <v>993</v>
      </c>
      <c r="G4" s="374"/>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2" t="s">
        <v>994</v>
      </c>
      <c r="D5" s="372" t="s">
        <v>994</v>
      </c>
      <c r="E5" s="372"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2"/>
      <c r="D6" s="372"/>
      <c r="E6" s="372"/>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2"/>
      <c r="D7" s="372"/>
      <c r="E7" s="372"/>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2"/>
      <c r="D8" s="372"/>
      <c r="E8" s="372"/>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2"/>
      <c r="D9" s="372"/>
      <c r="E9" s="372"/>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2"/>
      <c r="D10" s="372"/>
      <c r="E10" s="372"/>
      <c r="F10" s="75">
        <v>0.375</v>
      </c>
      <c r="G10" s="75">
        <v>0.41666666666666669</v>
      </c>
      <c r="H10" s="70"/>
      <c r="I10" s="159"/>
      <c r="J10" s="151"/>
      <c r="K10" s="151"/>
      <c r="L10" s="151"/>
      <c r="M10" s="151"/>
      <c r="N10" s="72"/>
      <c r="O10" s="72"/>
      <c r="P10" s="72"/>
    </row>
    <row r="11" spans="1:16" ht="18" customHeight="1">
      <c r="A11" s="75">
        <v>0.66666666666666696</v>
      </c>
      <c r="B11" s="75">
        <v>0.70833333333333337</v>
      </c>
      <c r="C11" s="372"/>
      <c r="D11" s="372"/>
      <c r="E11" s="372"/>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2"/>
      <c r="D12" s="372"/>
      <c r="E12" s="372"/>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2"/>
      <c r="D13" s="372"/>
      <c r="E13" s="372"/>
      <c r="F13" s="75">
        <v>0.5</v>
      </c>
      <c r="G13" s="75">
        <v>0.54166666666666663</v>
      </c>
      <c r="H13" s="70"/>
      <c r="I13" s="150" t="str">
        <f>'P1PA-SS'!B95</f>
        <v>ATM-5</v>
      </c>
      <c r="K13" s="153"/>
      <c r="L13" s="150"/>
      <c r="M13" s="154"/>
      <c r="N13" s="72"/>
      <c r="O13" s="72"/>
      <c r="P13" s="72"/>
    </row>
    <row r="14" spans="1:16">
      <c r="I14" s="150"/>
      <c r="K14" s="48"/>
      <c r="L14" s="150"/>
      <c r="M14" s="154"/>
    </row>
    <row r="15" spans="1:16">
      <c r="A15" s="379" t="str">
        <f>CONCATENATE("Schedule above includes ",Planning!B28," non-working day(s).")</f>
        <v>Schedule above includes 0 non-working day(s).</v>
      </c>
      <c r="B15" s="379"/>
      <c r="C15" s="379"/>
      <c r="D15" s="379"/>
      <c r="E15" s="379"/>
      <c r="F15" s="379"/>
      <c r="G15" s="379"/>
      <c r="H15" s="70"/>
      <c r="K15" s="154"/>
      <c r="L15" s="151"/>
      <c r="M15" s="151"/>
      <c r="N15" s="72"/>
      <c r="O15" s="72"/>
      <c r="P15" s="72"/>
    </row>
    <row r="16" spans="1:16">
      <c r="A16" s="377" t="str">
        <f>J4</f>
        <v>Day 3</v>
      </c>
      <c r="B16" s="377"/>
      <c r="C16" s="378">
        <f>I4</f>
        <v>44249</v>
      </c>
      <c r="D16" s="378"/>
      <c r="E16" s="378"/>
      <c r="F16" s="377" t="str">
        <f>A16</f>
        <v>Day 3</v>
      </c>
      <c r="G16" s="377"/>
      <c r="H16" s="70"/>
      <c r="K16" s="154"/>
      <c r="L16" s="151"/>
      <c r="M16" s="151"/>
      <c r="N16" s="72"/>
      <c r="O16" s="72"/>
      <c r="P16" s="72"/>
    </row>
    <row r="17" spans="1:18" ht="29">
      <c r="A17" s="377" t="s">
        <v>992</v>
      </c>
      <c r="B17" s="377"/>
      <c r="C17" s="271" t="str">
        <f>C4</f>
        <v>Mini team 1:ATM-5 / ATM-6 / ATM-7</v>
      </c>
      <c r="D17" s="271" t="str">
        <f>D4</f>
        <v>Mini team 2: ATM-1 / ATM-2 / ATM-3 / ATM-4</v>
      </c>
      <c r="E17" s="271"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1" t="s">
        <v>1058</v>
      </c>
      <c r="D19" s="371"/>
      <c r="E19" s="371"/>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3" t="s">
        <v>1059</v>
      </c>
      <c r="D20" s="373"/>
      <c r="E20" s="37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3"/>
      <c r="D21" s="373"/>
      <c r="E21" s="373"/>
      <c r="F21" s="75">
        <v>0.22916666666666666</v>
      </c>
      <c r="G21" s="75">
        <v>0.25</v>
      </c>
      <c r="H21" s="70"/>
      <c r="I21" s="151"/>
      <c r="J21" s="151"/>
      <c r="K21" s="151"/>
      <c r="L21" s="151"/>
      <c r="M21" s="151"/>
      <c r="N21" s="72"/>
      <c r="O21" s="72"/>
      <c r="P21" s="72"/>
    </row>
    <row r="22" spans="1:18" ht="18.649999999999999" customHeight="1">
      <c r="A22" s="75">
        <v>0.5</v>
      </c>
      <c r="B22" s="75">
        <v>0.52083333333333337</v>
      </c>
      <c r="C22" s="372" t="s">
        <v>999</v>
      </c>
      <c r="D22" s="372"/>
      <c r="E22" s="372"/>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2"/>
      <c r="D23" s="372"/>
      <c r="E23" s="372"/>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2" t="s">
        <v>1000</v>
      </c>
      <c r="D28" s="372"/>
      <c r="E28" s="372"/>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2" t="s">
        <v>1241</v>
      </c>
      <c r="D33" s="372"/>
      <c r="E33" s="372"/>
      <c r="F33" s="75">
        <v>0.47916666666666669</v>
      </c>
      <c r="G33" s="75">
        <v>0.5</v>
      </c>
      <c r="H33" s="70"/>
      <c r="I33" s="151"/>
      <c r="J33" s="151"/>
      <c r="K33" s="151"/>
      <c r="L33" s="151"/>
      <c r="M33" s="151"/>
      <c r="N33" s="72"/>
      <c r="O33" s="72"/>
      <c r="P33" s="72"/>
    </row>
    <row r="34" spans="1:16" ht="18.649999999999999" customHeight="1">
      <c r="A34" s="75">
        <v>0.75</v>
      </c>
      <c r="B34" s="75">
        <v>0.83333333333333337</v>
      </c>
      <c r="C34" s="372" t="s">
        <v>1001</v>
      </c>
      <c r="D34" s="372"/>
      <c r="E34" s="372"/>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271" t="str">
        <f>C17</f>
        <v>Mini team 1:ATM-5 / ATM-6 / ATM-7</v>
      </c>
      <c r="D36" s="271" t="str">
        <f>D17</f>
        <v>Mini team 2: ATM-1 / ATM-2 / ATM-3 / ATM-4</v>
      </c>
      <c r="E36" s="271" t="str">
        <f>E17</f>
        <v>LA team: van Zyl, Pieter and ATMs if applicable</v>
      </c>
      <c r="F36" s="377" t="s">
        <v>993</v>
      </c>
      <c r="G36" s="377"/>
      <c r="H36" s="79"/>
    </row>
    <row r="37" spans="1:16" ht="18" customHeight="1">
      <c r="A37" s="75">
        <v>0.41666666666666669</v>
      </c>
      <c r="B37" s="75">
        <v>0.4375</v>
      </c>
      <c r="C37" s="372" t="s">
        <v>1000</v>
      </c>
      <c r="D37" s="372"/>
      <c r="E37" s="270"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2" t="s">
        <v>999</v>
      </c>
      <c r="D41" s="372"/>
      <c r="E41" s="372"/>
      <c r="F41" s="75">
        <v>0.25</v>
      </c>
      <c r="G41" s="75">
        <v>0.27083333333333331</v>
      </c>
      <c r="H41" s="79"/>
    </row>
    <row r="42" spans="1:16" ht="18" customHeight="1">
      <c r="A42" s="75">
        <v>0.52083333333333337</v>
      </c>
      <c r="B42" s="75">
        <v>0.54166666666666663</v>
      </c>
      <c r="C42" s="372"/>
      <c r="D42" s="372"/>
      <c r="E42" s="372"/>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2" t="s">
        <v>1000</v>
      </c>
      <c r="D48" s="372"/>
      <c r="E48" s="372" t="s">
        <v>998</v>
      </c>
      <c r="F48" s="75">
        <v>0.39583333333333331</v>
      </c>
      <c r="G48" s="75">
        <v>0.41666666666666669</v>
      </c>
      <c r="H48" s="79"/>
    </row>
    <row r="49" spans="1:8" ht="18" customHeight="1">
      <c r="A49" s="75">
        <v>0.66666666666666663</v>
      </c>
      <c r="B49" s="75">
        <v>0.6875</v>
      </c>
      <c r="C49" s="372"/>
      <c r="D49" s="372"/>
      <c r="E49" s="372"/>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2" t="s">
        <v>1241</v>
      </c>
      <c r="D52" s="372"/>
      <c r="E52" s="372"/>
      <c r="F52" s="75">
        <v>0.47916666666666669</v>
      </c>
      <c r="G52" s="75">
        <v>0.5</v>
      </c>
      <c r="H52" s="79"/>
    </row>
    <row r="53" spans="1:8" ht="18" customHeight="1">
      <c r="A53" s="75">
        <v>0.75</v>
      </c>
      <c r="B53" s="75">
        <v>0.83333333333333337</v>
      </c>
      <c r="C53" s="372" t="s">
        <v>1001</v>
      </c>
      <c r="D53" s="372"/>
      <c r="E53" s="372"/>
      <c r="F53" s="75">
        <v>0.5</v>
      </c>
      <c r="G53" s="75">
        <v>0.58333333333333337</v>
      </c>
      <c r="H53" s="79"/>
    </row>
    <row r="54" spans="1:8">
      <c r="A54" s="374" t="str">
        <f>J6</f>
        <v>Day 5</v>
      </c>
      <c r="B54" s="374"/>
      <c r="C54" s="376">
        <f>I6</f>
        <v>44251</v>
      </c>
      <c r="D54" s="376"/>
      <c r="E54" s="376"/>
      <c r="F54" s="374" t="str">
        <f>A54</f>
        <v>Day 5</v>
      </c>
      <c r="G54" s="374"/>
      <c r="H54" s="79"/>
    </row>
    <row r="55" spans="1:8" ht="29">
      <c r="A55" s="374" t="s">
        <v>992</v>
      </c>
      <c r="B55" s="374"/>
      <c r="C55" s="269" t="str">
        <f>C36</f>
        <v>Mini team 1:ATM-5 / ATM-6 / ATM-7</v>
      </c>
      <c r="D55" s="269" t="str">
        <f>D36</f>
        <v>Mini team 2: ATM-1 / ATM-2 / ATM-3 / ATM-4</v>
      </c>
      <c r="E55" s="269" t="str">
        <f>E36</f>
        <v>LA team: van Zyl, Pieter and ATMs if applicable</v>
      </c>
      <c r="F55" s="374" t="s">
        <v>993</v>
      </c>
      <c r="G55" s="374"/>
      <c r="H55" s="79"/>
    </row>
    <row r="56" spans="1:8" ht="18" customHeight="1">
      <c r="A56" s="75">
        <v>0.41666666666666669</v>
      </c>
      <c r="B56" s="75">
        <v>0.4375</v>
      </c>
      <c r="C56" s="372" t="s">
        <v>1002</v>
      </c>
      <c r="D56" s="372"/>
      <c r="E56" s="270"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2" t="s">
        <v>999</v>
      </c>
      <c r="D60" s="372"/>
      <c r="E60" s="372"/>
      <c r="F60" s="75">
        <v>0.25</v>
      </c>
      <c r="G60" s="75">
        <v>0.27083333333333331</v>
      </c>
      <c r="H60" s="79"/>
    </row>
    <row r="61" spans="1:8" ht="18" customHeight="1">
      <c r="A61" s="75">
        <v>0.52083333333333337</v>
      </c>
      <c r="B61" s="75">
        <v>0.54166666666666663</v>
      </c>
      <c r="C61" s="372"/>
      <c r="D61" s="372"/>
      <c r="E61" s="372"/>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2" t="s">
        <v>1000</v>
      </c>
      <c r="D68" s="372"/>
      <c r="E68" s="372"/>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85" t="s">
        <v>1240</v>
      </c>
      <c r="D71" s="386"/>
      <c r="E71" s="387"/>
      <c r="F71" s="75">
        <v>0.47916666666666669</v>
      </c>
      <c r="G71" s="75">
        <v>0.5</v>
      </c>
      <c r="H71" s="79"/>
    </row>
    <row r="72" spans="1:8" ht="18" customHeight="1">
      <c r="A72" s="75">
        <v>0.75</v>
      </c>
      <c r="B72" s="75">
        <v>0.83333333333333337</v>
      </c>
      <c r="C72" s="388"/>
      <c r="D72" s="389"/>
      <c r="E72" s="390"/>
      <c r="F72" s="75">
        <v>0.5</v>
      </c>
      <c r="G72" s="75">
        <v>0.58333333333333337</v>
      </c>
      <c r="H72" s="79"/>
    </row>
    <row r="73" spans="1:8">
      <c r="A73" s="374" t="str">
        <f>J7</f>
        <v>Day 6</v>
      </c>
      <c r="B73" s="374"/>
      <c r="C73" s="376">
        <f>I7</f>
        <v>44252</v>
      </c>
      <c r="D73" s="376"/>
      <c r="E73" s="376"/>
      <c r="F73" s="374" t="str">
        <f>A73</f>
        <v>Day 6</v>
      </c>
      <c r="G73" s="374"/>
      <c r="H73" s="79"/>
    </row>
    <row r="74" spans="1:8" ht="29">
      <c r="A74" s="374" t="s">
        <v>992</v>
      </c>
      <c r="B74" s="374"/>
      <c r="C74" s="269" t="str">
        <f>C55</f>
        <v>Mini team 1:ATM-5 / ATM-6 / ATM-7</v>
      </c>
      <c r="D74" s="269" t="str">
        <f>D55</f>
        <v>Mini team 2: ATM-1 / ATM-2 / ATM-3 / ATM-4</v>
      </c>
      <c r="E74" s="269" t="str">
        <f>E55</f>
        <v>LA team: van Zyl, Pieter and ATMs if applicable</v>
      </c>
      <c r="F74" s="374" t="s">
        <v>993</v>
      </c>
      <c r="G74" s="374"/>
      <c r="H74" s="79"/>
    </row>
    <row r="75" spans="1:8" ht="18" customHeight="1">
      <c r="A75" s="75">
        <v>0.41666666666666669</v>
      </c>
      <c r="B75" s="75">
        <v>0.4375</v>
      </c>
      <c r="C75" s="372" t="s">
        <v>1000</v>
      </c>
      <c r="D75" s="372"/>
      <c r="E75" s="372"/>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2" t="s">
        <v>1000</v>
      </c>
      <c r="D78" s="372"/>
      <c r="E78" s="372"/>
      <c r="F78" s="75">
        <v>0.22916666666666666</v>
      </c>
      <c r="G78" s="75">
        <v>0.25</v>
      </c>
      <c r="H78" s="79"/>
    </row>
    <row r="79" spans="1:8" ht="18" customHeight="1">
      <c r="A79" s="75">
        <v>0.5</v>
      </c>
      <c r="B79" s="75">
        <v>0.52083333333333337</v>
      </c>
      <c r="C79" s="372" t="s">
        <v>999</v>
      </c>
      <c r="D79" s="372"/>
      <c r="E79" s="372"/>
      <c r="F79" s="75">
        <v>0.25</v>
      </c>
      <c r="G79" s="75">
        <v>0.27083333333333331</v>
      </c>
      <c r="H79" s="79"/>
    </row>
    <row r="80" spans="1:8" ht="18" customHeight="1">
      <c r="A80" s="75">
        <v>0.52083333333333337</v>
      </c>
      <c r="B80" s="75">
        <v>0.54166666666666663</v>
      </c>
      <c r="C80" s="372"/>
      <c r="D80" s="372"/>
      <c r="E80" s="372"/>
      <c r="F80" s="75">
        <v>0.27083333333333331</v>
      </c>
      <c r="G80" s="75">
        <v>0.29166666666666669</v>
      </c>
      <c r="H80" s="79"/>
    </row>
    <row r="81" spans="1:8" ht="18" customHeight="1">
      <c r="A81" s="75">
        <v>0.54166666666666663</v>
      </c>
      <c r="B81" s="75">
        <v>0.5625</v>
      </c>
      <c r="C81" s="385" t="s">
        <v>1240</v>
      </c>
      <c r="D81" s="386"/>
      <c r="E81" s="387"/>
      <c r="F81" s="75">
        <v>0.29166666666666669</v>
      </c>
      <c r="G81" s="75">
        <v>0.3125</v>
      </c>
      <c r="H81" s="79"/>
    </row>
    <row r="82" spans="1:8" ht="18" customHeight="1">
      <c r="A82" s="75">
        <v>0.5625</v>
      </c>
      <c r="B82" s="75">
        <v>0.58333333333333337</v>
      </c>
      <c r="C82" s="388"/>
      <c r="D82" s="389"/>
      <c r="E82" s="390"/>
      <c r="F82" s="75">
        <v>0.3125</v>
      </c>
      <c r="G82" s="75">
        <v>0.33333333333333331</v>
      </c>
      <c r="H82" s="79"/>
    </row>
    <row r="83" spans="1:8" ht="18" customHeight="1">
      <c r="A83" s="75">
        <v>0.58333333333333337</v>
      </c>
      <c r="B83" s="75">
        <v>0.60416666666666663</v>
      </c>
      <c r="C83" s="391" t="s">
        <v>1003</v>
      </c>
      <c r="D83" s="392"/>
      <c r="E83" s="393"/>
      <c r="F83" s="75">
        <v>0.33333333333333331</v>
      </c>
      <c r="G83" s="75">
        <v>0.35416666666666669</v>
      </c>
      <c r="H83" s="79"/>
    </row>
    <row r="84" spans="1:8" ht="18" customHeight="1">
      <c r="A84" s="75">
        <v>0.60416666666666663</v>
      </c>
      <c r="B84" s="75">
        <v>0.625</v>
      </c>
      <c r="C84" s="394"/>
      <c r="D84" s="395"/>
      <c r="E84" s="396"/>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2" t="s">
        <v>1000</v>
      </c>
      <c r="D87" s="372"/>
      <c r="E87" s="372"/>
      <c r="F87" s="75">
        <v>0.41666666666666669</v>
      </c>
      <c r="G87" s="75">
        <v>0.4375</v>
      </c>
      <c r="H87" s="79"/>
    </row>
    <row r="88" spans="1:8" ht="18" customHeight="1">
      <c r="A88" s="75">
        <v>0.6875</v>
      </c>
      <c r="B88" s="75">
        <v>0.70833333333333337</v>
      </c>
      <c r="C88" s="372"/>
      <c r="D88" s="372"/>
      <c r="E88" s="372"/>
      <c r="F88" s="75">
        <v>0.4375</v>
      </c>
      <c r="G88" s="75">
        <v>0.45833333333333331</v>
      </c>
      <c r="H88" s="79"/>
    </row>
    <row r="89" spans="1:8" ht="18" customHeight="1">
      <c r="A89" s="75">
        <v>0.70833333333333337</v>
      </c>
      <c r="B89" s="75">
        <v>0.72916666666666663</v>
      </c>
      <c r="C89" s="372"/>
      <c r="D89" s="372"/>
      <c r="E89" s="372"/>
      <c r="F89" s="75">
        <v>0.45833333333333331</v>
      </c>
      <c r="G89" s="75">
        <v>0.47916666666666669</v>
      </c>
      <c r="H89" s="79"/>
    </row>
    <row r="90" spans="1:8" ht="18" customHeight="1">
      <c r="A90" s="75">
        <v>0.72916666666666663</v>
      </c>
      <c r="B90" s="75">
        <v>0.75</v>
      </c>
      <c r="C90" s="372"/>
      <c r="D90" s="372"/>
      <c r="E90" s="372"/>
      <c r="F90" s="75">
        <v>0.47916666666666669</v>
      </c>
      <c r="G90" s="75">
        <v>0.5</v>
      </c>
      <c r="H90" s="79"/>
    </row>
    <row r="91" spans="1:8" ht="18" customHeight="1">
      <c r="A91" s="75">
        <v>0.75</v>
      </c>
      <c r="B91" s="75">
        <v>0.83333333333333337</v>
      </c>
      <c r="C91" s="372" t="s">
        <v>1001</v>
      </c>
      <c r="D91" s="372"/>
      <c r="E91" s="372"/>
      <c r="F91" s="75">
        <v>0.5</v>
      </c>
      <c r="G91" s="75">
        <v>0.58333333333333337</v>
      </c>
      <c r="H91" s="79"/>
    </row>
    <row r="92" spans="1:8">
      <c r="A92" s="374" t="str">
        <f>J8</f>
        <v>Day 7</v>
      </c>
      <c r="B92" s="374"/>
      <c r="C92" s="376">
        <f>I8</f>
        <v>44253</v>
      </c>
      <c r="D92" s="376"/>
      <c r="E92" s="376"/>
      <c r="F92" s="374" t="str">
        <f>A92</f>
        <v>Day 7</v>
      </c>
      <c r="G92" s="374"/>
      <c r="H92" s="79"/>
    </row>
    <row r="93" spans="1:8" ht="29">
      <c r="A93" s="374" t="s">
        <v>992</v>
      </c>
      <c r="B93" s="374"/>
      <c r="C93" s="269" t="str">
        <f>C74</f>
        <v>Mini team 1:ATM-5 / ATM-6 / ATM-7</v>
      </c>
      <c r="D93" s="269" t="str">
        <f>D74</f>
        <v>Mini team 2: ATM-1 / ATM-2 / ATM-3 / ATM-4</v>
      </c>
      <c r="E93" s="269" t="str">
        <f>E74</f>
        <v>LA team: van Zyl, Pieter and ATMs if applicable</v>
      </c>
      <c r="F93" s="374" t="s">
        <v>993</v>
      </c>
      <c r="G93" s="374"/>
      <c r="H93" s="79"/>
    </row>
    <row r="94" spans="1:8" ht="18" customHeight="1">
      <c r="A94" s="75">
        <v>0.41666666666666669</v>
      </c>
      <c r="B94" s="75">
        <v>0.4375</v>
      </c>
      <c r="C94" s="373" t="s">
        <v>1067</v>
      </c>
      <c r="D94" s="373"/>
      <c r="E94" s="373"/>
      <c r="F94" s="75">
        <v>0.16666666666666666</v>
      </c>
      <c r="G94" s="75">
        <v>0.1875</v>
      </c>
      <c r="H94" s="79"/>
    </row>
    <row r="95" spans="1:8" ht="18" customHeight="1">
      <c r="A95" s="75">
        <v>0.4375</v>
      </c>
      <c r="B95" s="75">
        <v>0.45833333333333331</v>
      </c>
      <c r="C95" s="373"/>
      <c r="D95" s="373"/>
      <c r="E95" s="373"/>
      <c r="F95" s="75">
        <v>0.1875</v>
      </c>
      <c r="G95" s="75">
        <v>0.20833333333333334</v>
      </c>
      <c r="H95" s="79"/>
    </row>
    <row r="96" spans="1:8" ht="18" customHeight="1">
      <c r="A96" s="75">
        <v>0.45833333333333331</v>
      </c>
      <c r="B96" s="75">
        <v>0.47916666666666669</v>
      </c>
      <c r="C96" s="373" t="s">
        <v>1068</v>
      </c>
      <c r="D96" s="373"/>
      <c r="E96" s="373"/>
      <c r="F96" s="75">
        <v>0.20833333333333334</v>
      </c>
      <c r="G96" s="75">
        <v>0.22916666666666666</v>
      </c>
      <c r="H96" s="79"/>
    </row>
    <row r="97" spans="1:8" ht="18" customHeight="1">
      <c r="A97" s="75">
        <v>0.47916666666666669</v>
      </c>
      <c r="B97" s="75">
        <v>0.5</v>
      </c>
      <c r="C97" s="373"/>
      <c r="D97" s="373"/>
      <c r="E97" s="373"/>
      <c r="F97" s="75">
        <v>0.22916666666666666</v>
      </c>
      <c r="G97" s="75">
        <v>0.25</v>
      </c>
      <c r="H97" s="79"/>
    </row>
    <row r="98" spans="1:8" ht="18" customHeight="1">
      <c r="A98" s="75">
        <v>0.5</v>
      </c>
      <c r="B98" s="75">
        <v>0.52083333333333337</v>
      </c>
      <c r="C98" s="372" t="s">
        <v>999</v>
      </c>
      <c r="D98" s="372"/>
      <c r="E98" s="372"/>
      <c r="F98" s="75">
        <v>0.25</v>
      </c>
      <c r="G98" s="75">
        <v>0.27083333333333331</v>
      </c>
      <c r="H98" s="79"/>
    </row>
    <row r="99" spans="1:8" ht="18" customHeight="1">
      <c r="A99" s="75">
        <v>0.52083333333333337</v>
      </c>
      <c r="B99" s="75">
        <v>0.54166666666666663</v>
      </c>
      <c r="C99" s="372"/>
      <c r="D99" s="372"/>
      <c r="E99" s="372"/>
      <c r="F99" s="75">
        <v>0.27083333333333331</v>
      </c>
      <c r="G99" s="75">
        <v>0.29166666666666669</v>
      </c>
      <c r="H99" s="79"/>
    </row>
    <row r="100" spans="1:8" ht="18" customHeight="1">
      <c r="A100" s="75">
        <v>0.54166666666666663</v>
      </c>
      <c r="B100" s="75">
        <v>0.5625</v>
      </c>
      <c r="C100" s="372" t="s">
        <v>1004</v>
      </c>
      <c r="D100" s="372"/>
      <c r="E100" s="372"/>
      <c r="F100" s="75">
        <v>0.29166666666666669</v>
      </c>
      <c r="G100" s="75">
        <v>0.3125</v>
      </c>
      <c r="H100" s="79"/>
    </row>
    <row r="101" spans="1:8" ht="18" customHeight="1">
      <c r="A101" s="75">
        <v>0.5625</v>
      </c>
      <c r="B101" s="75">
        <v>0.58333333333333337</v>
      </c>
      <c r="C101" s="372"/>
      <c r="D101" s="372"/>
      <c r="E101" s="372"/>
      <c r="F101" s="75">
        <v>0.3125</v>
      </c>
      <c r="G101" s="75">
        <v>0.33333333333333331</v>
      </c>
      <c r="H101" s="79"/>
    </row>
    <row r="102" spans="1:8" ht="18" customHeight="1">
      <c r="A102" s="75">
        <v>0.58333333333333337</v>
      </c>
      <c r="B102" s="75">
        <v>0.60416666666666663</v>
      </c>
      <c r="C102" s="372"/>
      <c r="D102" s="372"/>
      <c r="E102" s="372"/>
      <c r="F102" s="75">
        <v>0.33333333333333331</v>
      </c>
      <c r="G102" s="75">
        <v>0.35416666666666669</v>
      </c>
      <c r="H102" s="79"/>
    </row>
    <row r="103" spans="1:8" ht="18" customHeight="1">
      <c r="A103" s="75">
        <v>0.60416666666666663</v>
      </c>
      <c r="B103" s="75">
        <v>0.625</v>
      </c>
      <c r="C103" s="372"/>
      <c r="D103" s="372"/>
      <c r="E103" s="372"/>
      <c r="F103" s="75">
        <v>0.35416666666666669</v>
      </c>
      <c r="G103" s="75">
        <v>0.375</v>
      </c>
      <c r="H103" s="79"/>
    </row>
    <row r="104" spans="1:8" ht="18" customHeight="1">
      <c r="A104" s="75">
        <v>0.625</v>
      </c>
      <c r="B104" s="75">
        <v>0.64583333333333337</v>
      </c>
      <c r="C104" s="373" t="s">
        <v>1069</v>
      </c>
      <c r="D104" s="373"/>
      <c r="E104" s="373"/>
      <c r="F104" s="75">
        <v>0.375</v>
      </c>
      <c r="G104" s="75">
        <v>0.39583333333333331</v>
      </c>
      <c r="H104" s="79"/>
    </row>
    <row r="105" spans="1:8" ht="18" customHeight="1">
      <c r="A105" s="75">
        <v>0.64583333333333337</v>
      </c>
      <c r="B105" s="75">
        <v>0.66666666666666663</v>
      </c>
      <c r="C105" s="373"/>
      <c r="D105" s="373"/>
      <c r="E105" s="373"/>
      <c r="F105" s="75">
        <v>0.39583333333333331</v>
      </c>
      <c r="G105" s="75">
        <v>0.41666666666666669</v>
      </c>
      <c r="H105" s="79"/>
    </row>
    <row r="106" spans="1:8" ht="18" customHeight="1">
      <c r="A106" s="75">
        <v>0.66666666666666663</v>
      </c>
      <c r="B106" s="75">
        <v>0.6875</v>
      </c>
      <c r="C106" s="372" t="s">
        <v>1005</v>
      </c>
      <c r="D106" s="372"/>
      <c r="E106" s="372"/>
      <c r="F106" s="75">
        <v>0.41666666666666669</v>
      </c>
      <c r="G106" s="75">
        <v>0.4375</v>
      </c>
      <c r="H106" s="79"/>
    </row>
    <row r="107" spans="1:8" ht="18" customHeight="1">
      <c r="A107" s="75">
        <v>0.6875</v>
      </c>
      <c r="B107" s="75">
        <v>0.70833333333333337</v>
      </c>
      <c r="C107" s="372"/>
      <c r="D107" s="372"/>
      <c r="E107" s="372"/>
      <c r="F107" s="75">
        <v>0.4375</v>
      </c>
      <c r="G107" s="75">
        <v>0.45833333333333331</v>
      </c>
      <c r="H107" s="79"/>
    </row>
    <row r="108" spans="1:8" ht="18" customHeight="1">
      <c r="A108" s="75">
        <v>0.70833333333333337</v>
      </c>
      <c r="B108" s="75">
        <v>0.72916666666666663</v>
      </c>
      <c r="C108" s="372" t="s">
        <v>1006</v>
      </c>
      <c r="D108" s="372"/>
      <c r="E108" s="372"/>
      <c r="F108" s="75">
        <v>0.45833333333333331</v>
      </c>
      <c r="G108" s="75">
        <v>0.47916666666666669</v>
      </c>
      <c r="H108" s="79"/>
    </row>
    <row r="109" spans="1:8" ht="18" customHeight="1">
      <c r="A109" s="75">
        <v>0.72916666666666663</v>
      </c>
      <c r="B109" s="75">
        <v>0.75</v>
      </c>
      <c r="C109" s="372"/>
      <c r="D109" s="372"/>
      <c r="E109" s="372"/>
      <c r="F109" s="75">
        <v>0.47916666666666669</v>
      </c>
      <c r="G109" s="75">
        <v>0.5</v>
      </c>
      <c r="H109" s="79"/>
    </row>
    <row r="110" spans="1:8" ht="18" customHeight="1">
      <c r="A110" s="75">
        <v>0.75</v>
      </c>
      <c r="B110" s="75">
        <v>0.83333333333333337</v>
      </c>
      <c r="C110" s="372"/>
      <c r="D110" s="372"/>
      <c r="E110" s="372"/>
      <c r="F110" s="75">
        <v>0.5</v>
      </c>
      <c r="G110" s="75">
        <v>0.58333333333333337</v>
      </c>
      <c r="H110" s="79"/>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9" t="str">
        <f>StartupInfo!B3</f>
        <v>Company Full Name Ltd.</v>
      </c>
      <c r="B1" s="400"/>
      <c r="C1" s="400"/>
      <c r="D1" s="400"/>
      <c r="E1" s="400"/>
      <c r="F1" s="400"/>
      <c r="G1" s="400"/>
      <c r="H1" s="400"/>
      <c r="I1" s="400"/>
      <c r="J1" s="400"/>
      <c r="K1" s="400"/>
    </row>
    <row r="2" spans="1:11" ht="15" customHeight="1">
      <c r="A2" s="400"/>
      <c r="B2" s="400"/>
      <c r="C2" s="400"/>
      <c r="D2" s="400"/>
      <c r="E2" s="400"/>
      <c r="F2" s="400"/>
      <c r="G2" s="400"/>
      <c r="H2" s="400"/>
      <c r="I2" s="400"/>
      <c r="J2" s="400"/>
      <c r="K2" s="400"/>
    </row>
    <row r="3" spans="1:11" ht="15.75" customHeight="1">
      <c r="B3" s="401" t="str">
        <f>StartupInfo!B4</f>
        <v>公司名</v>
      </c>
      <c r="C3" s="402"/>
      <c r="D3" s="402"/>
      <c r="E3" s="402"/>
      <c r="F3" s="402"/>
      <c r="G3" s="402"/>
      <c r="H3" s="402"/>
      <c r="I3" s="402"/>
      <c r="J3" s="402"/>
      <c r="K3" s="275"/>
    </row>
    <row r="4" spans="1:11" ht="15" customHeight="1">
      <c r="A4" s="275"/>
      <c r="B4" s="402"/>
      <c r="C4" s="402"/>
      <c r="D4" s="402"/>
      <c r="E4" s="402"/>
      <c r="F4" s="402"/>
      <c r="G4" s="402"/>
      <c r="H4" s="402"/>
      <c r="I4" s="402"/>
      <c r="J4" s="402"/>
      <c r="K4" s="275"/>
    </row>
    <row r="5" spans="1:11">
      <c r="A5" s="276"/>
      <c r="C5" s="277"/>
      <c r="D5" s="403" t="str">
        <f>CONCATENATE("was rated on ",TEXT(Planning!B33,"dd mmmm yyyy")," at")</f>
        <v>was rated on 26 February 2021 at</v>
      </c>
      <c r="E5" s="403"/>
      <c r="F5" s="403"/>
      <c r="G5" s="403"/>
      <c r="H5" s="403"/>
      <c r="I5" s="277"/>
      <c r="J5" s="277"/>
      <c r="K5" s="276"/>
    </row>
    <row r="6" spans="1:11">
      <c r="A6" s="276"/>
      <c r="B6" s="276"/>
      <c r="C6" s="276"/>
      <c r="E6" s="404" t="str">
        <f>Planning!B10</f>
        <v>Maturity Level 5</v>
      </c>
      <c r="F6" s="404"/>
      <c r="G6" s="404"/>
      <c r="H6" s="276"/>
      <c r="I6" s="276"/>
      <c r="J6" s="276"/>
      <c r="K6" s="276"/>
    </row>
    <row r="7" spans="1:11">
      <c r="A7" s="276"/>
      <c r="B7" s="276"/>
      <c r="C7" s="276"/>
      <c r="D7" s="276"/>
      <c r="E7" s="404"/>
      <c r="F7" s="404"/>
      <c r="G7" s="404"/>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7" t="str">
        <f>'Agreement 3'!B7</f>
        <v>van Zyl, Pieter</v>
      </c>
      <c r="H11" s="398"/>
      <c r="I11" s="398"/>
      <c r="J11" s="276"/>
      <c r="K11" s="276"/>
    </row>
    <row r="12" spans="1:11" ht="19" customHeight="1">
      <c r="A12" s="276"/>
      <c r="B12" s="276"/>
      <c r="C12" s="276"/>
      <c r="D12" s="276"/>
      <c r="E12" s="276"/>
      <c r="F12" s="276"/>
      <c r="G12" s="397" t="str">
        <f>'Agreement 3'!B9</f>
        <v>CMMI V2.0 High Maturity Lead Appraiser</v>
      </c>
      <c r="H12" s="398"/>
      <c r="I12" s="398"/>
      <c r="J12" s="276"/>
      <c r="K12" s="276"/>
    </row>
    <row r="13" spans="1:11" ht="19" customHeight="1">
      <c r="A13" s="276"/>
      <c r="B13" s="276"/>
      <c r="C13" s="276"/>
      <c r="D13" s="276"/>
      <c r="E13" s="276"/>
      <c r="F13" s="276"/>
      <c r="G13" s="397" t="str">
        <f>'Agreement 3'!B11</f>
        <v>0500535-01</v>
      </c>
      <c r="H13" s="398"/>
      <c r="I13" s="398"/>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13" workbookViewId="0">
      <selection activeCell="G22" sqref="G2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7">
        <f>Planning!B26</f>
        <v>44245</v>
      </c>
      <c r="C23" s="186"/>
      <c r="E23" s="187"/>
      <c r="G23" s="282" t="str">
        <f>TEXT(DATE(YEAR(B21)+3,MONTH(B21),DAY(B21)),"dd mmm yyyy")</f>
        <v>26 Feb 2024</v>
      </c>
      <c r="H23" s="255"/>
      <c r="I23" s="253"/>
    </row>
    <row r="24" spans="1:9" s="9" customFormat="1" ht="23.5">
      <c r="A24" s="185"/>
      <c r="B24" s="327"/>
      <c r="C24" s="186"/>
      <c r="E24" s="187"/>
      <c r="G24" s="282"/>
      <c r="H24" s="255"/>
      <c r="I24" s="253"/>
    </row>
    <row r="25" spans="1:9" s="9" customFormat="1" ht="15.5">
      <c r="A25" s="197" t="s">
        <v>1135</v>
      </c>
      <c r="B25" s="330" t="s">
        <v>1136</v>
      </c>
      <c r="C25" s="328" t="s">
        <v>1137</v>
      </c>
      <c r="D25" s="198" t="s">
        <v>902</v>
      </c>
      <c r="E25" s="187"/>
      <c r="G25" s="199"/>
    </row>
    <row r="26" spans="1:9" s="9" customFormat="1" ht="15.5">
      <c r="A26" s="185"/>
      <c r="B26" s="329" t="s">
        <v>1138</v>
      </c>
      <c r="C26" s="200" t="s">
        <v>1139</v>
      </c>
      <c r="D26" s="201">
        <f>'P1PA-SS'!B70</f>
        <v>44260</v>
      </c>
      <c r="E26" s="187"/>
      <c r="G26" s="202" t="str">
        <f>G23</f>
        <v>26 Feb 2024</v>
      </c>
      <c r="H26" s="196" t="s">
        <v>1140</v>
      </c>
    </row>
    <row r="27" spans="1:9" s="9" customFormat="1" ht="15.5">
      <c r="A27" s="185"/>
      <c r="B27" s="200" t="s">
        <v>1141</v>
      </c>
      <c r="C27" s="200" t="s">
        <v>1142</v>
      </c>
      <c r="D27" s="201">
        <f>D26+14</f>
        <v>44274</v>
      </c>
      <c r="E27" s="187"/>
      <c r="G27" s="202"/>
    </row>
    <row r="28" spans="1:9" s="9" customFormat="1" ht="15.5">
      <c r="A28" s="185"/>
      <c r="B28" s="200" t="str">
        <f>CONCATENATE("Review with ",C32," on progress against the plan.")</f>
        <v>Review with CPOC-1 on progress against the plan.</v>
      </c>
      <c r="C28" s="200" t="str">
        <f>CONCATENATE("Sponsor and ",C32)</f>
        <v>Sponsor and CPOC-1</v>
      </c>
      <c r="D28" s="201">
        <f>D27+14</f>
        <v>44288</v>
      </c>
      <c r="E28" s="187"/>
    </row>
    <row r="29" spans="1:9" s="9" customFormat="1" ht="15.5">
      <c r="A29" s="185"/>
      <c r="B29" s="203"/>
      <c r="C29" s="203"/>
      <c r="D29" s="203"/>
      <c r="E29" s="187"/>
    </row>
    <row r="30" spans="1:9" s="9" customFormat="1" ht="31.5" customHeight="1">
      <c r="A30" s="185"/>
      <c r="B30" s="405" t="s">
        <v>1143</v>
      </c>
      <c r="C30" s="405"/>
      <c r="D30" s="405"/>
      <c r="E30" s="187"/>
    </row>
    <row r="31" spans="1:9" s="9" customFormat="1" ht="18.5">
      <c r="A31" s="185"/>
      <c r="B31" s="194"/>
      <c r="C31" s="186"/>
      <c r="E31" s="187"/>
    </row>
    <row r="32" spans="1:9" s="9" customFormat="1" ht="15.5">
      <c r="A32" s="185"/>
      <c r="B32" s="204" t="str">
        <f>B12</f>
        <v>Sponsor: SponseSurname, A</v>
      </c>
      <c r="C32" s="205" t="str">
        <f>'P1PA-SS'!B101</f>
        <v>CPOC-1</v>
      </c>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8.5">
      <c r="A36" s="185"/>
      <c r="B36" s="194"/>
      <c r="C36" s="186"/>
      <c r="E36" s="187"/>
    </row>
    <row r="37" spans="1:5" s="9" customFormat="1" ht="19" thickBot="1">
      <c r="A37" s="206"/>
      <c r="B37" s="207"/>
      <c r="C37" s="208"/>
      <c r="D37" s="209"/>
      <c r="E37" s="210"/>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row r="67" spans="2:3" s="9" customFormat="1" ht="18.5">
      <c r="B67" s="194"/>
      <c r="C67" s="186"/>
    </row>
  </sheetData>
  <mergeCells count="1">
    <mergeCell ref="B30:D30"/>
  </mergeCells>
  <pageMargins left="0.7" right="0.7" top="0.75" bottom="0.75" header="0.3" footer="0.3"/>
  <pageSetup paperSize="9" orientation="portrait" horizontalDpi="1200" verticalDpi="1200"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3"/>
  <sheetViews>
    <sheetView topLeftCell="A69" workbookViewId="0">
      <selection activeCell="B74" sqref="B74:T96"/>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9" t="str">
        <f>Planning!A41</f>
        <v>Business objectives</v>
      </c>
      <c r="B20" s="410"/>
    </row>
    <row r="21" spans="1:2" ht="81.650000000000006" customHeight="1">
      <c r="A21" s="411" t="str">
        <f>Planning!B41</f>
        <v>Sales of 138 million, software revenue increased by 5%. Profit increased by 3%, product market share reached 25%, and productivity increased by 5%</v>
      </c>
      <c r="B21" s="412"/>
    </row>
    <row r="22" spans="1:2">
      <c r="A22" s="409" t="str">
        <f>Planning!A53</f>
        <v>Appraisal objectives</v>
      </c>
      <c r="B22" s="410"/>
    </row>
    <row r="23" spans="1:2" ht="70.5" customHeight="1">
      <c r="A23" s="411" t="str">
        <f>Planning!B53</f>
        <v>[A1]: In support of the business objectives, understand the current strength and weaknesses of the CMMI maturity level 5 practices within the organisation [B1].</v>
      </c>
      <c r="B23" s="412"/>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1054</v>
      </c>
      <c r="B33" s="233" t="str">
        <f>_xlfn.CONCAT('P1PA-SS'!B98," - ",'P1PA-SS'!D98)</f>
        <v>ATM-8 - Demix (Pty) Ltd</v>
      </c>
    </row>
    <row r="34" spans="1:10">
      <c r="A34" s="234" t="s">
        <v>1054</v>
      </c>
      <c r="B34" s="233" t="str">
        <f>_xlfn.CONCAT('P1PA-SS'!B99," - ",'P1PA-SS'!D99)</f>
        <v>ATM-9 - Demix (Pty) Ltd</v>
      </c>
    </row>
    <row r="35" spans="1:10">
      <c r="A35" s="234" t="s">
        <v>1055</v>
      </c>
      <c r="B35" s="233" t="str">
        <f>_xlfn.CONCAT('Agreement 3'!B33," - ",'Agreement 3'!B34)</f>
        <v>SiteCoordinator, A - Company Full Name Ltd.</v>
      </c>
    </row>
    <row r="36" spans="1:10">
      <c r="A36" s="234" t="s">
        <v>33</v>
      </c>
      <c r="B36" s="233" t="str">
        <f>_xlfn.CONCAT('P1PA-SS'!B87," - ",'P1PA-SS'!D87)</f>
        <v>TranslatorSurname, A - tbd</v>
      </c>
    </row>
    <row r="40" spans="1:10">
      <c r="A40" s="175" t="s">
        <v>1109</v>
      </c>
      <c r="B40" s="413" t="str">
        <f>'P1PA-SS'!B76</f>
        <v>CMMI Development V2.0 (CMMI-DEV) without SAM</v>
      </c>
      <c r="C40" s="414"/>
      <c r="D40" s="414"/>
      <c r="E40" s="414"/>
      <c r="F40" s="414"/>
      <c r="G40" s="415"/>
    </row>
    <row r="41" spans="1:10" ht="23.5">
      <c r="B41" s="406" t="str">
        <f>'P1PA-SS'!B75</f>
        <v>Maturity Level 5</v>
      </c>
      <c r="C41" s="407"/>
      <c r="D41" s="407"/>
      <c r="E41" s="407"/>
      <c r="F41" s="407"/>
      <c r="G41" s="408"/>
    </row>
    <row r="42" spans="1:10" ht="6.65" customHeight="1"/>
    <row r="43" spans="1:10">
      <c r="B43" s="231" t="s">
        <v>978</v>
      </c>
      <c r="C43" s="236">
        <v>1</v>
      </c>
      <c r="D43" s="236">
        <v>2</v>
      </c>
      <c r="E43" s="236">
        <v>3</v>
      </c>
      <c r="F43" s="236">
        <v>4</v>
      </c>
      <c r="G43" s="236">
        <v>5</v>
      </c>
      <c r="H43" s="223"/>
      <c r="I43" s="223"/>
      <c r="J43" s="223"/>
    </row>
    <row r="44" spans="1:10">
      <c r="B44" s="245" t="s">
        <v>1110</v>
      </c>
      <c r="C44" s="246" t="s">
        <v>417</v>
      </c>
      <c r="D44" s="246" t="s">
        <v>417</v>
      </c>
      <c r="E44" s="246" t="s">
        <v>417</v>
      </c>
      <c r="F44" s="246" t="s">
        <v>417</v>
      </c>
      <c r="G44" s="246" t="s">
        <v>417</v>
      </c>
      <c r="H44" s="223"/>
      <c r="I44" s="223"/>
      <c r="J44" s="223"/>
    </row>
    <row r="45" spans="1:10">
      <c r="B45" s="245" t="s">
        <v>1111</v>
      </c>
      <c r="C45" s="246" t="s">
        <v>417</v>
      </c>
      <c r="D45" s="246" t="s">
        <v>417</v>
      </c>
      <c r="E45" s="246" t="s">
        <v>417</v>
      </c>
      <c r="F45" s="246"/>
      <c r="G45" s="246"/>
      <c r="H45" s="223"/>
      <c r="I45" s="223"/>
      <c r="J45" s="223"/>
    </row>
    <row r="46" spans="1:10">
      <c r="B46" s="245" t="s">
        <v>1123</v>
      </c>
      <c r="C46" s="246" t="s">
        <v>417</v>
      </c>
      <c r="D46" s="246" t="s">
        <v>417</v>
      </c>
      <c r="E46" s="246" t="s">
        <v>417</v>
      </c>
      <c r="F46" s="246"/>
      <c r="G46" s="246"/>
      <c r="H46" s="223"/>
      <c r="I46" s="223"/>
      <c r="J46" s="223"/>
    </row>
    <row r="47" spans="1:10">
      <c r="B47" s="245" t="s">
        <v>1112</v>
      </c>
      <c r="C47" s="246" t="s">
        <v>417</v>
      </c>
      <c r="D47" s="246" t="s">
        <v>417</v>
      </c>
      <c r="E47" s="246" t="s">
        <v>417</v>
      </c>
      <c r="F47" s="246"/>
      <c r="G47" s="246"/>
      <c r="H47" s="223"/>
      <c r="I47" s="223"/>
      <c r="J47" s="223"/>
    </row>
    <row r="48" spans="1:10">
      <c r="B48" s="245" t="s">
        <v>1113</v>
      </c>
      <c r="C48" s="246" t="s">
        <v>417</v>
      </c>
      <c r="D48" s="246" t="s">
        <v>417</v>
      </c>
      <c r="E48" s="246" t="s">
        <v>417</v>
      </c>
      <c r="F48" s="246" t="s">
        <v>417</v>
      </c>
      <c r="G48" s="246"/>
      <c r="H48" s="223"/>
      <c r="I48" s="223"/>
      <c r="J48" s="223"/>
    </row>
    <row r="49" spans="2:10">
      <c r="B49" s="245" t="s">
        <v>1114</v>
      </c>
      <c r="C49" s="246" t="s">
        <v>417</v>
      </c>
      <c r="D49" s="246" t="s">
        <v>417</v>
      </c>
      <c r="E49" s="246" t="s">
        <v>417</v>
      </c>
      <c r="F49" s="246"/>
      <c r="G49" s="246"/>
      <c r="H49" s="223"/>
      <c r="I49" s="223"/>
      <c r="J49" s="223"/>
    </row>
    <row r="50" spans="2:10">
      <c r="B50" s="245" t="s">
        <v>1115</v>
      </c>
      <c r="C50" s="246" t="s">
        <v>417</v>
      </c>
      <c r="D50" s="246" t="s">
        <v>417</v>
      </c>
      <c r="E50" s="246" t="s">
        <v>417</v>
      </c>
      <c r="F50" s="246"/>
      <c r="G50" s="246"/>
      <c r="H50" s="223"/>
      <c r="I50" s="223"/>
      <c r="J50" s="223"/>
    </row>
    <row r="51" spans="2:10">
      <c r="B51" s="245" t="s">
        <v>1116</v>
      </c>
      <c r="C51" s="246" t="s">
        <v>417</v>
      </c>
      <c r="D51" s="246" t="s">
        <v>417</v>
      </c>
      <c r="E51" s="246" t="s">
        <v>417</v>
      </c>
      <c r="F51" s="246"/>
      <c r="G51" s="246"/>
      <c r="H51" s="223"/>
      <c r="I51" s="223"/>
      <c r="J51" s="223"/>
    </row>
    <row r="52" spans="2:10">
      <c r="B52" s="245" t="s">
        <v>1126</v>
      </c>
      <c r="C52" s="246" t="s">
        <v>417</v>
      </c>
      <c r="D52" s="246" t="s">
        <v>417</v>
      </c>
      <c r="E52" s="246" t="s">
        <v>417</v>
      </c>
      <c r="F52" s="246"/>
      <c r="G52" s="246"/>
      <c r="H52" s="223"/>
      <c r="I52" s="223"/>
      <c r="J52" s="223"/>
    </row>
    <row r="53" spans="2:10">
      <c r="B53" s="245" t="s">
        <v>1127</v>
      </c>
      <c r="C53" s="246" t="s">
        <v>417</v>
      </c>
      <c r="D53" s="246" t="s">
        <v>417</v>
      </c>
      <c r="E53" s="246" t="s">
        <v>417</v>
      </c>
      <c r="F53" s="246"/>
      <c r="G53" s="246"/>
      <c r="H53" s="223"/>
      <c r="I53" s="223"/>
      <c r="J53" s="223"/>
    </row>
    <row r="54" spans="2:10">
      <c r="B54" s="245" t="s">
        <v>1117</v>
      </c>
      <c r="C54" s="246" t="s">
        <v>417</v>
      </c>
      <c r="D54" s="246" t="s">
        <v>417</v>
      </c>
      <c r="E54" s="246" t="s">
        <v>417</v>
      </c>
      <c r="F54" s="246" t="s">
        <v>417</v>
      </c>
      <c r="G54" s="246" t="s">
        <v>417</v>
      </c>
      <c r="H54" s="223"/>
      <c r="I54" s="223"/>
      <c r="J54" s="223"/>
    </row>
    <row r="55" spans="2:10">
      <c r="B55" s="245" t="s">
        <v>1144</v>
      </c>
      <c r="C55" s="246" t="s">
        <v>417</v>
      </c>
      <c r="D55" s="246" t="s">
        <v>417</v>
      </c>
      <c r="E55" s="246" t="s">
        <v>417</v>
      </c>
      <c r="F55" s="246"/>
      <c r="G55" s="246"/>
      <c r="H55" s="223"/>
      <c r="I55" s="223"/>
      <c r="J55" s="223"/>
    </row>
    <row r="56" spans="2:10">
      <c r="B56" s="245" t="s">
        <v>1118</v>
      </c>
      <c r="C56" s="246" t="s">
        <v>417</v>
      </c>
      <c r="D56" s="246" t="s">
        <v>417</v>
      </c>
      <c r="E56" s="246"/>
      <c r="F56" s="246"/>
      <c r="G56" s="246"/>
      <c r="H56" s="223"/>
      <c r="I56" s="223"/>
      <c r="J56" s="223"/>
    </row>
    <row r="57" spans="2:10">
      <c r="B57" s="245" t="s">
        <v>1125</v>
      </c>
      <c r="C57" s="246" t="s">
        <v>417</v>
      </c>
      <c r="D57" s="246" t="s">
        <v>417</v>
      </c>
      <c r="E57" s="246" t="s">
        <v>417</v>
      </c>
      <c r="F57" s="246"/>
      <c r="G57" s="246"/>
      <c r="H57" s="223"/>
      <c r="I57" s="223"/>
      <c r="J57" s="223"/>
    </row>
    <row r="58" spans="2:10">
      <c r="B58" s="245" t="s">
        <v>1119</v>
      </c>
      <c r="C58" s="246" t="s">
        <v>417</v>
      </c>
      <c r="D58" s="246" t="s">
        <v>417</v>
      </c>
      <c r="E58" s="246" t="s">
        <v>417</v>
      </c>
      <c r="F58" s="246" t="s">
        <v>417</v>
      </c>
      <c r="G58" s="246"/>
      <c r="H58" s="223"/>
      <c r="I58" s="223"/>
      <c r="J58" s="223"/>
    </row>
    <row r="59" spans="2:10">
      <c r="B59" s="245" t="s">
        <v>1120</v>
      </c>
      <c r="C59" s="246" t="s">
        <v>417</v>
      </c>
      <c r="D59" s="246" t="s">
        <v>417</v>
      </c>
      <c r="E59" s="246" t="s">
        <v>417</v>
      </c>
      <c r="F59" s="246"/>
      <c r="G59" s="246"/>
      <c r="H59" s="223"/>
      <c r="I59" s="223"/>
      <c r="J59" s="223"/>
    </row>
    <row r="60" spans="2:10">
      <c r="B60" s="245" t="s">
        <v>1124</v>
      </c>
      <c r="C60" s="246" t="s">
        <v>417</v>
      </c>
      <c r="D60" s="246" t="s">
        <v>417</v>
      </c>
      <c r="E60" s="246" t="s">
        <v>417</v>
      </c>
      <c r="F60" s="246"/>
      <c r="G60" s="246"/>
      <c r="H60" s="223"/>
      <c r="I60" s="223"/>
      <c r="J60" s="223"/>
    </row>
    <row r="61" spans="2:10">
      <c r="B61" s="245" t="s">
        <v>1121</v>
      </c>
      <c r="C61" s="246" t="s">
        <v>417</v>
      </c>
      <c r="D61" s="246" t="s">
        <v>417</v>
      </c>
      <c r="E61" s="246" t="s">
        <v>417</v>
      </c>
      <c r="F61" s="246" t="s">
        <v>417</v>
      </c>
      <c r="G61" s="246"/>
      <c r="H61" s="223"/>
      <c r="I61" s="223"/>
      <c r="J61" s="223"/>
    </row>
    <row r="62" spans="2:10">
      <c r="B62" s="245" t="s">
        <v>1122</v>
      </c>
      <c r="C62" s="246" t="s">
        <v>417</v>
      </c>
      <c r="D62" s="246" t="s">
        <v>417</v>
      </c>
      <c r="E62" s="246" t="s">
        <v>417</v>
      </c>
      <c r="F62" s="246"/>
      <c r="G62" s="246"/>
      <c r="H62" s="223"/>
      <c r="I62" s="223"/>
      <c r="J62" s="223"/>
    </row>
    <row r="65" spans="1:21">
      <c r="A65" s="175" t="s">
        <v>647</v>
      </c>
      <c r="B65" s="231" t="str">
        <f>StartupInfo!B19</f>
        <v>R&amp;D Center</v>
      </c>
    </row>
    <row r="66" spans="1:21">
      <c r="B66" s="234" t="str">
        <f>StartupInfo!B20</f>
        <v>研发中心</v>
      </c>
    </row>
    <row r="67" spans="1:21" ht="42">
      <c r="B67" s="233" t="str">
        <f>StartupInfo!B21</f>
        <v>The R&amp;D Centre is responsible for the overall research and development of the companies strategic software products.</v>
      </c>
    </row>
    <row r="68" spans="1:21" ht="63" hidden="1">
      <c r="B68" s="175" t="str">
        <f>'P1PA-R'!B70</f>
        <v xml:space="preserve">More than 90% of evidence will be provided in an OE database document, which will subsequently be used for verification with 10% or less in managed discovery mode. </v>
      </c>
    </row>
    <row r="70" spans="1:21">
      <c r="B70" s="231" t="str">
        <f>'P1PA-SS'!A127</f>
        <v>Sampling Factors</v>
      </c>
    </row>
    <row r="71" spans="1:21">
      <c r="B71" s="234" t="str">
        <f>'P1PA-SS'!B128</f>
        <v>Type of Work</v>
      </c>
    </row>
    <row r="72" spans="1:21">
      <c r="B72" s="233" t="str">
        <f>'P1PA-SS'!B130</f>
        <v>All development projects</v>
      </c>
    </row>
    <row r="73" spans="1:21">
      <c r="B73" s="284"/>
      <c r="C73" s="285"/>
      <c r="D73" s="285"/>
      <c r="E73" s="285"/>
      <c r="F73" s="285"/>
      <c r="G73" s="285"/>
      <c r="H73" s="285"/>
      <c r="I73" s="285"/>
      <c r="J73" s="285"/>
      <c r="K73" s="285"/>
      <c r="L73" s="285"/>
      <c r="M73" s="285"/>
      <c r="N73" s="285"/>
      <c r="O73" s="285"/>
      <c r="P73" s="285"/>
      <c r="Q73" s="285"/>
      <c r="R73" s="285"/>
      <c r="S73" s="285"/>
      <c r="T73" s="285"/>
    </row>
    <row r="74" spans="1:21" s="288" customFormat="1">
      <c r="A74" s="175"/>
      <c r="B74" s="231" t="str">
        <f>'Project&amp;Support'!A1</f>
        <v>Project information and sample</v>
      </c>
      <c r="C74" s="236" t="str">
        <f>'Project&amp;Support'!J2</f>
        <v>PI</v>
      </c>
      <c r="D74" s="236" t="str">
        <f>'Project&amp;Support'!K2</f>
        <v>TS</v>
      </c>
      <c r="E74" s="236" t="str">
        <f>'Project&amp;Support'!L2</f>
        <v>PQA</v>
      </c>
      <c r="F74" s="236" t="str">
        <f>'Project&amp;Support'!M2</f>
        <v>PR</v>
      </c>
      <c r="G74" s="236" t="str">
        <f>'Project&amp;Support'!N2</f>
        <v>RDM</v>
      </c>
      <c r="H74" s="236" t="str">
        <f>'Project&amp;Support'!O2</f>
        <v>VV</v>
      </c>
      <c r="I74" s="236" t="str">
        <f>'Project&amp;Support'!P2</f>
        <v>MPM</v>
      </c>
      <c r="J74" s="236" t="str">
        <f>'Project&amp;Support'!Q2</f>
        <v>PAD</v>
      </c>
      <c r="K74" s="236" t="str">
        <f>'Project&amp;Support'!R2</f>
        <v>PCM</v>
      </c>
      <c r="L74" s="236" t="str">
        <f>'Project&amp;Support'!S2</f>
        <v>RSK</v>
      </c>
      <c r="M74" s="236" t="str">
        <f>'Project&amp;Support'!T2</f>
        <v>OT</v>
      </c>
      <c r="N74" s="236" t="str">
        <f>'Project&amp;Support'!U2</f>
        <v>EST</v>
      </c>
      <c r="O74" s="236" t="str">
        <f>'Project&amp;Support'!V2</f>
        <v>MC</v>
      </c>
      <c r="P74" s="236" t="str">
        <f>'Project&amp;Support'!W2</f>
        <v>PLAN</v>
      </c>
      <c r="Q74" s="236" t="str">
        <f>'Project&amp;Support'!X2</f>
        <v>CAR</v>
      </c>
      <c r="R74" s="236" t="str">
        <f>'Project&amp;Support'!Y2</f>
        <v>CM</v>
      </c>
      <c r="S74" s="236" t="str">
        <f>'Project&amp;Support'!Z2</f>
        <v>DAR</v>
      </c>
      <c r="T74" s="236" t="str">
        <f>'Project&amp;Support'!AA2</f>
        <v>SAM</v>
      </c>
      <c r="U74" s="287"/>
    </row>
    <row r="75" spans="1:21" s="288" customFormat="1">
      <c r="A75" s="175"/>
      <c r="B75" s="176" t="str">
        <f>'Project&amp;Support'!B3</f>
        <v>p1ProjectNameA</v>
      </c>
      <c r="C75" s="289" t="str">
        <f>IF('Project&amp;Support'!J3&lt;&gt;"",'Project&amp;Support'!J3,"")</f>
        <v>a</v>
      </c>
      <c r="D75" s="289" t="str">
        <f>IF('Project&amp;Support'!K3&lt;&gt;"",'Project&amp;Support'!K3,"")</f>
        <v>a</v>
      </c>
      <c r="E75" s="289" t="str">
        <f>IF('Project&amp;Support'!L3&lt;&gt;"",'Project&amp;Support'!L3,"")</f>
        <v/>
      </c>
      <c r="F75" s="289" t="str">
        <f>IF('Project&amp;Support'!M3&lt;&gt;"",'Project&amp;Support'!M3,"")</f>
        <v>s</v>
      </c>
      <c r="G75" s="289" t="str">
        <f>IF('Project&amp;Support'!N3&lt;&gt;"",'Project&amp;Support'!N3,"")</f>
        <v>s</v>
      </c>
      <c r="H75" s="289" t="str">
        <f>IF('Project&amp;Support'!O3&lt;&gt;"",'Project&amp;Support'!O3,"")</f>
        <v>s</v>
      </c>
      <c r="I75" s="289" t="str">
        <f>IF('Project&amp;Support'!P3&lt;&gt;"",'Project&amp;Support'!P3,"")</f>
        <v/>
      </c>
      <c r="J75" s="289" t="str">
        <f>IF('Project&amp;Support'!Q3&lt;&gt;"",'Project&amp;Support'!Q3,"")</f>
        <v/>
      </c>
      <c r="K75" s="289" t="str">
        <f>IF('Project&amp;Support'!R3&lt;&gt;"",'Project&amp;Support'!R3,"")</f>
        <v/>
      </c>
      <c r="L75" s="289" t="str">
        <f>IF('Project&amp;Support'!S3&lt;&gt;"",'Project&amp;Support'!S3,"")</f>
        <v/>
      </c>
      <c r="M75" s="289" t="str">
        <f>IF('Project&amp;Support'!T3&lt;&gt;"",'Project&amp;Support'!T3,"")</f>
        <v/>
      </c>
      <c r="N75" s="289" t="str">
        <f>IF('Project&amp;Support'!U3&lt;&gt;"",'Project&amp;Support'!U3,"")</f>
        <v>a</v>
      </c>
      <c r="O75" s="289" t="str">
        <f>IF('Project&amp;Support'!V3&lt;&gt;"",'Project&amp;Support'!V3,"")</f>
        <v>a</v>
      </c>
      <c r="P75" s="289" t="str">
        <f>IF('Project&amp;Support'!W3&lt;&gt;"",'Project&amp;Support'!W3,"")</f>
        <v>a</v>
      </c>
      <c r="Q75" s="289" t="str">
        <f>IF('Project&amp;Support'!X3&lt;&gt;"",'Project&amp;Support'!X3,"")</f>
        <v/>
      </c>
      <c r="R75" s="289" t="str">
        <f>IF('Project&amp;Support'!Y3&lt;&gt;"",'Project&amp;Support'!Y3,"")</f>
        <v/>
      </c>
      <c r="S75" s="289" t="str">
        <f>IF('Project&amp;Support'!Z3&lt;&gt;"",'Project&amp;Support'!Z3,"")</f>
        <v/>
      </c>
      <c r="T75" s="289" t="str">
        <f>IF('Project&amp;Support'!AA3&lt;&gt;"",'Project&amp;Support'!AA3,"")</f>
        <v/>
      </c>
      <c r="U75" s="287"/>
    </row>
    <row r="76" spans="1:21" s="288" customFormat="1">
      <c r="A76" s="175"/>
      <c r="B76" s="176" t="str">
        <f>'Project&amp;Support'!B4</f>
        <v>p2ProjectNameB</v>
      </c>
      <c r="C76" s="289" t="str">
        <f>IF('Project&amp;Support'!J4&lt;&gt;"",'Project&amp;Support'!J4,"")</f>
        <v/>
      </c>
      <c r="D76" s="289" t="str">
        <f>IF('Project&amp;Support'!K4&lt;&gt;"",'Project&amp;Support'!K4,"")</f>
        <v/>
      </c>
      <c r="E76" s="289" t="str">
        <f>IF('Project&amp;Support'!L4&lt;&gt;"",'Project&amp;Support'!L4,"")</f>
        <v/>
      </c>
      <c r="F76" s="289" t="str">
        <f>IF('Project&amp;Support'!M4&lt;&gt;"",'Project&amp;Support'!M4,"")</f>
        <v/>
      </c>
      <c r="G76" s="289" t="str">
        <f>IF('Project&amp;Support'!N4&lt;&gt;"",'Project&amp;Support'!N4,"")</f>
        <v/>
      </c>
      <c r="H76" s="289" t="str">
        <f>IF('Project&amp;Support'!O4&lt;&gt;"",'Project&amp;Support'!O4,"")</f>
        <v/>
      </c>
      <c r="I76" s="289" t="str">
        <f>IF('Project&amp;Support'!P4&lt;&gt;"",'Project&amp;Support'!P4,"")</f>
        <v/>
      </c>
      <c r="J76" s="289" t="str">
        <f>IF('Project&amp;Support'!Q4&lt;&gt;"",'Project&amp;Support'!Q4,"")</f>
        <v/>
      </c>
      <c r="K76" s="289" t="str">
        <f>IF('Project&amp;Support'!R4&lt;&gt;"",'Project&amp;Support'!R4,"")</f>
        <v/>
      </c>
      <c r="L76" s="289" t="str">
        <f>IF('Project&amp;Support'!S4&lt;&gt;"",'Project&amp;Support'!S4,"")</f>
        <v>s</v>
      </c>
      <c r="M76" s="289" t="str">
        <f>IF('Project&amp;Support'!T4&lt;&gt;"",'Project&amp;Support'!T4,"")</f>
        <v/>
      </c>
      <c r="N76" s="289" t="str">
        <f>IF('Project&amp;Support'!U4&lt;&gt;"",'Project&amp;Support'!U4,"")</f>
        <v/>
      </c>
      <c r="O76" s="289" t="str">
        <f>IF('Project&amp;Support'!V4&lt;&gt;"",'Project&amp;Support'!V4,"")</f>
        <v/>
      </c>
      <c r="P76" s="289" t="str">
        <f>IF('Project&amp;Support'!W4&lt;&gt;"",'Project&amp;Support'!W4,"")</f>
        <v/>
      </c>
      <c r="Q76" s="289" t="str">
        <f>IF('Project&amp;Support'!X4&lt;&gt;"",'Project&amp;Support'!X4,"")</f>
        <v/>
      </c>
      <c r="R76" s="289" t="str">
        <f>IF('Project&amp;Support'!Y4&lt;&gt;"",'Project&amp;Support'!Y4,"")</f>
        <v/>
      </c>
      <c r="S76" s="289" t="str">
        <f>IF('Project&amp;Support'!Z4&lt;&gt;"",'Project&amp;Support'!Z4,"")</f>
        <v/>
      </c>
      <c r="T76" s="289" t="str">
        <f>IF('Project&amp;Support'!AA4&lt;&gt;"",'Project&amp;Support'!AA4,"")</f>
        <v/>
      </c>
      <c r="U76" s="287"/>
    </row>
    <row r="77" spans="1:21" s="288" customFormat="1">
      <c r="A77" s="175"/>
      <c r="B77" s="176" t="str">
        <f>'Project&amp;Support'!B5</f>
        <v>p3ProjectNameC</v>
      </c>
      <c r="C77" s="289" t="str">
        <f>IF('Project&amp;Support'!J5&lt;&gt;"",'Project&amp;Support'!J5,"")</f>
        <v>s</v>
      </c>
      <c r="D77" s="289" t="str">
        <f>IF('Project&amp;Support'!K5&lt;&gt;"",'Project&amp;Support'!K5,"")</f>
        <v>s</v>
      </c>
      <c r="E77" s="289" t="str">
        <f>IF('Project&amp;Support'!L5&lt;&gt;"",'Project&amp;Support'!L5,"")</f>
        <v/>
      </c>
      <c r="F77" s="289" t="str">
        <f>IF('Project&amp;Support'!M5&lt;&gt;"",'Project&amp;Support'!M5,"")</f>
        <v/>
      </c>
      <c r="G77" s="289" t="str">
        <f>IF('Project&amp;Support'!N5&lt;&gt;"",'Project&amp;Support'!N5,"")</f>
        <v/>
      </c>
      <c r="H77" s="289" t="str">
        <f>IF('Project&amp;Support'!O5&lt;&gt;"",'Project&amp;Support'!O5,"")</f>
        <v/>
      </c>
      <c r="I77" s="289" t="str">
        <f>IF('Project&amp;Support'!P5&lt;&gt;"",'Project&amp;Support'!P5,"")</f>
        <v/>
      </c>
      <c r="J77" s="289" t="str">
        <f>IF('Project&amp;Support'!Q5&lt;&gt;"",'Project&amp;Support'!Q5,"")</f>
        <v/>
      </c>
      <c r="K77" s="289" t="str">
        <f>IF('Project&amp;Support'!R5&lt;&gt;"",'Project&amp;Support'!R5,"")</f>
        <v/>
      </c>
      <c r="L77" s="289" t="str">
        <f>IF('Project&amp;Support'!S5&lt;&gt;"",'Project&amp;Support'!S5,"")</f>
        <v/>
      </c>
      <c r="M77" s="289" t="str">
        <f>IF('Project&amp;Support'!T5&lt;&gt;"",'Project&amp;Support'!T5,"")</f>
        <v/>
      </c>
      <c r="N77" s="289" t="str">
        <f>IF('Project&amp;Support'!U5&lt;&gt;"",'Project&amp;Support'!U5,"")</f>
        <v/>
      </c>
      <c r="O77" s="289" t="str">
        <f>IF('Project&amp;Support'!V5&lt;&gt;"",'Project&amp;Support'!V5,"")</f>
        <v/>
      </c>
      <c r="P77" s="289" t="str">
        <f>IF('Project&amp;Support'!W5&lt;&gt;"",'Project&amp;Support'!W5,"")</f>
        <v/>
      </c>
      <c r="Q77" s="289" t="str">
        <f>IF('Project&amp;Support'!X5&lt;&gt;"",'Project&amp;Support'!X5,"")</f>
        <v/>
      </c>
      <c r="R77" s="289" t="str">
        <f>IF('Project&amp;Support'!Y5&lt;&gt;"",'Project&amp;Support'!Y5,"")</f>
        <v/>
      </c>
      <c r="S77" s="289" t="str">
        <f>IF('Project&amp;Support'!Z5&lt;&gt;"",'Project&amp;Support'!Z5,"")</f>
        <v/>
      </c>
      <c r="T77" s="289" t="str">
        <f>IF('Project&amp;Support'!AA5&lt;&gt;"",'Project&amp;Support'!AA5,"")</f>
        <v/>
      </c>
      <c r="U77" s="287"/>
    </row>
    <row r="78" spans="1:21" s="288" customFormat="1">
      <c r="A78" s="175"/>
      <c r="B78" s="176" t="str">
        <f>'Project&amp;Support'!B6</f>
        <v>p4PRojectNameD</v>
      </c>
      <c r="C78" s="289" t="str">
        <f>IF('Project&amp;Support'!J6&lt;&gt;"",'Project&amp;Support'!J6,"")</f>
        <v/>
      </c>
      <c r="D78" s="289" t="str">
        <f>IF('Project&amp;Support'!K6&lt;&gt;"",'Project&amp;Support'!K6,"")</f>
        <v/>
      </c>
      <c r="E78" s="289" t="str">
        <f>IF('Project&amp;Support'!L6&lt;&gt;"",'Project&amp;Support'!L6,"")</f>
        <v/>
      </c>
      <c r="F78" s="289" t="str">
        <f>IF('Project&amp;Support'!M6&lt;&gt;"",'Project&amp;Support'!M6,"")</f>
        <v>a</v>
      </c>
      <c r="G78" s="289" t="str">
        <f>IF('Project&amp;Support'!N6&lt;&gt;"",'Project&amp;Support'!N6,"")</f>
        <v>a</v>
      </c>
      <c r="H78" s="289" t="str">
        <f>IF('Project&amp;Support'!O6&lt;&gt;"",'Project&amp;Support'!O6,"")</f>
        <v>a</v>
      </c>
      <c r="I78" s="289" t="str">
        <f>IF('Project&amp;Support'!P6&lt;&gt;"",'Project&amp;Support'!P6,"")</f>
        <v/>
      </c>
      <c r="J78" s="289" t="str">
        <f>IF('Project&amp;Support'!Q6&lt;&gt;"",'Project&amp;Support'!Q6,"")</f>
        <v/>
      </c>
      <c r="K78" s="289" t="str">
        <f>IF('Project&amp;Support'!R6&lt;&gt;"",'Project&amp;Support'!R6,"")</f>
        <v/>
      </c>
      <c r="L78" s="289" t="str">
        <f>IF('Project&amp;Support'!S6&lt;&gt;"",'Project&amp;Support'!S6,"")</f>
        <v>a</v>
      </c>
      <c r="M78" s="289" t="str">
        <f>IF('Project&amp;Support'!T6&lt;&gt;"",'Project&amp;Support'!T6,"")</f>
        <v/>
      </c>
      <c r="N78" s="289" t="str">
        <f>IF('Project&amp;Support'!U6&lt;&gt;"",'Project&amp;Support'!U6,"")</f>
        <v>s</v>
      </c>
      <c r="O78" s="289" t="str">
        <f>IF('Project&amp;Support'!V6&lt;&gt;"",'Project&amp;Support'!V6,"")</f>
        <v>s</v>
      </c>
      <c r="P78" s="289" t="str">
        <f>IF('Project&amp;Support'!W6&lt;&gt;"",'Project&amp;Support'!W6,"")</f>
        <v>s</v>
      </c>
      <c r="Q78" s="289" t="str">
        <f>IF('Project&amp;Support'!X6&lt;&gt;"",'Project&amp;Support'!X6,"")</f>
        <v/>
      </c>
      <c r="R78" s="289" t="str">
        <f>IF('Project&amp;Support'!Y6&lt;&gt;"",'Project&amp;Support'!Y6,"")</f>
        <v/>
      </c>
      <c r="S78" s="289" t="str">
        <f>IF('Project&amp;Support'!Z6&lt;&gt;"",'Project&amp;Support'!Z6,"")</f>
        <v/>
      </c>
      <c r="T78" s="289" t="str">
        <f>IF('Project&amp;Support'!AA6&lt;&gt;"",'Project&amp;Support'!AA6,"")</f>
        <v/>
      </c>
      <c r="U78" s="287"/>
    </row>
    <row r="79" spans="1:21" s="288" customFormat="1">
      <c r="A79" s="175"/>
      <c r="B79" s="176" t="str">
        <f>'Project&amp;Support'!B7</f>
        <v>p5ProjectNameE</v>
      </c>
      <c r="C79" s="289" t="str">
        <f>IF('Project&amp;Support'!J7&lt;&gt;"",'Project&amp;Support'!J7,"")</f>
        <v/>
      </c>
      <c r="D79" s="289" t="str">
        <f>IF('Project&amp;Support'!K7&lt;&gt;"",'Project&amp;Support'!K7,"")</f>
        <v/>
      </c>
      <c r="E79" s="289" t="str">
        <f>IF('Project&amp;Support'!L7&lt;&gt;"",'Project&amp;Support'!L7,"")</f>
        <v/>
      </c>
      <c r="F79" s="289" t="str">
        <f>IF('Project&amp;Support'!M7&lt;&gt;"",'Project&amp;Support'!M7,"")</f>
        <v/>
      </c>
      <c r="G79" s="289" t="str">
        <f>IF('Project&amp;Support'!N7&lt;&gt;"",'Project&amp;Support'!N7,"")</f>
        <v/>
      </c>
      <c r="H79" s="289" t="str">
        <f>IF('Project&amp;Support'!O7&lt;&gt;"",'Project&amp;Support'!O7,"")</f>
        <v/>
      </c>
      <c r="I79" s="289" t="str">
        <f>IF('Project&amp;Support'!P7&lt;&gt;"",'Project&amp;Support'!P7,"")</f>
        <v/>
      </c>
      <c r="J79" s="289" t="str">
        <f>IF('Project&amp;Support'!Q7&lt;&gt;"",'Project&amp;Support'!Q7,"")</f>
        <v/>
      </c>
      <c r="K79" s="289" t="str">
        <f>IF('Project&amp;Support'!R7&lt;&gt;"",'Project&amp;Support'!R7,"")</f>
        <v/>
      </c>
      <c r="L79" s="289" t="str">
        <f>IF('Project&amp;Support'!S7&lt;&gt;"",'Project&amp;Support'!S7,"")</f>
        <v/>
      </c>
      <c r="M79" s="289" t="str">
        <f>IF('Project&amp;Support'!T7&lt;&gt;"",'Project&amp;Support'!T7,"")</f>
        <v/>
      </c>
      <c r="N79" s="289" t="str">
        <f>IF('Project&amp;Support'!U7&lt;&gt;"",'Project&amp;Support'!U7,"")</f>
        <v/>
      </c>
      <c r="O79" s="289" t="str">
        <f>IF('Project&amp;Support'!V7&lt;&gt;"",'Project&amp;Support'!V7,"")</f>
        <v/>
      </c>
      <c r="P79" s="289" t="str">
        <f>IF('Project&amp;Support'!W7&lt;&gt;"",'Project&amp;Support'!W7,"")</f>
        <v/>
      </c>
      <c r="Q79" s="289" t="str">
        <f>IF('Project&amp;Support'!X7&lt;&gt;"",'Project&amp;Support'!X7,"")</f>
        <v/>
      </c>
      <c r="R79" s="289" t="str">
        <f>IF('Project&amp;Support'!Y7&lt;&gt;"",'Project&amp;Support'!Y7,"")</f>
        <v/>
      </c>
      <c r="S79" s="289" t="str">
        <f>IF('Project&amp;Support'!Z7&lt;&gt;"",'Project&amp;Support'!Z7,"")</f>
        <v/>
      </c>
      <c r="T79" s="289" t="str">
        <f>IF('Project&amp;Support'!AA7&lt;&gt;"",'Project&amp;Support'!AA7,"")</f>
        <v/>
      </c>
      <c r="U79" s="287"/>
    </row>
    <row r="80" spans="1:21" s="288" customFormat="1" hidden="1">
      <c r="A80" s="175"/>
      <c r="B80" s="176" t="str">
        <f>'Project&amp;Support'!B7</f>
        <v>p5ProjectNameE</v>
      </c>
      <c r="C80" s="289" t="str">
        <f>IF('Project&amp;Support'!J8&lt;&gt;"",'Project&amp;Support'!J8,"")</f>
        <v/>
      </c>
      <c r="D80" s="289" t="str">
        <f>IF('Project&amp;Support'!K8&lt;&gt;"",'Project&amp;Support'!K8,"")</f>
        <v/>
      </c>
      <c r="E80" s="289" t="str">
        <f>IF('Project&amp;Support'!L8&lt;&gt;"",'Project&amp;Support'!L8,"")</f>
        <v/>
      </c>
      <c r="F80" s="289" t="str">
        <f>IF('Project&amp;Support'!M8&lt;&gt;"",'Project&amp;Support'!M8,"")</f>
        <v/>
      </c>
      <c r="G80" s="289" t="str">
        <f>IF('Project&amp;Support'!N8&lt;&gt;"",'Project&amp;Support'!N8,"")</f>
        <v/>
      </c>
      <c r="H80" s="289" t="str">
        <f>IF('Project&amp;Support'!O8&lt;&gt;"",'Project&amp;Support'!O8,"")</f>
        <v/>
      </c>
      <c r="I80" s="289" t="str">
        <f>IF('Project&amp;Support'!P8&lt;&gt;"",'Project&amp;Support'!P8,"")</f>
        <v/>
      </c>
      <c r="J80" s="289" t="str">
        <f>IF('Project&amp;Support'!Q8&lt;&gt;"",'Project&amp;Support'!Q8,"")</f>
        <v/>
      </c>
      <c r="K80" s="289" t="str">
        <f>IF('Project&amp;Support'!R8&lt;&gt;"",'Project&amp;Support'!R8,"")</f>
        <v/>
      </c>
      <c r="L80" s="289" t="str">
        <f>IF('Project&amp;Support'!S8&lt;&gt;"",'Project&amp;Support'!S8,"")</f>
        <v/>
      </c>
      <c r="M80" s="289" t="str">
        <f>IF('Project&amp;Support'!T8&lt;&gt;"",'Project&amp;Support'!T8,"")</f>
        <v/>
      </c>
      <c r="N80" s="289" t="str">
        <f>IF('Project&amp;Support'!U8&lt;&gt;"",'Project&amp;Support'!U8,"")</f>
        <v/>
      </c>
      <c r="O80" s="289" t="str">
        <f>IF('Project&amp;Support'!V8&lt;&gt;"",'Project&amp;Support'!V8,"")</f>
        <v/>
      </c>
      <c r="P80" s="289" t="str">
        <f>IF('Project&amp;Support'!W8&lt;&gt;"",'Project&amp;Support'!W8,"")</f>
        <v/>
      </c>
      <c r="Q80" s="289" t="str">
        <f>IF('Project&amp;Support'!X8&lt;&gt;"",'Project&amp;Support'!X8,"")</f>
        <v/>
      </c>
      <c r="R80" s="289" t="str">
        <f>IF('Project&amp;Support'!Y8&lt;&gt;"",'Project&amp;Support'!Y8,"")</f>
        <v/>
      </c>
      <c r="S80" s="289" t="str">
        <f>IF('Project&amp;Support'!Z8&lt;&gt;"",'Project&amp;Support'!Z8,"")</f>
        <v/>
      </c>
      <c r="T80" s="289" t="str">
        <f>IF('Project&amp;Support'!AA8&lt;&gt;"",'Project&amp;Support'!AA8,"")</f>
        <v/>
      </c>
      <c r="U80" s="287"/>
    </row>
    <row r="81" spans="1:21" s="288" customFormat="1" hidden="1">
      <c r="A81" s="175"/>
      <c r="B81" s="176" t="str">
        <f>'Project&amp;Support'!B8</f>
        <v>p6ProjectNameF</v>
      </c>
      <c r="C81" s="287"/>
      <c r="D81" s="287"/>
      <c r="E81" s="287"/>
      <c r="F81" s="287"/>
      <c r="G81" s="287"/>
      <c r="H81" s="287"/>
      <c r="I81" s="287"/>
      <c r="J81" s="287"/>
      <c r="K81" s="287"/>
      <c r="L81" s="287"/>
      <c r="M81" s="287"/>
      <c r="N81" s="287"/>
      <c r="O81" s="287"/>
      <c r="P81" s="287"/>
      <c r="Q81" s="289" t="str">
        <f>IF('Project&amp;Support'!X9&lt;&gt;"",'Project&amp;Support'!X9,"")</f>
        <v/>
      </c>
      <c r="R81" s="289" t="str">
        <f>IF('Project&amp;Support'!Y9&lt;&gt;"",'Project&amp;Support'!Y9,"")</f>
        <v>s</v>
      </c>
      <c r="S81" s="289" t="str">
        <f>IF('Project&amp;Support'!Z9&lt;&gt;"",'Project&amp;Support'!Z9,"")</f>
        <v/>
      </c>
      <c r="T81" s="289" t="str">
        <f>IF('Project&amp;Support'!AA9&lt;&gt;"",'Project&amp;Support'!AA9,"")</f>
        <v/>
      </c>
      <c r="U81" s="287"/>
    </row>
    <row r="82" spans="1:21" s="288" customFormat="1" hidden="1">
      <c r="A82" s="175"/>
      <c r="B82" s="176" t="str">
        <f>'Project&amp;Support'!B9</f>
        <v>s1CM</v>
      </c>
      <c r="C82" s="287"/>
      <c r="D82" s="287"/>
      <c r="E82" s="287"/>
      <c r="F82" s="287"/>
      <c r="G82" s="287"/>
      <c r="H82" s="287"/>
      <c r="I82" s="287"/>
      <c r="J82" s="287"/>
      <c r="K82" s="287"/>
      <c r="L82" s="287"/>
      <c r="M82" s="287"/>
      <c r="N82" s="287"/>
      <c r="O82" s="287"/>
      <c r="P82" s="287"/>
      <c r="Q82" s="289" t="str">
        <f>IF('Project&amp;Support'!X10&lt;&gt;"",'Project&amp;Support'!X10,"")</f>
        <v>s</v>
      </c>
      <c r="R82" s="289" t="str">
        <f>IF('Project&amp;Support'!Y10&lt;&gt;"",'Project&amp;Support'!Y10,"")</f>
        <v/>
      </c>
      <c r="S82" s="289" t="str">
        <f>IF('Project&amp;Support'!Z10&lt;&gt;"",'Project&amp;Support'!Z10,"")</f>
        <v>s</v>
      </c>
      <c r="T82" s="289" t="str">
        <f>IF('Project&amp;Support'!AA10&lt;&gt;"",'Project&amp;Support'!AA10,"")</f>
        <v/>
      </c>
      <c r="U82" s="287"/>
    </row>
    <row r="83" spans="1:21" s="288" customFormat="1" hidden="1">
      <c r="A83" s="175"/>
      <c r="B83" s="176" t="str">
        <f>'Project&amp;Support'!B10</f>
        <v>s2EPG/MA</v>
      </c>
      <c r="C83" s="287"/>
      <c r="D83" s="287"/>
      <c r="E83" s="287"/>
      <c r="F83" s="287"/>
      <c r="G83" s="287"/>
      <c r="H83" s="287"/>
      <c r="I83" s="287"/>
      <c r="J83" s="287"/>
      <c r="K83" s="287"/>
      <c r="L83" s="287"/>
      <c r="M83" s="287"/>
      <c r="N83" s="287"/>
      <c r="O83" s="287"/>
      <c r="P83" s="287"/>
      <c r="Q83" s="289" t="str">
        <f>IF('Project&amp;Support'!X11&lt;&gt;"",'Project&amp;Support'!X11,"")</f>
        <v/>
      </c>
      <c r="R83" s="289" t="str">
        <f>IF('Project&amp;Support'!Y11&lt;&gt;"",'Project&amp;Support'!Y11,"")</f>
        <v/>
      </c>
      <c r="S83" s="289" t="str">
        <f>IF('Project&amp;Support'!Z11&lt;&gt;"",'Project&amp;Support'!Z11,"")</f>
        <v/>
      </c>
      <c r="T83" s="289" t="str">
        <f>IF('Project&amp;Support'!AA11&lt;&gt;"",'Project&amp;Support'!AA11,"")</f>
        <v/>
      </c>
      <c r="U83" s="287"/>
    </row>
    <row r="84" spans="1:21" s="288" customFormat="1" hidden="1">
      <c r="A84" s="175"/>
      <c r="B84" s="176" t="str">
        <f>'Project&amp;Support'!B11</f>
        <v>s3HR</v>
      </c>
      <c r="C84" s="287"/>
      <c r="D84" s="287"/>
      <c r="E84" s="287"/>
      <c r="F84" s="287"/>
      <c r="G84" s="287"/>
      <c r="H84" s="287"/>
      <c r="I84" s="287"/>
      <c r="J84" s="287"/>
      <c r="K84" s="287"/>
      <c r="L84" s="287"/>
      <c r="M84" s="287"/>
      <c r="N84" s="287"/>
      <c r="O84" s="287"/>
      <c r="P84" s="287"/>
      <c r="Q84" s="289" t="str">
        <f>IF('Project&amp;Support'!X12&lt;&gt;"",'Project&amp;Support'!X12,"")</f>
        <v/>
      </c>
      <c r="R84" s="289" t="str">
        <f>IF('Project&amp;Support'!Y12&lt;&gt;"",'Project&amp;Support'!Y12,"")</f>
        <v/>
      </c>
      <c r="S84" s="289" t="str">
        <f>IF('Project&amp;Support'!Z12&lt;&gt;"",'Project&amp;Support'!Z12,"")</f>
        <v/>
      </c>
      <c r="T84" s="289" t="str">
        <f>IF('Project&amp;Support'!AA12&lt;&gt;"",'Project&amp;Support'!AA12,"")</f>
        <v/>
      </c>
      <c r="U84" s="287"/>
    </row>
    <row r="85" spans="1:21" s="288" customFormat="1" hidden="1">
      <c r="A85" s="175"/>
      <c r="B85" s="176" t="str">
        <f>'Project&amp;Support'!B12</f>
        <v>s4PPQA</v>
      </c>
      <c r="C85" s="287"/>
      <c r="D85" s="287"/>
      <c r="E85" s="287"/>
      <c r="F85" s="287"/>
      <c r="G85" s="287"/>
      <c r="H85" s="287"/>
      <c r="I85" s="287"/>
      <c r="J85" s="287"/>
      <c r="K85" s="287"/>
      <c r="L85" s="287"/>
      <c r="M85" s="287"/>
      <c r="N85" s="287"/>
      <c r="O85" s="287"/>
      <c r="P85" s="287"/>
      <c r="Q85" s="289" t="str">
        <f>IF('Project&amp;Support'!X13&lt;&gt;"",'Project&amp;Support'!X13,"")</f>
        <v/>
      </c>
      <c r="R85" s="289" t="str">
        <f>IF('Project&amp;Support'!Y13&lt;&gt;"",'Project&amp;Support'!Y13,"")</f>
        <v/>
      </c>
      <c r="S85" s="289" t="str">
        <f>IF('Project&amp;Support'!Z13&lt;&gt;"",'Project&amp;Support'!Z13,"")</f>
        <v/>
      </c>
      <c r="T85" s="289" t="str">
        <f>IF('Project&amp;Support'!AA13&lt;&gt;"",'Project&amp;Support'!AA13,"")</f>
        <v/>
      </c>
      <c r="U85" s="287"/>
    </row>
    <row r="86" spans="1:21" s="288" customFormat="1" hidden="1">
      <c r="A86" s="175"/>
      <c r="B86" s="176" t="str">
        <f>'Project&amp;Support'!B13</f>
        <v>o1Organisation</v>
      </c>
      <c r="C86" s="287"/>
      <c r="D86" s="287"/>
      <c r="E86" s="287"/>
      <c r="F86" s="287"/>
      <c r="G86" s="287"/>
      <c r="H86" s="287"/>
      <c r="I86" s="287"/>
      <c r="J86" s="287"/>
      <c r="K86" s="287"/>
      <c r="L86" s="287"/>
      <c r="M86" s="287"/>
      <c r="N86" s="287"/>
      <c r="O86" s="287"/>
      <c r="P86" s="287"/>
      <c r="Q86" s="289" t="str">
        <f>IF('Project&amp;Support'!X14&lt;&gt;"",'Project&amp;Support'!X14,"")</f>
        <v/>
      </c>
      <c r="R86" s="289" t="str">
        <f>IF('Project&amp;Support'!Y14&lt;&gt;"",'Project&amp;Support'!Y14,"")</f>
        <v/>
      </c>
      <c r="S86" s="289" t="str">
        <f>IF('Project&amp;Support'!Z14&lt;&gt;"",'Project&amp;Support'!Z14,"")</f>
        <v/>
      </c>
      <c r="T86" s="289" t="str">
        <f>IF('Project&amp;Support'!AA14&lt;&gt;"",'Project&amp;Support'!AA14,"")</f>
        <v/>
      </c>
      <c r="U86" s="287"/>
    </row>
    <row r="87" spans="1:21" s="288" customFormat="1" hidden="1">
      <c r="A87" s="175"/>
      <c r="B87" s="175"/>
      <c r="C87" s="287"/>
      <c r="D87" s="287"/>
      <c r="E87" s="287"/>
      <c r="F87" s="287"/>
      <c r="G87" s="287"/>
      <c r="H87" s="287"/>
      <c r="I87" s="287"/>
      <c r="J87" s="287"/>
      <c r="K87" s="287"/>
      <c r="L87" s="287"/>
      <c r="M87" s="287"/>
      <c r="N87" s="287"/>
      <c r="O87" s="287"/>
      <c r="P87" s="287"/>
      <c r="Q87" s="289" t="str">
        <f>IF('Project&amp;Support'!X15&lt;&gt;"",'Project&amp;Support'!X15,"")</f>
        <v/>
      </c>
      <c r="R87" s="289" t="str">
        <f>IF('Project&amp;Support'!Y15&lt;&gt;"",'Project&amp;Support'!Y15,"")</f>
        <v/>
      </c>
      <c r="S87" s="289" t="str">
        <f>IF('Project&amp;Support'!Z15&lt;&gt;"",'Project&amp;Support'!Z15,"")</f>
        <v/>
      </c>
      <c r="T87" s="289" t="str">
        <f>IF('Project&amp;Support'!AA15&lt;&gt;"",'Project&amp;Support'!AA15,"")</f>
        <v/>
      </c>
      <c r="U87" s="287"/>
    </row>
    <row r="88" spans="1:21" s="288" customFormat="1">
      <c r="A88" s="175"/>
      <c r="B88" s="175"/>
      <c r="C88" s="287"/>
      <c r="D88" s="287"/>
      <c r="E88" s="287"/>
      <c r="F88" s="287"/>
      <c r="G88" s="287"/>
      <c r="H88" s="287"/>
      <c r="I88" s="287"/>
      <c r="J88" s="287"/>
      <c r="K88" s="287"/>
      <c r="L88" s="287"/>
      <c r="M88" s="287"/>
      <c r="N88" s="287"/>
      <c r="O88" s="287"/>
      <c r="P88" s="287"/>
      <c r="Q88" s="287"/>
      <c r="R88" s="287"/>
      <c r="S88" s="287"/>
      <c r="T88" s="287"/>
      <c r="U88" s="287"/>
    </row>
    <row r="89" spans="1:21" s="288" customFormat="1">
      <c r="A89" s="175"/>
      <c r="B89" s="231" t="str">
        <f>'Project&amp;Support'!A1</f>
        <v>Project information and sample</v>
      </c>
      <c r="C89" s="236" t="str">
        <f>'Project&amp;Support'!J2</f>
        <v>PI</v>
      </c>
      <c r="D89" s="236" t="str">
        <f>'Project&amp;Support'!K2</f>
        <v>TS</v>
      </c>
      <c r="E89" s="236" t="str">
        <f>'Project&amp;Support'!L2</f>
        <v>PQA</v>
      </c>
      <c r="F89" s="236" t="str">
        <f>'Project&amp;Support'!M2</f>
        <v>PR</v>
      </c>
      <c r="G89" s="236" t="str">
        <f>'Project&amp;Support'!N2</f>
        <v>RDM</v>
      </c>
      <c r="H89" s="236" t="str">
        <f>'Project&amp;Support'!O2</f>
        <v>VV</v>
      </c>
      <c r="I89" s="236" t="str">
        <f>'Project&amp;Support'!P2</f>
        <v>MPM</v>
      </c>
      <c r="J89" s="236" t="str">
        <f>'Project&amp;Support'!Q2</f>
        <v>PAD</v>
      </c>
      <c r="K89" s="236" t="str">
        <f>'Project&amp;Support'!R2</f>
        <v>PCM</v>
      </c>
      <c r="L89" s="236" t="str">
        <f>'Project&amp;Support'!S2</f>
        <v>RSK</v>
      </c>
      <c r="M89" s="236" t="str">
        <f>'Project&amp;Support'!T2</f>
        <v>OT</v>
      </c>
      <c r="N89" s="236" t="str">
        <f>'Project&amp;Support'!U2</f>
        <v>EST</v>
      </c>
      <c r="O89" s="236" t="str">
        <f>'Project&amp;Support'!V2</f>
        <v>MC</v>
      </c>
      <c r="P89" s="236" t="str">
        <f>'Project&amp;Support'!W2</f>
        <v>PLAN</v>
      </c>
      <c r="Q89" s="236" t="str">
        <f>'Project&amp;Support'!X2</f>
        <v>CAR</v>
      </c>
      <c r="R89" s="236" t="str">
        <f>'Project&amp;Support'!Y2</f>
        <v>CM</v>
      </c>
      <c r="S89" s="236" t="str">
        <f>'Project&amp;Support'!Z2</f>
        <v>DAR</v>
      </c>
      <c r="T89" s="236" t="str">
        <f>'Project&amp;Support'!AA2</f>
        <v>SAM</v>
      </c>
      <c r="U89" s="287"/>
    </row>
    <row r="90" spans="1:21" s="288" customFormat="1">
      <c r="A90" s="175"/>
      <c r="B90" s="176" t="str">
        <f>'Project&amp;Support'!B9</f>
        <v>s1CM</v>
      </c>
      <c r="C90" s="289" t="str">
        <f>IF('Project&amp;Support'!J9&lt;&gt;"",'Project&amp;Support'!J9,"")</f>
        <v/>
      </c>
      <c r="D90" s="289" t="str">
        <f>IF('Project&amp;Support'!K9&lt;&gt;"",'Project&amp;Support'!K9,"")</f>
        <v/>
      </c>
      <c r="E90" s="289" t="str">
        <f>IF('Project&amp;Support'!L9&lt;&gt;"",'Project&amp;Support'!L9,"")</f>
        <v/>
      </c>
      <c r="F90" s="289" t="str">
        <f>IF('Project&amp;Support'!M9&lt;&gt;"",'Project&amp;Support'!M9,"")</f>
        <v/>
      </c>
      <c r="G90" s="289" t="str">
        <f>IF('Project&amp;Support'!N9&lt;&gt;"",'Project&amp;Support'!N9,"")</f>
        <v/>
      </c>
      <c r="H90" s="289" t="str">
        <f>IF('Project&amp;Support'!O9&lt;&gt;"",'Project&amp;Support'!O9,"")</f>
        <v/>
      </c>
      <c r="I90" s="289" t="str">
        <f>IF('Project&amp;Support'!P9&lt;&gt;"",'Project&amp;Support'!P9,"")</f>
        <v/>
      </c>
      <c r="J90" s="289" t="str">
        <f>IF('Project&amp;Support'!Q9&lt;&gt;"",'Project&amp;Support'!Q9,"")</f>
        <v/>
      </c>
      <c r="K90" s="289" t="str">
        <f>IF('Project&amp;Support'!R9&lt;&gt;"",'Project&amp;Support'!R9,"")</f>
        <v/>
      </c>
      <c r="L90" s="289" t="str">
        <f>IF('Project&amp;Support'!S9&lt;&gt;"",'Project&amp;Support'!S9,"")</f>
        <v/>
      </c>
      <c r="M90" s="289" t="str">
        <f>IF('Project&amp;Support'!T9&lt;&gt;"",'Project&amp;Support'!T9,"")</f>
        <v/>
      </c>
      <c r="N90" s="289" t="str">
        <f>IF('Project&amp;Support'!U9&lt;&gt;"",'Project&amp;Support'!U9,"")</f>
        <v/>
      </c>
      <c r="O90" s="289" t="str">
        <f>IF('Project&amp;Support'!V9&lt;&gt;"",'Project&amp;Support'!V9,"")</f>
        <v/>
      </c>
      <c r="P90" s="289" t="str">
        <f>IF('Project&amp;Support'!W9&lt;&gt;"",'Project&amp;Support'!W9,"")</f>
        <v/>
      </c>
      <c r="Q90" s="289" t="str">
        <f>IF('Project&amp;Support'!X9&lt;&gt;"",'Project&amp;Support'!X9,"")</f>
        <v/>
      </c>
      <c r="R90" s="289" t="str">
        <f>IF('Project&amp;Support'!Y9&lt;&gt;"",'Project&amp;Support'!Y9,"")</f>
        <v>s</v>
      </c>
      <c r="S90" s="289" t="str">
        <f>IF('Project&amp;Support'!Z9&lt;&gt;"",'Project&amp;Support'!Z9,"")</f>
        <v/>
      </c>
      <c r="T90" s="289"/>
      <c r="U90" s="287"/>
    </row>
    <row r="91" spans="1:21" s="288" customFormat="1">
      <c r="A91" s="175"/>
      <c r="B91" s="176" t="str">
        <f>'Project&amp;Support'!B10</f>
        <v>s2EPG/MA</v>
      </c>
      <c r="C91" s="289" t="str">
        <f>IF('Project&amp;Support'!J10&lt;&gt;"",'Project&amp;Support'!J10,"")</f>
        <v/>
      </c>
      <c r="D91" s="289" t="str">
        <f>IF('Project&amp;Support'!K10&lt;&gt;"",'Project&amp;Support'!K10,"")</f>
        <v/>
      </c>
      <c r="E91" s="289" t="str">
        <f>IF('Project&amp;Support'!L10&lt;&gt;"",'Project&amp;Support'!L10,"")</f>
        <v/>
      </c>
      <c r="F91" s="289" t="str">
        <f>IF('Project&amp;Support'!M10&lt;&gt;"",'Project&amp;Support'!M10,"")</f>
        <v/>
      </c>
      <c r="G91" s="289" t="str">
        <f>IF('Project&amp;Support'!N10&lt;&gt;"",'Project&amp;Support'!N10,"")</f>
        <v/>
      </c>
      <c r="H91" s="289" t="str">
        <f>IF('Project&amp;Support'!O10&lt;&gt;"",'Project&amp;Support'!O10,"")</f>
        <v/>
      </c>
      <c r="I91" s="289" t="str">
        <f>IF('Project&amp;Support'!P10&lt;&gt;"",'Project&amp;Support'!P10,"")</f>
        <v>s</v>
      </c>
      <c r="J91" s="289" t="str">
        <f>IF('Project&amp;Support'!Q10&lt;&gt;"",'Project&amp;Support'!Q10,"")</f>
        <v>s</v>
      </c>
      <c r="K91" s="289" t="str">
        <f>IF('Project&amp;Support'!R10&lt;&gt;"",'Project&amp;Support'!R10,"")</f>
        <v>s</v>
      </c>
      <c r="L91" s="289" t="str">
        <f>IF('Project&amp;Support'!S10&lt;&gt;"",'Project&amp;Support'!S10,"")</f>
        <v/>
      </c>
      <c r="M91" s="289" t="str">
        <f>IF('Project&amp;Support'!T10&lt;&gt;"",'Project&amp;Support'!T10,"")</f>
        <v/>
      </c>
      <c r="N91" s="289" t="str">
        <f>IF('Project&amp;Support'!U10&lt;&gt;"",'Project&amp;Support'!U10,"")</f>
        <v/>
      </c>
      <c r="O91" s="289" t="str">
        <f>IF('Project&amp;Support'!V10&lt;&gt;"",'Project&amp;Support'!V10,"")</f>
        <v/>
      </c>
      <c r="P91" s="289" t="str">
        <f>IF('Project&amp;Support'!W10&lt;&gt;"",'Project&amp;Support'!W10,"")</f>
        <v/>
      </c>
      <c r="Q91" s="289" t="str">
        <f>IF('Project&amp;Support'!X10&lt;&gt;"",'Project&amp;Support'!X10,"")</f>
        <v>s</v>
      </c>
      <c r="R91" s="289" t="str">
        <f>IF('Project&amp;Support'!Y10&lt;&gt;"",'Project&amp;Support'!Y10,"")</f>
        <v/>
      </c>
      <c r="S91" s="289" t="str">
        <f>IF('Project&amp;Support'!Z10&lt;&gt;"",'Project&amp;Support'!Z10,"")</f>
        <v>s</v>
      </c>
      <c r="T91" s="289"/>
      <c r="U91" s="287"/>
    </row>
    <row r="92" spans="1:21" s="288" customFormat="1">
      <c r="A92" s="175"/>
      <c r="B92" s="176" t="str">
        <f>'Project&amp;Support'!B11</f>
        <v>s3HR</v>
      </c>
      <c r="C92" s="289" t="str">
        <f>IF('Project&amp;Support'!J11&lt;&gt;"",'Project&amp;Support'!J11,"")</f>
        <v/>
      </c>
      <c r="D92" s="289" t="str">
        <f>IF('Project&amp;Support'!K11&lt;&gt;"",'Project&amp;Support'!K11,"")</f>
        <v/>
      </c>
      <c r="E92" s="289" t="str">
        <f>IF('Project&amp;Support'!L11&lt;&gt;"",'Project&amp;Support'!L11,"")</f>
        <v/>
      </c>
      <c r="F92" s="289" t="str">
        <f>IF('Project&amp;Support'!M11&lt;&gt;"",'Project&amp;Support'!M11,"")</f>
        <v/>
      </c>
      <c r="G92" s="289" t="str">
        <f>IF('Project&amp;Support'!N11&lt;&gt;"",'Project&amp;Support'!N11,"")</f>
        <v/>
      </c>
      <c r="H92" s="289" t="str">
        <f>IF('Project&amp;Support'!O11&lt;&gt;"",'Project&amp;Support'!O11,"")</f>
        <v/>
      </c>
      <c r="I92" s="289" t="str">
        <f>IF('Project&amp;Support'!P11&lt;&gt;"",'Project&amp;Support'!P11,"")</f>
        <v/>
      </c>
      <c r="J92" s="289" t="str">
        <f>IF('Project&amp;Support'!Q11&lt;&gt;"",'Project&amp;Support'!Q11,"")</f>
        <v/>
      </c>
      <c r="K92" s="289" t="str">
        <f>IF('Project&amp;Support'!R11&lt;&gt;"",'Project&amp;Support'!R11,"")</f>
        <v/>
      </c>
      <c r="L92" s="289" t="str">
        <f>IF('Project&amp;Support'!S11&lt;&gt;"",'Project&amp;Support'!S11,"")</f>
        <v/>
      </c>
      <c r="M92" s="289" t="str">
        <f>IF('Project&amp;Support'!T11&lt;&gt;"",'Project&amp;Support'!T11,"")</f>
        <v>s</v>
      </c>
      <c r="N92" s="289" t="str">
        <f>IF('Project&amp;Support'!U11&lt;&gt;"",'Project&amp;Support'!U11,"")</f>
        <v/>
      </c>
      <c r="O92" s="289" t="str">
        <f>IF('Project&amp;Support'!V11&lt;&gt;"",'Project&amp;Support'!V11,"")</f>
        <v/>
      </c>
      <c r="P92" s="289" t="str">
        <f>IF('Project&amp;Support'!W11&lt;&gt;"",'Project&amp;Support'!W11,"")</f>
        <v/>
      </c>
      <c r="Q92" s="289" t="str">
        <f>IF('Project&amp;Support'!X11&lt;&gt;"",'Project&amp;Support'!X11,"")</f>
        <v/>
      </c>
      <c r="R92" s="289" t="str">
        <f>IF('Project&amp;Support'!Y11&lt;&gt;"",'Project&amp;Support'!Y11,"")</f>
        <v/>
      </c>
      <c r="S92" s="289" t="str">
        <f>IF('Project&amp;Support'!Z11&lt;&gt;"",'Project&amp;Support'!Z11,"")</f>
        <v/>
      </c>
      <c r="T92" s="289"/>
      <c r="U92" s="287"/>
    </row>
    <row r="93" spans="1:21" s="288" customFormat="1">
      <c r="A93" s="175"/>
      <c r="B93" s="176" t="str">
        <f>'Project&amp;Support'!B12</f>
        <v>s4PPQA</v>
      </c>
      <c r="C93" s="289" t="str">
        <f>IF('Project&amp;Support'!J12&lt;&gt;"",'Project&amp;Support'!J12,"")</f>
        <v/>
      </c>
      <c r="D93" s="289" t="str">
        <f>IF('Project&amp;Support'!K12&lt;&gt;"",'Project&amp;Support'!K12,"")</f>
        <v/>
      </c>
      <c r="E93" s="289" t="str">
        <f>IF('Project&amp;Support'!L12&lt;&gt;"",'Project&amp;Support'!L12,"")</f>
        <v>s</v>
      </c>
      <c r="F93" s="289" t="str">
        <f>IF('Project&amp;Support'!M12&lt;&gt;"",'Project&amp;Support'!M12,"")</f>
        <v/>
      </c>
      <c r="G93" s="289" t="str">
        <f>IF('Project&amp;Support'!N12&lt;&gt;"",'Project&amp;Support'!N12,"")</f>
        <v/>
      </c>
      <c r="H93" s="289" t="str">
        <f>IF('Project&amp;Support'!O12&lt;&gt;"",'Project&amp;Support'!O12,"")</f>
        <v/>
      </c>
      <c r="I93" s="289" t="str">
        <f>IF('Project&amp;Support'!P12&lt;&gt;"",'Project&amp;Support'!P12,"")</f>
        <v/>
      </c>
      <c r="J93" s="289" t="str">
        <f>IF('Project&amp;Support'!Q12&lt;&gt;"",'Project&amp;Support'!Q12,"")</f>
        <v/>
      </c>
      <c r="K93" s="289" t="str">
        <f>IF('Project&amp;Support'!R12&lt;&gt;"",'Project&amp;Support'!R12,"")</f>
        <v/>
      </c>
      <c r="L93" s="289" t="str">
        <f>IF('Project&amp;Support'!S12&lt;&gt;"",'Project&amp;Support'!S12,"")</f>
        <v/>
      </c>
      <c r="M93" s="289" t="str">
        <f>IF('Project&amp;Support'!T12&lt;&gt;"",'Project&amp;Support'!T12,"")</f>
        <v/>
      </c>
      <c r="N93" s="289" t="str">
        <f>IF('Project&amp;Support'!U12&lt;&gt;"",'Project&amp;Support'!U12,"")</f>
        <v/>
      </c>
      <c r="O93" s="289" t="str">
        <f>IF('Project&amp;Support'!V12&lt;&gt;"",'Project&amp;Support'!V12,"")</f>
        <v/>
      </c>
      <c r="P93" s="289" t="str">
        <f>IF('Project&amp;Support'!W12&lt;&gt;"",'Project&amp;Support'!W12,"")</f>
        <v/>
      </c>
      <c r="Q93" s="289" t="str">
        <f>IF('Project&amp;Support'!X12&lt;&gt;"",'Project&amp;Support'!X12,"")</f>
        <v/>
      </c>
      <c r="R93" s="289" t="str">
        <f>IF('Project&amp;Support'!Y12&lt;&gt;"",'Project&amp;Support'!Y12,"")</f>
        <v/>
      </c>
      <c r="S93" s="289" t="str">
        <f>IF('Project&amp;Support'!Z12&lt;&gt;"",'Project&amp;Support'!Z12,"")</f>
        <v/>
      </c>
      <c r="T93" s="289"/>
      <c r="U93" s="287"/>
    </row>
    <row r="94" spans="1:21" hidden="1">
      <c r="B94" s="176" t="str">
        <f>'Project&amp;Support'!B13</f>
        <v>o1Organisation</v>
      </c>
      <c r="C94" s="289" t="str">
        <f>IF('Project&amp;Support'!J13&lt;&gt;"",'Project&amp;Support'!J13,"")</f>
        <v/>
      </c>
      <c r="D94" s="286" t="e">
        <f>#REF!</f>
        <v>#REF!</v>
      </c>
      <c r="E94" s="286" t="e">
        <f>#REF!</f>
        <v>#REF!</v>
      </c>
      <c r="F94" s="286" t="e">
        <f>#REF!</f>
        <v>#REF!</v>
      </c>
      <c r="G94" s="286" t="e">
        <f>#REF!</f>
        <v>#REF!</v>
      </c>
      <c r="H94" s="286" t="e">
        <f>#REF!</f>
        <v>#REF!</v>
      </c>
      <c r="I94" s="286" t="e">
        <f>#REF!</f>
        <v>#REF!</v>
      </c>
      <c r="J94" s="286" t="e">
        <f>#REF!</f>
        <v>#REF!</v>
      </c>
      <c r="K94" s="286" t="e">
        <f>#REF!</f>
        <v>#REF!</v>
      </c>
      <c r="L94" s="286" t="e">
        <f>#REF!</f>
        <v>#REF!</v>
      </c>
      <c r="M94" s="286" t="e">
        <f>#REF!</f>
        <v>#REF!</v>
      </c>
      <c r="N94" s="286" t="e">
        <f>#REF!</f>
        <v>#REF!</v>
      </c>
      <c r="O94" s="286" t="e">
        <f>#REF!</f>
        <v>#REF!</v>
      </c>
      <c r="P94" s="286" t="e">
        <f>#REF!</f>
        <v>#REF!</v>
      </c>
      <c r="Q94" s="286" t="e">
        <f>#REF!</f>
        <v>#REF!</v>
      </c>
      <c r="R94" s="286" t="e">
        <f>#REF!</f>
        <v>#REF!</v>
      </c>
      <c r="S94" s="286" t="e">
        <f>#REF!</f>
        <v>#REF!</v>
      </c>
      <c r="T94" s="285"/>
    </row>
    <row r="95" spans="1:21">
      <c r="B95" s="284"/>
      <c r="C95" s="285"/>
      <c r="D95" s="285"/>
      <c r="E95" s="285"/>
      <c r="F95" s="285"/>
      <c r="G95" s="285"/>
      <c r="H95" s="285"/>
      <c r="I95" s="285"/>
      <c r="J95" s="285"/>
      <c r="K95" s="285"/>
      <c r="L95" s="285"/>
      <c r="M95" s="285"/>
      <c r="N95" s="285"/>
      <c r="O95" s="285"/>
      <c r="P95" s="285"/>
      <c r="Q95" s="285"/>
      <c r="R95" s="285"/>
      <c r="S95" s="285"/>
      <c r="T95" s="285"/>
    </row>
    <row r="96" spans="1:21">
      <c r="C96" s="289" t="s">
        <v>1302</v>
      </c>
      <c r="D96" s="273" t="s">
        <v>1379</v>
      </c>
      <c r="F96" s="289" t="s">
        <v>1326</v>
      </c>
      <c r="G96" s="168" t="s">
        <v>1380</v>
      </c>
    </row>
    <row r="97" spans="1:21">
      <c r="A97" s="175" t="s">
        <v>1128</v>
      </c>
      <c r="B97" s="175" t="str">
        <f>StartupInfo!B19</f>
        <v>R&amp;D Center</v>
      </c>
    </row>
    <row r="98" spans="1:21">
      <c r="A98" s="175" t="s">
        <v>1129</v>
      </c>
      <c r="B98" s="175" t="str">
        <f>B72</f>
        <v>All development projects</v>
      </c>
    </row>
    <row r="99" spans="1:21" ht="42">
      <c r="A99" s="175" t="s">
        <v>1130</v>
      </c>
      <c r="B99" s="175" t="str">
        <f>StartupInfo!B11</f>
        <v>Room 1, West Block, High-Tech Plaza, Some Street, Some District, Shenzhen, Guangdong, 200080, China</v>
      </c>
    </row>
    <row r="101" spans="1:21">
      <c r="B101" s="177" t="str">
        <f>B74</f>
        <v>Project information and sample</v>
      </c>
    </row>
    <row r="102" spans="1:21" s="171" customFormat="1" ht="42">
      <c r="A102" s="175"/>
      <c r="B102" s="178" t="str">
        <f>CONCATENATE('Project&amp;Support'!C3," [",'Project&amp;Support'!C4,"]",CHAR(13),CHAR(10))</f>
        <v xml:space="preserve">Project A description [Project B description]_x000D_
</v>
      </c>
      <c r="C102" s="168"/>
      <c r="D102" s="168"/>
      <c r="E102" s="168"/>
      <c r="F102" s="168"/>
      <c r="G102" s="168"/>
      <c r="H102" s="168"/>
      <c r="I102" s="168"/>
      <c r="J102" s="172"/>
      <c r="K102" s="170"/>
      <c r="L102" s="170"/>
      <c r="M102" s="170"/>
      <c r="N102" s="170"/>
      <c r="O102" s="170"/>
      <c r="P102" s="170"/>
      <c r="Q102" s="170"/>
      <c r="R102" s="170"/>
      <c r="S102" s="170"/>
      <c r="T102" s="170"/>
      <c r="U102" s="170"/>
    </row>
    <row r="103" spans="1:21" s="171" customFormat="1">
      <c r="A103" s="175"/>
      <c r="B103" s="179" t="e">
        <f>CONCATENATE('Project&amp;Support'!B4," [",'Project&amp;Support'!#REF!,"]",CHAR(13),CHAR(10))</f>
        <v>#REF!</v>
      </c>
      <c r="C103" s="168"/>
      <c r="D103" s="168"/>
      <c r="E103" s="168"/>
      <c r="F103" s="168"/>
      <c r="G103" s="168"/>
      <c r="H103" s="168"/>
      <c r="I103" s="168"/>
      <c r="J103" s="172"/>
      <c r="K103" s="170"/>
      <c r="L103" s="170"/>
      <c r="M103" s="170"/>
      <c r="N103" s="170"/>
      <c r="O103" s="170"/>
      <c r="P103" s="170"/>
      <c r="Q103" s="170"/>
      <c r="R103" s="170"/>
      <c r="S103" s="170"/>
      <c r="T103" s="170"/>
      <c r="U103" s="170"/>
    </row>
    <row r="104" spans="1:21">
      <c r="B104" s="179" t="e">
        <f>CONCATENATE('Project&amp;Support'!B5," [",'Project&amp;Support'!#REF!,"]",CHAR(13),CHAR(10))</f>
        <v>#REF!</v>
      </c>
    </row>
    <row r="105" spans="1:21">
      <c r="B105" s="179" t="e">
        <f>CONCATENATE('Project&amp;Support'!B6," [",'Project&amp;Support'!#REF!,"]",CHAR(13),CHAR(10))</f>
        <v>#REF!</v>
      </c>
    </row>
    <row r="106" spans="1:21">
      <c r="B106" s="179" t="e">
        <f>CONCATENATE('Project&amp;Support'!#REF!," [",'Project&amp;Support'!#REF!,"]",CHAR(13),CHAR(10))</f>
        <v>#REF!</v>
      </c>
    </row>
    <row r="107" spans="1:21">
      <c r="B107" s="179" t="e">
        <f>CONCATENATE('Project&amp;Support'!B7," [",'Project&amp;Support'!#REF!,"]",CHAR(13),CHAR(10))</f>
        <v>#REF!</v>
      </c>
    </row>
    <row r="108" spans="1:21" ht="42">
      <c r="B108" s="175" t="str">
        <f>CONCATENATE('Project&amp;Support'!B8," [",'Project&amp;Support'!C8,"]",CHAR(13),CHAR(10))</f>
        <v xml:space="preserve">p6ProjectNameF [Project G description]_x000D_
</v>
      </c>
    </row>
    <row r="109" spans="1:21" ht="63">
      <c r="B109" s="175" t="str">
        <f>CONCATENATE('Project&amp;Support'!B9," [",'Project&amp;Support'!C9,"]",CHAR(13),CHAR(10))</f>
        <v xml:space="preserve">s1CM [The Configuration Management (CM) function, manages baselines for projects and the organisation.]_x000D_
</v>
      </c>
    </row>
    <row r="112" spans="1:21" ht="84">
      <c r="B112" s="179" t="str">
        <f>CONCATENATE("Function:",$B$97,CHAR(13),CHAR(10),"Subgroup: ",$B$98,CHAR(13),CHAR(10),"Location:",$B$99)</f>
        <v>Function:R&amp;D Center_x000D_
Subgroup: All development projects_x000D_
Location:Room 1, West Block, High-Tech Plaza, Some Street, Some District, Shenzhen, Guangdong, 200080, China</v>
      </c>
    </row>
    <row r="115" spans="1:2">
      <c r="A115" s="175" t="s">
        <v>844</v>
      </c>
      <c r="B115" s="231" t="str">
        <f>'P1PA-R'!A3</f>
        <v>Final Findings</v>
      </c>
    </row>
    <row r="116" spans="1:2">
      <c r="B116" s="176" t="str">
        <f>'P1PA-R'!B4</f>
        <v>In a final findings presentation on the last on-site day.</v>
      </c>
    </row>
    <row r="118" spans="1:2" ht="42">
      <c r="B118" s="231" t="str">
        <f>'P1PA-R'!A8</f>
        <v>Sampled Project and OSF-level Practice Characterization Worksheets</v>
      </c>
    </row>
    <row r="119" spans="1:2" ht="42">
      <c r="B119" s="176" t="str">
        <f>'P1PA-R'!B9</f>
        <v>OSF-level Practice Characterization Worksheets and matrix included in the presentation of the final findings.</v>
      </c>
    </row>
    <row r="121" spans="1:2">
      <c r="B121" s="231" t="str">
        <f>'P1PA-R'!A13</f>
        <v>Sampled Project and OSF-level Ratings Worksheets</v>
      </c>
    </row>
    <row r="122" spans="1:2" ht="42">
      <c r="B122" s="176" t="str">
        <f>'P1PA-R'!B14</f>
        <v>OSF-level Ratings Worksheets and matrix included in the presentation of the final findings.</v>
      </c>
    </row>
    <row r="124" spans="1:2">
      <c r="B124" s="231" t="str">
        <f>'P1PA-R'!A23</f>
        <v>Performance Report Output</v>
      </c>
    </row>
    <row r="126" spans="1:2">
      <c r="B126" s="231" t="str">
        <f>'P1PA-R'!B59</f>
        <v>Follow up actions</v>
      </c>
    </row>
    <row r="127" spans="1:2">
      <c r="B127" s="176" t="str">
        <f>'P1PA-R'!B60</f>
        <v>Immediately follow-up actions after the final findings are presented.</v>
      </c>
    </row>
    <row r="131" spans="1:2">
      <c r="A131" s="175" t="s">
        <v>1131</v>
      </c>
      <c r="B131" s="173" t="str">
        <f>_xlfn.CONCAT('Agreement 3'!B28," (Sponsor)")</f>
        <v>SponseSurname, A (Sponsor)</v>
      </c>
    </row>
    <row r="132" spans="1:2">
      <c r="B132" s="173" t="str">
        <f>_xlfn.CONCAT('Agreement 3'!B7, " (ATL)")</f>
        <v>van Zyl, Pieter (ATL)</v>
      </c>
    </row>
    <row r="133" spans="1:2">
      <c r="B133" s="174">
        <f>Planning!B30</f>
        <v>44249</v>
      </c>
    </row>
  </sheetData>
  <mergeCells count="6">
    <mergeCell ref="B41:G41"/>
    <mergeCell ref="A20:B20"/>
    <mergeCell ref="A21:B21"/>
    <mergeCell ref="A22:B22"/>
    <mergeCell ref="A23:B23"/>
    <mergeCell ref="B40:G40"/>
  </mergeCells>
  <conditionalFormatting sqref="C44:F62">
    <cfRule type="cellIs" dxfId="100" priority="14" operator="equal">
      <formula>"x"</formula>
    </cfRule>
  </conditionalFormatting>
  <conditionalFormatting sqref="U74:U80">
    <cfRule type="cellIs" dxfId="99" priority="12" operator="equal">
      <formula>"x"</formula>
    </cfRule>
    <cfRule type="cellIs" dxfId="98" priority="13" operator="equal">
      <formula>0</formula>
    </cfRule>
  </conditionalFormatting>
  <conditionalFormatting sqref="C88:S88 C90:C94 D90:S93 F96 C96 C75:T87">
    <cfRule type="cellIs" dxfId="97" priority="8" operator="equal">
      <formula>"s"</formula>
    </cfRule>
    <cfRule type="cellIs" dxfId="96" priority="9" operator="equal">
      <formula>"a"</formula>
    </cfRule>
    <cfRule type="cellIs" dxfId="95" priority="11" operator="equal">
      <formula>0</formula>
    </cfRule>
  </conditionalFormatting>
  <conditionalFormatting sqref="G44:G62">
    <cfRule type="cellIs" dxfId="94" priority="7" operator="equal">
      <formula>"x"</formula>
    </cfRule>
  </conditionalFormatting>
  <conditionalFormatting sqref="T88 T90:T93">
    <cfRule type="cellIs" dxfId="93" priority="1" operator="equal">
      <formula>"s"</formula>
    </cfRule>
    <cfRule type="cellIs" dxfId="92" priority="2" operator="equal">
      <formula>"a"</formula>
    </cfRule>
    <cfRule type="cellIs" dxfId="91" priority="3" operator="equal">
      <formula>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2"/>
  <sheetViews>
    <sheetView topLeftCell="D18" workbookViewId="0">
      <selection activeCell="H32" sqref="H32:J37"/>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49">
        <v>44211</v>
      </c>
    </row>
    <row r="4" spans="2:19" s="273" customFormat="1" ht="30" customHeight="1">
      <c r="B4" s="272" t="s">
        <v>1211</v>
      </c>
      <c r="C4" s="272" t="str">
        <f>'Agreement 3'!B7</f>
        <v>van Zyl, Pieter</v>
      </c>
      <c r="D4" s="272"/>
      <c r="E4" s="349">
        <v>44211</v>
      </c>
    </row>
    <row r="5" spans="2:19" s="273" customFormat="1" ht="30" customHeight="1">
      <c r="B5" s="272" t="s">
        <v>1210</v>
      </c>
      <c r="C5" s="272" t="str">
        <f>'P1PA-SS'!B91</f>
        <v>ATM-1</v>
      </c>
      <c r="D5" s="272"/>
      <c r="E5" s="349">
        <v>44211</v>
      </c>
    </row>
    <row r="6" spans="2:19" s="273" customFormat="1" ht="30" customHeight="1">
      <c r="B6" s="272" t="s">
        <v>1210</v>
      </c>
      <c r="C6" s="272" t="str">
        <f>'P1PA-SS'!B92</f>
        <v>ATM-2</v>
      </c>
      <c r="D6" s="272"/>
      <c r="E6" s="349">
        <v>44211</v>
      </c>
    </row>
    <row r="7" spans="2:19" s="273" customFormat="1" ht="30" customHeight="1">
      <c r="B7" s="272" t="s">
        <v>1210</v>
      </c>
      <c r="C7" s="272" t="str">
        <f>'P1PA-SS'!B93</f>
        <v>ATM-3</v>
      </c>
      <c r="D7" s="272"/>
      <c r="E7" s="349">
        <v>44211</v>
      </c>
    </row>
    <row r="8" spans="2:19" s="273" customFormat="1" ht="30" customHeight="1">
      <c r="B8" s="272" t="s">
        <v>1210</v>
      </c>
      <c r="C8" s="272" t="str">
        <f>'P1PA-SS'!B94</f>
        <v>ATM-4</v>
      </c>
      <c r="D8" s="272"/>
      <c r="E8" s="349">
        <v>44211</v>
      </c>
    </row>
    <row r="9" spans="2:19" s="273" customFormat="1" ht="30" customHeight="1">
      <c r="B9" s="272" t="s">
        <v>1210</v>
      </c>
      <c r="C9" s="272" t="str">
        <f>'P1PA-SS'!B95</f>
        <v>ATM-5</v>
      </c>
      <c r="D9" s="272"/>
      <c r="E9" s="349">
        <v>44211</v>
      </c>
    </row>
    <row r="10" spans="2:19" s="273" customFormat="1" ht="30" customHeight="1">
      <c r="B10" s="272" t="s">
        <v>1210</v>
      </c>
      <c r="C10" s="272" t="str">
        <f>'P1PA-SS'!B96</f>
        <v>ATM-6</v>
      </c>
      <c r="D10" s="272"/>
      <c r="E10" s="349">
        <v>44211</v>
      </c>
    </row>
    <row r="11" spans="2:19" s="273" customFormat="1" ht="30" customHeight="1">
      <c r="B11" s="272" t="s">
        <v>1210</v>
      </c>
      <c r="C11" s="272" t="str">
        <f>'P1PA-SS'!B97</f>
        <v>ATM-7</v>
      </c>
      <c r="D11" s="272"/>
      <c r="E11" s="349">
        <v>44211</v>
      </c>
    </row>
    <row r="12" spans="2:19" s="273" customFormat="1" ht="30" customHeight="1">
      <c r="B12" s="272" t="s">
        <v>1210</v>
      </c>
      <c r="C12" s="272" t="str">
        <f>'P1PA-SS'!B98</f>
        <v>ATM-8</v>
      </c>
      <c r="D12" s="272"/>
      <c r="E12" s="349">
        <v>44212</v>
      </c>
    </row>
    <row r="13" spans="2:19" s="273" customFormat="1" ht="30" customHeight="1">
      <c r="B13" s="272" t="s">
        <v>1210</v>
      </c>
      <c r="C13" s="272" t="str">
        <f>'P1PA-SS'!B99</f>
        <v>ATM-9</v>
      </c>
      <c r="D13" s="272"/>
      <c r="E13" s="349">
        <v>44213</v>
      </c>
    </row>
    <row r="14" spans="2:19">
      <c r="K14" s="168"/>
      <c r="L14" s="168"/>
      <c r="M14" s="168"/>
      <c r="N14" s="168"/>
      <c r="O14" s="168"/>
      <c r="P14" s="168"/>
      <c r="Q14" s="168"/>
      <c r="R14" s="168"/>
      <c r="S14" s="168"/>
    </row>
    <row r="15" spans="2:19">
      <c r="K15" s="168"/>
      <c r="L15" s="168"/>
      <c r="M15" s="168"/>
      <c r="N15" s="168"/>
      <c r="O15" s="168"/>
      <c r="P15" s="168"/>
      <c r="Q15" s="168"/>
      <c r="R15" s="168"/>
      <c r="S15" s="168"/>
    </row>
    <row r="16" spans="2:19" ht="21" customHeight="1">
      <c r="H16" s="409" t="s">
        <v>1230</v>
      </c>
      <c r="I16" s="416"/>
      <c r="J16" s="416"/>
      <c r="K16" s="168"/>
      <c r="L16" s="168"/>
      <c r="M16" s="168"/>
      <c r="N16" s="168"/>
      <c r="O16" s="168"/>
      <c r="P16" s="168"/>
      <c r="Q16" s="168"/>
      <c r="R16" s="168"/>
      <c r="S16" s="168"/>
    </row>
    <row r="17" spans="8:10" ht="63">
      <c r="H17" s="233" t="s">
        <v>1216</v>
      </c>
      <c r="I17" s="233" t="s">
        <v>1382</v>
      </c>
      <c r="J17" s="233" t="s">
        <v>1383</v>
      </c>
    </row>
    <row r="18" spans="8:10" ht="42">
      <c r="H18" s="233" t="s">
        <v>1217</v>
      </c>
      <c r="I18" s="233" t="s">
        <v>1384</v>
      </c>
      <c r="J18" s="233" t="s">
        <v>1385</v>
      </c>
    </row>
    <row r="19" spans="8:10" ht="42">
      <c r="H19" s="233" t="s">
        <v>1218</v>
      </c>
      <c r="I19" s="233" t="s">
        <v>1386</v>
      </c>
      <c r="J19" s="233" t="s">
        <v>1387</v>
      </c>
    </row>
    <row r="20" spans="8:10" ht="21">
      <c r="H20" s="233" t="s">
        <v>1219</v>
      </c>
      <c r="I20" s="233" t="s">
        <v>1231</v>
      </c>
      <c r="J20" s="233" t="s">
        <v>1232</v>
      </c>
    </row>
    <row r="21" spans="8:10" ht="42">
      <c r="H21" s="233" t="s">
        <v>1220</v>
      </c>
      <c r="I21" s="233" t="s">
        <v>1388</v>
      </c>
      <c r="J21" s="233" t="s">
        <v>1389</v>
      </c>
    </row>
    <row r="22" spans="8:10" ht="21" hidden="1" customHeight="1">
      <c r="H22" s="233" t="s">
        <v>1221</v>
      </c>
      <c r="I22" s="233"/>
      <c r="J22" s="233"/>
    </row>
    <row r="23" spans="8:10" ht="21" hidden="1" customHeight="1">
      <c r="H23" s="233" t="s">
        <v>1222</v>
      </c>
      <c r="I23" s="233"/>
      <c r="J23" s="233"/>
    </row>
    <row r="24" spans="8:10" ht="21" hidden="1" customHeight="1">
      <c r="H24" s="233" t="s">
        <v>1223</v>
      </c>
      <c r="I24" s="233"/>
      <c r="J24" s="233"/>
    </row>
    <row r="25" spans="8:10" ht="21" hidden="1" customHeight="1">
      <c r="H25" s="233" t="s">
        <v>1224</v>
      </c>
      <c r="I25" s="233"/>
      <c r="J25" s="233"/>
    </row>
    <row r="26" spans="8:10" ht="21" hidden="1" customHeight="1">
      <c r="H26" s="233" t="s">
        <v>1225</v>
      </c>
      <c r="I26" s="233"/>
      <c r="J26" s="233"/>
    </row>
    <row r="27" spans="8:10" ht="21" hidden="1" customHeight="1">
      <c r="H27" s="233" t="s">
        <v>1226</v>
      </c>
      <c r="I27" s="233"/>
      <c r="J27" s="233"/>
    </row>
    <row r="28" spans="8:10" ht="21" hidden="1" customHeight="1">
      <c r="H28" s="233" t="s">
        <v>1227</v>
      </c>
      <c r="I28" s="233"/>
      <c r="J28" s="233"/>
    </row>
    <row r="29" spans="8:10" ht="21" hidden="1" customHeight="1">
      <c r="H29" s="233" t="s">
        <v>1228</v>
      </c>
      <c r="I29" s="233"/>
      <c r="J29" s="233"/>
    </row>
    <row r="30" spans="8:10" ht="21" hidden="1" customHeight="1">
      <c r="H30" s="233"/>
      <c r="I30" s="233"/>
      <c r="J30" s="233"/>
    </row>
    <row r="31" spans="8:10" ht="15.5">
      <c r="H31" s="250"/>
      <c r="I31" s="251"/>
      <c r="J31" s="252"/>
    </row>
    <row r="32" spans="8:10" ht="21" customHeight="1">
      <c r="H32" s="409" t="s">
        <v>1229</v>
      </c>
      <c r="I32" s="416"/>
      <c r="J32" s="416"/>
    </row>
    <row r="33" spans="8:10" ht="42">
      <c r="H33" s="233" t="s">
        <v>1216</v>
      </c>
      <c r="I33" s="233" t="s">
        <v>1390</v>
      </c>
      <c r="J33" s="233" t="s">
        <v>1391</v>
      </c>
    </row>
    <row r="34" spans="8:10" ht="84">
      <c r="H34" s="233" t="s">
        <v>1217</v>
      </c>
      <c r="I34" s="233" t="s">
        <v>1392</v>
      </c>
      <c r="J34" s="233" t="s">
        <v>1393</v>
      </c>
    </row>
    <row r="35" spans="8:10" ht="84">
      <c r="H35" s="233" t="s">
        <v>1218</v>
      </c>
      <c r="I35" s="233" t="s">
        <v>1394</v>
      </c>
      <c r="J35" s="233" t="s">
        <v>1395</v>
      </c>
    </row>
    <row r="36" spans="8:10" ht="63">
      <c r="H36" s="233" t="s">
        <v>1219</v>
      </c>
      <c r="I36" s="233" t="s">
        <v>1396</v>
      </c>
      <c r="J36" s="233" t="s">
        <v>1397</v>
      </c>
    </row>
    <row r="37" spans="8:10" ht="84">
      <c r="H37" s="233" t="s">
        <v>1220</v>
      </c>
      <c r="I37" s="233" t="s">
        <v>1398</v>
      </c>
      <c r="J37" s="233" t="s">
        <v>1399</v>
      </c>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21" hidden="1">
      <c r="H45" s="233"/>
      <c r="I45" s="233"/>
      <c r="J45" s="233"/>
    </row>
    <row r="46" spans="8:10" ht="21" hidden="1">
      <c r="H46" s="233"/>
      <c r="I46" s="233"/>
      <c r="J46" s="233"/>
    </row>
    <row r="47" spans="8:10" ht="15.5">
      <c r="H47" s="248"/>
      <c r="I47" s="248"/>
      <c r="J47" s="249"/>
    </row>
    <row r="51" spans="2:4" ht="21">
      <c r="B51" s="231" t="s">
        <v>19</v>
      </c>
      <c r="C51" s="231" t="s">
        <v>963</v>
      </c>
      <c r="D51" s="231" t="s">
        <v>1239</v>
      </c>
    </row>
    <row r="52" spans="2:4" ht="21">
      <c r="B52" s="233" t="str">
        <f>'Agreement 3'!B28</f>
        <v>SponseSurname, A</v>
      </c>
      <c r="C52" s="233" t="s">
        <v>599</v>
      </c>
      <c r="D52" s="233" t="str">
        <f>'Agreement 3'!B16</f>
        <v>Company Full Name Ltd.</v>
      </c>
    </row>
    <row r="53" spans="2:4" ht="21">
      <c r="B53" s="233" t="str">
        <f>'P1PA-SS'!B86</f>
        <v>SiteCoordinator, A</v>
      </c>
      <c r="C53" s="233" t="str">
        <f>'P1PA-SS'!A86</f>
        <v>OU Coordinator</v>
      </c>
      <c r="D53" s="233" t="str">
        <f>'P1PA-SS'!D86</f>
        <v>Company Full Name Ltd.</v>
      </c>
    </row>
    <row r="54" spans="2:4" ht="21" hidden="1">
      <c r="B54" s="233"/>
      <c r="C54" s="233"/>
      <c r="D54" s="233"/>
    </row>
    <row r="55" spans="2:4" ht="21" hidden="1">
      <c r="B55" s="233"/>
      <c r="C55" s="233"/>
      <c r="D55" s="233"/>
    </row>
    <row r="56" spans="2:4" ht="21" hidden="1">
      <c r="B56" s="233"/>
      <c r="C56" s="233"/>
      <c r="D56" s="233"/>
    </row>
    <row r="58" spans="2:4" ht="21">
      <c r="B58" s="231" t="s">
        <v>19</v>
      </c>
      <c r="C58" s="231" t="s">
        <v>963</v>
      </c>
      <c r="D58" s="231" t="s">
        <v>1239</v>
      </c>
    </row>
    <row r="59" spans="2:4" ht="21">
      <c r="B59" s="233" t="str">
        <f>C4</f>
        <v>van Zyl, Pieter</v>
      </c>
      <c r="C59" s="233" t="str">
        <f>B4</f>
        <v>Appraisal team leader</v>
      </c>
      <c r="D59" s="233" t="str">
        <f>'Agreement 3'!B8</f>
        <v>Demix (Pty) Ltd</v>
      </c>
    </row>
    <row r="60" spans="2:4" ht="21">
      <c r="B60" s="233" t="str">
        <f>'P1PA-SS'!B87</f>
        <v>TranslatorSurname, A</v>
      </c>
      <c r="C60" s="233" t="str">
        <f>'P1PA-SS'!A87</f>
        <v>Registered Interpreter</v>
      </c>
      <c r="D60" s="233" t="str">
        <f>'P1PA-SS'!D87</f>
        <v>tbd</v>
      </c>
    </row>
    <row r="61" spans="2:4" ht="21">
      <c r="B61" s="233" t="str">
        <f>'P1PA-SS'!B91</f>
        <v>ATM-1</v>
      </c>
      <c r="C61" s="233" t="str">
        <f>'P1PA-SS'!A91</f>
        <v>Appraisal team member</v>
      </c>
      <c r="D61" s="233" t="str">
        <f>'P1PA-SS'!D91</f>
        <v>Demix (Pty) Ltd</v>
      </c>
    </row>
    <row r="62" spans="2:4" ht="21">
      <c r="B62" s="233" t="str">
        <f>'P1PA-SS'!B92</f>
        <v>ATM-2</v>
      </c>
      <c r="C62" s="233" t="str">
        <f>'P1PA-SS'!A92</f>
        <v>Appraisal team member</v>
      </c>
      <c r="D62" s="233" t="str">
        <f>'P1PA-SS'!D92</f>
        <v>Demix (Pty) Ltd</v>
      </c>
    </row>
    <row r="63" spans="2:4" ht="21">
      <c r="B63" s="233" t="str">
        <f>'P1PA-SS'!B93</f>
        <v>ATM-3</v>
      </c>
      <c r="C63" s="233" t="str">
        <f>'P1PA-SS'!A93</f>
        <v>Appraisal team member</v>
      </c>
      <c r="D63" s="233" t="str">
        <f>'P1PA-SS'!D93</f>
        <v>Demix (Pty) Ltd</v>
      </c>
    </row>
    <row r="64" spans="2:4" ht="21">
      <c r="B64" s="233" t="str">
        <f>'P1PA-SS'!B94</f>
        <v>ATM-4</v>
      </c>
      <c r="C64" s="233" t="str">
        <f>'P1PA-SS'!A94</f>
        <v>Appraisal team member</v>
      </c>
      <c r="D64" s="233" t="str">
        <f>'P1PA-SS'!D94</f>
        <v>Demix (Pty) Ltd</v>
      </c>
    </row>
    <row r="65" spans="2:4" ht="21">
      <c r="B65" s="233" t="str">
        <f>'P1PA-SS'!B95</f>
        <v>ATM-5</v>
      </c>
      <c r="C65" s="233" t="str">
        <f>'P1PA-SS'!A95</f>
        <v>Appraisal team member</v>
      </c>
      <c r="D65" s="233" t="str">
        <f>'P1PA-SS'!D95</f>
        <v>Demix (Pty) Ltd</v>
      </c>
    </row>
    <row r="66" spans="2:4" ht="21">
      <c r="B66" s="233" t="str">
        <f>'P1PA-SS'!B96</f>
        <v>ATM-6</v>
      </c>
      <c r="C66" s="233" t="str">
        <f>'P1PA-SS'!A96</f>
        <v>Appraisal team member</v>
      </c>
      <c r="D66" s="233" t="str">
        <f>'P1PA-SS'!D96</f>
        <v>Demix (Pty) Ltd</v>
      </c>
    </row>
    <row r="67" spans="2:4" ht="21">
      <c r="B67" s="233" t="str">
        <f>'P1PA-SS'!B97</f>
        <v>ATM-7</v>
      </c>
      <c r="C67" s="233" t="str">
        <f>'P1PA-SS'!A97</f>
        <v>Appraisal team member</v>
      </c>
      <c r="D67" s="233" t="str">
        <f>'P1PA-SS'!D97</f>
        <v>Demix (Pty) Ltd</v>
      </c>
    </row>
    <row r="68" spans="2:4" ht="21">
      <c r="B68" s="233" t="str">
        <f>'P1PA-SS'!B98</f>
        <v>ATM-8</v>
      </c>
      <c r="C68" s="233" t="str">
        <f>'P1PA-SS'!A98</f>
        <v>Appraisal team member</v>
      </c>
      <c r="D68" s="233" t="str">
        <f>'P1PA-SS'!D98</f>
        <v>Demix (Pty) Ltd</v>
      </c>
    </row>
    <row r="69" spans="2:4" ht="21">
      <c r="B69" s="233" t="str">
        <f>'P1PA-SS'!B99</f>
        <v>ATM-9</v>
      </c>
      <c r="C69" s="233" t="str">
        <f>'P1PA-SS'!A99</f>
        <v>Appraisal team member</v>
      </c>
      <c r="D69" s="233" t="str">
        <f>'P1PA-SS'!D99</f>
        <v>Demix (Pty) Ltd</v>
      </c>
    </row>
    <row r="109" spans="8:10" s="171" customFormat="1">
      <c r="H109" s="9"/>
      <c r="I109" s="9"/>
      <c r="J109" s="9"/>
    </row>
    <row r="110" spans="8:10" s="171" customFormat="1">
      <c r="H110" s="9"/>
      <c r="I110" s="9"/>
      <c r="J110" s="9"/>
    </row>
    <row r="121" spans="8:10">
      <c r="H121" s="171"/>
      <c r="I121" s="171"/>
      <c r="J121" s="171"/>
    </row>
    <row r="122" spans="8:10">
      <c r="H122" s="171"/>
      <c r="I122" s="171"/>
      <c r="J122" s="171"/>
    </row>
  </sheetData>
  <mergeCells count="2">
    <mergeCell ref="H16:J16"/>
    <mergeCell ref="H32:J3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7"/>
  <sheetViews>
    <sheetView workbookViewId="0">
      <selection activeCell="A9" sqref="A9:E15"/>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8" t="str">
        <f>_xlfn.CONCAT('P1PA-SS'!B138,"(",'P1PA-SS'!B139,")")</f>
        <v>All projects(AP)</v>
      </c>
      <c r="B2" s="264" t="str">
        <f>'Project&amp;Support'!B3</f>
        <v>p1ProjectNameA</v>
      </c>
      <c r="C2" s="265">
        <f>'Project&amp;Support'!AB3</f>
        <v>8</v>
      </c>
      <c r="D2" s="264" t="str">
        <f>'Project&amp;Support'!C3</f>
        <v>Project A description</v>
      </c>
      <c r="E2" s="418" t="str">
        <f>_xlfn.CONCAT(StartupInfo!B5,", ",StartupInfo!B6,", ",StartupInfo!B7,CHAR(13),CHAR(10),StartupInfo!B8,", ",StartupInfo!B9)</f>
        <v>Room 1, West Block, High-Tech Plaza, Some Street, Some District, Shenzhen_x000D_
Guangdong, 200080</v>
      </c>
    </row>
    <row r="3" spans="1:5" ht="21">
      <c r="A3" s="419"/>
      <c r="B3" s="264" t="str">
        <f>'Project&amp;Support'!B4</f>
        <v>p2ProjectNameB</v>
      </c>
      <c r="C3" s="265">
        <f>'Project&amp;Support'!AB4</f>
        <v>7</v>
      </c>
      <c r="D3" s="264" t="str">
        <f>'Project&amp;Support'!C4</f>
        <v>Project B description</v>
      </c>
      <c r="E3" s="419"/>
    </row>
    <row r="4" spans="1:5" ht="21">
      <c r="A4" s="419"/>
      <c r="B4" s="264" t="str">
        <f>'Project&amp;Support'!B5</f>
        <v>p3ProjectNameC</v>
      </c>
      <c r="C4" s="265">
        <f>'Project&amp;Support'!AB5</f>
        <v>8</v>
      </c>
      <c r="D4" s="264" t="str">
        <f>'Project&amp;Support'!C5</f>
        <v>Project C description</v>
      </c>
      <c r="E4" s="419"/>
    </row>
    <row r="5" spans="1:5" ht="21">
      <c r="A5" s="419"/>
      <c r="B5" s="264" t="str">
        <f>'Project&amp;Support'!B6</f>
        <v>p4PRojectNameD</v>
      </c>
      <c r="C5" s="265">
        <f>'Project&amp;Support'!AB6</f>
        <v>7</v>
      </c>
      <c r="D5" s="264" t="str">
        <f>'Project&amp;Support'!C6</f>
        <v>Project E description</v>
      </c>
      <c r="E5" s="419"/>
    </row>
    <row r="6" spans="1:5" ht="21">
      <c r="A6" s="419"/>
      <c r="B6" s="264" t="str">
        <f>'Project&amp;Support'!B7</f>
        <v>p5ProjectNameE</v>
      </c>
      <c r="C6" s="265">
        <f>'Project&amp;Support'!AB7</f>
        <v>7</v>
      </c>
      <c r="D6" s="264" t="str">
        <f>'Project&amp;Support'!C7</f>
        <v>Project F description</v>
      </c>
      <c r="E6" s="419"/>
    </row>
    <row r="7" spans="1:5" ht="21">
      <c r="A7" s="420"/>
      <c r="B7" s="264" t="str">
        <f>'Project&amp;Support'!B8</f>
        <v>p6ProjectNameF</v>
      </c>
      <c r="C7" s="265">
        <f>'Project&amp;Support'!AB8</f>
        <v>7</v>
      </c>
      <c r="D7" s="264" t="str">
        <f>'Project&amp;Support'!C8</f>
        <v>Project G description</v>
      </c>
      <c r="E7" s="420"/>
    </row>
    <row r="9" spans="1:5" s="258" customFormat="1" ht="42">
      <c r="A9" s="231" t="s">
        <v>1233</v>
      </c>
      <c r="B9" s="231" t="s">
        <v>1236</v>
      </c>
      <c r="C9" s="262" t="s">
        <v>1234</v>
      </c>
      <c r="D9" s="231" t="s">
        <v>388</v>
      </c>
      <c r="E9" s="231"/>
    </row>
    <row r="10" spans="1:5" ht="42" customHeight="1">
      <c r="A10" s="417" t="s">
        <v>1237</v>
      </c>
      <c r="B10" s="264" t="str">
        <f>'Project&amp;Support'!B9</f>
        <v>s1CM</v>
      </c>
      <c r="C10" s="266">
        <f>'Project&amp;Support'!AB9</f>
        <v>1</v>
      </c>
      <c r="D10" s="264" t="str">
        <f>'Project&amp;Support'!C9</f>
        <v>The Configuration Management (CM) function, manages baselines for projects and the organisation.</v>
      </c>
      <c r="E10" s="421" t="str">
        <f>StartupInfo!B11</f>
        <v>Room 1, West Block, High-Tech Plaza, Some Street, Some District, Shenzhen, Guangdong, 200080, China</v>
      </c>
    </row>
    <row r="11" spans="1:5" ht="84">
      <c r="A11" s="417"/>
      <c r="B11" s="264" t="str">
        <f>'Project&amp;Support'!B10</f>
        <v>s2EPG/MA</v>
      </c>
      <c r="C11" s="266">
        <f>'Project&amp;Support'!AB10</f>
        <v>1</v>
      </c>
      <c r="D11"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1" s="421"/>
    </row>
    <row r="12" spans="1:5" ht="63">
      <c r="A12" s="417"/>
      <c r="B12" s="264" t="str">
        <f>'Project&amp;Support'!B11</f>
        <v>s3HR</v>
      </c>
      <c r="C12" s="266">
        <f>'Project&amp;Support'!AB11</f>
        <v>1</v>
      </c>
      <c r="D12" s="264" t="str">
        <f>'Project&amp;Support'!C11</f>
        <v>The Human Resources (HR) function is responsible for training, skills and knowledge management. It maintains the records of staff training and training evaluation.</v>
      </c>
      <c r="E12" s="421"/>
    </row>
    <row r="13" spans="1:5" ht="42">
      <c r="A13" s="417"/>
      <c r="B13" s="264" t="str">
        <f>'Project&amp;Support'!B12</f>
        <v>s4PPQA</v>
      </c>
      <c r="C13" s="266">
        <f>'Project&amp;Support'!AB12</f>
        <v>1</v>
      </c>
      <c r="D13" s="264" t="str">
        <f>'Project&amp;Support'!C12</f>
        <v xml:space="preserve">The Process and Product Quality Assurance (PPQA) team manage and performs process quality assurance. </v>
      </c>
      <c r="E13" s="421"/>
    </row>
    <row r="14" spans="1:5" ht="21" hidden="1" customHeight="1">
      <c r="A14" s="417"/>
      <c r="B14" s="264"/>
      <c r="C14" s="266"/>
      <c r="D14" s="264"/>
      <c r="E14" s="259"/>
    </row>
    <row r="15" spans="1:5" ht="21" hidden="1" customHeight="1">
      <c r="A15" s="417"/>
      <c r="B15" s="264"/>
      <c r="C15" s="266"/>
      <c r="D15" s="264"/>
      <c r="E15" s="259"/>
    </row>
    <row r="16" spans="1:5">
      <c r="A16" s="261"/>
      <c r="B16" s="260"/>
      <c r="C16" s="263"/>
      <c r="D16" s="260"/>
      <c r="E16" s="260"/>
    </row>
    <row r="17" spans="1:5">
      <c r="A17" s="267"/>
      <c r="B17" s="267"/>
      <c r="C17" s="268"/>
      <c r="D17" s="267"/>
      <c r="E17" s="267"/>
    </row>
  </sheetData>
  <mergeCells count="4">
    <mergeCell ref="A10:A15"/>
    <mergeCell ref="A2:A7"/>
    <mergeCell ref="E10:E13"/>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1" t="s">
        <v>1185</v>
      </c>
      <c r="C2" s="431" t="s">
        <v>1186</v>
      </c>
      <c r="D2" s="422" t="s">
        <v>1187</v>
      </c>
      <c r="E2" s="424"/>
      <c r="F2" s="425" t="s">
        <v>1188</v>
      </c>
      <c r="G2" s="427"/>
      <c r="H2" s="422" t="s">
        <v>1189</v>
      </c>
      <c r="I2" s="423"/>
      <c r="J2" s="423"/>
      <c r="K2" s="424"/>
      <c r="L2" s="425" t="s">
        <v>1190</v>
      </c>
      <c r="M2" s="426"/>
      <c r="N2" s="427"/>
      <c r="O2" s="240" t="s">
        <v>1191</v>
      </c>
      <c r="P2" s="241" t="s">
        <v>1192</v>
      </c>
      <c r="Q2" s="422" t="s">
        <v>1193</v>
      </c>
      <c r="R2" s="423"/>
      <c r="S2" s="424"/>
      <c r="T2" s="425" t="s">
        <v>1194</v>
      </c>
      <c r="U2" s="426"/>
      <c r="V2" s="427"/>
      <c r="W2" s="237" t="s">
        <v>1195</v>
      </c>
    </row>
    <row r="3" spans="2:28" ht="15.5">
      <c r="B3" s="432"/>
      <c r="C3" s="432"/>
      <c r="D3" s="344" t="s">
        <v>965</v>
      </c>
      <c r="E3" s="344" t="s">
        <v>966</v>
      </c>
      <c r="F3" s="345" t="s">
        <v>938</v>
      </c>
      <c r="G3" s="345" t="s">
        <v>937</v>
      </c>
      <c r="H3" s="344" t="s">
        <v>939</v>
      </c>
      <c r="I3" s="344" t="s">
        <v>941</v>
      </c>
      <c r="J3" s="344" t="s">
        <v>889</v>
      </c>
      <c r="K3" s="344" t="s">
        <v>940</v>
      </c>
      <c r="L3" s="345" t="s">
        <v>944</v>
      </c>
      <c r="M3" s="345" t="s">
        <v>943</v>
      </c>
      <c r="N3" s="345" t="s">
        <v>942</v>
      </c>
      <c r="O3" s="344" t="s">
        <v>945</v>
      </c>
      <c r="P3" s="345" t="s">
        <v>805</v>
      </c>
      <c r="Q3" s="344" t="s">
        <v>947</v>
      </c>
      <c r="R3" s="344" t="s">
        <v>948</v>
      </c>
      <c r="S3" s="344" t="s">
        <v>946</v>
      </c>
      <c r="T3" s="345" t="s">
        <v>949</v>
      </c>
      <c r="U3" s="345" t="s">
        <v>950</v>
      </c>
      <c r="V3" s="345"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28" t="s">
        <v>1196</v>
      </c>
      <c r="C5" s="244"/>
      <c r="D5" s="347" t="s">
        <v>1200</v>
      </c>
      <c r="E5" s="347" t="s">
        <v>1200</v>
      </c>
      <c r="F5" s="347" t="s">
        <v>1200</v>
      </c>
      <c r="G5" s="347" t="s">
        <v>1200</v>
      </c>
      <c r="H5" s="347" t="s">
        <v>1200</v>
      </c>
      <c r="I5" s="347" t="s">
        <v>1200</v>
      </c>
      <c r="J5" s="347" t="s">
        <v>1200</v>
      </c>
      <c r="K5" s="347" t="s">
        <v>1200</v>
      </c>
      <c r="L5" s="347" t="s">
        <v>1200</v>
      </c>
      <c r="M5" s="347" t="s">
        <v>1200</v>
      </c>
      <c r="N5" s="347" t="s">
        <v>1200</v>
      </c>
      <c r="O5" s="347" t="s">
        <v>1200</v>
      </c>
      <c r="P5" s="347" t="s">
        <v>1200</v>
      </c>
      <c r="Q5" s="347" t="s">
        <v>1200</v>
      </c>
      <c r="R5" s="347" t="s">
        <v>1200</v>
      </c>
      <c r="S5" s="347" t="s">
        <v>1200</v>
      </c>
      <c r="T5" s="347" t="s">
        <v>1200</v>
      </c>
      <c r="U5" s="347" t="s">
        <v>1200</v>
      </c>
      <c r="V5" s="347" t="s">
        <v>1200</v>
      </c>
      <c r="W5" s="225" t="s">
        <v>1201</v>
      </c>
    </row>
    <row r="6" spans="2:28" ht="15.5">
      <c r="B6" s="429"/>
      <c r="C6" s="345">
        <v>1.1000000000000001</v>
      </c>
      <c r="D6" s="348" t="s">
        <v>1197</v>
      </c>
      <c r="E6" s="348" t="s">
        <v>1197</v>
      </c>
      <c r="F6" s="348" t="s">
        <v>1197</v>
      </c>
      <c r="G6" s="348" t="s">
        <v>1197</v>
      </c>
      <c r="H6" s="348" t="s">
        <v>1197</v>
      </c>
      <c r="I6" s="348" t="s">
        <v>1197</v>
      </c>
      <c r="J6" s="348" t="s">
        <v>1197</v>
      </c>
      <c r="K6" s="348" t="s">
        <v>1197</v>
      </c>
      <c r="L6" s="348" t="s">
        <v>1197</v>
      </c>
      <c r="M6" s="348" t="s">
        <v>1197</v>
      </c>
      <c r="N6" s="348" t="s">
        <v>1197</v>
      </c>
      <c r="O6" s="348" t="s">
        <v>1197</v>
      </c>
      <c r="P6" s="348" t="s">
        <v>1197</v>
      </c>
      <c r="Q6" s="348" t="s">
        <v>1198</v>
      </c>
      <c r="R6" s="348" t="s">
        <v>1197</v>
      </c>
      <c r="S6" s="348" t="s">
        <v>1197</v>
      </c>
      <c r="T6" s="348" t="s">
        <v>1197</v>
      </c>
      <c r="U6" s="348" t="s">
        <v>1197</v>
      </c>
      <c r="V6" s="348" t="s">
        <v>1197</v>
      </c>
      <c r="W6" s="225" t="s">
        <v>1199</v>
      </c>
      <c r="Z6" s="224" t="s">
        <v>1197</v>
      </c>
      <c r="AB6" s="224" t="s">
        <v>1200</v>
      </c>
    </row>
    <row r="7" spans="2:28" ht="15.5">
      <c r="B7" s="429"/>
      <c r="C7" s="345">
        <v>1.2</v>
      </c>
      <c r="D7" s="348"/>
      <c r="E7" s="348"/>
      <c r="F7" s="348"/>
      <c r="G7" s="348"/>
      <c r="H7" s="348"/>
      <c r="I7" s="348" t="s">
        <v>1197</v>
      </c>
      <c r="J7" s="348"/>
      <c r="K7" s="348"/>
      <c r="L7" s="348" t="s">
        <v>1197</v>
      </c>
      <c r="M7" s="348"/>
      <c r="N7" s="348" t="s">
        <v>1197</v>
      </c>
      <c r="O7" s="348"/>
      <c r="P7" s="348"/>
      <c r="Q7" s="348" t="s">
        <v>1197</v>
      </c>
      <c r="R7" s="348" t="s">
        <v>1197</v>
      </c>
      <c r="S7" s="348"/>
      <c r="T7" s="348" t="s">
        <v>1381</v>
      </c>
      <c r="U7" s="348" t="s">
        <v>1197</v>
      </c>
      <c r="V7" s="348" t="s">
        <v>1381</v>
      </c>
      <c r="W7" s="225" t="s">
        <v>971</v>
      </c>
      <c r="Z7" s="224" t="s">
        <v>1198</v>
      </c>
      <c r="AB7" s="224" t="s">
        <v>1201</v>
      </c>
    </row>
    <row r="8" spans="2:28" ht="15.5">
      <c r="B8" s="429"/>
      <c r="C8" s="345">
        <v>1.3</v>
      </c>
      <c r="D8" s="348"/>
      <c r="E8" s="348"/>
      <c r="F8" s="348"/>
      <c r="G8" s="348"/>
      <c r="H8" s="348"/>
      <c r="I8" s="348"/>
      <c r="J8" s="348"/>
      <c r="K8" s="348"/>
      <c r="L8" s="348" t="s">
        <v>1197</v>
      </c>
      <c r="M8" s="348"/>
      <c r="N8" s="348"/>
      <c r="O8" s="348"/>
      <c r="P8" s="348"/>
      <c r="Q8" s="348"/>
      <c r="R8" s="348"/>
      <c r="S8" s="348"/>
      <c r="T8" s="348"/>
      <c r="U8" s="348"/>
      <c r="V8" s="348"/>
      <c r="W8" s="225" t="s">
        <v>1198</v>
      </c>
      <c r="Z8" s="224" t="s">
        <v>971</v>
      </c>
    </row>
    <row r="9" spans="2:28" ht="15.5">
      <c r="B9" s="430"/>
      <c r="C9" s="345">
        <v>1.4</v>
      </c>
      <c r="D9" s="348"/>
      <c r="E9" s="348"/>
      <c r="F9" s="348" t="s">
        <v>1381</v>
      </c>
      <c r="G9" s="348" t="s">
        <v>1381</v>
      </c>
      <c r="H9" s="348" t="s">
        <v>1381</v>
      </c>
      <c r="I9" s="348" t="s">
        <v>1381</v>
      </c>
      <c r="J9" s="348" t="s">
        <v>1381</v>
      </c>
      <c r="K9" s="348" t="s">
        <v>1381</v>
      </c>
      <c r="L9" s="348"/>
      <c r="M9" s="348" t="s">
        <v>1381</v>
      </c>
      <c r="N9" s="348" t="s">
        <v>1381</v>
      </c>
      <c r="O9" s="348" t="s">
        <v>1381</v>
      </c>
      <c r="P9" s="348" t="s">
        <v>1381</v>
      </c>
      <c r="Q9" s="348" t="s">
        <v>1381</v>
      </c>
      <c r="R9" s="348" t="s">
        <v>1381</v>
      </c>
      <c r="S9" s="348" t="s">
        <v>1381</v>
      </c>
      <c r="T9" s="348" t="s">
        <v>1381</v>
      </c>
      <c r="U9" s="348" t="s">
        <v>1381</v>
      </c>
      <c r="V9" s="348" t="s">
        <v>1381</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28" t="s">
        <v>1202</v>
      </c>
      <c r="C11" s="244"/>
      <c r="D11" s="346" t="s">
        <v>1200</v>
      </c>
      <c r="E11" s="346" t="s">
        <v>1200</v>
      </c>
      <c r="F11" s="346" t="s">
        <v>1200</v>
      </c>
      <c r="G11" s="346" t="s">
        <v>1200</v>
      </c>
      <c r="H11" s="346" t="s">
        <v>1200</v>
      </c>
      <c r="I11" s="346" t="s">
        <v>1200</v>
      </c>
      <c r="J11" s="346" t="s">
        <v>1200</v>
      </c>
      <c r="K11" s="346" t="s">
        <v>1200</v>
      </c>
      <c r="L11" s="346" t="s">
        <v>1200</v>
      </c>
      <c r="M11" s="346" t="s">
        <v>1200</v>
      </c>
      <c r="N11" s="346" t="s">
        <v>1200</v>
      </c>
      <c r="O11" s="346" t="s">
        <v>1200</v>
      </c>
      <c r="P11" s="346" t="s">
        <v>1200</v>
      </c>
      <c r="Q11" s="346" t="s">
        <v>1200</v>
      </c>
      <c r="R11" s="346" t="s">
        <v>1200</v>
      </c>
      <c r="S11" s="346" t="s">
        <v>1200</v>
      </c>
      <c r="T11" s="346" t="s">
        <v>1200</v>
      </c>
      <c r="U11" s="346" t="s">
        <v>1200</v>
      </c>
      <c r="V11" s="346" t="s">
        <v>1200</v>
      </c>
      <c r="W11" s="225"/>
      <c r="Z11" s="224" t="s">
        <v>1203</v>
      </c>
    </row>
    <row r="12" spans="2:28" ht="15.5">
      <c r="B12" s="429"/>
      <c r="C12" s="345">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29"/>
      <c r="C13" s="345">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29"/>
      <c r="C14" s="345">
        <v>2.2999999999999998</v>
      </c>
      <c r="D14" s="244" t="s">
        <v>1197</v>
      </c>
      <c r="E14" s="244"/>
      <c r="F14" s="244" t="s">
        <v>1197</v>
      </c>
      <c r="G14" s="244" t="s">
        <v>1197</v>
      </c>
      <c r="H14" s="244" t="s">
        <v>1197</v>
      </c>
      <c r="I14" s="244" t="s">
        <v>1197</v>
      </c>
      <c r="J14" s="244" t="s">
        <v>1197</v>
      </c>
      <c r="K14" s="244" t="s">
        <v>1197</v>
      </c>
      <c r="L14" s="244" t="s">
        <v>1381</v>
      </c>
      <c r="M14" s="244" t="s">
        <v>1197</v>
      </c>
      <c r="N14" s="244" t="s">
        <v>1197</v>
      </c>
      <c r="O14" s="244" t="s">
        <v>1381</v>
      </c>
      <c r="P14" s="244" t="s">
        <v>1381</v>
      </c>
      <c r="Q14" s="244" t="s">
        <v>1197</v>
      </c>
      <c r="R14" s="244" t="s">
        <v>1197</v>
      </c>
      <c r="S14" s="244" t="s">
        <v>1197</v>
      </c>
      <c r="T14" s="244" t="s">
        <v>1381</v>
      </c>
      <c r="U14" s="244" t="s">
        <v>1197</v>
      </c>
      <c r="V14" s="244" t="s">
        <v>1197</v>
      </c>
      <c r="W14" s="225" t="s">
        <v>1197</v>
      </c>
    </row>
    <row r="15" spans="2:28" ht="15.5">
      <c r="B15" s="429"/>
      <c r="C15" s="345">
        <v>2.4</v>
      </c>
      <c r="D15" s="244" t="s">
        <v>1197</v>
      </c>
      <c r="E15" s="244"/>
      <c r="F15" s="244" t="s">
        <v>1381</v>
      </c>
      <c r="G15" s="244" t="s">
        <v>1197</v>
      </c>
      <c r="H15" s="244" t="s">
        <v>1197</v>
      </c>
      <c r="I15" s="244" t="s">
        <v>1381</v>
      </c>
      <c r="J15" s="244" t="s">
        <v>1197</v>
      </c>
      <c r="K15" s="244" t="s">
        <v>1197</v>
      </c>
      <c r="L15" s="244" t="s">
        <v>1381</v>
      </c>
      <c r="M15" s="244" t="s">
        <v>1381</v>
      </c>
      <c r="N15" s="244" t="s">
        <v>1197</v>
      </c>
      <c r="O15" s="244" t="s">
        <v>1381</v>
      </c>
      <c r="P15" s="244" t="s">
        <v>1381</v>
      </c>
      <c r="Q15" s="244" t="s">
        <v>1197</v>
      </c>
      <c r="R15" s="244" t="s">
        <v>1197</v>
      </c>
      <c r="S15" s="244"/>
      <c r="T15" s="244" t="s">
        <v>1381</v>
      </c>
      <c r="U15" s="244" t="s">
        <v>1197</v>
      </c>
      <c r="V15" s="244" t="s">
        <v>1197</v>
      </c>
      <c r="W15" s="225" t="s">
        <v>1198</v>
      </c>
    </row>
    <row r="16" spans="2:28" ht="15.5">
      <c r="B16" s="429"/>
      <c r="C16" s="345">
        <v>2.5</v>
      </c>
      <c r="D16" s="244"/>
      <c r="E16" s="244"/>
      <c r="F16" s="244" t="s">
        <v>1381</v>
      </c>
      <c r="G16" s="244" t="s">
        <v>1197</v>
      </c>
      <c r="H16" s="244" t="s">
        <v>1381</v>
      </c>
      <c r="I16" s="244" t="s">
        <v>1381</v>
      </c>
      <c r="J16" s="244" t="s">
        <v>1381</v>
      </c>
      <c r="K16" s="244" t="s">
        <v>1197</v>
      </c>
      <c r="L16" s="244" t="s">
        <v>1381</v>
      </c>
      <c r="M16" s="244" t="s">
        <v>1381</v>
      </c>
      <c r="N16" s="244" t="s">
        <v>1197</v>
      </c>
      <c r="O16" s="244" t="s">
        <v>1381</v>
      </c>
      <c r="P16" s="244" t="s">
        <v>1381</v>
      </c>
      <c r="Q16" s="244" t="s">
        <v>1381</v>
      </c>
      <c r="R16" s="244" t="s">
        <v>1197</v>
      </c>
      <c r="S16" s="244" t="s">
        <v>1381</v>
      </c>
      <c r="T16" s="244" t="s">
        <v>1381</v>
      </c>
      <c r="U16" s="244" t="s">
        <v>1197</v>
      </c>
      <c r="V16" s="244" t="s">
        <v>1197</v>
      </c>
      <c r="W16" s="225"/>
    </row>
    <row r="17" spans="2:23" ht="15.5">
      <c r="B17" s="429"/>
      <c r="C17" s="345">
        <v>2.6</v>
      </c>
      <c r="D17" s="244"/>
      <c r="E17" s="244"/>
      <c r="F17" s="244" t="s">
        <v>1381</v>
      </c>
      <c r="G17" s="244" t="s">
        <v>1197</v>
      </c>
      <c r="H17" s="244" t="s">
        <v>1381</v>
      </c>
      <c r="I17" s="244" t="s">
        <v>1381</v>
      </c>
      <c r="J17" s="244" t="s">
        <v>1381</v>
      </c>
      <c r="K17" s="244" t="s">
        <v>1197</v>
      </c>
      <c r="L17" s="244" t="s">
        <v>1381</v>
      </c>
      <c r="M17" s="244" t="s">
        <v>1381</v>
      </c>
      <c r="N17" s="244" t="s">
        <v>1197</v>
      </c>
      <c r="O17" s="244" t="s">
        <v>1381</v>
      </c>
      <c r="P17" s="244" t="s">
        <v>1381</v>
      </c>
      <c r="Q17" s="244" t="s">
        <v>1381</v>
      </c>
      <c r="R17" s="244" t="s">
        <v>1197</v>
      </c>
      <c r="S17" s="244" t="s">
        <v>1381</v>
      </c>
      <c r="T17" s="244" t="s">
        <v>1381</v>
      </c>
      <c r="U17" s="244" t="s">
        <v>1381</v>
      </c>
      <c r="V17" s="244" t="s">
        <v>1197</v>
      </c>
      <c r="W17" s="225"/>
    </row>
    <row r="18" spans="2:23" ht="15.5">
      <c r="B18" s="429"/>
      <c r="C18" s="345">
        <v>2.7</v>
      </c>
      <c r="D18" s="244"/>
      <c r="E18" s="244"/>
      <c r="F18" s="244" t="s">
        <v>1381</v>
      </c>
      <c r="G18" s="244" t="s">
        <v>1381</v>
      </c>
      <c r="H18" s="244" t="s">
        <v>1381</v>
      </c>
      <c r="I18" s="244" t="s">
        <v>1381</v>
      </c>
      <c r="J18" s="244" t="s">
        <v>1381</v>
      </c>
      <c r="K18" s="244" t="s">
        <v>1381</v>
      </c>
      <c r="L18" s="244" t="s">
        <v>1381</v>
      </c>
      <c r="M18" s="244" t="s">
        <v>1381</v>
      </c>
      <c r="N18" s="244" t="s">
        <v>1381</v>
      </c>
      <c r="O18" s="244" t="s">
        <v>1381</v>
      </c>
      <c r="P18" s="244" t="s">
        <v>1381</v>
      </c>
      <c r="Q18" s="244" t="s">
        <v>1381</v>
      </c>
      <c r="R18" s="244" t="s">
        <v>1197</v>
      </c>
      <c r="S18" s="244" t="s">
        <v>1381</v>
      </c>
      <c r="T18" s="244" t="s">
        <v>1381</v>
      </c>
      <c r="U18" s="244" t="s">
        <v>1381</v>
      </c>
      <c r="V18" s="244" t="s">
        <v>1381</v>
      </c>
      <c r="W18" s="225"/>
    </row>
    <row r="19" spans="2:23" ht="15.5">
      <c r="B19" s="430"/>
      <c r="C19" s="345">
        <v>2.8</v>
      </c>
      <c r="D19" s="244"/>
      <c r="E19" s="244"/>
      <c r="F19" s="244" t="s">
        <v>1381</v>
      </c>
      <c r="G19" s="244" t="s">
        <v>1381</v>
      </c>
      <c r="H19" s="244" t="s">
        <v>1381</v>
      </c>
      <c r="I19" s="244" t="s">
        <v>1381</v>
      </c>
      <c r="J19" s="244" t="s">
        <v>1381</v>
      </c>
      <c r="K19" s="244" t="s">
        <v>1381</v>
      </c>
      <c r="L19" s="244" t="s">
        <v>1381</v>
      </c>
      <c r="M19" s="244" t="s">
        <v>1381</v>
      </c>
      <c r="N19" s="244" t="s">
        <v>1381</v>
      </c>
      <c r="O19" s="244" t="s">
        <v>1381</v>
      </c>
      <c r="P19" s="244" t="s">
        <v>1381</v>
      </c>
      <c r="Q19" s="244" t="s">
        <v>1381</v>
      </c>
      <c r="R19" s="244" t="s">
        <v>1198</v>
      </c>
      <c r="S19" s="244" t="s">
        <v>1381</v>
      </c>
      <c r="T19" s="244" t="s">
        <v>1381</v>
      </c>
      <c r="U19" s="244" t="s">
        <v>1381</v>
      </c>
      <c r="V19" s="244" t="s">
        <v>1381</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28" t="s">
        <v>1204</v>
      </c>
      <c r="C21" s="244"/>
      <c r="D21" s="346" t="s">
        <v>1200</v>
      </c>
      <c r="E21" s="346" t="s">
        <v>1200</v>
      </c>
      <c r="F21" s="346" t="s">
        <v>1200</v>
      </c>
      <c r="G21" s="346" t="s">
        <v>1200</v>
      </c>
      <c r="H21" s="346" t="s">
        <v>1200</v>
      </c>
      <c r="I21" s="346" t="s">
        <v>1200</v>
      </c>
      <c r="J21" s="346" t="s">
        <v>1200</v>
      </c>
      <c r="K21" s="346" t="s">
        <v>1200</v>
      </c>
      <c r="L21" s="346" t="s">
        <v>1200</v>
      </c>
      <c r="M21" s="346" t="s">
        <v>1200</v>
      </c>
      <c r="N21" s="346" t="s">
        <v>1200</v>
      </c>
      <c r="O21" s="346" t="s">
        <v>1200</v>
      </c>
      <c r="P21" s="346" t="s">
        <v>1200</v>
      </c>
      <c r="Q21" s="346" t="s">
        <v>1200</v>
      </c>
      <c r="R21" s="346" t="s">
        <v>1200</v>
      </c>
      <c r="S21" s="346" t="s">
        <v>1200</v>
      </c>
      <c r="T21" s="346" t="s">
        <v>1200</v>
      </c>
      <c r="U21" s="346" t="s">
        <v>1200</v>
      </c>
      <c r="V21" s="244"/>
      <c r="W21" s="225"/>
    </row>
    <row r="22" spans="2:23" ht="15.5">
      <c r="B22" s="429"/>
      <c r="C22" s="345">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1381</v>
      </c>
      <c r="W22" s="225" t="s">
        <v>1199</v>
      </c>
    </row>
    <row r="23" spans="2:23" ht="15.5">
      <c r="B23" s="429"/>
      <c r="C23" s="345">
        <v>3.2</v>
      </c>
      <c r="D23" s="244" t="s">
        <v>1197</v>
      </c>
      <c r="E23" s="244" t="s">
        <v>1197</v>
      </c>
      <c r="F23" s="244" t="s">
        <v>1197</v>
      </c>
      <c r="G23" s="244" t="s">
        <v>1197</v>
      </c>
      <c r="H23" s="244" t="s">
        <v>1381</v>
      </c>
      <c r="I23" s="244" t="s">
        <v>1197</v>
      </c>
      <c r="J23" s="244" t="s">
        <v>1381</v>
      </c>
      <c r="K23" s="244" t="s">
        <v>1197</v>
      </c>
      <c r="L23" s="244" t="s">
        <v>1197</v>
      </c>
      <c r="M23" s="244" t="s">
        <v>1198</v>
      </c>
      <c r="N23" s="244" t="s">
        <v>1197</v>
      </c>
      <c r="O23" s="244" t="s">
        <v>1197</v>
      </c>
      <c r="P23" s="244" t="s">
        <v>1197</v>
      </c>
      <c r="Q23" s="244" t="s">
        <v>1197</v>
      </c>
      <c r="R23" s="244" t="s">
        <v>1197</v>
      </c>
      <c r="S23" s="244" t="s">
        <v>1197</v>
      </c>
      <c r="T23" s="244" t="s">
        <v>1198</v>
      </c>
      <c r="U23" s="244" t="s">
        <v>1381</v>
      </c>
      <c r="V23" s="244" t="s">
        <v>1381</v>
      </c>
      <c r="W23" s="225" t="s">
        <v>1199</v>
      </c>
    </row>
    <row r="24" spans="2:23" ht="15.5">
      <c r="B24" s="429"/>
      <c r="C24" s="345">
        <v>3.3</v>
      </c>
      <c r="D24" s="244"/>
      <c r="E24" s="244" t="s">
        <v>1197</v>
      </c>
      <c r="F24" s="244" t="s">
        <v>1197</v>
      </c>
      <c r="G24" s="244" t="s">
        <v>1197</v>
      </c>
      <c r="H24" s="244" t="s">
        <v>1381</v>
      </c>
      <c r="I24" s="244" t="s">
        <v>1381</v>
      </c>
      <c r="J24" s="244" t="s">
        <v>1381</v>
      </c>
      <c r="K24" s="244" t="s">
        <v>1197</v>
      </c>
      <c r="L24" s="244" t="s">
        <v>1197</v>
      </c>
      <c r="M24" s="244" t="s">
        <v>1197</v>
      </c>
      <c r="N24" s="244" t="s">
        <v>1197</v>
      </c>
      <c r="O24" s="244" t="s">
        <v>1198</v>
      </c>
      <c r="P24" s="244" t="s">
        <v>1197</v>
      </c>
      <c r="Q24" s="244" t="s">
        <v>1197</v>
      </c>
      <c r="R24" s="244" t="s">
        <v>1197</v>
      </c>
      <c r="S24" s="244" t="s">
        <v>1381</v>
      </c>
      <c r="T24" s="244" t="s">
        <v>1198</v>
      </c>
      <c r="U24" s="244" t="s">
        <v>1381</v>
      </c>
      <c r="V24" s="244" t="s">
        <v>1381</v>
      </c>
      <c r="W24" s="225"/>
    </row>
    <row r="25" spans="2:23" ht="15.5">
      <c r="B25" s="429"/>
      <c r="C25" s="345">
        <v>3.4</v>
      </c>
      <c r="D25" s="244"/>
      <c r="E25" s="244"/>
      <c r="F25" s="244" t="s">
        <v>1197</v>
      </c>
      <c r="G25" s="244" t="s">
        <v>1381</v>
      </c>
      <c r="H25" s="244" t="s">
        <v>1381</v>
      </c>
      <c r="I25" s="244" t="s">
        <v>1381</v>
      </c>
      <c r="J25" s="244" t="s">
        <v>1381</v>
      </c>
      <c r="K25" s="244" t="s">
        <v>1197</v>
      </c>
      <c r="L25" s="244" t="s">
        <v>1197</v>
      </c>
      <c r="M25" s="244" t="s">
        <v>1197</v>
      </c>
      <c r="N25" s="244" t="s">
        <v>1197</v>
      </c>
      <c r="O25" s="244" t="s">
        <v>1197</v>
      </c>
      <c r="P25" s="244" t="s">
        <v>1197</v>
      </c>
      <c r="Q25" s="244" t="s">
        <v>1197</v>
      </c>
      <c r="R25" s="244" t="s">
        <v>1197</v>
      </c>
      <c r="S25" s="244" t="s">
        <v>1381</v>
      </c>
      <c r="T25" s="244" t="s">
        <v>1197</v>
      </c>
      <c r="U25" s="244" t="s">
        <v>1381</v>
      </c>
      <c r="V25" s="244" t="s">
        <v>1381</v>
      </c>
      <c r="W25" s="225"/>
    </row>
    <row r="26" spans="2:23" ht="15.5">
      <c r="B26" s="429"/>
      <c r="C26" s="345">
        <v>3.5</v>
      </c>
      <c r="D26" s="244"/>
      <c r="E26" s="244"/>
      <c r="F26" s="244" t="s">
        <v>1197</v>
      </c>
      <c r="G26" s="244" t="s">
        <v>1381</v>
      </c>
      <c r="H26" s="244" t="s">
        <v>1381</v>
      </c>
      <c r="I26" s="244" t="s">
        <v>1381</v>
      </c>
      <c r="J26" s="244" t="s">
        <v>1381</v>
      </c>
      <c r="K26" s="244" t="s">
        <v>1197</v>
      </c>
      <c r="L26" s="244" t="s">
        <v>1197</v>
      </c>
      <c r="M26" s="244" t="s">
        <v>1197</v>
      </c>
      <c r="N26" s="244" t="s">
        <v>1197</v>
      </c>
      <c r="O26" s="244" t="s">
        <v>1198</v>
      </c>
      <c r="P26" s="244" t="s">
        <v>1197</v>
      </c>
      <c r="Q26" s="244" t="s">
        <v>1381</v>
      </c>
      <c r="R26" s="244" t="s">
        <v>1381</v>
      </c>
      <c r="S26" s="244" t="s">
        <v>1381</v>
      </c>
      <c r="T26" s="244" t="s">
        <v>1197</v>
      </c>
      <c r="U26" s="244" t="s">
        <v>1381</v>
      </c>
      <c r="V26" s="244" t="s">
        <v>1381</v>
      </c>
      <c r="W26" s="225"/>
    </row>
    <row r="27" spans="2:23" ht="15.5">
      <c r="B27" s="429"/>
      <c r="C27" s="345">
        <v>3.6</v>
      </c>
      <c r="D27" s="244"/>
      <c r="E27" s="244"/>
      <c r="F27" s="244" t="s">
        <v>1197</v>
      </c>
      <c r="G27" s="244" t="s">
        <v>1381</v>
      </c>
      <c r="H27" s="244" t="s">
        <v>1381</v>
      </c>
      <c r="I27" s="244" t="s">
        <v>1381</v>
      </c>
      <c r="J27" s="244" t="s">
        <v>1381</v>
      </c>
      <c r="K27" s="244" t="s">
        <v>1197</v>
      </c>
      <c r="L27" s="244" t="s">
        <v>1197</v>
      </c>
      <c r="M27" s="244" t="s">
        <v>1197</v>
      </c>
      <c r="N27" s="244" t="s">
        <v>1197</v>
      </c>
      <c r="O27" s="244" t="s">
        <v>1381</v>
      </c>
      <c r="P27" s="244" t="s">
        <v>1197</v>
      </c>
      <c r="Q27" s="244" t="s">
        <v>1381</v>
      </c>
      <c r="R27" s="244" t="s">
        <v>1381</v>
      </c>
      <c r="S27" s="244" t="s">
        <v>1381</v>
      </c>
      <c r="T27" s="244" t="s">
        <v>1381</v>
      </c>
      <c r="U27" s="244" t="s">
        <v>1381</v>
      </c>
      <c r="V27" s="244" t="s">
        <v>1381</v>
      </c>
      <c r="W27" s="225"/>
    </row>
    <row r="28" spans="2:23" ht="15.5">
      <c r="B28" s="430"/>
      <c r="C28" s="345">
        <v>3.7</v>
      </c>
      <c r="D28" s="244"/>
      <c r="E28" s="244"/>
      <c r="F28" s="244" t="s">
        <v>1381</v>
      </c>
      <c r="G28" s="244" t="s">
        <v>1381</v>
      </c>
      <c r="H28" s="244" t="s">
        <v>1381</v>
      </c>
      <c r="I28" s="244" t="s">
        <v>1381</v>
      </c>
      <c r="J28" s="244" t="s">
        <v>1381</v>
      </c>
      <c r="K28" s="244" t="s">
        <v>1197</v>
      </c>
      <c r="L28" s="244" t="s">
        <v>1381</v>
      </c>
      <c r="M28" s="244" t="s">
        <v>1197</v>
      </c>
      <c r="N28" s="244" t="s">
        <v>1381</v>
      </c>
      <c r="O28" s="244" t="s">
        <v>1381</v>
      </c>
      <c r="P28" s="244" t="s">
        <v>1381</v>
      </c>
      <c r="Q28" s="244" t="s">
        <v>1381</v>
      </c>
      <c r="R28" s="244" t="s">
        <v>1381</v>
      </c>
      <c r="S28" s="244" t="s">
        <v>1381</v>
      </c>
      <c r="T28" s="244" t="s">
        <v>1381</v>
      </c>
      <c r="U28" s="244" t="s">
        <v>1381</v>
      </c>
      <c r="V28" s="244" t="s">
        <v>1381</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28" t="s">
        <v>1205</v>
      </c>
      <c r="C30" s="244"/>
      <c r="D30" s="346" t="s">
        <v>1200</v>
      </c>
      <c r="E30" s="244"/>
      <c r="F30" s="244"/>
      <c r="G30" s="244"/>
      <c r="H30" s="244"/>
      <c r="I30" s="244"/>
      <c r="J30" s="244"/>
      <c r="K30" s="244"/>
      <c r="L30" s="346" t="s">
        <v>1200</v>
      </c>
      <c r="M30" s="244"/>
      <c r="N30" s="346" t="s">
        <v>1200</v>
      </c>
      <c r="O30" s="244"/>
      <c r="P30" s="244"/>
      <c r="Q30" s="244"/>
      <c r="R30" s="346" t="s">
        <v>1200</v>
      </c>
      <c r="S30" s="244"/>
      <c r="T30" s="346" t="s">
        <v>1200</v>
      </c>
      <c r="U30" s="244"/>
      <c r="V30" s="244"/>
      <c r="W30" s="225"/>
    </row>
    <row r="31" spans="2:23" ht="15.5">
      <c r="B31" s="429"/>
      <c r="C31" s="345">
        <v>4.0999999999999996</v>
      </c>
      <c r="D31" s="244" t="s">
        <v>1197</v>
      </c>
      <c r="E31" s="244"/>
      <c r="F31" s="244" t="s">
        <v>1381</v>
      </c>
      <c r="G31" s="244" t="s">
        <v>1381</v>
      </c>
      <c r="H31" s="244" t="s">
        <v>1381</v>
      </c>
      <c r="I31" s="244" t="s">
        <v>1381</v>
      </c>
      <c r="J31" s="244" t="s">
        <v>1381</v>
      </c>
      <c r="K31" s="244" t="s">
        <v>1381</v>
      </c>
      <c r="L31" s="244" t="s">
        <v>1197</v>
      </c>
      <c r="M31" s="244" t="s">
        <v>1381</v>
      </c>
      <c r="N31" s="244" t="s">
        <v>1198</v>
      </c>
      <c r="O31" s="244" t="s">
        <v>1381</v>
      </c>
      <c r="P31" s="244" t="s">
        <v>1381</v>
      </c>
      <c r="Q31" s="244" t="s">
        <v>1381</v>
      </c>
      <c r="R31" s="244" t="s">
        <v>1197</v>
      </c>
      <c r="S31" s="244" t="s">
        <v>1381</v>
      </c>
      <c r="T31" s="244" t="s">
        <v>1197</v>
      </c>
      <c r="U31" s="244" t="s">
        <v>1381</v>
      </c>
      <c r="V31" s="244" t="s">
        <v>1381</v>
      </c>
      <c r="W31" s="225" t="s">
        <v>1199</v>
      </c>
    </row>
    <row r="32" spans="2:23" ht="15.5">
      <c r="B32" s="429"/>
      <c r="C32" s="345">
        <v>4.2</v>
      </c>
      <c r="D32" s="244"/>
      <c r="E32" s="244"/>
      <c r="F32" s="244" t="s">
        <v>1381</v>
      </c>
      <c r="G32" s="244" t="s">
        <v>1381</v>
      </c>
      <c r="H32" s="244" t="s">
        <v>1381</v>
      </c>
      <c r="I32" s="244" t="s">
        <v>1381</v>
      </c>
      <c r="J32" s="244" t="s">
        <v>1381</v>
      </c>
      <c r="K32" s="244" t="s">
        <v>1381</v>
      </c>
      <c r="L32" s="244" t="s">
        <v>1381</v>
      </c>
      <c r="M32" s="244" t="s">
        <v>1381</v>
      </c>
      <c r="N32" s="244" t="s">
        <v>1197</v>
      </c>
      <c r="O32" s="244" t="s">
        <v>1381</v>
      </c>
      <c r="P32" s="244" t="s">
        <v>1381</v>
      </c>
      <c r="Q32" s="244" t="s">
        <v>1381</v>
      </c>
      <c r="R32" s="244" t="s">
        <v>1381</v>
      </c>
      <c r="S32" s="244" t="s">
        <v>1381</v>
      </c>
      <c r="T32" s="244" t="s">
        <v>1197</v>
      </c>
      <c r="U32" s="244" t="s">
        <v>1381</v>
      </c>
      <c r="V32" s="244" t="s">
        <v>1381</v>
      </c>
      <c r="W32" s="225"/>
    </row>
    <row r="33" spans="2:23" ht="15.5">
      <c r="B33" s="429"/>
      <c r="C33" s="345">
        <v>4.3</v>
      </c>
      <c r="D33" s="244"/>
      <c r="E33" s="244"/>
      <c r="F33" s="244" t="s">
        <v>1381</v>
      </c>
      <c r="G33" s="244" t="s">
        <v>1381</v>
      </c>
      <c r="H33" s="244" t="s">
        <v>1381</v>
      </c>
      <c r="I33" s="244" t="s">
        <v>1381</v>
      </c>
      <c r="J33" s="244" t="s">
        <v>1381</v>
      </c>
      <c r="K33" s="244" t="s">
        <v>1381</v>
      </c>
      <c r="L33" s="244" t="s">
        <v>1381</v>
      </c>
      <c r="M33" s="244" t="s">
        <v>1381</v>
      </c>
      <c r="N33" s="244" t="s">
        <v>1197</v>
      </c>
      <c r="O33" s="244" t="s">
        <v>1381</v>
      </c>
      <c r="P33" s="244" t="s">
        <v>1381</v>
      </c>
      <c r="Q33" s="244" t="s">
        <v>1381</v>
      </c>
      <c r="R33" s="244" t="s">
        <v>1381</v>
      </c>
      <c r="S33" s="244" t="s">
        <v>1381</v>
      </c>
      <c r="T33" s="244" t="s">
        <v>1381</v>
      </c>
      <c r="U33" s="244" t="s">
        <v>1381</v>
      </c>
      <c r="V33" s="244" t="s">
        <v>1381</v>
      </c>
      <c r="W33" s="225"/>
    </row>
    <row r="34" spans="2:23" ht="15.5">
      <c r="B34" s="429"/>
      <c r="C34" s="345">
        <v>4.4000000000000004</v>
      </c>
      <c r="D34" s="244"/>
      <c r="E34" s="244"/>
      <c r="F34" s="244" t="s">
        <v>1381</v>
      </c>
      <c r="G34" s="244" t="s">
        <v>1381</v>
      </c>
      <c r="H34" s="244" t="s">
        <v>1381</v>
      </c>
      <c r="I34" s="244" t="s">
        <v>1381</v>
      </c>
      <c r="J34" s="244" t="s">
        <v>1381</v>
      </c>
      <c r="K34" s="244" t="s">
        <v>1381</v>
      </c>
      <c r="L34" s="244" t="s">
        <v>1381</v>
      </c>
      <c r="M34" s="244" t="s">
        <v>1381</v>
      </c>
      <c r="N34" s="244" t="s">
        <v>1198</v>
      </c>
      <c r="O34" s="244" t="s">
        <v>1381</v>
      </c>
      <c r="P34" s="244" t="s">
        <v>1381</v>
      </c>
      <c r="Q34" s="244" t="s">
        <v>1381</v>
      </c>
      <c r="R34" s="244" t="s">
        <v>1381</v>
      </c>
      <c r="S34" s="244" t="s">
        <v>1381</v>
      </c>
      <c r="T34" s="244" t="s">
        <v>1381</v>
      </c>
      <c r="U34" s="244" t="s">
        <v>1381</v>
      </c>
      <c r="V34" s="244" t="s">
        <v>1381</v>
      </c>
      <c r="W34" s="225"/>
    </row>
    <row r="35" spans="2:23" ht="15.5">
      <c r="B35" s="430"/>
      <c r="C35" s="345">
        <v>4.5</v>
      </c>
      <c r="D35" s="244"/>
      <c r="E35" s="244"/>
      <c r="F35" s="244" t="s">
        <v>1381</v>
      </c>
      <c r="G35" s="244" t="s">
        <v>1381</v>
      </c>
      <c r="H35" s="244" t="s">
        <v>1381</v>
      </c>
      <c r="I35" s="244" t="s">
        <v>1381</v>
      </c>
      <c r="J35" s="244" t="s">
        <v>1381</v>
      </c>
      <c r="K35" s="244" t="s">
        <v>1381</v>
      </c>
      <c r="L35" s="244" t="s">
        <v>1381</v>
      </c>
      <c r="M35" s="244" t="s">
        <v>1381</v>
      </c>
      <c r="N35" s="244" t="s">
        <v>1197</v>
      </c>
      <c r="O35" s="244" t="s">
        <v>1381</v>
      </c>
      <c r="P35" s="244" t="s">
        <v>1381</v>
      </c>
      <c r="Q35" s="244" t="s">
        <v>1381</v>
      </c>
      <c r="R35" s="244" t="s">
        <v>1381</v>
      </c>
      <c r="S35" s="244" t="s">
        <v>1381</v>
      </c>
      <c r="T35" s="244" t="s">
        <v>1381</v>
      </c>
      <c r="U35" s="244" t="s">
        <v>1381</v>
      </c>
      <c r="V35" s="244" t="s">
        <v>1381</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33" t="s">
        <v>1206</v>
      </c>
      <c r="C37" s="244"/>
      <c r="D37" s="244"/>
      <c r="E37" s="244"/>
      <c r="F37" s="244"/>
      <c r="G37" s="244"/>
      <c r="H37" s="244"/>
      <c r="I37" s="244"/>
      <c r="J37" s="244"/>
      <c r="K37" s="244"/>
      <c r="L37" s="244"/>
      <c r="M37" s="244"/>
      <c r="N37" s="346" t="s">
        <v>1200</v>
      </c>
      <c r="O37" s="244"/>
      <c r="P37" s="244"/>
      <c r="Q37" s="244"/>
      <c r="R37" s="244"/>
      <c r="S37" s="244"/>
      <c r="T37" s="346" t="s">
        <v>1200</v>
      </c>
      <c r="U37" s="244"/>
      <c r="V37" s="244"/>
      <c r="W37" s="225"/>
    </row>
    <row r="38" spans="2:23" ht="15.5">
      <c r="B38" s="433"/>
      <c r="C38" s="243">
        <v>5.0999999999999996</v>
      </c>
      <c r="D38" s="244"/>
      <c r="E38" s="244"/>
      <c r="F38" s="244" t="s">
        <v>1381</v>
      </c>
      <c r="G38" s="244" t="s">
        <v>1381</v>
      </c>
      <c r="H38" s="244" t="s">
        <v>1381</v>
      </c>
      <c r="I38" s="244" t="s">
        <v>1381</v>
      </c>
      <c r="J38" s="244" t="s">
        <v>1381</v>
      </c>
      <c r="K38" s="244" t="s">
        <v>1381</v>
      </c>
      <c r="L38" s="244" t="s">
        <v>1381</v>
      </c>
      <c r="M38" s="244" t="s">
        <v>1381</v>
      </c>
      <c r="N38" s="244" t="s">
        <v>1197</v>
      </c>
      <c r="O38" s="244" t="s">
        <v>1381</v>
      </c>
      <c r="P38" s="244" t="s">
        <v>1381</v>
      </c>
      <c r="Q38" s="244" t="s">
        <v>1381</v>
      </c>
      <c r="R38" s="244" t="s">
        <v>1381</v>
      </c>
      <c r="S38" s="244" t="s">
        <v>1381</v>
      </c>
      <c r="T38" s="244" t="s">
        <v>1197</v>
      </c>
      <c r="U38" s="244" t="s">
        <v>1381</v>
      </c>
      <c r="V38" s="244" t="s">
        <v>1381</v>
      </c>
      <c r="W38" s="225"/>
    </row>
    <row r="39" spans="2:23" ht="15.5">
      <c r="B39" s="433"/>
      <c r="C39" s="243">
        <v>5.2</v>
      </c>
      <c r="D39" s="244"/>
      <c r="E39" s="244"/>
      <c r="F39" s="244" t="s">
        <v>1381</v>
      </c>
      <c r="G39" s="244" t="s">
        <v>1381</v>
      </c>
      <c r="H39" s="244" t="s">
        <v>1381</v>
      </c>
      <c r="I39" s="244" t="s">
        <v>1381</v>
      </c>
      <c r="J39" s="244" t="s">
        <v>1381</v>
      </c>
      <c r="K39" s="244" t="s">
        <v>1381</v>
      </c>
      <c r="L39" s="244" t="s">
        <v>1381</v>
      </c>
      <c r="M39" s="244" t="s">
        <v>1381</v>
      </c>
      <c r="N39" s="244" t="s">
        <v>1197</v>
      </c>
      <c r="O39" s="244" t="s">
        <v>1381</v>
      </c>
      <c r="P39" s="244" t="s">
        <v>1381</v>
      </c>
      <c r="Q39" s="244" t="s">
        <v>1381</v>
      </c>
      <c r="R39" s="244" t="s">
        <v>1381</v>
      </c>
      <c r="S39" s="244" t="s">
        <v>1381</v>
      </c>
      <c r="T39" s="244" t="s">
        <v>1381</v>
      </c>
      <c r="U39" s="244" t="s">
        <v>1381</v>
      </c>
      <c r="V39" s="244" t="s">
        <v>1381</v>
      </c>
      <c r="W39" s="225"/>
    </row>
    <row r="40" spans="2:23" ht="15.5">
      <c r="B40" s="433"/>
      <c r="C40" s="243">
        <v>5.3</v>
      </c>
      <c r="D40" s="244"/>
      <c r="E40" s="244"/>
      <c r="F40" s="244" t="s">
        <v>1381</v>
      </c>
      <c r="G40" s="244" t="s">
        <v>1381</v>
      </c>
      <c r="H40" s="244" t="s">
        <v>1381</v>
      </c>
      <c r="I40" s="244" t="s">
        <v>1381</v>
      </c>
      <c r="J40" s="244" t="s">
        <v>1381</v>
      </c>
      <c r="K40" s="244" t="s">
        <v>1381</v>
      </c>
      <c r="L40" s="244" t="s">
        <v>1381</v>
      </c>
      <c r="M40" s="244" t="s">
        <v>1381</v>
      </c>
      <c r="N40" s="244" t="s">
        <v>1197</v>
      </c>
      <c r="O40" s="244" t="s">
        <v>1381</v>
      </c>
      <c r="P40" s="244" t="s">
        <v>1381</v>
      </c>
      <c r="Q40" s="244" t="s">
        <v>1381</v>
      </c>
      <c r="R40" s="244" t="s">
        <v>1381</v>
      </c>
      <c r="S40" s="244" t="s">
        <v>1381</v>
      </c>
      <c r="T40" s="244" t="s">
        <v>1381</v>
      </c>
      <c r="U40" s="244" t="s">
        <v>1381</v>
      </c>
      <c r="V40" s="244" t="s">
        <v>1381</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34" t="s">
        <v>1185</v>
      </c>
      <c r="C50" s="434" t="s">
        <v>1186</v>
      </c>
      <c r="D50" s="435" t="s">
        <v>1187</v>
      </c>
      <c r="E50" s="435"/>
      <c r="F50" s="436" t="s">
        <v>1188</v>
      </c>
      <c r="G50" s="436"/>
      <c r="H50" s="435" t="s">
        <v>1189</v>
      </c>
      <c r="I50" s="435"/>
      <c r="J50" s="435"/>
      <c r="K50" s="435"/>
      <c r="L50" s="436" t="s">
        <v>1190</v>
      </c>
      <c r="M50" s="436"/>
      <c r="N50" s="436"/>
      <c r="O50" s="240" t="s">
        <v>1191</v>
      </c>
      <c r="P50" s="241" t="s">
        <v>1192</v>
      </c>
      <c r="Q50" s="435" t="s">
        <v>1193</v>
      </c>
      <c r="R50" s="435"/>
      <c r="S50" s="435"/>
      <c r="T50" s="436" t="s">
        <v>1194</v>
      </c>
      <c r="U50" s="436"/>
      <c r="V50" s="436"/>
      <c r="W50" s="237" t="s">
        <v>1195</v>
      </c>
    </row>
    <row r="51" spans="2:28" ht="15.5">
      <c r="B51" s="434"/>
      <c r="C51" s="434"/>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33"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33"/>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33"/>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33"/>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33"/>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33"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33"/>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33"/>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33"/>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33"/>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33"/>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33"/>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33"/>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33"/>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33"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33"/>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33"/>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33"/>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33"/>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33"/>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33"/>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33"/>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33"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33"/>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33"/>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33"/>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33"/>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33"/>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33"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33"/>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33"/>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33"/>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32</vt:i4>
      </vt:variant>
    </vt:vector>
  </HeadingPairs>
  <TitlesOfParts>
    <vt:vector size="7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CASPartDistinct</vt:lpstr>
      <vt:lpstr>CASPart_PA</vt:lpstr>
      <vt:lpstr>CASPart_PrjSup</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2021-01-22T13:28:12Z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