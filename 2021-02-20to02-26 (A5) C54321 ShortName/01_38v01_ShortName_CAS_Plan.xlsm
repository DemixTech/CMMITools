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S:\2021-02-20to02-26 (A5) C54321 ShortName\"/>
    </mc:Choice>
  </mc:AlternateContent>
  <xr:revisionPtr revIDLastSave="0" documentId="13_ncr:1_{0744E9DA-E8F4-4D6B-B9FB-FE5659A0CA94}" xr6:coauthVersionLast="46" xr6:coauthVersionMax="46" xr10:uidLastSave="{00000000-0000-0000-0000-000000000000}"/>
  <bookViews>
    <workbookView xWindow="-120" yWindow="-16320" windowWidth="29040" windowHeight="15840" tabRatio="881" firstSheet="8" activeTab="19" xr2:uid="{8ECBDB40-5440-4D64-8CF0-8AB92F9BA375}"/>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Check" sheetId="33" r:id="rId13"/>
    <sheet name="Responsibilities" sheetId="29" r:id="rId14"/>
    <sheet name="P1PA-SS" sheetId="15" r:id="rId15"/>
    <sheet name="P1PA-RSG" sheetId="16" r:id="rId16"/>
    <sheet name="P1PA-R" sheetId="18" r:id="rId17"/>
    <sheet name="P2CA" sheetId="56" r:id="rId18"/>
    <sheet name="P3RF" sheetId="55" r:id="rId19"/>
    <sheet name="Schedule" sheetId="30" r:id="rId20"/>
    <sheet name="PvtCheck1" sheetId="54" r:id="rId21"/>
    <sheet name="PvtCheck2" sheetId="53" r:id="rId22"/>
    <sheet name="Schedule2" sheetId="32" r:id="rId23"/>
    <sheet name="PvtPartDistinct" sheetId="60" r:id="rId24"/>
    <sheet name="PvtPart_PA" sheetId="42" r:id="rId25"/>
    <sheet name="PvtPart_PrjSup" sheetId="41" r:id="rId26"/>
    <sheet name="PvtPart_Session" sheetId="39" r:id="rId27"/>
    <sheet name="Schedule3" sheetId="43" r:id="rId28"/>
    <sheet name="ATM_PA" sheetId="44" r:id="rId29"/>
    <sheet name="Schedule4" sheetId="35" r:id="rId30"/>
    <sheet name="Schedule4Actual" sheetId="52" r:id="rId31"/>
    <sheet name="pptxCertificate" sheetId="46" r:id="rId32"/>
    <sheet name="pptxCover" sheetId="47" r:id="rId33"/>
    <sheet name="Standard" sheetId="40" r:id="rId34"/>
    <sheet name="Standard2" sheetId="50" r:id="rId35"/>
    <sheet name="Standard3" sheetId="51" r:id="rId36"/>
    <sheet name="OULC" sheetId="49" r:id="rId37"/>
    <sheet name="Tables" sheetId="4" r:id="rId38"/>
  </sheets>
  <externalReferences>
    <externalReference r:id="rId39"/>
    <externalReference r:id="rId40"/>
    <externalReference r:id="rId41"/>
  </externalReferences>
  <definedNames>
    <definedName name="_xlnm._FilterDatabase" localSheetId="8" hidden="1">Staff!$A$2:$Y$51</definedName>
    <definedName name="_xlnm._FilterDatabase" localSheetId="9" hidden="1">StaffGuide!$A$2:$Y$2</definedName>
    <definedName name="_xlnm._FilterDatabase" localSheetId="35" hidden="1">Standard3!$B$1:$D$18</definedName>
    <definedName name="_xlnm.Print_Area" localSheetId="28">ATM_PA!$A$1:$X$25</definedName>
    <definedName name="_xlnm.Print_Area" localSheetId="7">'Project&amp;Support'!$A$1:$AI$23</definedName>
    <definedName name="_xlnm.Print_Area" localSheetId="11">PvtStaffDistinct!$A$2:$A$31</definedName>
    <definedName name="_xlnm.Print_Area" localSheetId="22">Schedule2!$A$1:$N$21</definedName>
    <definedName name="_xlnm.Print_Area" localSheetId="29">Schedule4!$A$1:$G$110</definedName>
    <definedName name="_xlnm.Print_Area" localSheetId="30">Schedule4Actual!$A$1:$G$110</definedName>
    <definedName name="_xlnm.Print_Area" localSheetId="8">Staff!$A$2:$Y$52</definedName>
    <definedName name="_xlnm.Print_Area" localSheetId="9">StaffGuide!$A$2:$Y$2</definedName>
    <definedName name="_xlnm.Print_Area" localSheetId="35">Standard3!$B$1:$D$18</definedName>
    <definedName name="_xlnm.Print_Area" localSheetId="6">StartupInfo!$A$1:$B$50</definedName>
    <definedName name="_xlnm.Print_Titles" localSheetId="8">Staff!$2:$2</definedName>
    <definedName name="_xlnm.Print_Titles" localSheetId="9">StaffGuide!$2:$2</definedName>
    <definedName name="tbl_Application_domain">[1]TablesLookup!$A$2:$A$8</definedName>
    <definedName name="tbl_AppraisalArtifacts" localSheetId="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[2]Tables!$AF$5:$AF$19</definedName>
    <definedName name="tbl_COI">Tables!$AF$5:$AF$19</definedName>
    <definedName name="tbl_CollectionApproach" localSheetId="2">[2]Tables!$R$5:$R$7</definedName>
    <definedName name="tbl_CollectionApproach">Tables!$R$5:$R$7</definedName>
    <definedName name="tbl_collectiontechnique" localSheetId="2">[2]Tables!$T$5:$T$11</definedName>
    <definedName name="tbl_collectiontechnique">Tables!$T$5:$T$11</definedName>
    <definedName name="tbl_constraints" localSheetId="2">[2]Tables!$AB$5:$AB$11</definedName>
    <definedName name="tbl_constraints">Tables!$AB$5:$AB$11</definedName>
    <definedName name="tbl_country" localSheetId="2">[2]Tables!$B$5:$B$258</definedName>
    <definedName name="tbl_country">Tables!$B$5:$B$258</definedName>
    <definedName name="tbl_Day_of_week">[3]TableLookup!$C$2:$D$8</definedName>
    <definedName name="tbl_equipment" localSheetId="2">[2]Tables!$Z$5:$Z$17</definedName>
    <definedName name="tbl_equipment">Tables!$Z$5:$Z$17</definedName>
    <definedName name="tbl_followon" localSheetId="2">[2]Tables!$AH$5:$AH$9</definedName>
    <definedName name="tbl_followon">Tables!$AH$5:$AH$9</definedName>
    <definedName name="tbl_isic" localSheetId="2">[2]Tables!$D$5:$D$92</definedName>
    <definedName name="tbl_isic">Tables!$D$5:$D$92</definedName>
    <definedName name="tbl_logisticalRequirement" localSheetId="2">[2]Tables!$X$5:$X$9</definedName>
    <definedName name="tbl_logisticalRequirement">Tables!$X$5:$X$9</definedName>
    <definedName name="tbl_modelview" localSheetId="2">[2]Tables!$H$5:$H$9</definedName>
    <definedName name="tbl_modelview">Tables!$H$5:$H$9</definedName>
    <definedName name="tbl_PAcount" localSheetId="2">[2]Tables!$U$36:$Z$56</definedName>
    <definedName name="tbl_PAcount">Tables!$U$36:$Z$56</definedName>
    <definedName name="tbl_projectNames">'Project&amp;Support'!$A$3:$B$7</definedName>
    <definedName name="tbl_reportingRelationship" localSheetId="2">[2]Tables!$AJ$5:$AJ$10</definedName>
    <definedName name="tbl_reportingRelationship">Tables!$AJ$5:$AJ$10</definedName>
    <definedName name="tbl_responsibleEntity" localSheetId="2">[2]Tables!$V$5:$V$9</definedName>
    <definedName name="tbl_responsibleEntity">Tables!$V$5:$V$9</definedName>
    <definedName name="tbl_riskCategory" localSheetId="2">[2]Tables!$AD$5:$AD$11</definedName>
    <definedName name="tbl_riskCategory">Tables!$AD$5:$AD$11</definedName>
    <definedName name="tbl_sampling" localSheetId="2">[2]Tables!$L$5:$L$10</definedName>
    <definedName name="tbl_sampling">Tables!$L$5:$L$10</definedName>
    <definedName name="tbl_target" localSheetId="2">[2]Tables!$F$5:$F$9</definedName>
    <definedName name="tbl_target">Tables!$F$5:$F$9</definedName>
    <definedName name="tbl_timezone" localSheetId="2">[2]Tables!$N$5:$N$143</definedName>
    <definedName name="tbl_timezone">Tables!$N$5:$N$143</definedName>
  </definedNames>
  <calcPr calcId="191029"/>
  <pivotCaches>
    <pivotCache cacheId="0" r:id="rId42"/>
    <pivotCache cacheId="1" r:id="rId43"/>
    <pivotCache cacheId="2" r:id="rId44"/>
    <pivotCache cacheId="3" r:id="rId45"/>
    <pivotCache cacheId="4" r:id="rId46"/>
    <pivotCache cacheId="5" r:id="rId4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1" i="47" l="1"/>
  <c r="Y1" i="27"/>
  <c r="X1" i="27"/>
  <c r="W1" i="27"/>
  <c r="V1" i="27"/>
  <c r="U1" i="27"/>
  <c r="T1" i="27"/>
  <c r="S1" i="27"/>
  <c r="R1" i="27"/>
  <c r="Q1" i="27"/>
  <c r="P1" i="27"/>
  <c r="O1" i="27"/>
  <c r="N1" i="27"/>
  <c r="M1" i="27"/>
  <c r="L1" i="27"/>
  <c r="K1" i="27"/>
  <c r="J1" i="27"/>
  <c r="I1" i="27"/>
  <c r="H1" i="27"/>
  <c r="G1" i="27"/>
  <c r="F1" i="27"/>
  <c r="B23" i="19"/>
  <c r="B60" i="50" l="1"/>
  <c r="C60" i="50"/>
  <c r="D60" i="50"/>
  <c r="B61" i="50"/>
  <c r="C61" i="50"/>
  <c r="D61" i="50"/>
  <c r="B62" i="50"/>
  <c r="C62" i="50"/>
  <c r="D62" i="50"/>
  <c r="B63" i="50"/>
  <c r="C63" i="50"/>
  <c r="D63" i="50"/>
  <c r="B64" i="50"/>
  <c r="C64" i="50"/>
  <c r="D64" i="50"/>
  <c r="B65" i="50"/>
  <c r="C65" i="50"/>
  <c r="D65" i="50"/>
  <c r="C6" i="50"/>
  <c r="C7" i="50"/>
  <c r="C8" i="50"/>
  <c r="C9" i="50"/>
  <c r="C10" i="50"/>
  <c r="C11" i="50"/>
  <c r="B122" i="40" l="1"/>
  <c r="B120" i="40"/>
  <c r="B119" i="40"/>
  <c r="B117" i="40"/>
  <c r="B116" i="40"/>
  <c r="B114" i="40"/>
  <c r="B113" i="40"/>
  <c r="B13" i="51"/>
  <c r="B14" i="51"/>
  <c r="B15" i="51"/>
  <c r="B12" i="51"/>
  <c r="B3" i="51"/>
  <c r="B4" i="51"/>
  <c r="B5" i="51"/>
  <c r="B6" i="51"/>
  <c r="B7" i="51"/>
  <c r="B8" i="51"/>
  <c r="B9" i="51"/>
  <c r="B2" i="51"/>
  <c r="D13" i="51"/>
  <c r="D14" i="51"/>
  <c r="D15" i="51"/>
  <c r="D12" i="51"/>
  <c r="D3" i="51"/>
  <c r="D4" i="51"/>
  <c r="D5" i="51"/>
  <c r="D6" i="51"/>
  <c r="D7" i="51"/>
  <c r="D8" i="51"/>
  <c r="D9" i="51"/>
  <c r="D2" i="51"/>
  <c r="C13" i="51"/>
  <c r="C14" i="51"/>
  <c r="C15" i="51"/>
  <c r="C12" i="51"/>
  <c r="C3" i="51"/>
  <c r="C4" i="51"/>
  <c r="C5" i="51"/>
  <c r="C6" i="51"/>
  <c r="C7" i="51"/>
  <c r="C8" i="51"/>
  <c r="C9" i="51"/>
  <c r="D88" i="40"/>
  <c r="E88" i="40"/>
  <c r="F88" i="40"/>
  <c r="G88" i="40"/>
  <c r="H88" i="40"/>
  <c r="I88" i="40"/>
  <c r="J88" i="40"/>
  <c r="K88" i="40"/>
  <c r="L88" i="40"/>
  <c r="M88" i="40"/>
  <c r="N88" i="40"/>
  <c r="O88" i="40"/>
  <c r="P88" i="40"/>
  <c r="Q88" i="40"/>
  <c r="R88" i="40"/>
  <c r="S88" i="40"/>
  <c r="D89" i="40"/>
  <c r="E89" i="40"/>
  <c r="F89" i="40"/>
  <c r="G89" i="40"/>
  <c r="H89" i="40"/>
  <c r="I89" i="40"/>
  <c r="J89" i="40"/>
  <c r="K89" i="40"/>
  <c r="L89" i="40"/>
  <c r="M89" i="40"/>
  <c r="N89" i="40"/>
  <c r="O89" i="40"/>
  <c r="P89" i="40"/>
  <c r="Q89" i="40"/>
  <c r="R89" i="40"/>
  <c r="S89" i="40"/>
  <c r="D90" i="40"/>
  <c r="E90" i="40"/>
  <c r="F90" i="40"/>
  <c r="G90" i="40"/>
  <c r="H90" i="40"/>
  <c r="I90" i="40"/>
  <c r="J90" i="40"/>
  <c r="K90" i="40"/>
  <c r="L90" i="40"/>
  <c r="M90" i="40"/>
  <c r="N90" i="40"/>
  <c r="O90" i="40"/>
  <c r="P90" i="40"/>
  <c r="Q90" i="40"/>
  <c r="R90" i="40"/>
  <c r="S90" i="40"/>
  <c r="D91" i="40"/>
  <c r="E91" i="40"/>
  <c r="F91" i="40"/>
  <c r="G91" i="40"/>
  <c r="H91" i="40"/>
  <c r="I91" i="40"/>
  <c r="J91" i="40"/>
  <c r="K91" i="40"/>
  <c r="L91" i="40"/>
  <c r="M91" i="40"/>
  <c r="N91" i="40"/>
  <c r="O91" i="40"/>
  <c r="P91" i="40"/>
  <c r="Q91" i="40"/>
  <c r="R91" i="40"/>
  <c r="S91" i="40"/>
  <c r="C89" i="40"/>
  <c r="C90" i="40"/>
  <c r="C91" i="40"/>
  <c r="C92" i="40"/>
  <c r="C88" i="40"/>
  <c r="B89" i="40"/>
  <c r="B90" i="40"/>
  <c r="B91" i="40"/>
  <c r="B92" i="40"/>
  <c r="B88" i="40"/>
  <c r="B73" i="40"/>
  <c r="D87" i="40"/>
  <c r="E87" i="40"/>
  <c r="F87" i="40"/>
  <c r="G87" i="40"/>
  <c r="H87" i="40"/>
  <c r="I87" i="40"/>
  <c r="J87" i="40"/>
  <c r="K87" i="40"/>
  <c r="L87" i="40"/>
  <c r="M87" i="40"/>
  <c r="N87" i="40"/>
  <c r="O87" i="40"/>
  <c r="P87" i="40"/>
  <c r="Q87" i="40"/>
  <c r="R87" i="40"/>
  <c r="S87" i="40"/>
  <c r="C87" i="40"/>
  <c r="B87" i="40"/>
  <c r="B77" i="40"/>
  <c r="G74" i="40"/>
  <c r="G75" i="40"/>
  <c r="G76" i="40"/>
  <c r="G77" i="40"/>
  <c r="G78" i="40"/>
  <c r="F74" i="40"/>
  <c r="F75" i="40"/>
  <c r="F76" i="40"/>
  <c r="F77" i="40"/>
  <c r="F78" i="40"/>
  <c r="E74" i="40"/>
  <c r="E75" i="40"/>
  <c r="E76" i="40"/>
  <c r="E77" i="40"/>
  <c r="E78" i="40"/>
  <c r="D74" i="40"/>
  <c r="D75" i="40"/>
  <c r="D76" i="40"/>
  <c r="D77" i="40"/>
  <c r="D78" i="40"/>
  <c r="C74" i="40"/>
  <c r="C75" i="40"/>
  <c r="C76" i="40"/>
  <c r="C77" i="40"/>
  <c r="C78" i="40"/>
  <c r="H77" i="40"/>
  <c r="I77" i="40"/>
  <c r="J77" i="40"/>
  <c r="K77" i="40"/>
  <c r="L77" i="40"/>
  <c r="M77" i="40"/>
  <c r="N77" i="40"/>
  <c r="O77" i="40"/>
  <c r="P77" i="40"/>
  <c r="Q77" i="40"/>
  <c r="R77" i="40"/>
  <c r="S77" i="40"/>
  <c r="H78" i="40"/>
  <c r="I78" i="40"/>
  <c r="J78" i="40"/>
  <c r="K78" i="40"/>
  <c r="L78" i="40"/>
  <c r="M78" i="40"/>
  <c r="N78" i="40"/>
  <c r="O78" i="40"/>
  <c r="P78" i="40"/>
  <c r="Q78" i="40"/>
  <c r="R78" i="40"/>
  <c r="S78" i="40"/>
  <c r="B27" i="40" l="1"/>
  <c r="B28" i="40"/>
  <c r="B29" i="40"/>
  <c r="B30" i="40"/>
  <c r="B31" i="40"/>
  <c r="B32" i="40"/>
  <c r="B33" i="40"/>
  <c r="D10" i="44" l="1"/>
  <c r="D9" i="44"/>
  <c r="D8" i="44"/>
  <c r="D5" i="44"/>
  <c r="D6" i="44"/>
  <c r="D7" i="44"/>
  <c r="D11" i="44"/>
  <c r="Y14" i="59"/>
  <c r="X14" i="59"/>
  <c r="W14" i="59"/>
  <c r="V14" i="59"/>
  <c r="U14" i="59"/>
  <c r="T14" i="59"/>
  <c r="S14" i="59"/>
  <c r="R14" i="59"/>
  <c r="Q14" i="59"/>
  <c r="P14" i="59"/>
  <c r="O14" i="59"/>
  <c r="N14" i="59"/>
  <c r="M14" i="59"/>
  <c r="L14" i="59"/>
  <c r="K14" i="59"/>
  <c r="J14" i="59"/>
  <c r="I14" i="59"/>
  <c r="H14" i="59"/>
  <c r="G14" i="59"/>
  <c r="F14" i="59"/>
  <c r="I13" i="35" l="1"/>
  <c r="I14" i="35"/>
  <c r="I12" i="35"/>
  <c r="L12" i="35"/>
  <c r="L13" i="35"/>
  <c r="L14" i="35"/>
  <c r="A9" i="44"/>
  <c r="B9" i="44"/>
  <c r="C9" i="44"/>
  <c r="A10" i="44"/>
  <c r="B10" i="44"/>
  <c r="C10" i="44"/>
  <c r="A11" i="44"/>
  <c r="B11" i="44"/>
  <c r="C11" i="44"/>
  <c r="A6" i="44"/>
  <c r="B6" i="44"/>
  <c r="C6" i="44"/>
  <c r="A7" i="44"/>
  <c r="B7" i="44"/>
  <c r="C7" i="44"/>
  <c r="A8" i="44"/>
  <c r="B8" i="44"/>
  <c r="C8" i="44"/>
  <c r="I5" i="32"/>
  <c r="I6" i="32"/>
  <c r="I12" i="32"/>
  <c r="I13" i="32"/>
  <c r="I14" i="32"/>
  <c r="I15" i="32"/>
  <c r="I20" i="32"/>
  <c r="K20" i="32" s="1"/>
  <c r="L20" i="32" s="1"/>
  <c r="M20" i="32" s="1"/>
  <c r="I21" i="32"/>
  <c r="I22" i="32"/>
  <c r="I23" i="32"/>
  <c r="I24" i="32"/>
  <c r="I25" i="32"/>
  <c r="I26" i="32"/>
  <c r="K26" i="32" s="1"/>
  <c r="L26" i="32" s="1"/>
  <c r="M26" i="32" s="1"/>
  <c r="I27" i="32"/>
  <c r="K27" i="32" s="1"/>
  <c r="L27" i="32" s="1"/>
  <c r="M27" i="32" s="1"/>
  <c r="I3" i="32"/>
  <c r="I4" i="32"/>
  <c r="I2" i="32"/>
  <c r="K12" i="32" l="1"/>
  <c r="L12" i="32" s="1"/>
  <c r="M12" i="32" s="1"/>
  <c r="K2" i="32"/>
  <c r="L2" i="32" s="1"/>
  <c r="M2" i="32" s="1"/>
  <c r="K21" i="32"/>
  <c r="L21" i="32" s="1"/>
  <c r="M21" i="32" s="1"/>
  <c r="B18" i="15" l="1"/>
  <c r="B7" i="24" l="1"/>
  <c r="B8" i="24"/>
  <c r="B21" i="15" s="1"/>
  <c r="B4" i="24"/>
  <c r="I85" i="15" l="1"/>
  <c r="C2" i="51" l="1"/>
  <c r="H74" i="40"/>
  <c r="I74" i="40"/>
  <c r="J74" i="40"/>
  <c r="K74" i="40"/>
  <c r="L74" i="40"/>
  <c r="M74" i="40"/>
  <c r="N74" i="40"/>
  <c r="O74" i="40"/>
  <c r="P74" i="40"/>
  <c r="Q74" i="40"/>
  <c r="R74" i="40"/>
  <c r="S74" i="40"/>
  <c r="H75" i="40"/>
  <c r="I75" i="40"/>
  <c r="J75" i="40"/>
  <c r="K75" i="40"/>
  <c r="L75" i="40"/>
  <c r="M75" i="40"/>
  <c r="N75" i="40"/>
  <c r="O75" i="40"/>
  <c r="P75" i="40"/>
  <c r="Q75" i="40"/>
  <c r="R75" i="40"/>
  <c r="S75" i="40"/>
  <c r="H76" i="40"/>
  <c r="I76" i="40"/>
  <c r="J76" i="40"/>
  <c r="K76" i="40"/>
  <c r="L76" i="40"/>
  <c r="M76" i="40"/>
  <c r="N76" i="40"/>
  <c r="O76" i="40"/>
  <c r="P76" i="40"/>
  <c r="Q76" i="40"/>
  <c r="R76" i="40"/>
  <c r="S76" i="40"/>
  <c r="D73" i="40"/>
  <c r="E73" i="40"/>
  <c r="F73" i="40"/>
  <c r="G73" i="40"/>
  <c r="H73" i="40"/>
  <c r="I73" i="40"/>
  <c r="J73" i="40"/>
  <c r="K73" i="40"/>
  <c r="L73" i="40"/>
  <c r="M73" i="40"/>
  <c r="N73" i="40"/>
  <c r="O73" i="40"/>
  <c r="P73" i="40"/>
  <c r="Q73" i="40"/>
  <c r="R73" i="40"/>
  <c r="S73" i="40"/>
  <c r="C73" i="40"/>
  <c r="B41" i="19" l="1"/>
  <c r="B6" i="15"/>
  <c r="A15" i="52" l="1"/>
  <c r="I13" i="52"/>
  <c r="L12" i="52"/>
  <c r="I12" i="52"/>
  <c r="L11" i="52"/>
  <c r="M11" i="52" s="1"/>
  <c r="J11" i="52" l="1"/>
  <c r="C51" i="50" l="1"/>
  <c r="D50" i="50"/>
  <c r="B50" i="50"/>
  <c r="C58" i="50" l="1"/>
  <c r="C59" i="50"/>
  <c r="D59" i="50"/>
  <c r="B59" i="50"/>
  <c r="D57" i="50"/>
  <c r="C57" i="50"/>
  <c r="E2" i="51" l="1"/>
  <c r="A2" i="51"/>
  <c r="A8" i="51" s="1"/>
  <c r="A9" i="51" s="1"/>
  <c r="C3" i="50" l="1"/>
  <c r="C4" i="50"/>
  <c r="B57" i="50" s="1"/>
  <c r="C5" i="50"/>
  <c r="B15" i="47" l="1"/>
  <c r="B16" i="47"/>
  <c r="B17" i="47"/>
  <c r="E48" i="43" l="1"/>
  <c r="B13" i="24" l="1"/>
  <c r="B15" i="24"/>
  <c r="B14" i="24"/>
  <c r="A15" i="24"/>
  <c r="A14" i="24"/>
  <c r="D3" i="44"/>
  <c r="D16" i="44"/>
  <c r="D17" i="44"/>
  <c r="D2" i="44"/>
  <c r="B5" i="44"/>
  <c r="B16" i="44"/>
  <c r="B17" i="44"/>
  <c r="C5" i="44"/>
  <c r="C16" i="44"/>
  <c r="C17" i="44"/>
  <c r="A3" i="44"/>
  <c r="A5" i="44"/>
  <c r="A16" i="44"/>
  <c r="A17" i="44"/>
  <c r="A2" i="44"/>
  <c r="Z37" i="4" l="1"/>
  <c r="B26" i="40" l="1"/>
  <c r="C27" i="47" l="1"/>
  <c r="B12" i="47"/>
  <c r="B31" i="47" s="1"/>
  <c r="B11" i="47"/>
  <c r="B10" i="47"/>
  <c r="B7" i="47"/>
  <c r="G13" i="46"/>
  <c r="G12" i="46"/>
  <c r="G11" i="46"/>
  <c r="G9" i="46"/>
  <c r="E6" i="46"/>
  <c r="B27" i="47" l="1"/>
  <c r="B130" i="40" l="1"/>
  <c r="B129" i="40"/>
  <c r="B125" i="40" l="1"/>
  <c r="B124" i="40"/>
  <c r="B101" i="40"/>
  <c r="B102" i="40"/>
  <c r="B103" i="40"/>
  <c r="B104" i="40"/>
  <c r="B105" i="40"/>
  <c r="B106" i="40"/>
  <c r="B107" i="40"/>
  <c r="B95" i="40"/>
  <c r="B100" i="40"/>
  <c r="D92" i="40"/>
  <c r="E92" i="40"/>
  <c r="F92" i="40"/>
  <c r="G92" i="40"/>
  <c r="H92" i="40"/>
  <c r="I92" i="40"/>
  <c r="J92" i="40"/>
  <c r="K92" i="40"/>
  <c r="L92" i="40"/>
  <c r="M92" i="40"/>
  <c r="N92" i="40"/>
  <c r="O92" i="40"/>
  <c r="P92" i="40"/>
  <c r="Q92" i="40"/>
  <c r="R92" i="40"/>
  <c r="S92" i="40"/>
  <c r="T87" i="40"/>
  <c r="B74" i="40"/>
  <c r="B75" i="40"/>
  <c r="B76" i="40"/>
  <c r="B78" i="40"/>
  <c r="B79" i="40"/>
  <c r="B80" i="40"/>
  <c r="B81" i="40"/>
  <c r="B82" i="40"/>
  <c r="B83" i="40"/>
  <c r="B84" i="40"/>
  <c r="T77" i="40"/>
  <c r="U77" i="40"/>
  <c r="T78" i="40"/>
  <c r="U78" i="40"/>
  <c r="T73" i="40"/>
  <c r="U73" i="40"/>
  <c r="T74" i="40"/>
  <c r="U74" i="40"/>
  <c r="T75" i="40"/>
  <c r="U75" i="40"/>
  <c r="T76" i="40"/>
  <c r="U76" i="40"/>
  <c r="U72" i="40"/>
  <c r="O72" i="40"/>
  <c r="P72" i="40"/>
  <c r="Q72" i="40"/>
  <c r="R72" i="40"/>
  <c r="S72" i="40"/>
  <c r="T72" i="40"/>
  <c r="D72" i="40"/>
  <c r="E72" i="40"/>
  <c r="F72" i="40"/>
  <c r="G72" i="40"/>
  <c r="H72" i="40"/>
  <c r="I72" i="40"/>
  <c r="J72" i="40"/>
  <c r="K72" i="40"/>
  <c r="L72" i="40"/>
  <c r="M72" i="40"/>
  <c r="N72" i="40"/>
  <c r="C72" i="40"/>
  <c r="B72" i="40"/>
  <c r="B99" i="40" s="1"/>
  <c r="B69" i="40"/>
  <c r="B70" i="40"/>
  <c r="B96" i="40" s="1"/>
  <c r="B68" i="40"/>
  <c r="B66" i="40"/>
  <c r="B64" i="40"/>
  <c r="B65" i="40"/>
  <c r="B63" i="40"/>
  <c r="V87" i="15" l="1"/>
  <c r="C20" i="44" l="1"/>
  <c r="C3" i="44"/>
  <c r="J11" i="35" l="1"/>
  <c r="A77" i="43"/>
  <c r="A67" i="43"/>
  <c r="A71" i="43"/>
  <c r="A72" i="43"/>
  <c r="A52" i="43"/>
  <c r="A60" i="43"/>
  <c r="A59" i="43"/>
  <c r="A58" i="43"/>
  <c r="A56" i="43"/>
  <c r="A57" i="43"/>
  <c r="A55" i="43"/>
  <c r="A51" i="43"/>
  <c r="A48" i="43"/>
  <c r="A49" i="43"/>
  <c r="A50" i="43"/>
  <c r="A47" i="43"/>
  <c r="A18" i="43"/>
  <c r="A75" i="43" s="1"/>
  <c r="A19" i="43"/>
  <c r="A76" i="43" s="1"/>
  <c r="A17" i="43"/>
  <c r="A74" i="43" s="1"/>
  <c r="A16" i="43"/>
  <c r="A73" i="43" s="1"/>
  <c r="A8" i="43"/>
  <c r="A65" i="43" s="1"/>
  <c r="A15" i="43"/>
  <c r="A14" i="43"/>
  <c r="A12" i="43"/>
  <c r="A69" i="43" s="1"/>
  <c r="A13" i="43"/>
  <c r="A70" i="43" s="1"/>
  <c r="A11" i="43"/>
  <c r="A68" i="43" s="1"/>
  <c r="A9" i="43"/>
  <c r="A66" i="43" s="1"/>
  <c r="A10" i="43"/>
  <c r="G87" i="15" l="1"/>
  <c r="F87" i="15"/>
  <c r="E87" i="15"/>
  <c r="B44" i="24" l="1"/>
  <c r="L11" i="35"/>
  <c r="M11" i="35" s="1"/>
  <c r="D86" i="15"/>
  <c r="D51" i="50" s="1"/>
  <c r="D85" i="15"/>
  <c r="B30" i="19"/>
  <c r="I4" i="52" s="1"/>
  <c r="D87" i="15" l="1"/>
  <c r="D58" i="50" s="1"/>
  <c r="I5" i="52"/>
  <c r="C16" i="52"/>
  <c r="B19" i="47"/>
  <c r="B131" i="40"/>
  <c r="B27" i="19"/>
  <c r="D4" i="35"/>
  <c r="D4" i="52" s="1"/>
  <c r="D17" i="52" s="1"/>
  <c r="D36" i="52" s="1"/>
  <c r="D55" i="52" s="1"/>
  <c r="D74" i="52" s="1"/>
  <c r="D93" i="52" s="1"/>
  <c r="B25" i="24"/>
  <c r="B26" i="19" l="1"/>
  <c r="I3" i="35"/>
  <c r="K3" i="52"/>
  <c r="I3" i="52"/>
  <c r="I6" i="52"/>
  <c r="C35" i="52"/>
  <c r="K3" i="35"/>
  <c r="B37" i="18"/>
  <c r="B38" i="18"/>
  <c r="B39" i="18"/>
  <c r="B40" i="18"/>
  <c r="B41" i="18"/>
  <c r="B36" i="18"/>
  <c r="L3" i="35" l="1"/>
  <c r="L4" i="35" s="1"/>
  <c r="L5" i="35" s="1"/>
  <c r="B20" i="19"/>
  <c r="B23" i="47"/>
  <c r="A2" i="52"/>
  <c r="C54" i="52"/>
  <c r="I7" i="52"/>
  <c r="L3" i="52"/>
  <c r="C3" i="52"/>
  <c r="J3" i="35"/>
  <c r="J4" i="35"/>
  <c r="I28" i="38"/>
  <c r="I29" i="38"/>
  <c r="I30" i="38"/>
  <c r="B24" i="19"/>
  <c r="B101" i="18"/>
  <c r="I27" i="38"/>
  <c r="I26" i="38"/>
  <c r="I25" i="38"/>
  <c r="I24" i="38"/>
  <c r="I23" i="38"/>
  <c r="I22" i="38"/>
  <c r="I21" i="38"/>
  <c r="I20" i="38"/>
  <c r="I19" i="38"/>
  <c r="I18" i="38"/>
  <c r="I17" i="38"/>
  <c r="I16" i="38"/>
  <c r="I15" i="38"/>
  <c r="I14" i="38"/>
  <c r="I13" i="38"/>
  <c r="I12" i="38"/>
  <c r="I11" i="38"/>
  <c r="I10" i="38"/>
  <c r="I9" i="38"/>
  <c r="I8" i="38"/>
  <c r="I7" i="38"/>
  <c r="B122" i="18" l="1"/>
  <c r="B123" i="18" s="1"/>
  <c r="B97" i="18"/>
  <c r="B21" i="19"/>
  <c r="L4" i="52"/>
  <c r="J3" i="52"/>
  <c r="A3" i="52" s="1"/>
  <c r="F3" i="52" s="1"/>
  <c r="C73" i="52"/>
  <c r="I8" i="52"/>
  <c r="L6" i="35"/>
  <c r="J5" i="35"/>
  <c r="B56" i="15"/>
  <c r="A2" i="35"/>
  <c r="A7" i="43"/>
  <c r="A64" i="43" s="1"/>
  <c r="A3" i="43"/>
  <c r="A6" i="43" s="1"/>
  <c r="A63" i="43" s="1"/>
  <c r="B3" i="15"/>
  <c r="B112" i="18" l="1"/>
  <c r="B113" i="18"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2" i="44" s="1"/>
  <c r="B86" i="15"/>
  <c r="V85" i="15"/>
  <c r="Y85" i="15" s="1"/>
  <c r="B85" i="15"/>
  <c r="B77" i="15"/>
  <c r="B76" i="15"/>
  <c r="B75" i="15"/>
  <c r="B4" i="15"/>
  <c r="B14" i="19"/>
  <c r="B38" i="15"/>
  <c r="B31" i="15"/>
  <c r="B32" i="15"/>
  <c r="B33" i="15"/>
  <c r="B34" i="15"/>
  <c r="B26" i="15"/>
  <c r="B40" i="19"/>
  <c r="A15" i="35"/>
  <c r="E4" i="35"/>
  <c r="E4" i="52" s="1"/>
  <c r="E17" i="52" s="1"/>
  <c r="E36" i="52" s="1"/>
  <c r="E55" i="52" s="1"/>
  <c r="E74" i="52" s="1"/>
  <c r="E93" i="52" s="1"/>
  <c r="B64" i="15"/>
  <c r="B63" i="15"/>
  <c r="B57" i="15"/>
  <c r="B53" i="15"/>
  <c r="I4" i="35"/>
  <c r="B16" i="19"/>
  <c r="B33" i="19"/>
  <c r="B24" i="15"/>
  <c r="B23" i="15"/>
  <c r="B19" i="15"/>
  <c r="B20" i="15"/>
  <c r="B22" i="15"/>
  <c r="B11" i="24"/>
  <c r="E12" i="51" l="1"/>
  <c r="B97" i="40"/>
  <c r="B110" i="40" s="1"/>
  <c r="B21" i="47"/>
  <c r="G23" i="47" s="1"/>
  <c r="B32" i="19"/>
  <c r="B36" i="19" s="1"/>
  <c r="B6" i="19" s="1"/>
  <c r="B2" i="44"/>
  <c r="B51" i="50"/>
  <c r="B5" i="47"/>
  <c r="B38" i="40"/>
  <c r="D5" i="46"/>
  <c r="B6" i="47"/>
  <c r="B39"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58" i="50"/>
  <c r="B34" i="40"/>
  <c r="B69" i="15"/>
  <c r="B37" i="19"/>
  <c r="B70" i="15" s="1"/>
  <c r="D25" i="47" s="1"/>
  <c r="D26" i="47" s="1"/>
  <c r="D27" i="47" s="1"/>
  <c r="G25" i="47"/>
  <c r="G22" i="47"/>
  <c r="B3" i="44"/>
  <c r="B1" i="40"/>
  <c r="A1" i="46"/>
  <c r="A20" i="44"/>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4" i="35"/>
  <c r="C3" i="35"/>
  <c r="A3" i="35"/>
  <c r="F3" i="35" s="1"/>
  <c r="C17" i="35" l="1"/>
  <c r="C36" i="35" s="1"/>
  <c r="C55" i="35" s="1"/>
  <c r="C74" i="35" s="1"/>
  <c r="C93" i="35" s="1"/>
  <c r="C4" i="52"/>
  <c r="C17" i="52" s="1"/>
  <c r="C36" i="52" s="1"/>
  <c r="C55" i="52" s="1"/>
  <c r="C74" i="52" s="1"/>
  <c r="C93" i="52" s="1"/>
  <c r="I5" i="35"/>
  <c r="C35" i="35" s="1"/>
  <c r="I6" i="35" l="1"/>
  <c r="C54" i="35" s="1"/>
  <c r="I7" i="35" l="1"/>
  <c r="C73" i="35" s="1"/>
  <c r="I8" i="35" l="1"/>
  <c r="C92" i="35" s="1"/>
  <c r="I9" i="35" l="1"/>
  <c r="B133" i="15" l="1"/>
  <c r="B48" i="15" l="1"/>
  <c r="B47" i="15"/>
  <c r="C108" i="15" l="1"/>
  <c r="C114" i="15"/>
  <c r="C117" i="15"/>
  <c r="C111" i="15"/>
  <c r="C105" i="15"/>
  <c r="C89" i="15"/>
  <c r="C83" i="15"/>
  <c r="C73" i="15"/>
  <c r="C44" i="15"/>
  <c r="C30" i="15"/>
  <c r="C15" i="15"/>
  <c r="C2" i="15"/>
  <c r="B3" i="19"/>
  <c r="B16" i="15"/>
  <c r="B121" i="18"/>
  <c r="B111" i="18"/>
  <c r="B128" i="18"/>
  <c r="B126" i="18"/>
  <c r="B124" i="18"/>
  <c r="B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<sst xmlns="http://schemas.openxmlformats.org/spreadsheetml/2006/main" count="4753" uniqueCount="1573">
  <si>
    <t>AGREEMENT 3 - LEAD APPRAISER and DEMIX</t>
  </si>
  <si>
    <t>Access record number</t>
  </si>
  <si>
    <t>Access version number</t>
  </si>
  <si>
    <t>SAS ID</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</si>
  <si>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</si>
  <si>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</si>
  <si>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</si>
  <si>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</si>
  <si>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</si>
  <si>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</si>
  <si>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</si>
  <si>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</si>
  <si>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</si>
  <si>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</si>
  <si>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</si>
  <si>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</si>
  <si>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</si>
  <si>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</si>
  <si>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</si>
  <si>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</si>
  <si>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</si>
  <si>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</si>
  <si>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</si>
  <si>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</si>
  <si>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</si>
  <si>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</si>
  <si>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</si>
  <si>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</si>
  <si>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</si>
  <si>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</si>
  <si>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</si>
  <si>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</si>
  <si>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</si>
  <si>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</si>
  <si>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</si>
  <si>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</si>
  <si>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</si>
  <si>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</si>
  <si>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</si>
  <si>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</si>
  <si>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</si>
  <si>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</si>
  <si>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</si>
  <si>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</si>
  <si>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</si>
  <si>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</si>
  <si>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</si>
  <si>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</si>
  <si>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</si>
  <si>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</si>
  <si>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</si>
  <si>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</si>
  <si>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</si>
  <si>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</si>
  <si>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</si>
  <si>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</si>
  <si>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</si>
  <si>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</si>
  <si>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</si>
  <si>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</si>
  <si>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</si>
  <si>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</si>
  <si>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</si>
  <si>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</si>
  <si>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</si>
  <si>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</si>
  <si>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</si>
  <si>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</si>
  <si>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</si>
  <si>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</si>
  <si>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</si>
  <si>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</si>
  <si>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</si>
  <si>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</si>
  <si>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</si>
  <si>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</si>
  <si>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</si>
  <si>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</si>
  <si>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</si>
  <si>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</si>
  <si>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</si>
  <si>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</si>
  <si>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</si>
  <si>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</si>
  <si>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</si>
  <si>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</si>
  <si>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</si>
  <si>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</si>
  <si>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</si>
  <si>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</si>
  <si>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</si>
  <si>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</si>
  <si>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</si>
  <si>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</si>
  <si>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</si>
  <si>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</si>
  <si>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</si>
  <si>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</si>
  <si>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</si>
  <si>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</si>
  <si>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</si>
  <si>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</si>
  <si>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</si>
  <si>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</si>
  <si>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</si>
  <si>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</si>
  <si>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</si>
  <si>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</si>
  <si>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</si>
  <si>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</si>
  <si>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</si>
  <si>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</si>
  <si>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</si>
  <si>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</si>
  <si>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</si>
  <si>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</si>
  <si>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</si>
  <si>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</si>
  <si>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</si>
  <si>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</si>
  <si>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</si>
  <si>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</si>
  <si>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</si>
  <si>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</si>
  <si>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</si>
  <si>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</si>
  <si>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</si>
  <si>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</si>
  <si>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</si>
  <si>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</si>
  <si>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</si>
  <si>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</si>
  <si>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</si>
  <si>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</si>
  <si>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</si>
  <si>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</si>
  <si>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</si>
  <si>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</si>
  <si>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</si>
  <si>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</si>
  <si>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</si>
  <si>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</si>
  <si>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</si>
  <si>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</si>
  <si>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</si>
  <si>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</si>
  <si>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</si>
  <si>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</si>
  <si>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</si>
  <si>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</si>
  <si>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</si>
  <si>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</si>
  <si>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</si>
  <si>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</si>
  <si>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</si>
  <si>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</si>
  <si>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</si>
  <si>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</si>
  <si>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</si>
  <si>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</si>
  <si>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</si>
  <si>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</si>
  <si>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</si>
  <si>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</si>
  <si>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</si>
  <si>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</si>
  <si>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</si>
  <si>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</si>
  <si>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</si>
  <si>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</si>
  <si>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</si>
  <si>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</si>
  <si>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</si>
  <si>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</si>
  <si>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</si>
  <si>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</si>
  <si>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</si>
  <si>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</si>
  <si>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</si>
  <si>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</si>
  <si>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</si>
  <si>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</si>
  <si>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</si>
  <si>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</si>
  <si>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</si>
  <si>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</si>
  <si>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</si>
  <si>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</si>
  <si>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</si>
  <si>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</si>
  <si>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</si>
  <si>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</si>
  <si>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</si>
  <si>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</si>
  <si>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</si>
  <si>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</si>
  <si>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</si>
  <si>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</si>
  <si>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</si>
  <si>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</si>
  <si>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</si>
  <si>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</si>
  <si>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</si>
  <si>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</si>
  <si>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</si>
  <si>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</si>
  <si>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</si>
  <si>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</si>
  <si>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</si>
  <si>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</si>
  <si>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</si>
  <si>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</si>
  <si>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</si>
  <si>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</si>
  <si>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</si>
  <si>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</si>
  <si>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</si>
  <si>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</si>
  <si>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</si>
  <si>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</si>
  <si>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</si>
  <si>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</si>
  <si>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</si>
  <si>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</si>
  <si>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</si>
  <si>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</si>
  <si>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</si>
  <si>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</si>
  <si>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</si>
  <si>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</si>
  <si>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</si>
  <si>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</si>
  <si>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</si>
  <si>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</si>
  <si>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</si>
  <si>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</si>
  <si>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</si>
  <si>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</si>
  <si>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</si>
  <si>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</si>
  <si>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</si>
  <si>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</si>
  <si>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</si>
  <si>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</si>
  <si>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</si>
  <si>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</si>
  <si>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</si>
  <si>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</si>
  <si>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</si>
  <si>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</si>
  <si>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</si>
  <si>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</si>
  <si>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</si>
  <si>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</si>
  <si>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</si>
  <si>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</si>
  <si>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</si>
  <si>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</si>
  <si>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</si>
  <si>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</si>
  <si>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</si>
  <si>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</si>
  <si>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</si>
  <si>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</si>
  <si>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</si>
  <si>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</si>
  <si>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</si>
  <si>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</si>
  <si>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</si>
  <si>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</si>
  <si>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</si>
  <si>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</si>
  <si>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</si>
  <si>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</si>
  <si>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</si>
  <si>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</si>
  <si>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</si>
  <si>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</si>
  <si>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</si>
  <si>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</si>
  <si>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</si>
  <si>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</si>
  <si>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</si>
  <si>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</si>
  <si>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</si>
  <si>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</si>
  <si>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</si>
  <si>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</si>
  <si>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</si>
  <si>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</si>
  <si>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</si>
  <si>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</si>
  <si>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</si>
  <si>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</si>
  <si>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</si>
  <si>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</si>
  <si>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</si>
  <si>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</si>
  <si>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</si>
  <si>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</si>
  <si>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</si>
  <si>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</si>
  <si>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</si>
  <si>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</si>
  <si>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</si>
  <si>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</si>
  <si>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</si>
  <si>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</si>
  <si>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</si>
  <si>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</si>
  <si>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</si>
  <si>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</si>
  <si>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</si>
  <si>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</si>
  <si>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</si>
  <si>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</si>
  <si>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</si>
  <si>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</si>
  <si>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</si>
  <si>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</si>
  <si>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</si>
  <si>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</si>
  <si>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</si>
  <si>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</si>
  <si>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</si>
  <si>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</si>
  <si>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</si>
  <si>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</si>
  <si>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</si>
  <si>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</si>
  <si>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</si>
  <si>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</si>
  <si>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</si>
  <si>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</si>
  <si>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</si>
  <si>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</si>
  <si>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</si>
  <si>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</si>
  <si>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</si>
  <si>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</si>
  <si>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</si>
  <si>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</si>
  <si>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</si>
  <si>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</si>
  <si>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</si>
  <si>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</si>
  <si>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</si>
  <si>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</si>
  <si>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</si>
  <si>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</si>
  <si>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</si>
  <si>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</si>
  <si>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</si>
  <si>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</si>
  <si>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</si>
  <si>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</si>
  <si>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</si>
  <si>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</si>
  <si>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</si>
  <si>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</si>
  <si>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</si>
  <si>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</si>
  <si>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</si>
  <si>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</si>
  <si>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</si>
  <si>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</si>
  <si>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</si>
  <si>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</si>
  <si>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</si>
  <si>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</si>
  <si>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</si>
  <si>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</si>
  <si>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</si>
  <si>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</si>
  <si>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</si>
  <si>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</si>
  <si>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</si>
  <si>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</si>
  <si>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</si>
  <si>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</si>
  <si>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</si>
  <si>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</si>
  <si>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</si>
  <si>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</si>
  <si>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</si>
  <si>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</si>
  <si>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</si>
  <si>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</si>
  <si>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</si>
  <si>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</si>
  <si>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</si>
  <si>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</si>
  <si>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</si>
  <si>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</si>
  <si>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</si>
  <si>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</si>
  <si>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</si>
  <si>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</si>
  <si>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</si>
  <si>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</si>
  <si>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</si>
  <si>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</si>
  <si>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</si>
  <si>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</si>
  <si>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</si>
  <si>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</si>
  <si>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</si>
  <si>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</si>
  <si>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</si>
  <si>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</si>
  <si>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</si>
  <si>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</si>
  <si>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</si>
  <si>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</si>
  <si>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</si>
  <si>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</si>
  <si>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</si>
  <si>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</si>
  <si>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</si>
  <si>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</si>
  <si>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</si>
  <si>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</si>
  <si>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</si>
  <si>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</si>
  <si>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</si>
  <si>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</si>
  <si>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</si>
  <si>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</si>
  <si>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</si>
  <si>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</si>
  <si>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</si>
  <si>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</si>
  <si>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</si>
  <si>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</si>
  <si>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</si>
  <si>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</si>
  <si>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</si>
  <si>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</si>
  <si>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</si>
  <si>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</si>
  <si>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</si>
  <si>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</si>
  <si>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</si>
  <si>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</si>
  <si>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</si>
  <si>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</si>
  <si>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</si>
  <si>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</si>
  <si>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</si>
  <si>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</si>
  <si>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</si>
  <si>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</si>
  <si>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</si>
  <si>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</si>
  <si>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</si>
  <si>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</si>
  <si>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</si>
  <si>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</si>
  <si>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</si>
  <si>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</si>
  <si>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</si>
  <si>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</si>
  <si>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</si>
  <si>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</si>
  <si>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</si>
  <si>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</si>
  <si>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</si>
  <si>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</si>
  <si>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</si>
  <si>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</si>
  <si>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</si>
  <si>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</si>
  <si>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</si>
  <si>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</si>
  <si>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</si>
  <si>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</si>
  <si>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</si>
  <si>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</si>
  <si>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</si>
  <si>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</si>
  <si>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</si>
  <si>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</si>
  <si>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</si>
  <si>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</si>
  <si>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</si>
  <si>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</si>
  <si>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</si>
  <si>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</si>
  <si>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</si>
  <si>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</si>
  <si>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</si>
  <si>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</si>
  <si>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</si>
  <si>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</si>
  <si>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</si>
  <si>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</si>
  <si>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</si>
  <si>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</si>
  <si>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</si>
  <si>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</si>
  <si>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</si>
  <si>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</si>
  <si>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</si>
  <si>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</si>
  <si>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</si>
  <si>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</si>
  <si>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</si>
  <si>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</si>
  <si>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</si>
  <si>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</si>
  <si>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</si>
  <si>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</si>
  <si>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</si>
  <si>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</si>
  <si>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</si>
  <si>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</si>
  <si>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</si>
  <si>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</si>
  <si>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</si>
  <si>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</si>
  <si>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</si>
  <si>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</si>
  <si>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</si>
  <si>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</si>
  <si>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</si>
  <si>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</si>
  <si>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</si>
  <si>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</si>
  <si>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</si>
  <si>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</si>
  <si>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</si>
  <si>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</si>
  <si>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</si>
  <si>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</si>
  <si>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</si>
  <si>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</si>
  <si>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</si>
  <si>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</si>
  <si>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</si>
  <si>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</si>
  <si>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</si>
  <si>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</si>
  <si>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</si>
  <si>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</si>
  <si>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</si>
  <si>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</si>
  <si>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</si>
  <si>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</si>
  <si>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</si>
  <si>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</si>
  <si>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</si>
  <si>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</si>
  <si>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</si>
  <si>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</si>
  <si>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</si>
  <si>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</si>
  <si>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</si>
  <si>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</si>
  <si>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</si>
  <si>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</si>
  <si>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</si>
  <si>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</si>
  <si>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</si>
  <si>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</si>
  <si>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</si>
  <si>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</si>
  <si>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</si>
  <si>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</si>
  <si>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</si>
  <si>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</si>
  <si>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</si>
  <si>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</si>
  <si>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</si>
  <si>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</si>
  <si>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</si>
  <si>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</si>
  <si>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</si>
  <si>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</si>
  <si>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</si>
  <si>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</si>
  <si>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</si>
  <si>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</si>
  <si>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</si>
  <si>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</si>
  <si>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</si>
  <si>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</si>
  <si>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</si>
  <si>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</si>
  <si>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</si>
  <si>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</si>
  <si>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</si>
  <si>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</si>
  <si>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</si>
  <si>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</si>
  <si>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</si>
  <si>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</si>
  <si>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</si>
  <si>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</si>
  <si>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</si>
  <si>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</si>
  <si>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</si>
  <si>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</si>
  <si>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</si>
  <si>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</si>
  <si>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</si>
  <si>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</si>
  <si>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</si>
  <si>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</si>
  <si>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</si>
  <si>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</si>
  <si>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</si>
  <si>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</si>
  <si>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</si>
  <si>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</si>
  <si>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</si>
  <si>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</si>
  <si>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</si>
  <si>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</si>
  <si>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</si>
  <si>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</si>
  <si>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</si>
  <si>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</si>
  <si>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</si>
  <si>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</si>
  <si>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</si>
  <si>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</si>
  <si>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</si>
  <si>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</si>
  <si>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</si>
  <si>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</si>
  <si>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</si>
  <si>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</si>
  <si>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</si>
  <si>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</si>
  <si>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</si>
  <si>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</si>
  <si>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</si>
  <si>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</si>
  <si>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</si>
  <si>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</si>
  <si>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</si>
  <si>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</si>
  <si>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</si>
  <si>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</si>
  <si>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</si>
  <si>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</si>
  <si>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</si>
  <si>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</si>
  <si>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</si>
  <si>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</si>
  <si>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</si>
  <si>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</si>
  <si>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</si>
  <si>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</si>
  <si>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</si>
  <si>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</si>
  <si>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</si>
  <si>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</si>
  <si>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</si>
  <si>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</si>
  <si>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</si>
  <si>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</si>
  <si>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</si>
  <si>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</si>
  <si>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</si>
  <si>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</si>
  <si>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</si>
  <si>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</si>
  <si>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</si>
  <si>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</si>
  <si>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</si>
  <si>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</si>
  <si>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</si>
  <si>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</si>
  <si>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</si>
  <si>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</si>
  <si>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</si>
  <si>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</si>
  <si>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</si>
  <si>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</si>
  <si>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</si>
  <si>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</si>
  <si>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</si>
  <si>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</si>
  <si>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</si>
  <si>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</si>
  <si>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</si>
  <si>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</si>
  <si>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</si>
  <si>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</si>
  <si>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</si>
  <si>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</si>
  <si>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</si>
  <si>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</si>
  <si>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</si>
  <si>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</si>
  <si>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</si>
  <si>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</si>
  <si>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</si>
  <si>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</si>
  <si>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</si>
  <si>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</si>
  <si>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</si>
  <si>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</si>
  <si>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</si>
  <si>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</si>
  <si>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</si>
  <si>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</si>
  <si>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</si>
  <si>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</si>
  <si>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</si>
  <si>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</si>
  <si>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</si>
  <si>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</si>
  <si>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</si>
  <si>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</si>
  <si>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</si>
  <si>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</si>
  <si>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</si>
  <si>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</si>
  <si>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</si>
  <si>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</si>
  <si>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</si>
  <si>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</si>
  <si>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</si>
  <si>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</si>
  <si>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</si>
  <si>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</si>
  <si>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</si>
  <si>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</si>
  <si>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</si>
  <si>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</si>
  <si>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</si>
  <si>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</si>
  <si>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</si>
  <si>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</si>
  <si>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</si>
  <si>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</si>
  <si>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</si>
  <si>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</si>
  <si>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</si>
  <si>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</si>
  <si>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</si>
  <si>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</si>
  <si>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</si>
  <si>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</si>
  <si>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</si>
  <si>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</si>
  <si>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</si>
  <si>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</si>
  <si>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</si>
  <si>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</si>
  <si>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</si>
  <si>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</si>
  <si>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</si>
  <si>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</si>
  <si>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</si>
  <si>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</si>
  <si>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</si>
  <si>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</si>
  <si>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</si>
  <si>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</si>
  <si>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</si>
  <si>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</si>
  <si>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</si>
  <si>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</si>
  <si>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</si>
  <si>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</si>
  <si>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</si>
  <si>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</si>
  <si>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</si>
  <si>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</si>
  <si>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</si>
  <si>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</si>
  <si>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</si>
  <si>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</si>
  <si>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</si>
  <si>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</si>
  <si>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</si>
  <si>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</si>
  <si>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</si>
  <si>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</si>
  <si>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</si>
  <si>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</si>
  <si>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</si>
  <si>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</si>
  <si>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</si>
  <si>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</si>
  <si>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</si>
  <si>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</si>
  <si>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</si>
  <si>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</si>
  <si>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</si>
  <si>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</si>
  <si>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</si>
  <si>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</si>
  <si>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</si>
  <si>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</si>
  <si>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</si>
  <si>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</si>
  <si>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</si>
  <si>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</si>
  <si>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</si>
  <si>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</si>
  <si>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</si>
  <si>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</si>
  <si>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</si>
  <si>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</si>
  <si>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</si>
  <si>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</si>
  <si>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</si>
  <si>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</si>
  <si>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</si>
  <si>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</si>
  <si>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</si>
  <si>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</si>
  <si>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</si>
  <si>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</si>
  <si>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</si>
  <si>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</si>
  <si>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</si>
  <si>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</si>
  <si>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</si>
  <si>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</si>
  <si>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</si>
  <si>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</si>
  <si>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</si>
  <si>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</si>
  <si>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</si>
  <si>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</si>
  <si>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</si>
  <si>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</si>
  <si>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</si>
  <si>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</si>
  <si>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</si>
  <si>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</si>
  <si>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</si>
  <si>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</si>
  <si>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</si>
  <si>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</si>
  <si>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</si>
  <si>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</si>
  <si>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</si>
  <si>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</si>
  <si>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</si>
  <si>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</si>
  <si>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</si>
  <si>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</si>
  <si>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</si>
  <si>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</si>
  <si>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</si>
  <si>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</si>
  <si>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</si>
  <si>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</si>
  <si>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</si>
  <si>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</si>
  <si>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</si>
  <si>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</si>
  <si>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</si>
  <si>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</si>
  <si>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</si>
  <si>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</si>
  <si>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</si>
  <si>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</si>
  <si>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</si>
  <si>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</si>
  <si>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</si>
  <si>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</si>
  <si>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</si>
  <si>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</si>
  <si>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</si>
  <si>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</si>
  <si>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</si>
  <si>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</si>
  <si>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</si>
  <si>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</si>
  <si>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</si>
  <si>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</si>
  <si>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</si>
  <si>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</si>
  <si>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</si>
  <si>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</si>
  <si>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</si>
  <si>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</si>
  <si>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</si>
  <si>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</si>
  <si>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</si>
  <si>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</si>
  <si>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</si>
  <si>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</si>
  <si>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</si>
  <si>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</si>
  <si>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</si>
  <si>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</si>
  <si>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</si>
  <si>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</si>
  <si>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</si>
  <si>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</si>
  <si>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</si>
  <si>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</si>
  <si>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</si>
  <si>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</si>
  <si>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</si>
  <si>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</si>
  <si>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</si>
  <si>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</si>
  <si>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</si>
  <si>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</si>
  <si>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</si>
  <si>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</si>
  <si>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</si>
  <si>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</si>
  <si>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</si>
  <si>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</si>
  <si>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</si>
  <si>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</si>
  <si>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</si>
  <si>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</si>
  <si>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</si>
  <si>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</si>
  <si>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</si>
  <si>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</si>
  <si>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</si>
  <si>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</si>
  <si>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</si>
  <si>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</si>
  <si>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</si>
  <si>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</si>
  <si>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</si>
  <si>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</si>
  <si>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</si>
  <si>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</si>
  <si>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</si>
  <si>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</si>
  <si>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</si>
  <si>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</si>
  <si>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</si>
  <si>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</si>
  <si>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</si>
  <si>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</si>
  <si>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</si>
  <si>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</si>
  <si>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</si>
  <si>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</si>
  <si>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</si>
  <si>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</si>
  <si>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</si>
  <si>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</si>
  <si>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</si>
  <si>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</si>
  <si>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</si>
  <si>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</si>
  <si>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</si>
  <si>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</si>
  <si>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</si>
  <si>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</si>
  <si>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</si>
  <si>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</si>
  <si>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</si>
  <si>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</si>
  <si>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</si>
  <si>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</si>
  <si>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</si>
  <si>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</si>
  <si>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</si>
  <si>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</si>
  <si>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</si>
  <si>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</si>
  <si>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Xu Xiaowen</t>
  </si>
  <si>
    <t>Designer</t>
  </si>
  <si>
    <t>o1</t>
  </si>
  <si>
    <t>PM</t>
  </si>
  <si>
    <t>Count of WorkID</t>
  </si>
  <si>
    <t>Column Labels</t>
  </si>
  <si>
    <t>Row Labels</t>
  </si>
  <si>
    <t>(blank)</t>
  </si>
  <si>
    <t>Grand Total</t>
  </si>
  <si>
    <t>Project/Work</t>
  </si>
  <si>
    <t>Practice Area</t>
  </si>
  <si>
    <t>PA</t>
  </si>
  <si>
    <t>Participant Name</t>
  </si>
  <si>
    <t>WordID2</t>
  </si>
  <si>
    <t>Included</t>
  </si>
  <si>
    <t>Count of PA</t>
  </si>
  <si>
    <t>PA count</t>
  </si>
  <si>
    <t>Total Effort</t>
  </si>
  <si>
    <t>Time (m)</t>
  </si>
  <si>
    <t>Hours</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</si>
  <si>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</si>
  <si>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</si>
  <si>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</si>
  <si>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</si>
  <si>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</si>
  <si>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</si>
  <si>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</si>
  <si>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</si>
  <si>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</si>
  <si>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</si>
  <si>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</si>
  <si>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</si>
  <si>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</si>
  <si>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</si>
  <si>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</si>
  <si>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</si>
  <si>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</si>
  <si>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</si>
  <si>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</si>
  <si>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</si>
  <si>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</si>
  <si>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</si>
  <si>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</si>
  <si>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</si>
  <si>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</si>
  <si>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</si>
  <si>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Responsibilities</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</si>
  <si>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</si>
  <si>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</si>
  <si>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</si>
  <si>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</si>
  <si>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</si>
  <si>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</si>
  <si>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</si>
  <si>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</si>
  <si>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</si>
  <si>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</si>
  <si>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</si>
  <si>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</si>
  <si>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</si>
  <si>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</si>
  <si>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</si>
  <si>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</si>
  <si>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</si>
  <si>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</si>
  <si>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</si>
  <si>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</si>
  <si>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</si>
  <si>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</si>
  <si>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</si>
  <si>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</si>
  <si>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</si>
  <si>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</si>
  <si>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</si>
  <si>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</si>
  <si>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</si>
  <si>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</si>
  <si>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</si>
  <si>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</si>
  <si>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</si>
  <si>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</si>
  <si>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</si>
  <si>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</si>
  <si>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</si>
  <si>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</si>
  <si>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</si>
  <si>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</si>
  <si>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</si>
  <si>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</si>
  <si>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</si>
  <si>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</si>
  <si>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</si>
  <si>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</si>
  <si>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</si>
  <si>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</si>
  <si>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</si>
  <si>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</si>
  <si>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</si>
  <si>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</si>
  <si>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</si>
  <si>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</si>
  <si>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</si>
  <si>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</si>
  <si>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Other - Sponsor can decide</t>
  </si>
  <si>
    <t>Appraisal schedule attendees</t>
  </si>
  <si>
    <t>Standard</t>
  </si>
  <si>
    <t>Updated the macros</t>
  </si>
  <si>
    <t>A3</t>
  </si>
  <si>
    <t>.</t>
  </si>
  <si>
    <t>Staff</t>
  </si>
  <si>
    <t>A3/Planning</t>
  </si>
  <si>
    <t xml:space="preserve">1st RR performed </t>
  </si>
  <si>
    <t>2nd RR performed</t>
  </si>
  <si>
    <t>Participant projects</t>
  </si>
  <si>
    <t>Participant Practice Areas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</si>
  <si>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</si>
  <si>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</si>
  <si>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</si>
  <si>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</si>
  <si>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</si>
  <si>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</si>
  <si>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</si>
  <si>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</si>
  <si>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</si>
  <si>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</si>
  <si>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Xiong, Guohui</t>
  </si>
  <si>
    <t>Xu yong</t>
  </si>
  <si>
    <t>Ye Yunwei</t>
  </si>
  <si>
    <t>Lin Jianping</t>
  </si>
  <si>
    <t>Song Tong</t>
  </si>
  <si>
    <t>Zhao Lisha</t>
  </si>
  <si>
    <t>Huang Jianyong</t>
  </si>
  <si>
    <t>Dan Runping</t>
  </si>
  <si>
    <t>Huang Xinghao</t>
  </si>
  <si>
    <t>Lin Zhenqun</t>
  </si>
  <si>
    <t xml:space="preserve">Wei Linpei </t>
  </si>
  <si>
    <t>Lin Qinyi</t>
  </si>
  <si>
    <t>Staff list</t>
  </si>
  <si>
    <t>ATM</t>
  </si>
  <si>
    <t>email</t>
  </si>
  <si>
    <t>done</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</si>
  <si>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</si>
  <si>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</si>
  <si>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</si>
  <si>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</si>
  <si>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</si>
  <si>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</si>
  <si>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</si>
  <si>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</si>
  <si>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</si>
  <si>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</si>
  <si>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</si>
  <si>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</si>
  <si>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</si>
  <si>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</si>
  <si>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</si>
  <si>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</si>
  <si>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</si>
  <si>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</si>
  <si>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</si>
  <si>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</si>
  <si>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</si>
  <si>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</si>
  <si>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</si>
  <si>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</si>
  <si>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</si>
  <si>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</si>
  <si>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</si>
  <si>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</si>
  <si>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</si>
  <si>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</si>
  <si>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</si>
  <si>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</si>
  <si>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</si>
  <si>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</si>
  <si>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</si>
  <si>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</si>
  <si>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</si>
  <si>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</si>
  <si>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</si>
  <si>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</si>
  <si>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</si>
  <si>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</si>
  <si>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</si>
  <si>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</si>
  <si>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</si>
  <si>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</si>
  <si>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</si>
  <si>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</si>
  <si>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</si>
  <si>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</si>
  <si>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</si>
  <si>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</si>
  <si>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</si>
  <si>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</si>
  <si>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</si>
  <si>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</si>
  <si>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</si>
  <si>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</si>
  <si>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</si>
  <si>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</si>
  <si>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</si>
  <si>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</si>
  <si>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</si>
  <si>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</si>
  <si>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</si>
  <si>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</si>
  <si>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Update and import 12_ResoruceEstimatesV3</t>
  </si>
  <si>
    <t>Included resource estimates 12_ResourceEstimatesV3</t>
  </si>
  <si>
    <t>Appraisal objectives</t>
  </si>
  <si>
    <t>Update project descriptions</t>
  </si>
  <si>
    <t>Not all staff, just participants</t>
  </si>
  <si>
    <t>Schedule3</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</si>
  <si>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</si>
  <si>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</si>
  <si>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</si>
  <si>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</si>
  <si>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</si>
  <si>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</si>
  <si>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</si>
  <si>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</si>
  <si>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</si>
  <si>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</si>
  <si>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</si>
  <si>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</si>
  <si>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</si>
  <si>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</si>
  <si>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</si>
  <si>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</si>
  <si>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</si>
  <si>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</si>
  <si>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</si>
  <si>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</si>
  <si>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</si>
  <si>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</si>
  <si>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</si>
  <si>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</si>
  <si>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</si>
  <si>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</si>
  <si>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</si>
  <si>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</si>
  <si>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</si>
  <si>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</si>
  <si>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</si>
  <si>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</si>
  <si>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</si>
  <si>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</si>
  <si>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</si>
  <si>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</si>
  <si>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</si>
  <si>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</si>
  <si>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</si>
  <si>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</si>
  <si>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</si>
  <si>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</si>
  <si>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</si>
  <si>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</si>
  <si>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</si>
  <si>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</si>
  <si>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</si>
  <si>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</si>
  <si>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</si>
  <si>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</si>
  <si>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</si>
  <si>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</si>
  <si>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</si>
  <si>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</si>
  <si>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</si>
  <si>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</si>
  <si>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</si>
  <si>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</si>
  <si>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Organisation</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</si>
  <si>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</si>
  <si>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</si>
  <si>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</si>
  <si>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</si>
  <si>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</si>
  <si>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</si>
  <si>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</si>
  <si>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</si>
  <si>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</si>
  <si>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</si>
  <si>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</si>
  <si>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</si>
  <si>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</si>
  <si>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</si>
  <si>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</si>
  <si>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</si>
  <si>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</si>
  <si>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</si>
  <si>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</si>
  <si>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</si>
  <si>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R&amp;D Center</t>
  </si>
  <si>
    <t>研发中心</t>
  </si>
  <si>
    <t>Stage</t>
  </si>
  <si>
    <t>Start</t>
  </si>
  <si>
    <t>End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</si>
  <si>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</si>
  <si>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</si>
  <si>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</si>
  <si>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</si>
  <si>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</si>
  <si>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</si>
  <si>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</si>
  <si>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</si>
  <si>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</si>
  <si>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</si>
  <si>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</si>
  <si>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</si>
  <si>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</si>
  <si>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</si>
  <si>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</si>
  <si>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</si>
  <si>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</si>
  <si>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s3 s3HR</t>
  </si>
  <si>
    <t>s4 s4PPQA</t>
  </si>
  <si>
    <t>s2 s2EPG/MA</t>
  </si>
  <si>
    <t>s1 s1CM</t>
  </si>
  <si>
    <t>01_xxvyy_CMMIv2ATMInfo</t>
  </si>
  <si>
    <t>Executive Manager</t>
  </si>
  <si>
    <t>majt@kamfu.com.cn</t>
  </si>
  <si>
    <t>CAS email</t>
  </si>
  <si>
    <t>Remove: PAD, PCM, OT, PQA</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</si>
  <si>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</si>
  <si>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</si>
  <si>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</si>
  <si>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</si>
  <si>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</si>
  <si>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</si>
  <si>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</si>
  <si>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</si>
  <si>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</si>
  <si>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</si>
  <si>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</si>
  <si>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</si>
  <si>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Import from CAS - 15_02v07_Appraisal xxxxx - Goshine Performance ReportOutputs_V2</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</si>
  <si>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</si>
  <si>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</si>
  <si>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</si>
  <si>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</si>
  <si>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</si>
  <si>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</si>
  <si>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</si>
  <si>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</si>
  <si>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</si>
  <si>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</si>
  <si>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</si>
  <si>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</si>
  <si>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Guangdong</t>
  </si>
  <si>
    <t xml:space="preserve">majt@kamfu.com.cn </t>
  </si>
  <si>
    <t xml:space="preserve">tanll@kamfu.com.cn </t>
  </si>
  <si>
    <t>gabrielxhw@gmail.com</t>
  </si>
  <si>
    <t>Meeting ID: 862 2200 3480 Passcode: 0110</t>
  </si>
  <si>
    <t>The R&amp;D Centre is responsible for the overall research and development of the companies strategic software products.</t>
  </si>
  <si>
    <t>1 Board of directors
2  President
3 R&amp;D Center
3.1 Quality Management Department
3.2 Development Department
3.3 Project Management Department
3.4 Human Resources Department</t>
  </si>
  <si>
    <t>p1JFPMS202005001</t>
  </si>
  <si>
    <t>p2JFPMS202004057</t>
  </si>
  <si>
    <t>p3JFPMS202001040</t>
  </si>
  <si>
    <t>p4JFPMS202003021</t>
  </si>
  <si>
    <t>p6</t>
  </si>
  <si>
    <t>Huang Weibin</t>
  </si>
  <si>
    <t>Ou Xiuyun</t>
  </si>
  <si>
    <t>Pan Zhenhong</t>
  </si>
  <si>
    <t>Li Xuebin</t>
  </si>
  <si>
    <t>Zhang Hongtong</t>
  </si>
  <si>
    <t>Zhou Huali</t>
  </si>
  <si>
    <t>Li Yanfen</t>
  </si>
  <si>
    <t>Lu Zhiwei</t>
  </si>
  <si>
    <t>Zhu Liudan</t>
  </si>
  <si>
    <t>Chen Wucong</t>
  </si>
  <si>
    <t>Mai Jinchao 1</t>
  </si>
  <si>
    <t>Liang Jingwen</t>
  </si>
  <si>
    <t>Quality Assurance Staff</t>
  </si>
  <si>
    <t>Tan Zhicong</t>
  </si>
  <si>
    <t>Pan Yingqi</t>
  </si>
  <si>
    <t>PvtCheck1</t>
  </si>
  <si>
    <t>PvtCheck2</t>
  </si>
  <si>
    <t>a</t>
  </si>
  <si>
    <t>All development</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</si>
  <si>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</si>
  <si>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</si>
  <si>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</si>
  <si>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</si>
  <si>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</si>
  <si>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</si>
  <si>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</si>
  <si>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</si>
  <si>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</si>
  <si>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</si>
  <si>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</si>
  <si>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</si>
  <si>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</si>
  <si>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</si>
  <si>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PvtCheck</t>
  </si>
  <si>
    <t>PvtPart_PA</t>
  </si>
  <si>
    <t>PvtPart_PrjSup</t>
  </si>
  <si>
    <t>PvtPart_Session</t>
  </si>
  <si>
    <t>SIGN ONLINE - Sponsor and ATL</t>
  </si>
  <si>
    <t>1) Download create 08_doc 2 )Copy from tab : PvtParticipantsDistinct</t>
  </si>
  <si>
    <t>The ATL will collect it from the sponsor and the MA/EPG team.</t>
  </si>
  <si>
    <t>30% of OE linked in OE Database against sampled projects. - Yes</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</si>
  <si>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</si>
  <si>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</si>
  <si>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Print-review 1</t>
  </si>
  <si>
    <t>Print plan approval</t>
  </si>
  <si>
    <t>ok</t>
  </si>
  <si>
    <t>wip (affirmation needed)</t>
  </si>
  <si>
    <t>CMMI V2.0 High Maturity Lead Appraiser</t>
  </si>
  <si>
    <t>CMMI V2.0 High Maturity Lead Appraiser, Observer for Candidate SCAMPI Team Leads, Instructor for Introduction to CMMI-DEV, Instructor for CMMI-SVC supplement for CMMI-DEV, Instructor for CMMI-ACQ for CMMI-DEV.</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</si>
  <si>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</si>
  <si>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</si>
  <si>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</si>
  <si>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</si>
  <si>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</si>
  <si>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</si>
  <si>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</si>
  <si>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</si>
  <si>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</si>
  <si>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</si>
  <si>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</si>
  <si>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</si>
  <si>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</si>
  <si>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Software development</t>
  </si>
  <si>
    <t>Post release defect density: UCL:1.8726,CL:1.607,LCL:1.3407</t>
  </si>
  <si>
    <t>Post release defect density</t>
  </si>
  <si>
    <t>Regression analysis of post release defect density</t>
  </si>
  <si>
    <t>Post release defect density: UCL:2.424, CL:2.103, LCL:1.783</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</si>
  <si>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</si>
  <si>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</si>
  <si>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</si>
  <si>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</si>
  <si>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</si>
  <si>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</si>
  <si>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</si>
  <si>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</si>
  <si>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</si>
  <si>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</si>
  <si>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</si>
  <si>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</si>
  <si>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</si>
  <si>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</si>
  <si>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</si>
  <si>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</si>
  <si>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</si>
  <si>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</si>
  <si>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</si>
  <si>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</si>
  <si>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</si>
  <si>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</si>
  <si>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</si>
  <si>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</si>
  <si>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</si>
  <si>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Sales of 138 million, software revenue increased by 5%. Profit increased by 3%, product market share reached 25%, and productivity increased by 5%</t>
  </si>
  <si>
    <t>Ratings</t>
  </si>
  <si>
    <t>Practice Level Caharacterizations</t>
  </si>
  <si>
    <t>Pracice Area Ratings</t>
  </si>
  <si>
    <t>Download and upload to CAS</t>
  </si>
  <si>
    <t>Select practice area ratings</t>
  </si>
  <si>
    <t>Worksheet</t>
  </si>
  <si>
    <t>Copyright (c) 2020-2021, Demix (Pty) Ltd, All rights reserved</t>
  </si>
  <si>
    <t>http://www.demix.org</t>
  </si>
  <si>
    <t>CAS</t>
  </si>
  <si>
    <t>Copyright</t>
  </si>
  <si>
    <t>P2CA</t>
  </si>
  <si>
    <t>P3RF</t>
  </si>
  <si>
    <t>https://github.com/DemixTech/CMMITools</t>
  </si>
  <si>
    <t xml:space="preserve">License agreement </t>
  </si>
  <si>
    <t>https://github.com/DemixTech/CMMITools/blob/main/LICENSE</t>
  </si>
  <si>
    <t>Updates for company x</t>
  </si>
  <si>
    <t>Lates releases of the Demix CMMI Tools</t>
  </si>
  <si>
    <t>01234</t>
  </si>
  <si>
    <t>R123</t>
  </si>
  <si>
    <t>Company Full Name Ltd.</t>
  </si>
  <si>
    <t>公司名</t>
  </si>
  <si>
    <t>Shenzhen</t>
  </si>
  <si>
    <t>Conduct appraisals in 1Q 2021.</t>
  </si>
  <si>
    <t>SponseSurname, A</t>
  </si>
  <si>
    <t>Manager</t>
  </si>
  <si>
    <t>0000-1111-22222</t>
  </si>
  <si>
    <t>sponsor@gmail.com</t>
  </si>
  <si>
    <t>SiteCoordinator, A</t>
  </si>
  <si>
    <t>00000-22222-44444</t>
  </si>
  <si>
    <t>siteCoridnator@gmail.com</t>
  </si>
  <si>
    <t>TranslatorSurname, A</t>
  </si>
  <si>
    <t>xxx</t>
  </si>
  <si>
    <t>van Zyl, Joan</t>
  </si>
  <si>
    <t>ShortName</t>
  </si>
  <si>
    <t>2021-02-20to02-26 (A5) C54321 ShortName</t>
  </si>
  <si>
    <t>D5406 (A5) ShortName - Shenzhen (Q1) 2021</t>
  </si>
  <si>
    <t>Room 1, West Block, High-Tech Plaza</t>
  </si>
  <si>
    <t>Some Street, Some District</t>
  </si>
  <si>
    <t>http://www.companyWebSite.com</t>
  </si>
  <si>
    <t>p1ProjectNameA</t>
  </si>
  <si>
    <t>Project A description</t>
  </si>
  <si>
    <t>Delivered</t>
  </si>
  <si>
    <t>p2ProjectNameB</t>
  </si>
  <si>
    <t>Project B description</t>
  </si>
  <si>
    <t>p3ProjectNameC</t>
  </si>
  <si>
    <t>Project C description</t>
  </si>
  <si>
    <t>p4PRojectNameD</t>
  </si>
  <si>
    <t>Project E description</t>
  </si>
  <si>
    <t>Integration Test</t>
  </si>
  <si>
    <t>p5ProjectNameE</t>
  </si>
  <si>
    <t>Project F description</t>
  </si>
  <si>
    <t>Coding</t>
  </si>
  <si>
    <t>p6ProjectNameF</t>
  </si>
  <si>
    <t>Project G description</t>
  </si>
  <si>
    <t>Developer 1</t>
  </si>
  <si>
    <t>Project Manager 1</t>
  </si>
  <si>
    <t>Tester 1</t>
  </si>
  <si>
    <t>Analyst 2</t>
  </si>
  <si>
    <t>Designer 2</t>
  </si>
  <si>
    <t>Developer 2</t>
  </si>
  <si>
    <t>Project Manager 2</t>
  </si>
  <si>
    <t>Tester 2</t>
  </si>
  <si>
    <t>Analyst 3</t>
  </si>
  <si>
    <t>Designer 3</t>
  </si>
  <si>
    <t>Developer 3</t>
  </si>
  <si>
    <t>Project Manager 3</t>
  </si>
  <si>
    <t>Tester 3</t>
  </si>
  <si>
    <t>Analyst 4</t>
  </si>
  <si>
    <t>Yang Chenglin</t>
  </si>
  <si>
    <t>Developer 4</t>
  </si>
  <si>
    <t>Project Manager 4</t>
  </si>
  <si>
    <t>Tester 4</t>
  </si>
  <si>
    <t>Analyst 5</t>
  </si>
  <si>
    <t>Designer 5</t>
  </si>
  <si>
    <t>Developer 5</t>
  </si>
  <si>
    <t>Project Manager 5</t>
  </si>
  <si>
    <t>Tester 5</t>
  </si>
  <si>
    <t>Analyst 6</t>
  </si>
  <si>
    <t>Designer 6</t>
  </si>
  <si>
    <t>Developer 6</t>
  </si>
  <si>
    <t>Project Manager 6</t>
  </si>
  <si>
    <t>Tester 6</t>
  </si>
  <si>
    <t>Config Manager 1</t>
  </si>
  <si>
    <t>Processs Manger 1</t>
  </si>
  <si>
    <t>Process Manager 2</t>
  </si>
  <si>
    <t>Training Manager 1</t>
  </si>
  <si>
    <t>PQA Manager 1</t>
  </si>
  <si>
    <t>Process Assurance Manager</t>
  </si>
  <si>
    <t>ATM-1</t>
  </si>
  <si>
    <t>00000 0000 000001</t>
  </si>
  <si>
    <t>atm1.email@gmail.com</t>
  </si>
  <si>
    <t>ATM-2</t>
  </si>
  <si>
    <t>1 0000 000001</t>
  </si>
  <si>
    <t>atm2.email@gmail.com</t>
  </si>
  <si>
    <t>ATM-3</t>
  </si>
  <si>
    <t>2 0000 000001</t>
  </si>
  <si>
    <t>atm3.email@gmail.com</t>
  </si>
  <si>
    <t>ATM-4</t>
  </si>
  <si>
    <t>3 0000 000001</t>
  </si>
  <si>
    <t>atm4.email@gmail.com</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</si>
  <si>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</si>
  <si>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</si>
  <si>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</si>
  <si>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</si>
  <si>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</si>
  <si>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</si>
  <si>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</si>
  <si>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</si>
  <si>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</si>
  <si>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</si>
  <si>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</si>
  <si>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</si>
  <si>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</si>
  <si>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</si>
  <si>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</si>
  <si>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CPOC-1</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</si>
  <si>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</si>
  <si>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</si>
  <si>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</si>
  <si>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</si>
  <si>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</si>
  <si>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</si>
  <si>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</si>
  <si>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</si>
  <si>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</si>
  <si>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</si>
  <si>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</si>
  <si>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</si>
  <si>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</si>
  <si>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</si>
  <si>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</si>
  <si>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</si>
  <si>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</si>
  <si>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</si>
  <si>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</si>
  <si>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</si>
  <si>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</si>
  <si>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</si>
  <si>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</si>
  <si>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</si>
  <si>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</si>
  <si>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</si>
  <si>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</si>
  <si>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</si>
  <si>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</si>
  <si>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</si>
  <si>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p2 p2ProjectNameB</t>
  </si>
  <si>
    <t>p3 p3ProjectNameC</t>
  </si>
  <si>
    <t>p4 p4PRojectNameD</t>
  </si>
  <si>
    <t>p5 p5ProjectNameE</t>
  </si>
  <si>
    <t>p6 p6ProjectNameF</t>
  </si>
  <si>
    <t>p1 p1ProjectNameA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</si>
</sst>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 numFmtId="170" formatCode="dd\-mmm\-yyyy"/>
  </numFmts>
  <fonts count="61">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color rgb="FFFF0000"/>
      <name val="Calibri"/>
      <family val="2"/>
      <scheme val="minor"/>
    </font>
    <font>
      <b/>
      <sz val="10"/>
      <color rgb="FF000000"/>
      <name val="Calibri"/>
      <family val="2"/>
    </font>
  </fonts>
  <fills count="46">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s>
  <borders count="45">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s>
  <cellStyleXfs count="1839">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4"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cellStyleXfs>
  <cellXfs count="4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9" fillId="0" borderId="0" xfId="3"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0" xfId="0" applyBorder="1" applyAlignment="1">
      <alignment horizontal="left" vertical="top"/>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4" fontId="13" fillId="4" borderId="5" xfId="8" applyNumberFormat="1" applyFont="1" applyFill="1" applyBorder="1" applyAlignment="1">
      <alignment horizontal="center" vertical="center"/>
    </xf>
    <xf numFmtId="0" fontId="13" fillId="4" borderId="6"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0" xfId="0" applyBorder="1" applyAlignment="1">
      <alignment horizontal="center" vertical="center"/>
    </xf>
    <xf numFmtId="0" fontId="10" fillId="21" borderId="8"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0" borderId="8"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24" fillId="4" borderId="11" xfId="0" applyFont="1" applyFill="1" applyBorder="1" applyAlignment="1">
      <alignment horizontal="left" vertical="top" wrapText="1"/>
    </xf>
    <xf numFmtId="0" fontId="37" fillId="4" borderId="0" xfId="709" applyFont="1" applyFill="1" applyAlignment="1">
      <alignment horizontal="left" vertical="top" wrapText="1"/>
    </xf>
    <xf numFmtId="0" fontId="10" fillId="30" borderId="14" xfId="0" applyFont="1" applyFill="1" applyBorder="1"/>
    <xf numFmtId="0" fontId="10" fillId="30" borderId="15" xfId="0" applyFont="1" applyFill="1" applyBorder="1" applyAlignment="1">
      <alignment horizontal="left"/>
    </xf>
    <xf numFmtId="0" fontId="10" fillId="30" borderId="15" xfId="0" applyFont="1" applyFill="1" applyBorder="1"/>
    <xf numFmtId="0" fontId="0" fillId="4" borderId="16" xfId="0" applyFill="1" applyBorder="1"/>
    <xf numFmtId="0" fontId="0" fillId="4" borderId="17" xfId="0" applyFill="1" applyBorder="1"/>
    <xf numFmtId="0" fontId="0" fillId="4" borderId="0" xfId="0" applyFill="1" applyAlignment="1">
      <alignment horizontal="left"/>
    </xf>
    <xf numFmtId="0" fontId="0" fillId="4" borderId="18"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30" borderId="0" xfId="0" applyFont="1" applyFill="1"/>
    <xf numFmtId="0" fontId="17" fillId="4" borderId="17" xfId="0" applyFont="1" applyFill="1" applyBorder="1"/>
    <xf numFmtId="0" fontId="40" fillId="31" borderId="19" xfId="0" applyFont="1" applyFill="1" applyBorder="1" applyAlignment="1">
      <alignment horizontal="center" vertical="center" wrapText="1" readingOrder="1"/>
    </xf>
    <xf numFmtId="169" fontId="10" fillId="4" borderId="0" xfId="0" applyNumberFormat="1" applyFont="1" applyFill="1"/>
    <xf numFmtId="0" fontId="41" fillId="32" borderId="19" xfId="0" applyFont="1" applyFill="1" applyBorder="1" applyAlignment="1">
      <alignment horizontal="left" vertical="center" wrapText="1" readingOrder="1"/>
    </xf>
    <xf numFmtId="15" fontId="41" fillId="32" borderId="19"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0" xfId="0" applyFill="1" applyBorder="1"/>
    <xf numFmtId="0" fontId="36" fillId="4" borderId="21" xfId="0" applyFont="1" applyFill="1" applyBorder="1" applyAlignment="1">
      <alignment horizontal="center"/>
    </xf>
    <xf numFmtId="0" fontId="0" fillId="4" borderId="21" xfId="0" applyFill="1" applyBorder="1" applyAlignment="1">
      <alignment horizontal="left"/>
    </xf>
    <xf numFmtId="0" fontId="0" fillId="4" borderId="21" xfId="0" applyFill="1" applyBorder="1"/>
    <xf numFmtId="0" fontId="0" fillId="4" borderId="22"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3"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4" xfId="0" applyFill="1" applyBorder="1"/>
    <xf numFmtId="0" fontId="45" fillId="36" borderId="24" xfId="0" applyFont="1" applyFill="1" applyBorder="1" applyAlignment="1">
      <alignment horizontal="left" vertical="top" wrapText="1"/>
    </xf>
    <xf numFmtId="0" fontId="24" fillId="4" borderId="24" xfId="0" applyFont="1" applyFill="1" applyBorder="1" applyAlignment="1">
      <alignment horizontal="left" vertical="top" wrapText="1"/>
    </xf>
    <xf numFmtId="15" fontId="24" fillId="4" borderId="24" xfId="0" applyNumberFormat="1" applyFont="1" applyFill="1" applyBorder="1" applyAlignment="1">
      <alignment horizontal="left" vertical="top" wrapText="1"/>
    </xf>
    <xf numFmtId="0" fontId="24" fillId="37" borderId="24" xfId="0" applyFont="1" applyFill="1" applyBorder="1"/>
    <xf numFmtId="15" fontId="34" fillId="4" borderId="24" xfId="0" applyNumberFormat="1" applyFont="1" applyFill="1" applyBorder="1" applyAlignment="1">
      <alignment horizontal="left" vertical="top" wrapText="1"/>
    </xf>
    <xf numFmtId="0" fontId="24" fillId="37" borderId="24" xfId="0" applyFont="1" applyFill="1" applyBorder="1" applyAlignment="1">
      <alignment horizontal="center" vertical="center"/>
    </xf>
    <xf numFmtId="0" fontId="42" fillId="14" borderId="23" xfId="0" applyFont="1" applyFill="1" applyBorder="1" applyAlignment="1">
      <alignment horizontal="center" vertical="center" wrapText="1"/>
    </xf>
    <xf numFmtId="0" fontId="42" fillId="33" borderId="23" xfId="0" applyFont="1" applyFill="1" applyBorder="1" applyAlignment="1">
      <alignment horizontal="center" vertical="center" wrapText="1"/>
    </xf>
    <xf numFmtId="0" fontId="0" fillId="33" borderId="23" xfId="0" applyFill="1" applyBorder="1" applyAlignment="1">
      <alignment horizontal="center" vertical="center" wrapText="1"/>
    </xf>
    <xf numFmtId="0" fontId="43" fillId="14" borderId="24" xfId="0" applyFont="1" applyFill="1" applyBorder="1" applyAlignment="1">
      <alignment horizontal="center" vertical="center" textRotation="90" wrapText="1"/>
    </xf>
    <xf numFmtId="0" fontId="43" fillId="0" borderId="24" xfId="0" applyFont="1" applyBorder="1" applyAlignment="1">
      <alignment horizontal="center" vertical="center" textRotation="90"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applyFont="1" applyFill="1" applyBorder="1" applyAlignment="1">
      <alignment horizontal="center" vertical="center" wrapText="1"/>
    </xf>
    <xf numFmtId="0" fontId="46" fillId="4" borderId="24" xfId="0" applyFont="1" applyFill="1" applyBorder="1" applyAlignment="1">
      <alignment horizontal="left" vertical="top" wrapText="1"/>
    </xf>
    <xf numFmtId="0" fontId="46" fillId="4" borderId="24"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4" xfId="1065" applyFont="1" applyFill="1" applyBorder="1" applyAlignment="1">
      <alignment horizontal="left" vertical="top"/>
    </xf>
    <xf numFmtId="0" fontId="37" fillId="4" borderId="28" xfId="1065" applyFont="1" applyFill="1" applyBorder="1" applyAlignment="1">
      <alignment horizontal="left" vertical="top"/>
    </xf>
    <xf numFmtId="0" fontId="43" fillId="4" borderId="28" xfId="1065" applyFont="1" applyFill="1" applyBorder="1" applyAlignment="1">
      <alignment horizontal="left" vertical="top"/>
    </xf>
    <xf numFmtId="0" fontId="45" fillId="36" borderId="24" xfId="0" applyFont="1" applyFill="1" applyBorder="1" applyAlignment="1">
      <alignment horizontal="center" vertical="top" wrapText="1"/>
    </xf>
    <xf numFmtId="0" fontId="43" fillId="4" borderId="28" xfId="1065" applyFont="1" applyFill="1" applyBorder="1" applyAlignment="1">
      <alignment horizontal="center" vertical="top"/>
    </xf>
    <xf numFmtId="0" fontId="49" fillId="4" borderId="24" xfId="1065" applyFont="1" applyFill="1" applyBorder="1" applyAlignment="1">
      <alignment horizontal="left" vertical="top" wrapText="1"/>
    </xf>
    <xf numFmtId="0" fontId="49" fillId="4" borderId="24" xfId="1065" applyFont="1" applyFill="1" applyBorder="1" applyAlignment="1">
      <alignment horizontal="center" vertical="top" wrapText="1"/>
    </xf>
    <xf numFmtId="0" fontId="24" fillId="4" borderId="24"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4"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9" borderId="0" xfId="0" applyFont="1" applyFill="1" applyAlignment="1">
      <alignment vertical="center" wrapText="1"/>
    </xf>
    <xf numFmtId="0" fontId="51" fillId="29" borderId="0" xfId="0" applyFont="1" applyFill="1"/>
    <xf numFmtId="168" fontId="50" fillId="29" borderId="0" xfId="0" applyNumberFormat="1" applyFont="1" applyFill="1" applyAlignment="1">
      <alignment vertical="center"/>
    </xf>
    <xf numFmtId="1" fontId="50" fillId="29"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4" xfId="0" applyFont="1" applyFill="1" applyBorder="1" applyAlignment="1">
      <alignment horizontal="center" vertical="center"/>
    </xf>
    <xf numFmtId="0" fontId="24" fillId="4" borderId="3"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21" fillId="0" borderId="7" xfId="0" applyFont="1" applyBorder="1" applyAlignment="1">
      <alignment horizontal="center" vertical="center" wrapText="1"/>
    </xf>
    <xf numFmtId="0" fontId="21" fillId="12" borderId="0" xfId="0" applyFont="1" applyFill="1" applyAlignment="1">
      <alignment horizontal="left" vertical="top"/>
    </xf>
    <xf numFmtId="0" fontId="0" fillId="12" borderId="0" xfId="0" applyFill="1" applyAlignment="1">
      <alignment horizontal="left" vertical="top"/>
    </xf>
    <xf numFmtId="0" fontId="57" fillId="38" borderId="0" xfId="0" applyFont="1" applyFill="1" applyAlignment="1">
      <alignment vertical="center"/>
    </xf>
    <xf numFmtId="0" fontId="57"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5" xfId="0" applyFont="1" applyBorder="1" applyAlignment="1">
      <alignment vertical="center" wrapText="1"/>
    </xf>
    <xf numFmtId="0" fontId="56" fillId="0" borderId="21"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40"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165" fontId="37" fillId="0" borderId="0" xfId="0" applyNumberFormat="1" applyFont="1" applyAlignment="1">
      <alignment horizontal="left" vertical="top" wrapText="1"/>
    </xf>
    <xf numFmtId="0" fontId="37" fillId="4" borderId="3" xfId="0" applyFont="1" applyFill="1" applyBorder="1" applyAlignment="1">
      <alignment horizontal="center" vertical="center" wrapText="1"/>
    </xf>
    <xf numFmtId="0" fontId="5" fillId="4" borderId="24" xfId="0" applyFont="1" applyFill="1" applyBorder="1" applyAlignment="1">
      <alignment horizontal="center" vertical="center"/>
    </xf>
    <xf numFmtId="0" fontId="37" fillId="4" borderId="10" xfId="0" applyFont="1" applyFill="1" applyBorder="1" applyAlignment="1">
      <alignment horizontal="center" vertical="center" wrapText="1"/>
    </xf>
    <xf numFmtId="0" fontId="58" fillId="40" borderId="0" xfId="0" applyFont="1" applyFill="1" applyAlignment="1">
      <alignment horizontal="center" vertical="center" wrapText="1"/>
    </xf>
    <xf numFmtId="165" fontId="37" fillId="4" borderId="3" xfId="0" applyNumberFormat="1" applyFont="1" applyFill="1" applyBorder="1" applyAlignment="1">
      <alignment horizontal="left" vertical="top" wrapText="1"/>
    </xf>
    <xf numFmtId="0" fontId="37" fillId="4" borderId="38" xfId="0" applyFont="1" applyFill="1" applyBorder="1" applyAlignment="1">
      <alignment horizontal="center" vertical="center" wrapText="1"/>
    </xf>
    <xf numFmtId="0" fontId="37" fillId="0" borderId="3" xfId="0" applyFont="1" applyBorder="1" applyAlignment="1">
      <alignment horizontal="left" vertical="top" wrapText="1"/>
    </xf>
    <xf numFmtId="0" fontId="37" fillId="42" borderId="3" xfId="0" applyFont="1" applyFill="1" applyBorder="1" applyAlignment="1">
      <alignment horizontal="left" vertical="top" wrapText="1"/>
    </xf>
    <xf numFmtId="0" fontId="5" fillId="42" borderId="24" xfId="0" applyFont="1" applyFill="1" applyBorder="1" applyAlignment="1">
      <alignment horizontal="center" vertical="center"/>
    </xf>
    <xf numFmtId="0" fontId="0" fillId="0" borderId="0" xfId="0" applyFill="1" applyAlignment="1">
      <alignment horizontal="center"/>
    </xf>
    <xf numFmtId="15" fontId="34" fillId="4" borderId="0" xfId="0" applyNumberFormat="1" applyFont="1" applyFill="1" applyBorder="1" applyAlignment="1">
      <alignment horizontal="center"/>
    </xf>
    <xf numFmtId="0" fontId="40" fillId="31" borderId="40" xfId="0" applyFont="1" applyFill="1" applyBorder="1" applyAlignment="1">
      <alignment horizontal="left" vertical="center" wrapText="1" readingOrder="1"/>
    </xf>
    <xf numFmtId="0" fontId="41" fillId="32" borderId="39" xfId="0" applyFont="1" applyFill="1" applyBorder="1" applyAlignment="1">
      <alignment horizontal="left" vertical="center" wrapText="1" readingOrder="1"/>
    </xf>
    <xf numFmtId="0" fontId="40"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0" fillId="13" borderId="0" xfId="0" applyFill="1" applyAlignment="1">
      <alignment horizontal="left" vertical="top"/>
    </xf>
    <xf numFmtId="0" fontId="0" fillId="13" borderId="0" xfId="0" applyFill="1" applyAlignment="1">
      <alignment horizontal="left" vertical="top" wrapText="1"/>
    </xf>
    <xf numFmtId="9" fontId="0" fillId="13" borderId="0" xfId="0" applyNumberFormat="1" applyFill="1" applyAlignment="1">
      <alignment horizontal="left" vertical="top" wrapText="1"/>
    </xf>
    <xf numFmtId="0" fontId="59" fillId="0" borderId="0" xfId="0" applyFont="1" applyAlignment="1">
      <alignment horizontal="left"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quotePrefix="1" applyFont="1" applyFill="1" applyBorder="1" applyAlignment="1">
      <alignment horizontal="center" vertical="center" wrapText="1"/>
    </xf>
    <xf numFmtId="0" fontId="60" fillId="45" borderId="24" xfId="0" quotePrefix="1" applyFont="1" applyFill="1" applyBorder="1" applyAlignment="1">
      <alignment horizontal="center" vertical="center" wrapText="1"/>
    </xf>
    <xf numFmtId="0" fontId="60" fillId="45" borderId="24" xfId="0" applyFont="1" applyFill="1" applyBorder="1" applyAlignment="1">
      <alignment horizontal="center" vertical="center" wrapText="1"/>
    </xf>
    <xf numFmtId="170" fontId="24" fillId="4" borderId="24" xfId="0" applyNumberFormat="1" applyFont="1" applyFill="1" applyBorder="1" applyAlignment="1">
      <alignment horizontal="center" vertical="center" wrapText="1"/>
    </xf>
    <xf numFmtId="0" fontId="9" fillId="0" borderId="0" xfId="3" applyFill="1" applyAlignment="1">
      <alignment horizontal="left" vertical="top" wrapText="1"/>
    </xf>
    <xf numFmtId="0" fontId="21" fillId="14" borderId="43" xfId="0" applyFont="1" applyFill="1" applyBorder="1" applyAlignment="1">
      <alignment horizontal="left" vertical="center" wrapText="1"/>
    </xf>
    <xf numFmtId="0" fontId="21" fillId="13" borderId="43" xfId="0" applyFont="1" applyFill="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4" xfId="0" applyBorder="1" applyAlignment="1">
      <alignment horizontal="left" vertical="top" wrapText="1"/>
    </xf>
    <xf numFmtId="0" fontId="0" fillId="24" borderId="44" xfId="0" applyFill="1" applyBorder="1" applyAlignment="1">
      <alignment horizontal="left" vertical="top" wrapText="1"/>
    </xf>
    <xf numFmtId="0" fontId="0" fillId="8" borderId="44" xfId="0" applyFill="1" applyBorder="1" applyAlignment="1">
      <alignment horizontal="left" vertical="top" wrapText="1"/>
    </xf>
    <xf numFmtId="0" fontId="21" fillId="41"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9" borderId="0" xfId="0" applyFont="1" applyFill="1" applyAlignment="1">
      <alignment vertical="center"/>
    </xf>
    <xf numFmtId="0" fontId="56" fillId="39" borderId="21" xfId="0" applyFont="1" applyFill="1" applyBorder="1" applyAlignment="1">
      <alignment vertical="center"/>
    </xf>
    <xf numFmtId="0" fontId="56" fillId="39" borderId="0" xfId="0" applyFont="1" applyFill="1" applyAlignment="1">
      <alignment vertical="center" wrapText="1"/>
    </xf>
    <xf numFmtId="0" fontId="56" fillId="39" borderId="21" xfId="0" applyFont="1" applyFill="1" applyBorder="1" applyAlignment="1">
      <alignment vertical="center" wrapText="1"/>
    </xf>
    <xf numFmtId="0" fontId="13" fillId="6" borderId="3" xfId="8" applyFont="1" applyFill="1" applyBorder="1" applyAlignment="1">
      <alignment horizontal="center" vertical="center" wrapText="1"/>
    </xf>
    <xf numFmtId="0" fontId="13"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3" borderId="3" xfId="8"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4" borderId="3" xfId="8"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0" fontId="13" fillId="6" borderId="38" xfId="8" applyFont="1" applyFill="1" applyBorder="1" applyAlignment="1">
      <alignment horizontal="center" vertical="center" wrapText="1"/>
    </xf>
    <xf numFmtId="0" fontId="13" fillId="6" borderId="41" xfId="8" applyFont="1" applyFill="1" applyBorder="1" applyAlignment="1">
      <alignment horizontal="center" vertical="center" wrapText="1"/>
    </xf>
    <xf numFmtId="0" fontId="13" fillId="6" borderId="42" xfId="8"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22" borderId="3" xfId="7" applyFont="1" applyFill="1" applyBorder="1" applyAlignment="1">
      <alignment horizontal="center" vertical="center" wrapText="1"/>
    </xf>
    <xf numFmtId="0" fontId="13" fillId="22" borderId="32"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15" fontId="42" fillId="29" borderId="0" xfId="0" applyNumberFormat="1" applyFont="1" applyFill="1" applyAlignment="1">
      <alignment horizontal="center"/>
    </xf>
    <xf numFmtId="0" fontId="42" fillId="29" borderId="0" xfId="0" applyFont="1" applyFill="1" applyAlignment="1">
      <alignment horizontal="center"/>
    </xf>
    <xf numFmtId="15" fontId="50" fillId="29" borderId="0" xfId="0" applyNumberFormat="1" applyFont="1" applyFill="1" applyAlignment="1">
      <alignment horizontal="center" vertical="center" wrapText="1"/>
    </xf>
    <xf numFmtId="0" fontId="50" fillId="29" borderId="0" xfId="0" applyFont="1" applyFill="1" applyAlignment="1">
      <alignment horizontal="center" vertical="center" wrapText="1"/>
    </xf>
    <xf numFmtId="15" fontId="51" fillId="29" borderId="0" xfId="0" applyNumberFormat="1" applyFont="1" applyFill="1" applyAlignment="1">
      <alignment horizontal="center" vertical="center" wrapText="1"/>
    </xf>
    <xf numFmtId="0" fontId="51" fillId="29" borderId="0" xfId="0" applyFont="1" applyFill="1" applyAlignment="1">
      <alignment horizontal="center" vertical="center" wrapText="1"/>
    </xf>
    <xf numFmtId="168" fontId="35" fillId="29" borderId="0" xfId="0" applyNumberFormat="1" applyFont="1" applyFill="1" applyAlignment="1">
      <alignment horizontal="center" vertical="center"/>
    </xf>
    <xf numFmtId="0" fontId="50" fillId="29" borderId="0" xfId="0" applyFont="1" applyFill="1" applyAlignment="1">
      <alignment horizontal="center" vertical="center"/>
    </xf>
    <xf numFmtId="0" fontId="41" fillId="32" borderId="0" xfId="0" applyFont="1" applyFill="1" applyAlignment="1">
      <alignment horizontal="left" vertical="top" wrapText="1" readingOrder="1"/>
    </xf>
    <xf numFmtId="0" fontId="35" fillId="37" borderId="25" xfId="0" applyFont="1" applyFill="1" applyBorder="1" applyAlignment="1">
      <alignment horizontal="center" vertical="center"/>
    </xf>
    <xf numFmtId="0" fontId="35" fillId="37" borderId="27" xfId="0" applyFont="1" applyFill="1" applyBorder="1" applyAlignment="1">
      <alignment horizontal="center" vertical="center"/>
    </xf>
    <xf numFmtId="0" fontId="35" fillId="37" borderId="26" xfId="0" applyFont="1" applyFill="1" applyBorder="1" applyAlignment="1">
      <alignment horizontal="center" vertical="center"/>
    </xf>
    <xf numFmtId="0" fontId="44" fillId="36" borderId="25" xfId="0" applyFont="1" applyFill="1" applyBorder="1" applyAlignment="1">
      <alignment horizontal="left" vertical="top" wrapText="1"/>
    </xf>
    <xf numFmtId="0" fontId="44" fillId="36" borderId="26"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0" fontId="45" fillId="36" borderId="25" xfId="0" applyFont="1" applyFill="1" applyBorder="1" applyAlignment="1">
      <alignment horizontal="center" vertical="top" wrapText="1"/>
    </xf>
    <xf numFmtId="0" fontId="45" fillId="36" borderId="27" xfId="0" applyFont="1" applyFill="1" applyBorder="1" applyAlignment="1">
      <alignment horizontal="center" vertical="top" wrapText="1"/>
    </xf>
    <xf numFmtId="0" fontId="45" fillId="36" borderId="26" xfId="0" applyFont="1" applyFill="1" applyBorder="1" applyAlignment="1">
      <alignment horizontal="center" vertical="top" wrapText="1"/>
    </xf>
    <xf numFmtId="0" fontId="44" fillId="36" borderId="27" xfId="0" applyFont="1" applyFill="1" applyBorder="1" applyAlignment="1">
      <alignment horizontal="left" vertical="top" wrapText="1"/>
    </xf>
    <xf numFmtId="0" fontId="24" fillId="4" borderId="24" xfId="1065" applyFont="1" applyFill="1" applyBorder="1" applyAlignment="1">
      <alignment horizontal="center" vertical="center" textRotation="90"/>
    </xf>
    <xf numFmtId="0" fontId="49" fillId="4" borderId="29" xfId="1065" applyFont="1" applyFill="1" applyBorder="1" applyAlignment="1">
      <alignment horizontal="center" vertical="center" textRotation="90" wrapText="1"/>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24" xfId="1065" applyFont="1" applyFill="1" applyBorder="1" applyAlignment="1">
      <alignment horizontal="center" vertical="center" textRotation="90" wrapText="1"/>
    </xf>
    <xf numFmtId="0" fontId="43" fillId="0" borderId="24" xfId="0" applyFont="1" applyBorder="1" applyAlignment="1">
      <alignment horizontal="center"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34" borderId="24" xfId="0" applyFont="1" applyFill="1" applyBorder="1" applyAlignment="1">
      <alignment horizontal="center" vertical="center" wrapText="1"/>
    </xf>
    <xf numFmtId="0" fontId="43" fillId="14" borderId="25" xfId="0" applyFont="1" applyFill="1" applyBorder="1" applyAlignment="1">
      <alignment horizontal="center" vertical="center" wrapText="1"/>
    </xf>
    <xf numFmtId="0" fontId="43" fillId="14" borderId="27" xfId="0" applyFont="1" applyFill="1" applyBorder="1" applyAlignment="1">
      <alignment horizontal="center" vertical="center" wrapText="1"/>
    </xf>
    <xf numFmtId="0" fontId="43" fillId="14" borderId="26"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0" borderId="27" xfId="0" applyFont="1" applyBorder="1" applyAlignment="1">
      <alignment horizontal="center" vertical="center" wrapText="1"/>
    </xf>
    <xf numFmtId="0" fontId="43" fillId="0" borderId="26" xfId="0" applyFont="1" applyBorder="1" applyAlignment="1">
      <alignment horizontal="center" vertical="center" wrapText="1"/>
    </xf>
    <xf numFmtId="0" fontId="43" fillId="0" borderId="29" xfId="0" applyFont="1" applyBorder="1" applyAlignment="1">
      <alignment horizontal="center" vertical="top" wrapText="1"/>
    </xf>
    <xf numFmtId="0" fontId="43" fillId="0" borderId="30" xfId="0" applyFont="1" applyBorder="1" applyAlignment="1">
      <alignment horizontal="center" vertical="top" wrapText="1"/>
    </xf>
    <xf numFmtId="0" fontId="43" fillId="0" borderId="31" xfId="0" applyFont="1" applyBorder="1" applyAlignment="1">
      <alignment horizontal="center" vertical="top" wrapText="1"/>
    </xf>
    <xf numFmtId="0" fontId="43" fillId="34" borderId="29" xfId="0" applyFont="1" applyFill="1" applyBorder="1" applyAlignment="1">
      <alignment horizontal="center" vertical="center" wrapText="1"/>
    </xf>
    <xf numFmtId="0" fontId="43" fillId="34" borderId="31" xfId="0" applyFont="1" applyFill="1" applyBorder="1" applyAlignment="1">
      <alignment horizontal="center" vertical="center" wrapText="1"/>
    </xf>
  </cellXfs>
  <cellStyles count="1839">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常规 2" xfId="1766" xr:uid="{DADBC50A-D58B-49C6-AA3D-0EE67AC22C3F}"/>
    <cellStyle name="常规 2 2" xfId="1767" xr:uid="{1841772E-422B-4A9B-910F-A2D5875BAB7F}"/>
    <cellStyle name="常规 2 2 2" xfId="1435" xr:uid="{2600F02A-1784-43EA-AC45-5ACD53A4B040}"/>
    <cellStyle name="常规 2 2 3" xfId="1437" xr:uid="{016A7EAB-9E1D-44CA-AD60-EFD27D11131B}"/>
    <cellStyle name="常规 2 3" xfId="1768" xr:uid="{4BFAB030-BE36-4772-9397-51989CB1AECC}"/>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3" xfId="1832" xr:uid="{A170300F-476A-4BA3-B865-8DB6FA3073B3}"/>
    <cellStyle name="解释性文本 3" xfId="1833" xr:uid="{EE068774-9FBB-454B-9899-316364EC187F}"/>
    <cellStyle name="适中 2" xfId="96" xr:uid="{C334CFE6-696B-4CE8-BA20-808CBFCF74DD}"/>
    <cellStyle name="适中 2 2" xfId="1834" xr:uid="{42A89A85-78F8-4F50-A18D-32A197EB3C20}"/>
    <cellStyle name="适中 2 3" xfId="1835" xr:uid="{DA4AEA5C-FC35-43BD-9F1C-47DB75A8A8B2}"/>
    <cellStyle name="适中 3" xfId="605" xr:uid="{15AD0B24-6489-477A-B3EE-F99D02BE53B0}"/>
  </cellStyles>
  <dxfs count="130">
    <dxf>
      <font>
        <color rgb="FF9C0006"/>
      </font>
      <fill>
        <patternFill>
          <bgColor rgb="FFFFC7CE"/>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rgb="FF9C0006"/>
      </font>
      <fill>
        <patternFill>
          <bgColor rgb="FFFFC7CE"/>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1.xml"/><Relationship Id="rId47" Type="http://schemas.openxmlformats.org/officeDocument/2006/relationships/pivotCacheDefinition" Target="pivotCache/pivotCacheDefinition6.xml"/><Relationship Id="rId50" Type="http://schemas.openxmlformats.org/officeDocument/2006/relationships/sharedStrings" Target="sharedStrings.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3.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2.xml"/><Relationship Id="rId45" Type="http://schemas.openxmlformats.org/officeDocument/2006/relationships/pivotCacheDefinition" Target="pivotCache/pivotCacheDefinition4.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3.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2.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21</xdr:row>
      <xdr:rowOff>164714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161925</xdr:colOff>
      <xdr:row>15</xdr:row>
      <xdr:rowOff>76200</xdr:rowOff>
    </xdr:from>
    <xdr:to>
      <xdr:col>1</xdr:col>
      <xdr:colOff>4189730</xdr:colOff>
      <xdr:row>15</xdr:row>
      <xdr:rowOff>731520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3876675" y="3419475"/>
          <a:ext cx="4027805" cy="658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69798</xdr:colOff>
          <xdr:row>8</xdr:row>
          <xdr:rowOff>1171575</xdr:rowOff>
        </xdr:to>
        <xdr:pic>
          <xdr:nvPicPr>
            <xdr:cNvPr id="10" name="Picture 9">
              <a:extLst>
                <a:ext uri="{FF2B5EF4-FFF2-40B4-BE49-F238E27FC236}">
                  <a16:creationId xmlns:a16="http://schemas.microsoft.com/office/drawing/2014/main" id="{00000000-0008-0000-2000-00000A000000}"/>
                </a:ext>
              </a:extLst>
            </xdr:cNvPr>
            <xdr:cNvPicPr>
              <a:picLocks noChangeAspect="1" noChangeArrowheads="1"/>
              <a:extLst>
                <a:ext uri="{84589F7E-364E-4C9E-8A38-B11213B215E9}">
                  <a14:cameraTool cellRange="StartupInfo!$B$16" spid="_x0000_s8370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elete/01_41v01_ShortName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guideStaff"/>
      <sheetName val="pvtProjectFTEs"/>
      <sheetName val="pvtStaffDistinct"/>
      <sheetName val="pvtCheck"/>
      <sheetName val="P1PA-SS"/>
      <sheetName val="P1PA-RSG"/>
      <sheetName val="P1PA-R"/>
      <sheetName val="P2CA"/>
      <sheetName val="P3RF"/>
      <sheetName val="Schedule"/>
      <sheetName val="pvtCheck1"/>
      <sheetName val="Schedule2"/>
      <sheetName val="pvtCheck2"/>
      <sheetName val="pvtPart_PA"/>
      <sheetName val="pvtPart_PrjSup"/>
      <sheetName val="pvtPart_Session"/>
      <sheetName val="Schedule4"/>
      <sheetName val="ATM_PA"/>
      <sheetName val="Schedule4Actual"/>
      <sheetName val="pptxCertificate"/>
      <sheetName val="pptxCover"/>
      <sheetName val="Standard"/>
      <sheetName val="Standard2"/>
      <sheetName val="Standard3"/>
      <sheetName val="OULC"/>
      <sheetName val="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167939817" createdVersion="6" refreshedVersion="6" minRefreshableVersion="3" recordCount="57"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EST"/>
        <s v="MC"/>
        <s v="PI"/>
        <s v="PLAN"/>
        <s v="PR"/>
        <s v="RDM"/>
        <s v="TS"/>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479398148" createdVersion="6" refreshedVersion="6" minRefreshableVersion="3" recordCount="27" xr:uid="{7A41DB9D-D643-451D-8180-062948BB04CE}">
  <cacheSource type="worksheet">
    <worksheetSource ref="A1:H1048576" sheet="Schedule2"/>
  </cacheSource>
  <cacheFields count="8">
    <cacheField name="WorkID" numFmtId="0">
      <sharedItems containsBlank="1"/>
    </cacheField>
    <cacheField name="Work name" numFmtId="0">
      <sharedItems containsBlank="1" count="23">
        <s v="p1JFPMS202005001"/>
        <s v="p2JFPMS202004057"/>
        <s v="p4JFPMS202003021"/>
        <s v="p3JFPMS202001040"/>
        <s v="s1CM"/>
        <s v="s2EPG/MA"/>
        <s v="s3HR"/>
        <s v="s4PPQA"/>
        <m/>
        <s v="P1SES" u="1"/>
        <s v="EPG/MA" u="1"/>
        <s v="MG6008C" u="1"/>
        <s v="Intelligent supervision platform" u="1"/>
        <s v="OT" u="1"/>
        <s v="P4SSM" u="1"/>
        <s v="MG6128L" u="1"/>
        <s v="PPQA" u="1"/>
        <s v="CM" u="1"/>
        <s v="P5WMS" u="1"/>
        <s v="Lawyer remote meeting system" u="1"/>
        <s v="P2BEU" u="1"/>
        <s v="P3EMM" u="1"/>
        <s v="Traffic information control platform" u="1"/>
      </sharedItems>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ount="10">
        <s v="Project manager"/>
        <s v="Analyst"/>
        <s v="Designer"/>
        <s v="Developer"/>
        <s v="Testers"/>
        <s v="Configuration manager"/>
        <s v="Process Engineering"/>
        <s v="Head of training"/>
        <s v="Quality Assurance Staff"/>
        <m/>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516550927" createdVersion="6" refreshedVersion="6" minRefreshableVersion="3" recordCount="27" xr:uid="{8D08BA66-43B5-4625-B4C6-4829463ED122}">
  <cacheSource type="worksheet">
    <worksheetSource ref="D1:H1048576" sheet="Schedule2"/>
  </cacheSource>
  <cacheFields count="5">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074999997" createdVersion="6" refreshedVersion="6" minRefreshableVersion="3" recordCount="50" xr:uid="{7646F704-7AD2-42B0-B340-E6AAAE55D30C}">
  <cacheSource type="worksheet">
    <worksheetSource ref="A2:B275" sheet="Staff"/>
  </cacheSource>
  <cacheFields count="2">
    <cacheField name="WorkID" numFmtId="0">
      <sharedItems containsBlank="1" count="12">
        <s v="p1"/>
        <s v="p2"/>
        <s v="p3"/>
        <s v="p4"/>
        <s v="p5"/>
        <s v="p6"/>
        <s v="s1"/>
        <s v="s2"/>
        <s v="s3"/>
        <s v="s4"/>
        <m/>
        <s v="o1" u="1"/>
      </sharedItems>
    </cacheField>
    <cacheField name="Work name" numFmtId="0">
      <sharedItems containsBlank="1" count="18">
        <s v="p1ProjectNameA"/>
        <s v="p2ProjectNameB"/>
        <s v="p3ProjectNameC"/>
        <s v="p4PRojectNameD"/>
        <s v="p5ProjectNameE"/>
        <s v="p6ProjectNameF"/>
        <s v="s1CM"/>
        <s v="s2EPG/MA"/>
        <s v="s3HR"/>
        <s v="s4PPQA"/>
        <m/>
        <s v="p1JFPMS202005001" u="1"/>
        <s v="p3JFPMS202001040" u="1"/>
        <s v="p4JFPMS202003021" u="1"/>
        <s v="o1Organisation" u="1"/>
        <s v="p2JFPMS202004057" u="1"/>
        <s v="p5JFPMS202003020" u="1"/>
        <s v="p6JFPMS202003023"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43749997" createdVersion="6" refreshedVersion="6" minRefreshableVersion="3" recordCount="50" xr:uid="{FE1BC45A-4214-4817-98CB-8F1FAFAE766E}">
  <cacheSource type="worksheet">
    <worksheetSource ref="A2:Y134" sheet="Staff"/>
  </cacheSource>
  <cacheFields count="25">
    <cacheField name="WorkID" numFmtId="0">
      <sharedItems containsBlank="1" count="12">
        <s v="p1"/>
        <s v="p2"/>
        <s v="p3"/>
        <s v="p4"/>
        <s v="p5"/>
        <s v="p6"/>
        <s v="s1"/>
        <s v="s2"/>
        <s v="s3"/>
        <s v="s4"/>
        <m/>
        <s v="o1" u="1"/>
      </sharedItems>
    </cacheField>
    <cacheField name="Work name" numFmtId="0">
      <sharedItems containsBlank="1"/>
    </cacheField>
    <cacheField name="Name" numFmtId="0">
      <sharedItems containsBlank="1" count="82">
        <s v="Developer 1"/>
        <s v="Project Manager 1"/>
        <s v="Tester 1"/>
        <s v="Analyst 2"/>
        <s v="Designer 2"/>
        <s v="Developer 2"/>
        <s v="Project Manager 2"/>
        <s v="Tester 2"/>
        <s v="Analyst 3"/>
        <s v="Designer 3"/>
        <s v="Developer 3"/>
        <s v="Project Manager 3"/>
        <s v="Tester 3"/>
        <s v="Analyst 4"/>
        <s v="Yang Chenglin"/>
        <s v="Developer 4"/>
        <s v="Project Manager 4"/>
        <s v="Tester 4"/>
        <s v="Analyst 5"/>
        <s v="Designer 5"/>
        <s v="Developer 5"/>
        <s v="Project Manager 5"/>
        <s v="Tester 5"/>
        <s v="Analyst 6"/>
        <s v="Designer 6"/>
        <s v="Developer 6"/>
        <s v="Project Manager 6"/>
        <s v="Tester 6"/>
        <s v="Config Manager 1"/>
        <s v="Processs Manger 1"/>
        <s v="Process Manager 2"/>
        <s v="Training Manager 1"/>
        <s v="PQA Manager 1"/>
        <m/>
        <s v="Zhou Raosen" u="1"/>
        <s v="Zhu Liudan" u="1"/>
        <s v="Liu Xinliang" u="1"/>
        <s v="Zhang Guanyun" u="1"/>
        <s v="Huang Weibin" u="1"/>
        <s v="Cui Qianqian" u="1"/>
        <s v="Lu Zhihui" u="1"/>
        <s v="Lu Zhiwei" u="1"/>
        <s v="Zhou Weidong" u="1"/>
        <s v="Zhou Huali" u="1"/>
        <s v="Zhou Jiangfeng" u="1"/>
        <s v="Huang Xicheng" u="1"/>
        <s v="Zhao Bingchi" u="1"/>
        <s v="Li Xiang" u="1"/>
        <s v="Wang Yusong" u="1"/>
        <s v="Chen Chen" u="1"/>
        <s v="Pang Jiewen" u="1"/>
        <s v="Ou Xiuyun" u="1"/>
        <s v="Mai Jinchao 1" u="1"/>
        <s v="Li Xuebin" u="1"/>
        <s v="Wu Jinsheng" u="1"/>
        <s v="Zhang Hongtong" u="1"/>
        <s v="SponseSurname, A" u="1"/>
        <s v="Zhang Yuguo" u="1"/>
        <s v="Pan Yingqi" u="1"/>
        <s v="Wang Shun" u="1"/>
        <s v="Chen Wucong" u="1"/>
        <s v="Liu Xiaojia" u="1"/>
        <s v="Pan Zhenhong" u="1"/>
        <s v="Tan Zhicong" u="1"/>
        <s v="Pang Jianwei" u="1"/>
        <s v="Kwong Jianhui" u="1"/>
        <s v="Juntao, Ma" u="1"/>
        <s v="Liang Jingwen" u="1"/>
        <s v="Liang Jiefang" u="1"/>
        <s v="Zhang Junjie" u="1"/>
        <s v="Zhang Xiaoyao" u="1"/>
        <s v="Mai Jinchao 2" u="1"/>
        <s v="Zhou Zhengdao" u="1"/>
        <s v="He Jiajian" u="1"/>
        <s v="Li Yanfen" u="1"/>
        <s v="Zhang Nager" u="1"/>
        <s v="Pan Yihao" u="1"/>
        <s v="Cai Linyao" u="1"/>
        <s v="Ouyang Xiaoyan" u="1"/>
        <s v="Zhang Haiyang" u="1"/>
        <s v="Li Yumei" u="1"/>
        <s v="Li Wenhao"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88310187" createdVersion="6" refreshedVersion="6" minRefreshableVersion="3" recordCount="27" xr:uid="{FB4759B4-6341-44BF-A07C-EA1E41A74DB0}">
  <cacheSource type="worksheet">
    <worksheetSource ref="A1:N49" sheet="Schedule2"/>
  </cacheSource>
  <cacheFields count="14">
    <cacheField name="WorkID" numFmtId="0">
      <sharedItems containsBlank="1"/>
    </cacheField>
    <cacheField name="Work name" numFmtId="0">
      <sharedItems containsBlank="1"/>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7" maxValue="74"/>
    </cacheField>
    <cacheField name="Time (m)" numFmtId="0">
      <sharedItems containsString="0" containsBlank="1" containsNumber="1" containsInteger="1" minValue="28" maxValue="296"/>
    </cacheField>
    <cacheField name="Hours" numFmtId="0">
      <sharedItems containsString="0" containsBlank="1" containsNumber="1" minValue="0.46666666666666667" maxValue="4.9333333333333336"/>
    </cacheField>
    <cacheField name="Time (hours)" numFmtId="0">
      <sharedItems containsString="0" containsBlank="1" containsNumber="1" containsInteger="1" minValue="1" maxValu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p1JFPMS202005001"/>
    <x v="0"/>
    <s v="Zhu Liudan"/>
    <s v="Project manager"/>
    <s v="p1"/>
    <x v="0"/>
  </r>
  <r>
    <x v="0"/>
    <s v="p1JFPMS202005001"/>
    <x v="1"/>
    <s v="Zhu Liudan"/>
    <s v="Project manager"/>
    <s v="p1"/>
    <x v="0"/>
  </r>
  <r>
    <x v="0"/>
    <s v="p1JFPMS202005001"/>
    <x v="2"/>
    <s v="Li Xiang"/>
    <s v="Developer"/>
    <s v="p1"/>
    <x v="1"/>
  </r>
  <r>
    <x v="0"/>
    <s v="p1JFPMS202005001"/>
    <x v="2"/>
    <s v="Zhang Hongtong"/>
    <s v="Developer"/>
    <s v="p1"/>
    <x v="0"/>
  </r>
  <r>
    <x v="0"/>
    <s v="p1JFPMS202005001"/>
    <x v="2"/>
    <s v="Zhou Weidong"/>
    <s v="Developer"/>
    <s v="p1"/>
    <x v="1"/>
  </r>
  <r>
    <x v="0"/>
    <s v="p1JFPMS202005001"/>
    <x v="3"/>
    <s v="Zhu Liudan"/>
    <s v="Project manager"/>
    <s v="p1"/>
    <x v="0"/>
  </r>
  <r>
    <x v="0"/>
    <s v="p1JFPMS202005001"/>
    <x v="4"/>
    <s v="Huang Weibin"/>
    <s v="Analyst"/>
    <s v="p1"/>
    <x v="1"/>
  </r>
  <r>
    <x v="0"/>
    <s v="p1JFPMS202005001"/>
    <x v="4"/>
    <s v="Li Xiang"/>
    <s v="Developer"/>
    <s v="p1"/>
    <x v="1"/>
  </r>
  <r>
    <x v="0"/>
    <s v="p1JFPMS202005001"/>
    <x v="4"/>
    <s v="Li Xuebin"/>
    <s v="Designer"/>
    <s v="p1"/>
    <x v="1"/>
  </r>
  <r>
    <x v="0"/>
    <s v="p1JFPMS202005001"/>
    <x v="4"/>
    <s v="Pang Jiewen"/>
    <s v="Analyst"/>
    <s v="p1"/>
    <x v="1"/>
  </r>
  <r>
    <x v="0"/>
    <s v="p1JFPMS202005001"/>
    <x v="4"/>
    <s v="Tan Zhicong"/>
    <s v="Testers"/>
    <s v="p1"/>
    <x v="1"/>
  </r>
  <r>
    <x v="0"/>
    <s v="p1JFPMS202005001"/>
    <x v="4"/>
    <s v="Zhang Hongtong"/>
    <s v="Developer"/>
    <s v="p1"/>
    <x v="1"/>
  </r>
  <r>
    <x v="0"/>
    <s v="p1JFPMS202005001"/>
    <x v="4"/>
    <s v="Zhou Weidong"/>
    <s v="Developer"/>
    <s v="p1"/>
    <x v="1"/>
  </r>
  <r>
    <x v="0"/>
    <s v="p1JFPMS202005001"/>
    <x v="4"/>
    <s v="Zhu Liudan"/>
    <s v="Project manager"/>
    <s v="p1"/>
    <x v="0"/>
  </r>
  <r>
    <x v="0"/>
    <s v="p1JFPMS202005001"/>
    <x v="5"/>
    <s v="Huang Weibin"/>
    <s v="Analyst"/>
    <s v="p1"/>
    <x v="0"/>
  </r>
  <r>
    <x v="0"/>
    <s v="p1JFPMS202005001"/>
    <x v="5"/>
    <s v="Pang Jiewen"/>
    <s v="Analyst"/>
    <s v="p1"/>
    <x v="1"/>
  </r>
  <r>
    <x v="0"/>
    <s v="p1JFPMS202005001"/>
    <x v="6"/>
    <s v="Li Xiang"/>
    <s v="Developer"/>
    <s v="p1"/>
    <x v="1"/>
  </r>
  <r>
    <x v="0"/>
    <s v="p1JFPMS202005001"/>
    <x v="6"/>
    <s v="Li Xuebin"/>
    <s v="Designer"/>
    <s v="p1"/>
    <x v="0"/>
  </r>
  <r>
    <x v="0"/>
    <s v="p1JFPMS202005001"/>
    <x v="6"/>
    <s v="Zhang Hongtong"/>
    <s v="Developer"/>
    <s v="p1"/>
    <x v="1"/>
  </r>
  <r>
    <x v="0"/>
    <s v="p1JFPMS202005001"/>
    <x v="6"/>
    <s v="Zhou Weidong"/>
    <s v="Developer"/>
    <s v="p1"/>
    <x v="1"/>
  </r>
  <r>
    <x v="0"/>
    <s v="p1JFPMS202005001"/>
    <x v="7"/>
    <s v="Li Xiang"/>
    <s v="Developer"/>
    <s v="p1"/>
    <x v="1"/>
  </r>
  <r>
    <x v="0"/>
    <s v="p1JFPMS202005001"/>
    <x v="7"/>
    <s v="Tan Zhicong"/>
    <s v="Testers"/>
    <s v="p1"/>
    <x v="0"/>
  </r>
  <r>
    <x v="0"/>
    <s v="p1JFPMS202005001"/>
    <x v="7"/>
    <s v="Zhang Hongtong"/>
    <s v="Developer"/>
    <s v="p1"/>
    <x v="1"/>
  </r>
  <r>
    <x v="0"/>
    <s v="p1JFPMS202005001"/>
    <x v="7"/>
    <s v="Zhou Weidong"/>
    <s v="Developer"/>
    <s v="p1"/>
    <x v="1"/>
  </r>
  <r>
    <x v="1"/>
    <s v="p2JFPMS202004057"/>
    <x v="8"/>
    <s v="Chen Wucong"/>
    <s v="Project manager"/>
    <s v="p2"/>
    <x v="0"/>
  </r>
  <r>
    <x v="2"/>
    <s v="p3JFPMS202001040"/>
    <x v="2"/>
    <s v="Chen Chen"/>
    <s v="Developer"/>
    <s v="p3"/>
    <x v="1"/>
  </r>
  <r>
    <x v="2"/>
    <s v="p3JFPMS202001040"/>
    <x v="2"/>
    <s v="Zhou Huali"/>
    <s v="Developer"/>
    <s v="p3"/>
    <x v="0"/>
  </r>
  <r>
    <x v="2"/>
    <s v="p3JFPMS202001040"/>
    <x v="2"/>
    <s v="Zhou Raosen"/>
    <s v="Developer"/>
    <s v="p3"/>
    <x v="1"/>
  </r>
  <r>
    <x v="2"/>
    <s v="p3JFPMS202001040"/>
    <x v="6"/>
    <s v="Chen Chen"/>
    <s v="Developer"/>
    <s v="p3"/>
    <x v="1"/>
  </r>
  <r>
    <x v="2"/>
    <s v="p3JFPMS202001040"/>
    <x v="6"/>
    <s v="Liu Xiaojia"/>
    <s v="Designer"/>
    <s v="p3"/>
    <x v="1"/>
  </r>
  <r>
    <x v="2"/>
    <s v="p3JFPMS202001040"/>
    <x v="6"/>
    <s v="Zhou Huali"/>
    <s v="Developer"/>
    <s v="p3"/>
    <x v="0"/>
  </r>
  <r>
    <x v="2"/>
    <s v="p3JFPMS202001040"/>
    <x v="6"/>
    <s v="Zhou Raosen"/>
    <s v="Developer"/>
    <s v="p3"/>
    <x v="1"/>
  </r>
  <r>
    <x v="3"/>
    <s v="p4JFPMS202003021"/>
    <x v="0"/>
    <s v="Mai Jinchao 1"/>
    <s v="Project manager"/>
    <s v="p4"/>
    <x v="0"/>
  </r>
  <r>
    <x v="3"/>
    <s v="p4JFPMS202003021"/>
    <x v="1"/>
    <s v="Mai Jinchao 1"/>
    <s v="Project manager"/>
    <s v="p4"/>
    <x v="0"/>
  </r>
  <r>
    <x v="3"/>
    <s v="p4JFPMS202003021"/>
    <x v="3"/>
    <s v="Mai Jinchao 1"/>
    <s v="Project manager"/>
    <s v="p4"/>
    <x v="0"/>
  </r>
  <r>
    <x v="3"/>
    <s v="p4JFPMS202003021"/>
    <x v="4"/>
    <s v="Li Yumei"/>
    <s v="Developer"/>
    <s v="p4"/>
    <x v="1"/>
  </r>
  <r>
    <x v="3"/>
    <s v="p4JFPMS202003021"/>
    <x v="4"/>
    <s v="Mai Jinchao 1"/>
    <s v="Project manager"/>
    <s v="p4"/>
    <x v="0"/>
  </r>
  <r>
    <x v="3"/>
    <s v="p4JFPMS202003021"/>
    <x v="4"/>
    <s v="Ou Xiuyun"/>
    <s v="Analyst"/>
    <s v="p4"/>
    <x v="1"/>
  </r>
  <r>
    <x v="3"/>
    <s v="p4JFPMS202003021"/>
    <x v="4"/>
    <s v="Pan Yingqi"/>
    <s v="Testers"/>
    <s v="p4"/>
    <x v="1"/>
  </r>
  <r>
    <x v="3"/>
    <s v="p4JFPMS202003021"/>
    <x v="4"/>
    <s v="Wang Shun"/>
    <s v="Developer"/>
    <s v="p4"/>
    <x v="1"/>
  </r>
  <r>
    <x v="3"/>
    <s v="p4JFPMS202003021"/>
    <x v="4"/>
    <s v="Zhang Nager"/>
    <s v="Developer"/>
    <s v="p4"/>
    <x v="1"/>
  </r>
  <r>
    <x v="3"/>
    <s v="p4JFPMS202003021"/>
    <x v="4"/>
    <s v="Zhou Zhengdao"/>
    <s v="Designer"/>
    <s v="p4"/>
    <x v="1"/>
  </r>
  <r>
    <x v="3"/>
    <s v="p4JFPMS202003021"/>
    <x v="5"/>
    <s v="Ou Xiuyun"/>
    <s v="Analyst"/>
    <s v="p4"/>
    <x v="0"/>
  </r>
  <r>
    <x v="3"/>
    <s v="p4JFPMS202003021"/>
    <x v="8"/>
    <s v="Mai Jinchao 1"/>
    <s v="Project manager"/>
    <s v="p4"/>
    <x v="0"/>
  </r>
  <r>
    <x v="3"/>
    <s v="p4JFPMS202003021"/>
    <x v="7"/>
    <s v="Li Yumei"/>
    <s v="Developer"/>
    <s v="p4"/>
    <x v="1"/>
  </r>
  <r>
    <x v="3"/>
    <s v="p4JFPMS202003021"/>
    <x v="7"/>
    <s v="Pan Yingqi"/>
    <s v="Testers"/>
    <s v="p4"/>
    <x v="0"/>
  </r>
  <r>
    <x v="3"/>
    <s v="p4JFPMS202003021"/>
    <x v="7"/>
    <s v="Wang Shun"/>
    <s v="Developer"/>
    <s v="p4"/>
    <x v="1"/>
  </r>
  <r>
    <x v="3"/>
    <s v="p4JFPMS202003021"/>
    <x v="7"/>
    <s v="Zhang Nager"/>
    <s v="Developer"/>
    <s v="p4"/>
    <x v="1"/>
  </r>
  <r>
    <x v="4"/>
    <s v="s1CM"/>
    <x v="9"/>
    <s v="Pan Zhenhong"/>
    <s v="Configuration manager"/>
    <s v="s1"/>
    <x v="0"/>
  </r>
  <r>
    <x v="5"/>
    <s v="s2EPG/MA"/>
    <x v="10"/>
    <s v="Lu Zhiwei"/>
    <s v="Process Engineering"/>
    <s v="s2"/>
    <x v="0"/>
  </r>
  <r>
    <x v="5"/>
    <s v="s2EPG/MA"/>
    <x v="11"/>
    <s v="Lu Zhiwei"/>
    <s v="Process Engineering"/>
    <s v="s2"/>
    <x v="0"/>
  </r>
  <r>
    <x v="5"/>
    <s v="s2EPG/MA"/>
    <x v="12"/>
    <s v="Lu Zhiwei"/>
    <s v="Process Engineering"/>
    <s v="s2"/>
    <x v="0"/>
  </r>
  <r>
    <x v="5"/>
    <s v="s2EPG/MA"/>
    <x v="13"/>
    <s v="Lu Zhiwei"/>
    <s v="Process Engineering"/>
    <s v="s2"/>
    <x v="0"/>
  </r>
  <r>
    <x v="5"/>
    <s v="s2EPG/MA"/>
    <x v="14"/>
    <s v="Lu Zhiwei"/>
    <s v="Process Engineering"/>
    <s v="s2"/>
    <x v="0"/>
  </r>
  <r>
    <x v="6"/>
    <s v="s3HR"/>
    <x v="15"/>
    <s v="Li Yanfen"/>
    <s v="Head of training"/>
    <s v="s3"/>
    <x v="0"/>
  </r>
  <r>
    <x v="7"/>
    <s v="s4PPQA"/>
    <x v="16"/>
    <s v="Liang Jingwen"/>
    <s v="Quality Assurance Staff"/>
    <s v="s4"/>
    <x v="0"/>
  </r>
  <r>
    <x v="8"/>
    <m/>
    <x v="17"/>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x v="0"/>
    <x v="0"/>
    <x v="0"/>
    <x v="0"/>
    <s v="p1"/>
    <x v="0"/>
    <s v="[3] Project Management"/>
  </r>
  <r>
    <s v="p1"/>
    <x v="0"/>
    <x v="1"/>
    <x v="0"/>
    <x v="0"/>
    <s v="p1"/>
    <x v="0"/>
    <s v="[3] Project Management"/>
  </r>
  <r>
    <s v="p1"/>
    <x v="0"/>
    <x v="2"/>
    <x v="0"/>
    <x v="0"/>
    <s v="p1"/>
    <x v="0"/>
    <s v="[3] Project Management"/>
  </r>
  <r>
    <s v="p1"/>
    <x v="0"/>
    <x v="3"/>
    <x v="0"/>
    <x v="0"/>
    <s v="p1"/>
    <x v="0"/>
    <s v="[3] Project Management"/>
  </r>
  <r>
    <s v="p2"/>
    <x v="1"/>
    <x v="4"/>
    <x v="1"/>
    <x v="0"/>
    <s v="p2"/>
    <x v="0"/>
    <s v="[3] Project Management"/>
  </r>
  <r>
    <s v="p4"/>
    <x v="2"/>
    <x v="0"/>
    <x v="2"/>
    <x v="0"/>
    <s v="p4"/>
    <x v="0"/>
    <s v="[3] Project Management"/>
  </r>
  <r>
    <s v="p4"/>
    <x v="2"/>
    <x v="1"/>
    <x v="2"/>
    <x v="0"/>
    <s v="p4"/>
    <x v="0"/>
    <s v="[3] Project Management"/>
  </r>
  <r>
    <s v="p4"/>
    <x v="2"/>
    <x v="2"/>
    <x v="2"/>
    <x v="0"/>
    <s v="p4"/>
    <x v="0"/>
    <s v="[3] Project Management"/>
  </r>
  <r>
    <s v="p4"/>
    <x v="2"/>
    <x v="3"/>
    <x v="2"/>
    <x v="0"/>
    <s v="p4"/>
    <x v="0"/>
    <s v="[3] Project Management"/>
  </r>
  <r>
    <s v="p4"/>
    <x v="2"/>
    <x v="4"/>
    <x v="2"/>
    <x v="0"/>
    <s v="p4"/>
    <x v="0"/>
    <s v="[3] Project Management"/>
  </r>
  <r>
    <s v="p1"/>
    <x v="0"/>
    <x v="5"/>
    <x v="3"/>
    <x v="1"/>
    <s v="p1"/>
    <x v="0"/>
    <s v="[4] Engineering"/>
  </r>
  <r>
    <s v="p1"/>
    <x v="0"/>
    <x v="6"/>
    <x v="4"/>
    <x v="2"/>
    <s v="p1"/>
    <x v="0"/>
    <s v="[4] Engineering"/>
  </r>
  <r>
    <s v="p1"/>
    <x v="0"/>
    <x v="7"/>
    <x v="5"/>
    <x v="3"/>
    <s v="p1"/>
    <x v="0"/>
    <s v="[4] Engineering"/>
  </r>
  <r>
    <s v="p1"/>
    <x v="0"/>
    <x v="8"/>
    <x v="6"/>
    <x v="4"/>
    <s v="p1"/>
    <x v="0"/>
    <s v="[4] Engineering"/>
  </r>
  <r>
    <s v="p3"/>
    <x v="3"/>
    <x v="7"/>
    <x v="7"/>
    <x v="3"/>
    <s v="p3"/>
    <x v="0"/>
    <s v="[4] Engineering"/>
  </r>
  <r>
    <s v="p3"/>
    <x v="3"/>
    <x v="6"/>
    <x v="7"/>
    <x v="3"/>
    <s v="p3"/>
    <x v="0"/>
    <s v="[4] Engineering"/>
  </r>
  <r>
    <s v="p4"/>
    <x v="2"/>
    <x v="5"/>
    <x v="8"/>
    <x v="1"/>
    <s v="p4"/>
    <x v="0"/>
    <s v="[4] Engineering"/>
  </r>
  <r>
    <s v="p4"/>
    <x v="2"/>
    <x v="8"/>
    <x v="9"/>
    <x v="4"/>
    <s v="p4"/>
    <x v="0"/>
    <s v="[4] Engineering"/>
  </r>
  <r>
    <s v="s1"/>
    <x v="4"/>
    <x v="9"/>
    <x v="10"/>
    <x v="5"/>
    <s v="s1"/>
    <x v="0"/>
    <s v="[5] Configuration Management"/>
  </r>
  <r>
    <s v="s2"/>
    <x v="5"/>
    <x v="10"/>
    <x v="11"/>
    <x v="6"/>
    <s v="s2"/>
    <x v="0"/>
    <s v="[6] Process Management"/>
  </r>
  <r>
    <s v="s2"/>
    <x v="5"/>
    <x v="11"/>
    <x v="11"/>
    <x v="6"/>
    <s v="s2"/>
    <x v="0"/>
    <s v="[6] Process Management"/>
  </r>
  <r>
    <s v="s2"/>
    <x v="5"/>
    <x v="12"/>
    <x v="11"/>
    <x v="6"/>
    <s v="s2"/>
    <x v="0"/>
    <s v="[6] Process Management"/>
  </r>
  <r>
    <s v="s2"/>
    <x v="5"/>
    <x v="13"/>
    <x v="11"/>
    <x v="6"/>
    <s v="s2"/>
    <x v="0"/>
    <s v="[6] Process Management"/>
  </r>
  <r>
    <s v="s2"/>
    <x v="5"/>
    <x v="14"/>
    <x v="11"/>
    <x v="6"/>
    <s v="s2"/>
    <x v="0"/>
    <s v="[6] Process Management"/>
  </r>
  <r>
    <s v="s3"/>
    <x v="6"/>
    <x v="15"/>
    <x v="12"/>
    <x v="7"/>
    <s v="s3"/>
    <x v="0"/>
    <s v="[7] Organisational Training"/>
  </r>
  <r>
    <s v="s4"/>
    <x v="7"/>
    <x v="16"/>
    <x v="13"/>
    <x v="8"/>
    <s v="s4"/>
    <x v="0"/>
    <s v="[8] Process Quality Assurance"/>
  </r>
  <r>
    <m/>
    <x v="8"/>
    <x v="17"/>
    <x v="14"/>
    <x v="9"/>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s v="Project manager"/>
    <s v="p1"/>
    <s v="x"/>
    <x v="0"/>
  </r>
  <r>
    <x v="0"/>
    <s v="Project manager"/>
    <s v="p1"/>
    <s v="x"/>
    <x v="0"/>
  </r>
  <r>
    <x v="0"/>
    <s v="Project manager"/>
    <s v="p1"/>
    <s v="x"/>
    <x v="0"/>
  </r>
  <r>
    <x v="0"/>
    <s v="Project manager"/>
    <s v="p1"/>
    <s v="x"/>
    <x v="0"/>
  </r>
  <r>
    <x v="1"/>
    <s v="Project manager"/>
    <s v="p2"/>
    <s v="x"/>
    <x v="0"/>
  </r>
  <r>
    <x v="2"/>
    <s v="Project manager"/>
    <s v="p4"/>
    <s v="x"/>
    <x v="0"/>
  </r>
  <r>
    <x v="2"/>
    <s v="Project manager"/>
    <s v="p4"/>
    <s v="x"/>
    <x v="0"/>
  </r>
  <r>
    <x v="2"/>
    <s v="Project manager"/>
    <s v="p4"/>
    <s v="x"/>
    <x v="0"/>
  </r>
  <r>
    <x v="2"/>
    <s v="Project manager"/>
    <s v="p4"/>
    <s v="x"/>
    <x v="0"/>
  </r>
  <r>
    <x v="2"/>
    <s v="Project manager"/>
    <s v="p4"/>
    <s v="x"/>
    <x v="0"/>
  </r>
  <r>
    <x v="3"/>
    <s v="Analyst"/>
    <s v="p1"/>
    <s v="x"/>
    <x v="1"/>
  </r>
  <r>
    <x v="4"/>
    <s v="Designer"/>
    <s v="p1"/>
    <s v="x"/>
    <x v="1"/>
  </r>
  <r>
    <x v="5"/>
    <s v="Developer"/>
    <s v="p1"/>
    <s v="x"/>
    <x v="1"/>
  </r>
  <r>
    <x v="6"/>
    <s v="Testers"/>
    <s v="p1"/>
    <s v="x"/>
    <x v="1"/>
  </r>
  <r>
    <x v="7"/>
    <s v="Developer"/>
    <s v="p3"/>
    <s v="x"/>
    <x v="1"/>
  </r>
  <r>
    <x v="7"/>
    <s v="Developer"/>
    <s v="p3"/>
    <s v="x"/>
    <x v="1"/>
  </r>
  <r>
    <x v="8"/>
    <s v="Analyst"/>
    <s v="p4"/>
    <s v="x"/>
    <x v="1"/>
  </r>
  <r>
    <x v="9"/>
    <s v="Testers"/>
    <s v="p4"/>
    <s v="x"/>
    <x v="1"/>
  </r>
  <r>
    <x v="10"/>
    <s v="Configuration manager"/>
    <s v="s1"/>
    <s v="x"/>
    <x v="2"/>
  </r>
  <r>
    <x v="11"/>
    <s v="Process Engineering"/>
    <s v="s2"/>
    <s v="x"/>
    <x v="3"/>
  </r>
  <r>
    <x v="11"/>
    <s v="Process Engineering"/>
    <s v="s2"/>
    <s v="x"/>
    <x v="3"/>
  </r>
  <r>
    <x v="11"/>
    <s v="Process Engineering"/>
    <s v="s2"/>
    <s v="x"/>
    <x v="3"/>
  </r>
  <r>
    <x v="11"/>
    <s v="Process Engineering"/>
    <s v="s2"/>
    <s v="x"/>
    <x v="3"/>
  </r>
  <r>
    <x v="11"/>
    <s v="Process Engineering"/>
    <s v="s2"/>
    <s v="x"/>
    <x v="3"/>
  </r>
  <r>
    <x v="12"/>
    <s v="Head of training"/>
    <s v="s3"/>
    <s v="x"/>
    <x v="4"/>
  </r>
  <r>
    <x v="13"/>
    <s v="Quality Assurance Staff"/>
    <s v="s4"/>
    <s v="x"/>
    <x v="5"/>
  </r>
  <r>
    <x v="14"/>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r>
  <r>
    <x v="0"/>
    <x v="0"/>
  </r>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5"/>
    <x v="5"/>
  </r>
  <r>
    <x v="5"/>
    <x v="5"/>
  </r>
  <r>
    <x v="5"/>
    <x v="5"/>
  </r>
  <r>
    <x v="5"/>
    <x v="5"/>
  </r>
  <r>
    <x v="6"/>
    <x v="6"/>
  </r>
  <r>
    <x v="7"/>
    <x v="7"/>
  </r>
  <r>
    <x v="7"/>
    <x v="7"/>
  </r>
  <r>
    <x v="8"/>
    <x v="8"/>
  </r>
  <r>
    <x v="9"/>
    <x v="9"/>
  </r>
  <r>
    <x v="10"/>
    <x v="10"/>
  </r>
  <r>
    <x v="10"/>
    <x v="10"/>
  </r>
  <r>
    <x v="10"/>
    <x v="10"/>
  </r>
  <r>
    <x v="10"/>
    <x v="10"/>
  </r>
  <r>
    <x v="10"/>
    <x v="10"/>
  </r>
  <r>
    <x v="10"/>
    <x v="10"/>
  </r>
  <r>
    <x v="10"/>
    <x v="10"/>
  </r>
  <r>
    <x v="10"/>
    <x v="10"/>
  </r>
  <r>
    <x v="10"/>
    <x v="10"/>
  </r>
  <r>
    <x v="10"/>
    <x v="10"/>
  </r>
  <r>
    <x v="10"/>
    <x v="10"/>
  </r>
  <r>
    <x v="10"/>
    <x v="10"/>
  </r>
  <r>
    <x v="10"/>
    <x v="10"/>
  </r>
  <r>
    <x v="10"/>
    <x v="10"/>
  </r>
  <r>
    <x v="10"/>
    <x v="10"/>
  </r>
  <r>
    <x v="10"/>
    <x v="10"/>
  </r>
  <r>
    <x v="10"/>
    <x v="1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p1ProjectNameA"/>
    <x v="0"/>
    <s v="Developer"/>
    <s v="R&amp;D Center"/>
    <m/>
    <m/>
    <m/>
    <m/>
    <m/>
    <m/>
    <m/>
    <m/>
    <m/>
    <s v="x"/>
    <m/>
    <m/>
    <m/>
    <m/>
    <s v="x"/>
    <s v="x"/>
    <m/>
    <s v="x"/>
    <s v="x"/>
    <m/>
  </r>
  <r>
    <x v="0"/>
    <s v="p1ProjectNameA"/>
    <x v="1"/>
    <s v="Project manager"/>
    <s v="R&amp;D Center"/>
    <s v="x"/>
    <m/>
    <s v="x"/>
    <s v="x"/>
    <m/>
    <m/>
    <m/>
    <s v="x"/>
    <m/>
    <s v="x"/>
    <s v="x"/>
    <m/>
    <m/>
    <m/>
    <m/>
    <m/>
    <s v="x"/>
    <m/>
    <m/>
    <m/>
  </r>
  <r>
    <x v="0"/>
    <s v="p1ProjectNameA"/>
    <x v="2"/>
    <s v="Testers"/>
    <s v="R&amp;D Center"/>
    <m/>
    <m/>
    <m/>
    <m/>
    <m/>
    <m/>
    <m/>
    <m/>
    <m/>
    <s v="x"/>
    <m/>
    <m/>
    <m/>
    <m/>
    <m/>
    <m/>
    <m/>
    <m/>
    <s v="x"/>
    <m/>
  </r>
  <r>
    <x v="1"/>
    <s v="p2ProjectNameB"/>
    <x v="3"/>
    <s v="Analyst"/>
    <s v="R&amp;D Center"/>
    <m/>
    <m/>
    <s v="x"/>
    <m/>
    <m/>
    <m/>
    <m/>
    <m/>
    <m/>
    <s v="x"/>
    <m/>
    <m/>
    <m/>
    <m/>
    <m/>
    <s v="x"/>
    <m/>
    <m/>
    <m/>
    <m/>
  </r>
  <r>
    <x v="1"/>
    <s v="p2ProjectNameB"/>
    <x v="4"/>
    <s v="Designer"/>
    <s v="R&amp;D Center"/>
    <m/>
    <m/>
    <m/>
    <m/>
    <m/>
    <m/>
    <m/>
    <m/>
    <m/>
    <s v="x"/>
    <m/>
    <m/>
    <m/>
    <m/>
    <m/>
    <m/>
    <m/>
    <s v="x"/>
    <m/>
    <m/>
  </r>
  <r>
    <x v="1"/>
    <s v="p2ProjectNameB"/>
    <x v="5"/>
    <s v="Developer"/>
    <s v="R&amp;D Center"/>
    <m/>
    <m/>
    <m/>
    <m/>
    <m/>
    <m/>
    <m/>
    <m/>
    <m/>
    <s v="x"/>
    <m/>
    <m/>
    <m/>
    <m/>
    <s v="x"/>
    <m/>
    <m/>
    <s v="x"/>
    <s v="x"/>
    <m/>
  </r>
  <r>
    <x v="1"/>
    <s v="p2ProjectNameB"/>
    <x v="6"/>
    <s v="Project manager"/>
    <s v="R&amp;D Center"/>
    <s v="x"/>
    <m/>
    <s v="x"/>
    <s v="x"/>
    <m/>
    <m/>
    <m/>
    <s v="x"/>
    <m/>
    <s v="x"/>
    <s v="x"/>
    <m/>
    <m/>
    <m/>
    <m/>
    <m/>
    <s v="x"/>
    <m/>
    <m/>
    <m/>
  </r>
  <r>
    <x v="1"/>
    <s v="p2ProjectNameB"/>
    <x v="7"/>
    <s v="Testers"/>
    <s v="R&amp;D Center"/>
    <m/>
    <m/>
    <m/>
    <m/>
    <m/>
    <m/>
    <m/>
    <m/>
    <m/>
    <s v="x"/>
    <m/>
    <m/>
    <m/>
    <m/>
    <m/>
    <m/>
    <m/>
    <m/>
    <s v="x"/>
    <m/>
  </r>
  <r>
    <x v="2"/>
    <s v="p3ProjectNameC"/>
    <x v="8"/>
    <s v="Analyst"/>
    <s v="R&amp;D Center"/>
    <m/>
    <m/>
    <s v="x"/>
    <m/>
    <m/>
    <m/>
    <m/>
    <m/>
    <m/>
    <s v="x"/>
    <m/>
    <m/>
    <m/>
    <m/>
    <m/>
    <s v="x"/>
    <m/>
    <m/>
    <m/>
    <m/>
  </r>
  <r>
    <x v="2"/>
    <s v="p3ProjectNameC"/>
    <x v="9"/>
    <s v="Designer"/>
    <s v="R&amp;D Center"/>
    <m/>
    <m/>
    <m/>
    <m/>
    <m/>
    <m/>
    <m/>
    <m/>
    <m/>
    <s v="x"/>
    <m/>
    <m/>
    <m/>
    <m/>
    <m/>
    <m/>
    <m/>
    <s v="x"/>
    <m/>
    <m/>
  </r>
  <r>
    <x v="2"/>
    <s v="p3ProjectNameC"/>
    <x v="10"/>
    <s v="Developer"/>
    <s v="R&amp;D Center"/>
    <m/>
    <m/>
    <m/>
    <m/>
    <m/>
    <m/>
    <m/>
    <m/>
    <m/>
    <s v="x"/>
    <m/>
    <m/>
    <m/>
    <m/>
    <s v="x"/>
    <m/>
    <m/>
    <s v="x"/>
    <s v="x"/>
    <m/>
  </r>
  <r>
    <x v="2"/>
    <s v="p3ProjectNameC"/>
    <x v="11"/>
    <s v="Project manager"/>
    <s v="R&amp;D Center"/>
    <s v="x"/>
    <m/>
    <s v="x"/>
    <s v="x"/>
    <m/>
    <m/>
    <m/>
    <s v="x"/>
    <m/>
    <s v="x"/>
    <s v="x"/>
    <m/>
    <m/>
    <m/>
    <m/>
    <m/>
    <s v="x"/>
    <m/>
    <m/>
    <m/>
  </r>
  <r>
    <x v="2"/>
    <s v="p3ProjectNameC"/>
    <x v="12"/>
    <s v="Testers"/>
    <s v="R&amp;D Center"/>
    <m/>
    <m/>
    <m/>
    <m/>
    <m/>
    <m/>
    <m/>
    <m/>
    <m/>
    <s v="x"/>
    <m/>
    <m/>
    <m/>
    <m/>
    <m/>
    <m/>
    <m/>
    <m/>
    <s v="x"/>
    <m/>
  </r>
  <r>
    <x v="3"/>
    <s v="p4PRojectNameD"/>
    <x v="13"/>
    <s v="Analyst"/>
    <s v="R&amp;D Center"/>
    <m/>
    <m/>
    <s v="x"/>
    <m/>
    <m/>
    <m/>
    <m/>
    <m/>
    <m/>
    <s v="x"/>
    <m/>
    <m/>
    <m/>
    <m/>
    <m/>
    <s v="x"/>
    <m/>
    <m/>
    <m/>
    <m/>
  </r>
  <r>
    <x v="3"/>
    <s v="p4PRojectNameD"/>
    <x v="14"/>
    <s v="Designer"/>
    <s v="R&amp;D Center"/>
    <m/>
    <m/>
    <m/>
    <m/>
    <m/>
    <m/>
    <m/>
    <m/>
    <m/>
    <s v="x"/>
    <m/>
    <m/>
    <m/>
    <m/>
    <m/>
    <m/>
    <m/>
    <s v="x"/>
    <m/>
    <m/>
  </r>
  <r>
    <x v="3"/>
    <s v="p4PRojectNameD"/>
    <x v="15"/>
    <s v="Developer"/>
    <s v="R&amp;D Center"/>
    <m/>
    <m/>
    <m/>
    <m/>
    <m/>
    <m/>
    <m/>
    <m/>
    <m/>
    <s v="x"/>
    <m/>
    <m/>
    <m/>
    <m/>
    <s v="x"/>
    <m/>
    <m/>
    <s v="x"/>
    <s v="x"/>
    <m/>
  </r>
  <r>
    <x v="3"/>
    <s v="p4PRojectNameD"/>
    <x v="16"/>
    <s v="Project manager"/>
    <s v="R&amp;D Center"/>
    <s v="x"/>
    <m/>
    <s v="x"/>
    <s v="x"/>
    <m/>
    <m/>
    <m/>
    <s v="x"/>
    <m/>
    <s v="x"/>
    <s v="x"/>
    <m/>
    <m/>
    <m/>
    <m/>
    <m/>
    <s v="x"/>
    <m/>
    <m/>
    <m/>
  </r>
  <r>
    <x v="3"/>
    <s v="p4PRojectNameD"/>
    <x v="17"/>
    <s v="Testers"/>
    <s v="R&amp;D Center"/>
    <m/>
    <m/>
    <m/>
    <m/>
    <m/>
    <m/>
    <m/>
    <m/>
    <m/>
    <s v="x"/>
    <m/>
    <m/>
    <m/>
    <m/>
    <m/>
    <m/>
    <m/>
    <m/>
    <s v="x"/>
    <m/>
  </r>
  <r>
    <x v="4"/>
    <s v="p5ProjectNameE"/>
    <x v="18"/>
    <s v="Analyst"/>
    <s v="R&amp;D Center"/>
    <m/>
    <m/>
    <s v="x"/>
    <m/>
    <m/>
    <m/>
    <m/>
    <m/>
    <m/>
    <s v="x"/>
    <m/>
    <m/>
    <m/>
    <m/>
    <m/>
    <s v="x"/>
    <m/>
    <m/>
    <m/>
    <m/>
  </r>
  <r>
    <x v="4"/>
    <s v="p5ProjectNameE"/>
    <x v="19"/>
    <s v="Designer"/>
    <s v="R&amp;D Center"/>
    <m/>
    <m/>
    <m/>
    <m/>
    <m/>
    <m/>
    <m/>
    <m/>
    <m/>
    <s v="x"/>
    <m/>
    <m/>
    <m/>
    <m/>
    <m/>
    <m/>
    <m/>
    <s v="x"/>
    <m/>
    <m/>
  </r>
  <r>
    <x v="4"/>
    <s v="p5ProjectNameE"/>
    <x v="20"/>
    <s v="Developer"/>
    <s v="R&amp;D Center"/>
    <m/>
    <m/>
    <m/>
    <m/>
    <m/>
    <m/>
    <m/>
    <m/>
    <m/>
    <s v="x"/>
    <m/>
    <m/>
    <m/>
    <m/>
    <s v="x"/>
    <m/>
    <m/>
    <s v="x"/>
    <s v="x"/>
    <m/>
  </r>
  <r>
    <x v="4"/>
    <s v="p5ProjectNameE"/>
    <x v="21"/>
    <s v="Project manager"/>
    <s v="R&amp;D Center"/>
    <s v="x"/>
    <m/>
    <s v="x"/>
    <s v="x"/>
    <m/>
    <m/>
    <m/>
    <s v="x"/>
    <m/>
    <s v="x"/>
    <s v="x"/>
    <m/>
    <m/>
    <m/>
    <m/>
    <m/>
    <s v="x"/>
    <m/>
    <m/>
    <m/>
  </r>
  <r>
    <x v="4"/>
    <s v="p5ProjectNameE"/>
    <x v="22"/>
    <s v="Testers"/>
    <s v="R&amp;D Center"/>
    <m/>
    <m/>
    <m/>
    <m/>
    <m/>
    <m/>
    <m/>
    <m/>
    <m/>
    <s v="x"/>
    <m/>
    <m/>
    <m/>
    <m/>
    <m/>
    <m/>
    <m/>
    <m/>
    <s v="x"/>
    <m/>
  </r>
  <r>
    <x v="5"/>
    <s v="p6ProjectNameF"/>
    <x v="23"/>
    <s v="Analyst"/>
    <s v="R&amp;D Center"/>
    <m/>
    <m/>
    <s v="x"/>
    <m/>
    <m/>
    <m/>
    <m/>
    <m/>
    <m/>
    <s v="x"/>
    <m/>
    <m/>
    <m/>
    <m/>
    <m/>
    <s v="x"/>
    <m/>
    <m/>
    <m/>
    <m/>
  </r>
  <r>
    <x v="5"/>
    <s v="p6ProjectNameF"/>
    <x v="24"/>
    <s v="Designer"/>
    <s v="R&amp;D Center"/>
    <m/>
    <m/>
    <m/>
    <m/>
    <m/>
    <m/>
    <m/>
    <m/>
    <m/>
    <s v="x"/>
    <m/>
    <m/>
    <m/>
    <m/>
    <m/>
    <m/>
    <m/>
    <s v="x"/>
    <m/>
    <m/>
  </r>
  <r>
    <x v="5"/>
    <s v="p6ProjectNameF"/>
    <x v="25"/>
    <s v="Developer"/>
    <s v="R&amp;D Center"/>
    <m/>
    <m/>
    <m/>
    <m/>
    <m/>
    <m/>
    <m/>
    <m/>
    <m/>
    <s v="x"/>
    <m/>
    <m/>
    <m/>
    <m/>
    <s v="x"/>
    <m/>
    <m/>
    <s v="x"/>
    <s v="x"/>
    <m/>
  </r>
  <r>
    <x v="5"/>
    <s v="p6ProjectNameF"/>
    <x v="26"/>
    <s v="Project manager"/>
    <s v="R&amp;D Center"/>
    <s v="x"/>
    <m/>
    <s v="x"/>
    <s v="x"/>
    <m/>
    <m/>
    <m/>
    <s v="x"/>
    <m/>
    <s v="x"/>
    <s v="x"/>
    <m/>
    <m/>
    <m/>
    <m/>
    <m/>
    <s v="x"/>
    <m/>
    <m/>
    <m/>
  </r>
  <r>
    <x v="5"/>
    <s v="p6ProjectNameF"/>
    <x v="27"/>
    <s v="Testers"/>
    <s v="R&amp;D Center"/>
    <m/>
    <m/>
    <m/>
    <m/>
    <m/>
    <m/>
    <m/>
    <m/>
    <m/>
    <s v="x"/>
    <m/>
    <m/>
    <m/>
    <m/>
    <m/>
    <m/>
    <m/>
    <m/>
    <s v="x"/>
    <m/>
  </r>
  <r>
    <x v="6"/>
    <s v="s1CM"/>
    <x v="28"/>
    <s v="Configuration manager"/>
    <s v="R&amp;D Center"/>
    <m/>
    <s v="x"/>
    <m/>
    <m/>
    <m/>
    <m/>
    <m/>
    <m/>
    <m/>
    <m/>
    <m/>
    <m/>
    <m/>
    <m/>
    <m/>
    <m/>
    <m/>
    <m/>
    <m/>
    <m/>
  </r>
  <r>
    <x v="7"/>
    <s v="s2EPG/MA"/>
    <x v="29"/>
    <s v="Process Engineering"/>
    <s v="R&amp;D Center"/>
    <s v="x"/>
    <m/>
    <s v="x"/>
    <m/>
    <m/>
    <m/>
    <s v="x"/>
    <m/>
    <m/>
    <m/>
    <m/>
    <s v="x"/>
    <s v="x"/>
    <m/>
    <m/>
    <m/>
    <m/>
    <m/>
    <m/>
    <m/>
  </r>
  <r>
    <x v="7"/>
    <s v="s2EPG/MA"/>
    <x v="30"/>
    <s v="Process Engineering"/>
    <s v="R&amp;D Center"/>
    <s v="x"/>
    <m/>
    <s v="x"/>
    <m/>
    <m/>
    <m/>
    <s v="x"/>
    <m/>
    <m/>
    <m/>
    <m/>
    <s v="x"/>
    <s v="x"/>
    <m/>
    <m/>
    <m/>
    <m/>
    <m/>
    <m/>
    <m/>
  </r>
  <r>
    <x v="8"/>
    <s v="s3HR"/>
    <x v="31"/>
    <s v="Head of training"/>
    <s v="R&amp;D Center"/>
    <m/>
    <m/>
    <m/>
    <m/>
    <m/>
    <m/>
    <m/>
    <m/>
    <s v="x"/>
    <m/>
    <m/>
    <m/>
    <m/>
    <m/>
    <m/>
    <m/>
    <m/>
    <m/>
    <m/>
    <m/>
  </r>
  <r>
    <x v="9"/>
    <s v="s4PPQA"/>
    <x v="32"/>
    <s v="Process Assurance Manager"/>
    <s v="R&amp;D Center"/>
    <m/>
    <m/>
    <m/>
    <m/>
    <m/>
    <m/>
    <m/>
    <m/>
    <m/>
    <m/>
    <m/>
    <m/>
    <m/>
    <s v="x"/>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s v="p1JFPMS202005001"/>
    <x v="0"/>
    <s v="Zhu Liudan"/>
    <s v="Project manager"/>
    <s v="p1"/>
    <s v="x"/>
    <s v="[3] Project Management"/>
    <n v="6"/>
    <n v="11"/>
    <n v="56"/>
    <n v="224"/>
    <n v="3.7333333333333334"/>
    <n v="4"/>
  </r>
  <r>
    <s v="p1"/>
    <s v="p1JFPMS202005001"/>
    <x v="1"/>
    <s v="Zhu Liudan"/>
    <s v="Project manager"/>
    <s v="p1"/>
    <s v="x"/>
    <s v="[3] Project Management"/>
    <n v="10"/>
    <m/>
    <m/>
    <m/>
    <m/>
    <m/>
  </r>
  <r>
    <s v="p1"/>
    <s v="p1JFPMS202005001"/>
    <x v="2"/>
    <s v="Zhu Liudan"/>
    <s v="Project manager"/>
    <s v="p1"/>
    <s v="x"/>
    <s v="[3] Project Management"/>
    <n v="15"/>
    <m/>
    <m/>
    <m/>
    <m/>
    <m/>
  </r>
  <r>
    <s v="p1"/>
    <s v="p1JFPMS202005001"/>
    <x v="3"/>
    <s v="Zhu Liudan"/>
    <s v="Project manager"/>
    <s v="p1"/>
    <s v="x"/>
    <s v="[3] Project Management"/>
    <n v="6"/>
    <m/>
    <m/>
    <m/>
    <m/>
    <m/>
  </r>
  <r>
    <s v="p2"/>
    <s v="p2JFPMS202004057"/>
    <x v="4"/>
    <s v="Chen Wucong"/>
    <s v="Project manager"/>
    <s v="p2"/>
    <s v="x"/>
    <s v="[3] Project Management"/>
    <n v="8"/>
    <m/>
    <m/>
    <m/>
    <m/>
    <m/>
  </r>
  <r>
    <s v="p4"/>
    <s v="p4JFPMS202003021"/>
    <x v="0"/>
    <s v="Mai Jinchao 1"/>
    <s v="Project manager"/>
    <s v="p4"/>
    <s v="x"/>
    <s v="[3] Project Management"/>
    <m/>
    <m/>
    <m/>
    <m/>
    <m/>
    <m/>
  </r>
  <r>
    <s v="p4"/>
    <s v="p4JFPMS202003021"/>
    <x v="1"/>
    <s v="Mai Jinchao 1"/>
    <s v="Project manager"/>
    <s v="p4"/>
    <s v="x"/>
    <s v="[3] Project Management"/>
    <m/>
    <m/>
    <m/>
    <m/>
    <m/>
    <m/>
  </r>
  <r>
    <s v="p4"/>
    <s v="p4JFPMS202003021"/>
    <x v="2"/>
    <s v="Mai Jinchao 1"/>
    <s v="Project manager"/>
    <s v="p4"/>
    <s v="x"/>
    <s v="[3] Project Management"/>
    <m/>
    <m/>
    <m/>
    <m/>
    <m/>
    <m/>
  </r>
  <r>
    <s v="p4"/>
    <s v="p4JFPMS202003021"/>
    <x v="3"/>
    <s v="Mai Jinchao 1"/>
    <s v="Project manager"/>
    <s v="p4"/>
    <s v="x"/>
    <s v="[3] Project Management"/>
    <m/>
    <m/>
    <m/>
    <m/>
    <m/>
    <m/>
  </r>
  <r>
    <s v="p4"/>
    <s v="p4JFPMS202003021"/>
    <x v="4"/>
    <s v="Mai Jinchao 1"/>
    <s v="Project manager"/>
    <s v="p4"/>
    <s v="x"/>
    <s v="[3] Project Management"/>
    <m/>
    <m/>
    <m/>
    <m/>
    <m/>
    <m/>
  </r>
  <r>
    <s v="p1"/>
    <s v="p1JFPMS202005001"/>
    <x v="5"/>
    <s v="Huang Weibin"/>
    <s v="Analyst"/>
    <s v="p1"/>
    <s v="x"/>
    <s v="[4] Engineering"/>
    <n v="14"/>
    <n v="11"/>
    <n v="52"/>
    <n v="208"/>
    <n v="3.4666666666666668"/>
    <n v="4"/>
  </r>
  <r>
    <s v="p1"/>
    <s v="p1JFPMS202005001"/>
    <x v="6"/>
    <s v="Li Xuebin"/>
    <s v="Designer"/>
    <s v="p1"/>
    <s v="x"/>
    <s v="[4] Engineering"/>
    <n v="10"/>
    <m/>
    <m/>
    <m/>
    <m/>
    <m/>
  </r>
  <r>
    <s v="p1"/>
    <s v="p1JFPMS202005001"/>
    <x v="7"/>
    <s v="Zhang Hongtong"/>
    <s v="Developer"/>
    <s v="p1"/>
    <s v="x"/>
    <s v="[4] Engineering"/>
    <n v="10"/>
    <m/>
    <m/>
    <m/>
    <m/>
    <m/>
  </r>
  <r>
    <s v="p1"/>
    <s v="p1JFPMS202005001"/>
    <x v="8"/>
    <s v="Tan Zhicong"/>
    <s v="Testers"/>
    <s v="p1"/>
    <s v="x"/>
    <s v="[4] Engineering"/>
    <n v="7"/>
    <m/>
    <m/>
    <m/>
    <m/>
    <m/>
  </r>
  <r>
    <s v="p3"/>
    <s v="p3JFPMS202001040"/>
    <x v="7"/>
    <s v="Zhou Huali"/>
    <s v="Developer"/>
    <s v="p3"/>
    <s v="x"/>
    <s v="[4] Engineering"/>
    <m/>
    <m/>
    <m/>
    <m/>
    <m/>
    <m/>
  </r>
  <r>
    <s v="p3"/>
    <s v="p3JFPMS202001040"/>
    <x v="6"/>
    <s v="Zhou Huali"/>
    <s v="Developer"/>
    <s v="p3"/>
    <s v="x"/>
    <s v="[4] Engineering"/>
    <m/>
    <m/>
    <m/>
    <m/>
    <m/>
    <m/>
  </r>
  <r>
    <s v="p4"/>
    <s v="p4JFPMS202003021"/>
    <x v="5"/>
    <s v="Ou Xiuyun"/>
    <s v="Analyst"/>
    <s v="p4"/>
    <s v="x"/>
    <s v="[4] Engineering"/>
    <m/>
    <m/>
    <m/>
    <m/>
    <m/>
    <m/>
  </r>
  <r>
    <s v="p4"/>
    <s v="p4JFPMS202003021"/>
    <x v="8"/>
    <s v="Pan Yingqi"/>
    <s v="Testers"/>
    <s v="p4"/>
    <s v="x"/>
    <s v="[4] Engineering"/>
    <m/>
    <m/>
    <m/>
    <m/>
    <m/>
    <m/>
  </r>
  <r>
    <s v="s1"/>
    <s v="s1CM"/>
    <x v="9"/>
    <s v="Pan Zhenhong"/>
    <s v="Configuration manager"/>
    <s v="s1"/>
    <s v="x"/>
    <s v="[5] Configuration Management"/>
    <n v="7"/>
    <n v="11"/>
    <n v="7"/>
    <n v="28"/>
    <n v="0.46666666666666667"/>
    <n v="1"/>
  </r>
  <r>
    <s v="s2"/>
    <s v="s2EPG/MA"/>
    <x v="10"/>
    <s v="Lu Zhiwei"/>
    <s v="Process Engineering"/>
    <s v="s2"/>
    <s v="x"/>
    <s v="[6] Process Management"/>
    <n v="11"/>
    <n v="11"/>
    <n v="74"/>
    <n v="296"/>
    <n v="4.9333333333333336"/>
    <n v="5"/>
  </r>
  <r>
    <s v="s2"/>
    <s v="s2EPG/MA"/>
    <x v="11"/>
    <s v="Lu Zhiwei"/>
    <s v="Process Engineering"/>
    <s v="s2"/>
    <s v="x"/>
    <s v="[6] Process Management"/>
    <n v="8"/>
    <m/>
    <m/>
    <m/>
    <m/>
    <m/>
  </r>
  <r>
    <s v="s2"/>
    <s v="s2EPG/MA"/>
    <x v="12"/>
    <s v="Lu Zhiwei"/>
    <s v="Process Engineering"/>
    <s v="s2"/>
    <s v="x"/>
    <s v="[6] Process Management"/>
    <n v="22"/>
    <m/>
    <m/>
    <m/>
    <m/>
    <m/>
  </r>
  <r>
    <s v="s2"/>
    <s v="s2EPG/MA"/>
    <x v="13"/>
    <s v="Lu Zhiwei"/>
    <s v="Process Engineering"/>
    <s v="s2"/>
    <s v="x"/>
    <s v="[6] Process Management"/>
    <n v="11"/>
    <m/>
    <m/>
    <m/>
    <m/>
    <m/>
  </r>
  <r>
    <s v="s2"/>
    <s v="s2EPG/MA"/>
    <x v="14"/>
    <s v="Lu Zhiwei"/>
    <s v="Process Engineering"/>
    <s v="s2"/>
    <s v="x"/>
    <s v="[6] Process Management"/>
    <n v="11"/>
    <m/>
    <m/>
    <m/>
    <m/>
    <m/>
  </r>
  <r>
    <s v="s3"/>
    <s v="s3HR"/>
    <x v="15"/>
    <s v="Li Yanfen"/>
    <s v="Head of training"/>
    <s v="s3"/>
    <s v="x"/>
    <s v="[7] Organisational Training"/>
    <n v="9"/>
    <n v="11"/>
    <n v="20"/>
    <n v="80"/>
    <n v="1.3333333333333333"/>
    <n v="1"/>
  </r>
  <r>
    <s v="s4"/>
    <s v="s4PPQA"/>
    <x v="16"/>
    <s v="Liang Jingwen"/>
    <s v="Quality Assurance Staff"/>
    <s v="s4"/>
    <s v="x"/>
    <s v="[8] Process Quality Assurance"/>
    <n v="6"/>
    <n v="11"/>
    <n v="17"/>
    <n v="68"/>
    <n v="1.1333333333333333"/>
    <n v="1"/>
  </r>
  <r>
    <m/>
    <m/>
    <x v="17"/>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96A36F-E0E9-4023-BC7F-B6897CCDD4F2}"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16" firstHeaderRow="1" firstDataRow="2" firstDataCol="1"/>
  <pivotFields count="2">
    <pivotField axis="axisCol" showAll="0">
      <items count="13">
        <item x="0"/>
        <item x="1"/>
        <item x="2"/>
        <item x="3"/>
        <item x="4"/>
        <item x="5"/>
        <item x="6"/>
        <item x="7"/>
        <item m="1" x="11"/>
        <item x="8"/>
        <item x="9"/>
        <item x="10"/>
        <item t="default"/>
      </items>
    </pivotField>
    <pivotField axis="axisRow" dataField="1" showAll="0">
      <items count="19">
        <item x="10"/>
        <item x="9"/>
        <item x="6"/>
        <item x="7"/>
        <item m="1" x="14"/>
        <item x="8"/>
        <item m="1" x="11"/>
        <item m="1" x="15"/>
        <item m="1" x="12"/>
        <item m="1" x="13"/>
        <item m="1" x="17"/>
        <item m="1" x="16"/>
        <item x="0"/>
        <item x="1"/>
        <item x="2"/>
        <item x="3"/>
        <item x="4"/>
        <item x="5"/>
        <item t="default"/>
      </items>
    </pivotField>
  </pivotFields>
  <rowFields count="1">
    <field x="1"/>
  </rowFields>
  <rowItems count="12">
    <i>
      <x/>
    </i>
    <i>
      <x v="1"/>
    </i>
    <i>
      <x v="2"/>
    </i>
    <i>
      <x v="3"/>
    </i>
    <i>
      <x v="5"/>
    </i>
    <i>
      <x v="12"/>
    </i>
    <i>
      <x v="13"/>
    </i>
    <i>
      <x v="14"/>
    </i>
    <i>
      <x v="15"/>
    </i>
    <i>
      <x v="16"/>
    </i>
    <i>
      <x v="17"/>
    </i>
    <i t="grand">
      <x/>
    </i>
  </rowItems>
  <colFields count="1">
    <field x="0"/>
  </colFields>
  <colItems count="12">
    <i>
      <x/>
    </i>
    <i>
      <x v="1"/>
    </i>
    <i>
      <x v="2"/>
    </i>
    <i>
      <x v="3"/>
    </i>
    <i>
      <x v="4"/>
    </i>
    <i>
      <x v="5"/>
    </i>
    <i>
      <x v="6"/>
    </i>
    <i>
      <x v="7"/>
    </i>
    <i>
      <x v="9"/>
    </i>
    <i>
      <x v="10"/>
    </i>
    <i>
      <x v="11"/>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36488-DA8A-4E56-9093-9509D1CE3622}"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39" firstHeaderRow="1" firstDataRow="2" firstDataCol="1"/>
  <pivotFields count="25">
    <pivotField axis="axisCol" dataField="1" showAll="0">
      <items count="13">
        <item m="1" x="11"/>
        <item x="0"/>
        <item x="1"/>
        <item x="2"/>
        <item x="3"/>
        <item x="4"/>
        <item x="5"/>
        <item x="6"/>
        <item x="7"/>
        <item x="8"/>
        <item x="9"/>
        <item x="10"/>
        <item t="default"/>
      </items>
    </pivotField>
    <pivotField showAll="0"/>
    <pivotField axis="axisRow" showAll="0">
      <items count="83">
        <item x="33"/>
        <item m="1" x="38"/>
        <item m="1" x="50"/>
        <item m="1" x="36"/>
        <item m="1" x="70"/>
        <item m="1" x="78"/>
        <item m="1" x="57"/>
        <item m="1" x="51"/>
        <item m="1" x="48"/>
        <item m="1" x="62"/>
        <item m="1" x="53"/>
        <item m="1" x="45"/>
        <item m="1" x="61"/>
        <item m="1" x="72"/>
        <item m="1" x="37"/>
        <item m="1" x="71"/>
        <item m="1" x="47"/>
        <item m="1" x="55"/>
        <item m="1" x="42"/>
        <item m="1" x="40"/>
        <item m="1" x="54"/>
        <item m="1" x="49"/>
        <item m="1" x="43"/>
        <item m="1" x="34"/>
        <item m="1" x="80"/>
        <item m="1" x="59"/>
        <item m="1" x="75"/>
        <item m="1" x="65"/>
        <item m="1" x="76"/>
        <item m="1" x="79"/>
        <item m="1" x="81"/>
        <item m="1" x="68"/>
        <item m="1" x="64"/>
        <item m="1" x="74"/>
        <item m="1" x="41"/>
        <item m="1" x="35"/>
        <item m="1" x="60"/>
        <item m="1" x="77"/>
        <item m="1" x="52"/>
        <item m="1" x="44"/>
        <item m="1" x="67"/>
        <item m="1" x="63"/>
        <item m="1" x="39"/>
        <item m="1" x="46"/>
        <item m="1" x="58"/>
        <item m="1" x="69"/>
        <item m="1" x="73"/>
        <item m="1" x="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5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5">
    <i>
      <x/>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0"/>
  </colFields>
  <colItems count="12">
    <i>
      <x v="1"/>
    </i>
    <i>
      <x v="2"/>
    </i>
    <i>
      <x v="3"/>
    </i>
    <i>
      <x v="4"/>
    </i>
    <i>
      <x v="5"/>
    </i>
    <i>
      <x v="6"/>
    </i>
    <i>
      <x v="7"/>
    </i>
    <i>
      <x v="8"/>
    </i>
    <i>
      <x v="9"/>
    </i>
    <i>
      <x v="10"/>
    </i>
    <i>
      <x v="1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7"/>
        <item x="2"/>
        <item x="16"/>
        <item x="3"/>
        <item x="5"/>
        <item x="4"/>
        <item x="6"/>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286F3D-2704-488B-8184-EDBDECF6B24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23" firstHeaderRow="1" firstDataRow="2" firstDataCol="1"/>
  <pivotFields count="7">
    <pivotField dataField="1" showAll="0"/>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axis="axisCol" showAll="0">
      <items count="3">
        <item x="0"/>
        <item x="1"/>
        <item t="default"/>
      </items>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6"/>
  </colFields>
  <colItems count="3">
    <i>
      <x/>
    </i>
    <i>
      <x v="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1" firstHeaderRow="1" firstDataRow="1" firstDataCol="1"/>
  <pivotFields count="8">
    <pivotField dataField="1" showAll="0"/>
    <pivotField showAll="0"/>
    <pivotField showAll="0"/>
    <pivotField axis="axisRow" showAll="0">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axis="axisRow" showAll="0">
      <items count="11">
        <item x="1"/>
        <item x="5"/>
        <item x="2"/>
        <item x="3"/>
        <item x="7"/>
        <item x="6"/>
        <item x="0"/>
        <item x="8"/>
        <item x="4"/>
        <item x="9"/>
        <item t="default"/>
      </items>
    </pivotField>
    <pivotField showAll="0"/>
    <pivotField axis="axisRow" showAll="0">
      <items count="3">
        <item x="0"/>
        <item x="1"/>
        <item t="default"/>
      </items>
    </pivotField>
    <pivotField showAll="0"/>
  </pivotFields>
  <rowFields count="3">
    <field x="6"/>
    <field x="4"/>
    <field x="3"/>
  </rowFields>
  <rowItems count="28">
    <i>
      <x/>
    </i>
    <i r="1">
      <x/>
    </i>
    <i r="2">
      <x v="6"/>
    </i>
    <i r="2">
      <x v="18"/>
    </i>
    <i r="1">
      <x v="1"/>
    </i>
    <i r="2">
      <x v="20"/>
    </i>
    <i r="1">
      <x v="2"/>
    </i>
    <i r="2">
      <x v="8"/>
    </i>
    <i r="1">
      <x v="3"/>
    </i>
    <i r="2">
      <x v="32"/>
    </i>
    <i r="2">
      <x v="35"/>
    </i>
    <i r="1">
      <x v="4"/>
    </i>
    <i r="2">
      <x v="9"/>
    </i>
    <i r="1">
      <x v="5"/>
    </i>
    <i r="2">
      <x v="16"/>
    </i>
    <i r="1">
      <x v="6"/>
    </i>
    <i r="2">
      <x/>
    </i>
    <i r="2">
      <x v="17"/>
    </i>
    <i r="2">
      <x v="36"/>
    </i>
    <i r="1">
      <x v="7"/>
    </i>
    <i r="2">
      <x v="11"/>
    </i>
    <i r="1">
      <x v="8"/>
    </i>
    <i r="2">
      <x v="19"/>
    </i>
    <i r="2">
      <x v="24"/>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6" firstHeaderRow="1" firstDataRow="1" firstDataCol="1"/>
  <pivotFields count="8">
    <pivotField showAll="0"/>
    <pivotField showAll="0"/>
    <pivotField axis="axisRow" showAll="0">
      <items count="19">
        <item x="10"/>
        <item x="9"/>
        <item x="11"/>
        <item x="0"/>
        <item x="1"/>
        <item x="12"/>
        <item x="15"/>
        <item x="13"/>
        <item x="14"/>
        <item x="7"/>
        <item x="2"/>
        <item x="16"/>
        <item x="3"/>
        <item x="5"/>
        <item x="4"/>
        <item x="6"/>
        <item x="8"/>
        <item x="17"/>
        <item t="default"/>
      </items>
    </pivotField>
    <pivotField axis="axisRow" showAll="0" sortType="ascending">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showAll="0"/>
    <pivotField showAll="0"/>
    <pivotField showAll="0"/>
    <pivotField showAll="0"/>
  </pivotFields>
  <rowFields count="2">
    <field x="3"/>
    <field x="2"/>
  </rowFields>
  <rowItems count="43">
    <i>
      <x/>
    </i>
    <i r="1">
      <x v="14"/>
    </i>
    <i>
      <x v="6"/>
    </i>
    <i r="1">
      <x v="13"/>
    </i>
    <i>
      <x v="8"/>
    </i>
    <i r="1">
      <x v="15"/>
    </i>
    <i>
      <x v="9"/>
    </i>
    <i r="1">
      <x v="6"/>
    </i>
    <i>
      <x v="11"/>
    </i>
    <i r="1">
      <x v="11"/>
    </i>
    <i>
      <x v="16"/>
    </i>
    <i r="1">
      <x/>
    </i>
    <i r="1">
      <x v="2"/>
    </i>
    <i r="1">
      <x v="5"/>
    </i>
    <i r="1">
      <x v="7"/>
    </i>
    <i r="1">
      <x v="8"/>
    </i>
    <i>
      <x v="17"/>
    </i>
    <i r="1">
      <x v="3"/>
    </i>
    <i r="1">
      <x v="4"/>
    </i>
    <i r="1">
      <x v="10"/>
    </i>
    <i r="1">
      <x v="12"/>
    </i>
    <i r="1">
      <x v="14"/>
    </i>
    <i>
      <x v="18"/>
    </i>
    <i r="1">
      <x v="13"/>
    </i>
    <i>
      <x v="19"/>
    </i>
    <i r="1">
      <x v="16"/>
    </i>
    <i>
      <x v="20"/>
    </i>
    <i r="1">
      <x v="1"/>
    </i>
    <i>
      <x v="24"/>
    </i>
    <i r="1">
      <x v="16"/>
    </i>
    <i>
      <x v="32"/>
    </i>
    <i r="1">
      <x v="9"/>
    </i>
    <i>
      <x v="35"/>
    </i>
    <i r="1">
      <x v="9"/>
    </i>
    <i r="1">
      <x v="15"/>
    </i>
    <i>
      <x v="36"/>
    </i>
    <i r="1">
      <x v="3"/>
    </i>
    <i r="1">
      <x v="4"/>
    </i>
    <i r="1">
      <x v="10"/>
    </i>
    <i r="1">
      <x v="12"/>
    </i>
    <i>
      <x v="37"/>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8" firstHeaderRow="1" firstDataRow="1" firstDataCol="1"/>
  <pivotFields count="8">
    <pivotField showAll="0"/>
    <pivotField axis="axisRow" showAll="0">
      <items count="24">
        <item m="1" x="9"/>
        <item m="1" x="20"/>
        <item m="1" x="21"/>
        <item m="1" x="14"/>
        <item m="1" x="18"/>
        <item x="4"/>
        <item x="5"/>
        <item x="6"/>
        <item x="7"/>
        <item x="8"/>
        <item m="1" x="17"/>
        <item m="1" x="15"/>
        <item m="1" x="22"/>
        <item m="1" x="13"/>
        <item m="1" x="16"/>
        <item m="1" x="10"/>
        <item m="1" x="11"/>
        <item m="1" x="12"/>
        <item m="1" x="19"/>
        <item x="0"/>
        <item x="1"/>
        <item x="2"/>
        <item x="3"/>
        <item t="default"/>
      </items>
    </pivotField>
    <pivotField showAll="0"/>
    <pivotField axis="axisRow" showAll="0">
      <items count="39">
        <item m="1" x="34"/>
        <item m="1" x="29"/>
        <item m="1" x="28"/>
        <item m="1" x="36"/>
        <item m="1" x="31"/>
        <item m="1" x="15"/>
        <item m="1" x="26"/>
        <item m="1" x="33"/>
        <item m="1" x="30"/>
        <item m="1" x="24"/>
        <item x="14"/>
        <item m="1" x="17"/>
        <item m="1" x="22"/>
        <item m="1" x="35"/>
        <item m="1" x="25"/>
        <item m="1" x="21"/>
        <item m="1" x="20"/>
        <item m="1" x="18"/>
        <item m="1" x="32"/>
        <item m="1" x="27"/>
        <item m="1" x="23"/>
        <item m="1" x="37"/>
        <item m="1" x="19"/>
        <item m="1" x="16"/>
        <item x="0"/>
        <item x="1"/>
        <item x="2"/>
        <item x="3"/>
        <item x="4"/>
        <item x="5"/>
        <item x="6"/>
        <item x="7"/>
        <item x="8"/>
        <item x="9"/>
        <item x="10"/>
        <item x="11"/>
        <item x="12"/>
        <item x="13"/>
        <item t="default"/>
      </items>
    </pivotField>
    <pivotField showAll="0"/>
    <pivotField showAll="0"/>
    <pivotField showAll="0"/>
    <pivotField showAll="0"/>
  </pivotFields>
  <rowFields count="2">
    <field x="1"/>
    <field x="3"/>
  </rowFields>
  <rowItems count="25">
    <i>
      <x v="5"/>
    </i>
    <i r="1">
      <x v="34"/>
    </i>
    <i>
      <x v="6"/>
    </i>
    <i r="1">
      <x v="35"/>
    </i>
    <i>
      <x v="7"/>
    </i>
    <i r="1">
      <x v="36"/>
    </i>
    <i>
      <x v="8"/>
    </i>
    <i r="1">
      <x v="37"/>
    </i>
    <i>
      <x v="9"/>
    </i>
    <i r="1">
      <x v="10"/>
    </i>
    <i>
      <x v="19"/>
    </i>
    <i r="1">
      <x v="24"/>
    </i>
    <i r="1">
      <x v="27"/>
    </i>
    <i r="1">
      <x v="28"/>
    </i>
    <i r="1">
      <x v="29"/>
    </i>
    <i r="1">
      <x v="30"/>
    </i>
    <i>
      <x v="20"/>
    </i>
    <i r="1">
      <x v="25"/>
    </i>
    <i>
      <x v="21"/>
    </i>
    <i r="1">
      <x v="26"/>
    </i>
    <i r="1">
      <x v="32"/>
    </i>
    <i r="1">
      <x v="33"/>
    </i>
    <i>
      <x v="22"/>
    </i>
    <i r="1">
      <x v="3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6" firstHeaderRow="1" firstDataRow="1" firstDataCol="1"/>
  <pivotFields count="5">
    <pivotField axis="axisRow" showAll="0">
      <items count="39">
        <item m="1" x="17"/>
        <item m="1" x="22"/>
        <item m="1" x="19"/>
        <item m="1" x="23"/>
        <item m="1" x="25"/>
        <item m="1" x="35"/>
        <item m="1" x="21"/>
        <item m="1" x="18"/>
        <item m="1" x="32"/>
        <item m="1" x="20"/>
        <item m="1" x="27"/>
        <item m="1" x="37"/>
        <item x="14"/>
        <item m="1" x="33"/>
        <item m="1" x="28"/>
        <item m="1" x="26"/>
        <item m="1" x="29"/>
        <item m="1" x="30"/>
        <item m="1" x="24"/>
        <item m="1" x="34"/>
        <item m="1" x="36"/>
        <item m="1" x="31"/>
        <item m="1" x="15"/>
        <item m="1" x="16"/>
        <item x="0"/>
        <item x="1"/>
        <item x="2"/>
        <item x="3"/>
        <item x="4"/>
        <item x="5"/>
        <item x="6"/>
        <item x="7"/>
        <item x="8"/>
        <item x="9"/>
        <item x="10"/>
        <item x="11"/>
        <item x="12"/>
        <item x="13"/>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3">
    <i>
      <x v="6"/>
    </i>
    <i r="1">
      <x v="12"/>
    </i>
    <i>
      <x v="8"/>
    </i>
    <i r="1">
      <x v="24"/>
    </i>
    <i r="1">
      <x v="25"/>
    </i>
    <i r="1">
      <x v="26"/>
    </i>
    <i>
      <x v="9"/>
    </i>
    <i r="1">
      <x v="27"/>
    </i>
    <i r="1">
      <x v="28"/>
    </i>
    <i r="1">
      <x v="29"/>
    </i>
    <i r="1">
      <x v="30"/>
    </i>
    <i r="1">
      <x v="31"/>
    </i>
    <i r="1">
      <x v="32"/>
    </i>
    <i r="1">
      <x v="33"/>
    </i>
    <i>
      <x v="10"/>
    </i>
    <i r="1">
      <x v="34"/>
    </i>
    <i>
      <x v="11"/>
    </i>
    <i r="1">
      <x v="35"/>
    </i>
    <i>
      <x v="12"/>
    </i>
    <i r="1">
      <x v="36"/>
    </i>
    <i>
      <x v="13"/>
    </i>
    <i r="1">
      <x v="3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anll@kamfu.com.cn" TargetMode="External"/><Relationship Id="rId2" Type="http://schemas.openxmlformats.org/officeDocument/2006/relationships/hyperlink" Target="mailto:majt@kamfu.com.cn" TargetMode="External"/><Relationship Id="rId1" Type="http://schemas.openxmlformats.org/officeDocument/2006/relationships/hyperlink" Target="mailto:gabrielxhw@g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www.companywebsite.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vmlDrawing" Target="../drawings/vmlDrawing5.vml"/><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xiongguohui@gktel.com.cn" TargetMode="External"/><Relationship Id="rId16" Type="http://schemas.openxmlformats.org/officeDocument/2006/relationships/hyperlink" Target="mailto:atm9.email@gmail.com" TargetMode="Externa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4.email@gmail.com" TargetMode="External"/><Relationship Id="rId5" Type="http://schemas.openxmlformats.org/officeDocument/2006/relationships/hyperlink" Target="mailto:majt@kamfu.com.cn" TargetMode="External"/><Relationship Id="rId15" Type="http://schemas.openxmlformats.org/officeDocument/2006/relationships/hyperlink" Target="mailto:atm8.email@gmail.com" TargetMode="External"/><Relationship Id="rId10" Type="http://schemas.openxmlformats.org/officeDocument/2006/relationships/hyperlink" Target="mailto:atm3.email@gmail.com" TargetMode="External"/><Relationship Id="rId19" Type="http://schemas.openxmlformats.org/officeDocument/2006/relationships/comments" Target="../comments4.xml"/><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7.email@gmail.com"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7.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8.xm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zoomScale="115" zoomScaleNormal="115" workbookViewId="0">
      <selection activeCell="A6" sqref="A6"/>
    </sheetView>
  </sheetViews>
  <sheetFormatPr defaultRowHeight="14.5"/>
  <cols>
    <col min="1" max="1" width="86.81640625" style="168" customWidth="1"/>
    <col min="2" max="16384" width="8.7265625" style="9"/>
  </cols>
  <sheetData>
    <row r="2" spans="1:1">
      <c r="A2" s="168" t="s">
        <v>1427</v>
      </c>
    </row>
    <row r="3" spans="1:1">
      <c r="A3" s="169" t="s">
        <v>1428</v>
      </c>
    </row>
    <row r="4" spans="1:1">
      <c r="A4" s="169"/>
    </row>
    <row r="5" spans="1:1">
      <c r="A5" s="168" t="s">
        <v>1434</v>
      </c>
    </row>
    <row r="6" spans="1:1" s="168" customFormat="1">
      <c r="A6" s="169" t="s">
        <v>1435</v>
      </c>
    </row>
    <row r="8" spans="1:1">
      <c r="A8" s="168" t="s">
        <v>1437</v>
      </c>
    </row>
    <row r="9" spans="1:1">
      <c r="A9" s="169" t="s">
        <v>1433</v>
      </c>
    </row>
  </sheetData>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D14" sqref="D14"/>
    </sheetView>
  </sheetViews>
  <sheetFormatPr defaultColWidth="8.7265625" defaultRowHeight="14.5"/>
  <cols>
    <col min="1" max="1" width="8.453125" style="48" customWidth="1"/>
    <col min="2" max="2" width="19.453125" style="48" customWidth="1"/>
    <col min="3" max="3" width="17.453125" style="48" customWidth="1"/>
    <col min="4" max="4" width="46" style="111" customWidth="1"/>
    <col min="5" max="16384" width="8.7265625" style="48"/>
  </cols>
  <sheetData>
    <row r="2" spans="1:32">
      <c r="A2" s="48" t="s">
        <v>1396</v>
      </c>
    </row>
    <row r="4" spans="1:32">
      <c r="A4" s="48" t="s">
        <v>1145</v>
      </c>
      <c r="H4" s="247" t="s">
        <v>1215</v>
      </c>
    </row>
    <row r="5" spans="1:32">
      <c r="A5" s="52" t="s">
        <v>901</v>
      </c>
      <c r="B5" s="52" t="s">
        <v>902</v>
      </c>
      <c r="C5" s="52" t="s">
        <v>900</v>
      </c>
      <c r="D5" s="113" t="s">
        <v>388</v>
      </c>
      <c r="G5" s="168"/>
      <c r="H5" s="168"/>
      <c r="I5" s="168"/>
      <c r="J5" s="168"/>
      <c r="K5" s="168"/>
      <c r="L5" s="168"/>
      <c r="M5" s="168"/>
      <c r="N5" s="168"/>
      <c r="O5" s="168"/>
      <c r="P5" s="9"/>
      <c r="Q5" s="9"/>
      <c r="R5" s="9"/>
      <c r="S5" s="9"/>
      <c r="W5" s="9"/>
      <c r="X5" s="9"/>
      <c r="Y5" s="9"/>
      <c r="Z5" s="9"/>
      <c r="AA5" s="9"/>
      <c r="AB5" s="9"/>
      <c r="AC5" s="9"/>
      <c r="AD5" s="9"/>
      <c r="AE5" s="9"/>
      <c r="AF5" s="9"/>
    </row>
    <row r="6" spans="1:32">
      <c r="A6" s="49">
        <v>9</v>
      </c>
      <c r="B6" s="50">
        <v>44137</v>
      </c>
      <c r="C6" s="49" t="s">
        <v>899</v>
      </c>
      <c r="D6" s="61" t="s">
        <v>1436</v>
      </c>
      <c r="G6" s="168"/>
      <c r="H6" s="168"/>
      <c r="I6" s="168"/>
      <c r="J6" s="168"/>
      <c r="K6" s="168"/>
      <c r="L6" s="168"/>
      <c r="M6" s="168"/>
      <c r="N6" s="168"/>
    </row>
    <row r="7" spans="1:32">
      <c r="A7" s="49">
        <v>10</v>
      </c>
      <c r="B7" s="50">
        <v>44137</v>
      </c>
      <c r="C7" s="49" t="s">
        <v>899</v>
      </c>
      <c r="D7" s="61" t="s">
        <v>905</v>
      </c>
      <c r="G7" s="168"/>
      <c r="H7" s="226"/>
      <c r="I7" s="226"/>
      <c r="J7" s="226"/>
      <c r="K7" s="226"/>
      <c r="L7" s="226"/>
      <c r="M7" s="168"/>
      <c r="N7" s="227"/>
      <c r="O7" s="228"/>
      <c r="P7" s="228"/>
      <c r="Q7" s="228"/>
      <c r="R7" s="228"/>
      <c r="S7" s="9"/>
    </row>
    <row r="8" spans="1:32" ht="29">
      <c r="A8" s="49">
        <v>13</v>
      </c>
      <c r="B8" s="50">
        <v>44142</v>
      </c>
      <c r="C8" s="49" t="s">
        <v>899</v>
      </c>
      <c r="D8" s="61" t="s">
        <v>1033</v>
      </c>
      <c r="G8" s="168"/>
      <c r="H8" s="168"/>
      <c r="I8" s="168"/>
      <c r="J8" s="168"/>
      <c r="K8" s="168"/>
      <c r="L8" s="168"/>
      <c r="M8" s="168"/>
      <c r="N8" s="168"/>
      <c r="O8" s="168"/>
      <c r="P8" s="9"/>
      <c r="Q8" s="9"/>
      <c r="R8" s="9"/>
      <c r="S8" s="9"/>
      <c r="T8" s="9"/>
    </row>
    <row r="9" spans="1:32">
      <c r="A9" s="49">
        <v>16</v>
      </c>
      <c r="B9" s="50">
        <v>44145</v>
      </c>
      <c r="C9" s="49" t="s">
        <v>899</v>
      </c>
      <c r="D9" s="61" t="s">
        <v>1074</v>
      </c>
      <c r="G9" s="168"/>
      <c r="H9" s="168"/>
      <c r="I9" s="168"/>
      <c r="J9" s="168"/>
      <c r="K9" s="168"/>
      <c r="L9" s="168"/>
      <c r="M9" s="168"/>
      <c r="N9" s="168"/>
      <c r="O9" s="168"/>
      <c r="P9" s="9"/>
      <c r="Q9" s="9"/>
      <c r="R9" s="9"/>
      <c r="S9" s="9"/>
    </row>
    <row r="10" spans="1:32">
      <c r="A10" s="49">
        <v>17</v>
      </c>
      <c r="B10" s="50">
        <v>44145</v>
      </c>
      <c r="C10" s="49" t="s">
        <v>899</v>
      </c>
      <c r="D10" s="61" t="s">
        <v>1084</v>
      </c>
      <c r="G10" s="168"/>
      <c r="H10" s="168"/>
      <c r="I10" s="168"/>
      <c r="J10" s="168"/>
      <c r="K10" s="168"/>
      <c r="L10" s="168"/>
      <c r="M10" s="168"/>
      <c r="N10" s="168"/>
      <c r="O10" s="168"/>
      <c r="P10" s="9"/>
      <c r="Q10" s="9"/>
      <c r="R10" s="9"/>
      <c r="S10" s="9"/>
    </row>
    <row r="11" spans="1:32" ht="29">
      <c r="A11" s="49">
        <v>24</v>
      </c>
      <c r="B11" s="50">
        <v>44153</v>
      </c>
      <c r="C11" s="49" t="s">
        <v>899</v>
      </c>
      <c r="D11" s="61" t="s">
        <v>1149</v>
      </c>
      <c r="G11" s="168"/>
      <c r="H11" s="168"/>
      <c r="I11" s="168"/>
      <c r="J11" s="168"/>
      <c r="K11" s="168"/>
      <c r="L11" s="168"/>
      <c r="M11" s="168"/>
      <c r="N11" s="168"/>
      <c r="O11" s="168"/>
      <c r="P11" s="9"/>
      <c r="Q11" s="9"/>
      <c r="R11" s="9"/>
      <c r="S11" s="9"/>
    </row>
    <row r="12" spans="1:32" ht="29">
      <c r="A12" s="49">
        <v>25</v>
      </c>
      <c r="B12" s="50">
        <v>44153</v>
      </c>
      <c r="C12" s="49" t="s">
        <v>899</v>
      </c>
      <c r="D12" s="61" t="s">
        <v>1176</v>
      </c>
      <c r="G12" s="168"/>
      <c r="H12" s="168"/>
      <c r="I12" s="168"/>
      <c r="J12" s="168"/>
      <c r="K12" s="168"/>
      <c r="L12" s="168"/>
      <c r="M12" s="168"/>
      <c r="N12" s="168"/>
      <c r="O12" s="168"/>
      <c r="P12" s="9"/>
      <c r="Q12" s="9"/>
      <c r="R12" s="9"/>
      <c r="S12" s="9"/>
    </row>
    <row r="13" spans="1:32" ht="29">
      <c r="A13" s="49">
        <v>26</v>
      </c>
      <c r="B13" s="50">
        <v>44154</v>
      </c>
      <c r="C13" s="49" t="s">
        <v>899</v>
      </c>
      <c r="D13" s="61" t="s">
        <v>1184</v>
      </c>
      <c r="G13" s="168"/>
      <c r="H13" s="168"/>
      <c r="I13" s="168"/>
      <c r="J13" s="168"/>
      <c r="K13" s="168"/>
      <c r="L13" s="168"/>
      <c r="M13" s="168"/>
      <c r="N13" s="168"/>
      <c r="O13" s="168"/>
      <c r="P13" s="9"/>
      <c r="Q13" s="9"/>
      <c r="R13" s="9"/>
      <c r="S13" s="9"/>
    </row>
    <row r="14" spans="1:32">
      <c r="A14" s="49">
        <v>34</v>
      </c>
      <c r="B14" s="50">
        <v>44170</v>
      </c>
      <c r="C14" s="49" t="s">
        <v>899</v>
      </c>
      <c r="D14" s="61" t="s">
        <v>1300</v>
      </c>
      <c r="G14" s="168"/>
      <c r="H14" s="168"/>
      <c r="I14" s="168"/>
      <c r="J14" s="168"/>
      <c r="K14" s="168"/>
      <c r="L14" s="168"/>
      <c r="M14" s="168"/>
      <c r="N14" s="168"/>
      <c r="O14" s="168"/>
      <c r="P14" s="9"/>
      <c r="Q14" s="9"/>
      <c r="R14" s="9"/>
      <c r="S14" s="9"/>
    </row>
    <row r="15" spans="1:32">
      <c r="A15" s="49">
        <v>38</v>
      </c>
      <c r="B15" s="50">
        <v>44175</v>
      </c>
      <c r="C15" s="49" t="s">
        <v>899</v>
      </c>
      <c r="D15" s="61" t="s">
        <v>1395</v>
      </c>
      <c r="G15" s="168"/>
      <c r="H15" s="168"/>
      <c r="I15" s="168"/>
      <c r="J15" s="168"/>
      <c r="K15" s="168"/>
      <c r="L15" s="168"/>
      <c r="M15" s="168"/>
      <c r="N15" s="168"/>
      <c r="O15" s="168"/>
      <c r="P15" s="9"/>
      <c r="Q15" s="9"/>
      <c r="R15" s="9"/>
      <c r="S15" s="9"/>
    </row>
    <row r="16" spans="1:32">
      <c r="G16" s="168"/>
      <c r="H16" s="168"/>
      <c r="I16" s="168"/>
      <c r="J16" s="168"/>
      <c r="K16" s="168"/>
      <c r="L16" s="168"/>
      <c r="M16" s="168"/>
      <c r="N16" s="168"/>
      <c r="O16" s="168"/>
      <c r="P16" s="9"/>
      <c r="Q16" s="9"/>
      <c r="R16" s="9"/>
      <c r="S16" s="9"/>
    </row>
    <row r="17" spans="7:19">
      <c r="G17" s="168"/>
      <c r="H17" s="168"/>
      <c r="I17" s="168"/>
      <c r="J17" s="168"/>
      <c r="K17" s="168"/>
      <c r="L17" s="168"/>
      <c r="M17" s="168"/>
      <c r="N17" s="168"/>
      <c r="O17" s="168"/>
      <c r="P17" s="9"/>
      <c r="Q17" s="9"/>
      <c r="R17" s="9"/>
      <c r="S17" s="9"/>
    </row>
    <row r="18" spans="7:19">
      <c r="G18" s="168"/>
      <c r="H18" s="168"/>
      <c r="I18" s="168"/>
      <c r="J18" s="168"/>
      <c r="K18" s="168"/>
      <c r="L18" s="168"/>
      <c r="M18" s="168"/>
      <c r="N18" s="168"/>
      <c r="O18" s="168"/>
      <c r="P18" s="9"/>
      <c r="Q18" s="9"/>
      <c r="R18" s="9"/>
      <c r="S18" s="9"/>
    </row>
    <row r="19" spans="7:19">
      <c r="G19" s="168"/>
      <c r="H19" s="168"/>
      <c r="I19" s="168"/>
      <c r="J19" s="168"/>
      <c r="K19" s="168"/>
      <c r="L19" s="168"/>
      <c r="M19" s="168"/>
    </row>
    <row r="23" spans="7:19">
      <c r="H23" s="9"/>
      <c r="I23" s="9"/>
      <c r="J23" s="9"/>
      <c r="K23" s="9"/>
      <c r="L23" s="9"/>
      <c r="M23" s="9"/>
      <c r="N23" s="9"/>
      <c r="O23" s="9"/>
      <c r="P23" s="9"/>
      <c r="Q23" s="9"/>
      <c r="R23" s="9"/>
    </row>
    <row r="24" spans="7:19">
      <c r="H24" s="229"/>
      <c r="I24" s="229"/>
      <c r="J24" s="229"/>
      <c r="K24" s="229"/>
      <c r="L24" s="229"/>
      <c r="M24" s="9"/>
      <c r="N24" s="230"/>
      <c r="O24" s="230"/>
      <c r="P24" s="230"/>
      <c r="Q24" s="230"/>
      <c r="R24" s="230"/>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8" sqref="B18"/>
    </sheetView>
  </sheetViews>
  <sheetFormatPr defaultRowHeight="14.5"/>
  <cols>
    <col min="1" max="1" width="25.81640625" style="126" customWidth="1"/>
    <col min="2" max="2" width="90.1796875" style="126" customWidth="1"/>
    <col min="3" max="16384" width="8.7265625" style="126"/>
  </cols>
  <sheetData>
    <row r="1" spans="1:2">
      <c r="A1" s="357" t="s">
        <v>1537</v>
      </c>
      <c r="B1" s="357"/>
    </row>
    <row r="2" spans="1:2" ht="43.5">
      <c r="A2" s="126" t="s">
        <v>1538</v>
      </c>
      <c r="B2" s="126" t="s">
        <v>1539</v>
      </c>
    </row>
    <row r="3" spans="1:2">
      <c r="B3" s="358" t="s">
        <v>1540</v>
      </c>
    </row>
    <row r="4" spans="1:2">
      <c r="B4" s="359" t="s">
        <v>1541</v>
      </c>
    </row>
    <row r="5" spans="1:2" ht="29">
      <c r="B5" s="360" t="s">
        <v>1542</v>
      </c>
    </row>
    <row r="7" spans="1:2" ht="72.5">
      <c r="A7" s="126" t="s">
        <v>1543</v>
      </c>
      <c r="B7" s="126" t="s">
        <v>1544</v>
      </c>
    </row>
    <row r="9" spans="1:2" ht="29">
      <c r="A9" s="126" t="s">
        <v>1545</v>
      </c>
      <c r="B9" s="126" t="s">
        <v>1546</v>
      </c>
    </row>
    <row r="11" spans="1:2">
      <c r="A11" s="357" t="s">
        <v>1547</v>
      </c>
      <c r="B11" s="357"/>
    </row>
    <row r="12" spans="1:2">
      <c r="A12" s="126" t="s">
        <v>1430</v>
      </c>
      <c r="B12" s="126" t="s">
        <v>1548</v>
      </c>
    </row>
    <row r="13" spans="1:2" ht="43.5">
      <c r="A13" s="126" t="s">
        <v>1397</v>
      </c>
      <c r="B13" s="126" t="s">
        <v>1549</v>
      </c>
    </row>
    <row r="14" spans="1:2">
      <c r="A14" s="126" t="s">
        <v>1550</v>
      </c>
      <c r="B14" s="126" t="s">
        <v>1551</v>
      </c>
    </row>
    <row r="15" spans="1:2" ht="58">
      <c r="A15" s="126" t="s">
        <v>1010</v>
      </c>
      <c r="B15" s="126" t="s">
        <v>1552</v>
      </c>
    </row>
    <row r="16" spans="1:2" ht="43.5">
      <c r="A16" s="136" t="s">
        <v>1011</v>
      </c>
      <c r="B16" s="126" t="s">
        <v>1553</v>
      </c>
    </row>
    <row r="17" spans="1:2">
      <c r="A17" s="136" t="s">
        <v>1024</v>
      </c>
      <c r="B17" s="126" t="s">
        <v>1554</v>
      </c>
    </row>
    <row r="18" spans="1:2" ht="29">
      <c r="A18" s="136" t="s">
        <v>1012</v>
      </c>
      <c r="B18" s="126" t="s">
        <v>1555</v>
      </c>
    </row>
    <row r="19" spans="1:2" ht="43.5">
      <c r="A19" s="136" t="s">
        <v>1355</v>
      </c>
      <c r="B19" s="126" t="s">
        <v>1556</v>
      </c>
    </row>
    <row r="20" spans="1:2">
      <c r="A20" s="136" t="s">
        <v>1077</v>
      </c>
      <c r="B20" s="126" t="s">
        <v>1557</v>
      </c>
    </row>
    <row r="21" spans="1:2">
      <c r="A21" s="136" t="s">
        <v>1558</v>
      </c>
    </row>
    <row r="22" spans="1:2">
      <c r="A22" s="136" t="s">
        <v>1559</v>
      </c>
    </row>
    <row r="23" spans="1:2">
      <c r="A23" s="136" t="s">
        <v>1560</v>
      </c>
    </row>
    <row r="24" spans="1:2">
      <c r="A24" s="136" t="s">
        <v>1561</v>
      </c>
    </row>
    <row r="25" spans="1:2">
      <c r="A25" s="136" t="s">
        <v>1017</v>
      </c>
    </row>
    <row r="26" spans="1:2">
      <c r="A26" s="136" t="s">
        <v>1018</v>
      </c>
    </row>
    <row r="27" spans="1:2">
      <c r="A27" s="136" t="s">
        <v>1019</v>
      </c>
    </row>
    <row r="28" spans="1:2">
      <c r="A28" s="136" t="s">
        <v>1431</v>
      </c>
    </row>
    <row r="29" spans="1:2">
      <c r="A29" s="136" t="s">
        <v>1432</v>
      </c>
    </row>
    <row r="30" spans="1:2">
      <c r="A30" s="136" t="s">
        <v>709</v>
      </c>
    </row>
    <row r="31" spans="1:2">
      <c r="A31" s="136" t="s">
        <v>1562</v>
      </c>
    </row>
    <row r="32" spans="1:2">
      <c r="A32" s="136" t="s">
        <v>1015</v>
      </c>
    </row>
    <row r="33" spans="1:1">
      <c r="A33" s="136" t="s">
        <v>1563</v>
      </c>
    </row>
    <row r="34" spans="1:1">
      <c r="A34" s="136" t="s">
        <v>1564</v>
      </c>
    </row>
    <row r="35" spans="1:1">
      <c r="A35" s="136" t="s">
        <v>1565</v>
      </c>
    </row>
    <row r="36" spans="1:1">
      <c r="A36" s="136" t="s">
        <v>1566</v>
      </c>
    </row>
    <row r="37" spans="1:1">
      <c r="A37" s="136" t="s">
        <v>1016</v>
      </c>
    </row>
    <row r="38" spans="1:1">
      <c r="A38" s="136" t="s">
        <v>1148</v>
      </c>
    </row>
    <row r="39" spans="1:1">
      <c r="A39" s="136" t="s">
        <v>1252</v>
      </c>
    </row>
    <row r="40" spans="1:1">
      <c r="A40" s="136" t="s">
        <v>1146</v>
      </c>
    </row>
    <row r="41" spans="1:1">
      <c r="A41" s="136" t="s">
        <v>1147</v>
      </c>
    </row>
    <row r="42" spans="1:1">
      <c r="A42" s="136" t="s">
        <v>1073</v>
      </c>
    </row>
    <row r="43" spans="1:1">
      <c r="A43" s="136" t="s">
        <v>1253</v>
      </c>
    </row>
    <row r="44" spans="1:1">
      <c r="A44" s="136" t="s">
        <v>1254</v>
      </c>
    </row>
    <row r="45" spans="1:1">
      <c r="A45" s="136" t="s">
        <v>1255</v>
      </c>
    </row>
    <row r="46" spans="1:1">
      <c r="A46" s="136" t="s">
        <v>1020</v>
      </c>
    </row>
    <row r="47" spans="1:1">
      <c r="A47" s="1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3"/>
  <sheetViews>
    <sheetView workbookViewId="0">
      <selection activeCell="D25" sqref="D25"/>
    </sheetView>
  </sheetViews>
  <sheetFormatPr defaultColWidth="8.7265625" defaultRowHeight="14.5"/>
  <cols>
    <col min="1" max="1" width="30.6328125" customWidth="1"/>
    <col min="2" max="8" width="11.7265625" style="147" customWidth="1"/>
    <col min="9" max="10" width="8.7265625" style="62"/>
    <col min="11" max="11" width="16.54296875" style="62" customWidth="1"/>
    <col min="12" max="29" width="8.7265625" style="62"/>
    <col min="30" max="30" width="30.6328125" style="82" customWidth="1"/>
    <col min="31" max="32" width="8.7265625" style="82"/>
    <col min="33" max="16384" width="8.7265625" style="62"/>
  </cols>
  <sheetData>
    <row r="1" spans="1:31">
      <c r="AD1" s="82" t="s">
        <v>1021</v>
      </c>
      <c r="AE1" s="82">
        <v>37</v>
      </c>
    </row>
    <row r="2" spans="1:31">
      <c r="D2" s="147" t="s">
        <v>1429</v>
      </c>
      <c r="G2" s="147" t="s">
        <v>1371</v>
      </c>
      <c r="H2" s="147" t="s">
        <v>1372</v>
      </c>
    </row>
    <row r="7" spans="1:31" s="82" customFormat="1">
      <c r="A7" t="s">
        <v>1430</v>
      </c>
      <c r="B7" s="147"/>
      <c r="C7" s="147"/>
      <c r="D7" s="147"/>
      <c r="E7" s="147"/>
      <c r="F7" s="147"/>
      <c r="G7" s="147"/>
      <c r="H7" s="147"/>
      <c r="I7" s="140">
        <f>COUNTA(B7:H7)</f>
        <v>0</v>
      </c>
      <c r="J7" s="140"/>
      <c r="K7" s="141"/>
      <c r="L7" s="140"/>
      <c r="M7" s="140"/>
      <c r="N7" s="140"/>
      <c r="O7" s="140"/>
      <c r="P7" s="140"/>
      <c r="Q7" s="140"/>
      <c r="R7" s="140"/>
      <c r="S7" s="140"/>
      <c r="T7" s="140"/>
      <c r="U7" s="140"/>
      <c r="V7" s="140"/>
      <c r="W7" s="140"/>
      <c r="X7" s="140"/>
      <c r="Y7" s="140"/>
      <c r="Z7" s="140"/>
      <c r="AA7" s="140"/>
      <c r="AB7" s="140"/>
      <c r="AC7" s="140"/>
    </row>
    <row r="8" spans="1:31" s="82" customFormat="1">
      <c r="A8" t="s">
        <v>1397</v>
      </c>
      <c r="B8" s="147"/>
      <c r="C8" s="147"/>
      <c r="D8" s="147"/>
      <c r="E8" s="147"/>
      <c r="F8" s="147"/>
      <c r="G8" s="147"/>
      <c r="H8" s="147"/>
      <c r="I8" s="140">
        <f t="shared" ref="I8:I30" si="0">COUNTA(B8:H8)</f>
        <v>0</v>
      </c>
      <c r="J8" s="140"/>
      <c r="K8" s="141"/>
      <c r="L8" s="140"/>
      <c r="M8" s="140"/>
      <c r="N8" s="140"/>
      <c r="O8" s="140"/>
      <c r="P8" s="140"/>
      <c r="Q8" s="140"/>
      <c r="R8" s="140"/>
      <c r="S8" s="140"/>
      <c r="T8" s="140"/>
      <c r="U8" s="140"/>
      <c r="V8" s="140"/>
      <c r="W8" s="140"/>
      <c r="X8" s="140"/>
      <c r="Y8" s="140"/>
      <c r="Z8" s="140"/>
      <c r="AA8" s="140"/>
      <c r="AB8" s="140"/>
      <c r="AC8" s="140"/>
    </row>
    <row r="9" spans="1:31" s="82" customFormat="1">
      <c r="A9" t="s">
        <v>1010</v>
      </c>
      <c r="B9" s="147" t="s">
        <v>417</v>
      </c>
      <c r="C9" s="147" t="s">
        <v>417</v>
      </c>
      <c r="D9" s="147" t="s">
        <v>417</v>
      </c>
      <c r="E9" s="147" t="s">
        <v>417</v>
      </c>
      <c r="F9" s="147" t="s">
        <v>417</v>
      </c>
      <c r="G9" s="147" t="s">
        <v>417</v>
      </c>
      <c r="H9" s="147" t="s">
        <v>417</v>
      </c>
      <c r="I9" s="140">
        <f t="shared" si="0"/>
        <v>7</v>
      </c>
      <c r="J9" s="140"/>
      <c r="K9" s="141"/>
      <c r="L9" s="140"/>
      <c r="M9" s="140"/>
      <c r="N9" s="140"/>
      <c r="O9" s="140"/>
      <c r="P9" s="140"/>
      <c r="Q9" s="140"/>
      <c r="R9" s="140"/>
      <c r="S9" s="140"/>
      <c r="T9" s="140"/>
      <c r="U9" s="140"/>
      <c r="V9" s="140"/>
      <c r="W9" s="140"/>
      <c r="X9" s="140"/>
      <c r="Y9" s="140"/>
      <c r="Z9" s="140"/>
      <c r="AA9" s="140"/>
      <c r="AB9" s="140"/>
      <c r="AC9" s="140"/>
    </row>
    <row r="10" spans="1:31" s="82" customFormat="1">
      <c r="A10" t="s">
        <v>1011</v>
      </c>
      <c r="B10" s="147" t="s">
        <v>417</v>
      </c>
      <c r="C10" s="147" t="s">
        <v>417</v>
      </c>
      <c r="D10" s="147"/>
      <c r="E10" s="147"/>
      <c r="F10" s="147"/>
      <c r="G10" s="147"/>
      <c r="H10" s="147"/>
      <c r="I10" s="140">
        <f t="shared" si="0"/>
        <v>2</v>
      </c>
      <c r="J10" s="140"/>
      <c r="K10" s="141"/>
      <c r="L10" s="140"/>
      <c r="M10" s="140"/>
      <c r="N10" s="140"/>
      <c r="O10" s="140"/>
      <c r="P10" s="140"/>
      <c r="Q10" s="140"/>
      <c r="R10" s="140"/>
      <c r="S10" s="140"/>
      <c r="T10" s="140"/>
      <c r="U10" s="140"/>
      <c r="V10" s="140"/>
      <c r="W10" s="140"/>
      <c r="X10" s="140"/>
      <c r="Y10" s="140"/>
      <c r="Z10" s="140"/>
      <c r="AA10" s="140"/>
      <c r="AB10" s="140"/>
      <c r="AC10" s="140"/>
    </row>
    <row r="11" spans="1:31" s="82" customFormat="1">
      <c r="A11" t="s">
        <v>1024</v>
      </c>
      <c r="B11" s="147" t="s">
        <v>417</v>
      </c>
      <c r="C11" s="147" t="s">
        <v>417</v>
      </c>
      <c r="D11" s="147"/>
      <c r="E11" s="147" t="s">
        <v>417</v>
      </c>
      <c r="F11" s="147"/>
      <c r="G11" s="147"/>
      <c r="H11" s="147"/>
      <c r="I11" s="140">
        <f t="shared" si="0"/>
        <v>3</v>
      </c>
      <c r="J11" s="140"/>
      <c r="K11" s="141"/>
      <c r="L11" s="140"/>
      <c r="M11" s="140"/>
      <c r="N11" s="140"/>
      <c r="O11" s="140"/>
      <c r="P11" s="140"/>
      <c r="Q11" s="140"/>
      <c r="R11" s="140"/>
      <c r="S11" s="140"/>
      <c r="T11" s="140"/>
      <c r="U11" s="140"/>
      <c r="V11" s="140"/>
      <c r="W11" s="140"/>
      <c r="X11" s="140"/>
      <c r="Y11" s="140"/>
      <c r="Z11" s="140"/>
      <c r="AA11" s="140"/>
      <c r="AB11" s="140"/>
      <c r="AC11" s="140"/>
    </row>
    <row r="12" spans="1:31" s="82" customFormat="1">
      <c r="A12" t="s">
        <v>1012</v>
      </c>
      <c r="B12" s="147"/>
      <c r="C12" s="147" t="s">
        <v>417</v>
      </c>
      <c r="D12" s="147"/>
      <c r="E12" s="147" t="s">
        <v>417</v>
      </c>
      <c r="F12" s="147"/>
      <c r="G12" s="147" t="s">
        <v>417</v>
      </c>
      <c r="H12" s="147" t="s">
        <v>417</v>
      </c>
      <c r="I12" s="140">
        <f t="shared" si="0"/>
        <v>4</v>
      </c>
      <c r="J12" s="140"/>
      <c r="K12" s="141"/>
      <c r="L12" s="140"/>
      <c r="M12" s="140"/>
      <c r="N12" s="140"/>
      <c r="O12" s="140"/>
      <c r="P12" s="140"/>
      <c r="Q12" s="140"/>
      <c r="R12" s="140"/>
      <c r="S12" s="140"/>
      <c r="T12" s="140"/>
      <c r="U12" s="140"/>
      <c r="V12" s="140"/>
      <c r="W12" s="140"/>
      <c r="X12" s="140"/>
      <c r="Y12" s="140"/>
      <c r="Z12" s="140"/>
      <c r="AA12" s="140"/>
      <c r="AB12" s="140"/>
      <c r="AC12" s="140"/>
    </row>
    <row r="13" spans="1:31" s="82" customFormat="1">
      <c r="A13" t="s">
        <v>1355</v>
      </c>
      <c r="B13" s="147"/>
      <c r="C13" s="147"/>
      <c r="D13" s="147"/>
      <c r="E13" s="147"/>
      <c r="F13" s="147"/>
      <c r="G13" s="147" t="s">
        <v>417</v>
      </c>
      <c r="H13" s="147" t="s">
        <v>417</v>
      </c>
      <c r="I13" s="140">
        <f t="shared" si="0"/>
        <v>2</v>
      </c>
      <c r="J13" s="140"/>
      <c r="K13" s="141"/>
      <c r="L13" s="140"/>
      <c r="M13" s="140"/>
      <c r="N13" s="140"/>
      <c r="O13" s="140"/>
      <c r="P13" s="140"/>
      <c r="Q13" s="140"/>
      <c r="R13" s="140"/>
      <c r="S13" s="140"/>
      <c r="T13" s="140"/>
      <c r="U13" s="140"/>
      <c r="V13" s="140"/>
      <c r="W13" s="140"/>
      <c r="X13" s="140"/>
      <c r="Y13" s="140"/>
      <c r="Z13" s="140"/>
      <c r="AA13" s="140"/>
      <c r="AB13" s="140"/>
      <c r="AC13" s="140"/>
    </row>
    <row r="14" spans="1:31" s="82" customFormat="1">
      <c r="A14" t="s">
        <v>1077</v>
      </c>
      <c r="B14" s="147"/>
      <c r="C14" s="147" t="s">
        <v>417</v>
      </c>
      <c r="D14" s="147"/>
      <c r="E14" s="147" t="s">
        <v>417</v>
      </c>
      <c r="F14" s="147"/>
      <c r="G14" s="147" t="s">
        <v>417</v>
      </c>
      <c r="H14" s="147" t="s">
        <v>417</v>
      </c>
      <c r="I14" s="140">
        <f t="shared" si="0"/>
        <v>4</v>
      </c>
      <c r="J14" s="140"/>
      <c r="K14" s="141"/>
      <c r="L14" s="140"/>
      <c r="M14" s="140"/>
      <c r="N14" s="140"/>
      <c r="O14" s="140"/>
      <c r="P14" s="140"/>
      <c r="Q14" s="140"/>
      <c r="R14" s="140"/>
      <c r="S14" s="140"/>
      <c r="T14" s="140"/>
      <c r="U14" s="140"/>
      <c r="V14" s="140"/>
      <c r="W14" s="140"/>
      <c r="X14" s="140"/>
      <c r="Y14" s="140"/>
      <c r="Z14" s="140"/>
      <c r="AA14" s="140"/>
      <c r="AB14" s="140"/>
      <c r="AC14" s="140"/>
    </row>
    <row r="15" spans="1:31" s="82" customFormat="1">
      <c r="A15" t="s">
        <v>1358</v>
      </c>
      <c r="B15" s="147"/>
      <c r="C15" s="147"/>
      <c r="D15" s="147"/>
      <c r="E15" s="147"/>
      <c r="F15" s="147"/>
      <c r="G15" s="147"/>
      <c r="H15" s="147"/>
      <c r="I15" s="140">
        <f t="shared" si="0"/>
        <v>0</v>
      </c>
      <c r="J15" s="140"/>
      <c r="K15" s="141"/>
      <c r="L15" s="140"/>
      <c r="M15" s="140"/>
      <c r="N15" s="140"/>
      <c r="O15" s="140"/>
      <c r="P15" s="140"/>
      <c r="Q15" s="140"/>
      <c r="R15" s="140"/>
      <c r="S15" s="140"/>
      <c r="T15" s="140"/>
      <c r="U15" s="140"/>
      <c r="V15" s="140"/>
      <c r="W15" s="140"/>
      <c r="X15" s="140"/>
      <c r="Y15" s="140"/>
      <c r="Z15" s="140"/>
      <c r="AA15" s="140"/>
      <c r="AB15" s="140"/>
      <c r="AC15" s="140"/>
    </row>
    <row r="16" spans="1:31" s="82" customFormat="1">
      <c r="A16" t="s">
        <v>1359</v>
      </c>
      <c r="B16" s="147"/>
      <c r="C16" s="147"/>
      <c r="D16" s="147"/>
      <c r="E16" s="147"/>
      <c r="F16" s="147"/>
      <c r="G16" s="147"/>
      <c r="H16" s="147"/>
      <c r="I16" s="140">
        <f t="shared" si="0"/>
        <v>0</v>
      </c>
      <c r="J16" s="140"/>
      <c r="K16" s="141"/>
      <c r="L16" s="140"/>
      <c r="M16" s="140"/>
      <c r="N16" s="140"/>
      <c r="O16" s="140"/>
      <c r="P16" s="140"/>
      <c r="Q16" s="140"/>
      <c r="R16" s="140"/>
      <c r="S16" s="140"/>
      <c r="T16" s="140"/>
      <c r="U16" s="140"/>
      <c r="V16" s="140"/>
      <c r="W16" s="140"/>
      <c r="X16" s="140"/>
      <c r="Y16" s="140"/>
      <c r="Z16" s="140"/>
      <c r="AA16" s="140"/>
      <c r="AB16" s="140"/>
      <c r="AC16" s="140"/>
    </row>
    <row r="17" spans="1:32" s="140" customFormat="1">
      <c r="A17" t="s">
        <v>1360</v>
      </c>
      <c r="B17" s="147"/>
      <c r="C17" s="147"/>
      <c r="D17" s="147"/>
      <c r="E17" s="147"/>
      <c r="F17" s="147"/>
      <c r="G17" s="147"/>
      <c r="H17" s="147"/>
      <c r="I17" s="140">
        <f t="shared" si="0"/>
        <v>0</v>
      </c>
      <c r="K17" s="141"/>
      <c r="AD17" s="82"/>
      <c r="AE17" s="82"/>
      <c r="AF17" s="82"/>
    </row>
    <row r="18" spans="1:32" s="140" customFormat="1">
      <c r="A18" t="s">
        <v>1361</v>
      </c>
      <c r="B18" s="147"/>
      <c r="C18" s="147"/>
      <c r="D18" s="147"/>
      <c r="E18" s="147"/>
      <c r="F18" s="147"/>
      <c r="G18" s="147"/>
      <c r="H18" s="147"/>
      <c r="I18" s="140">
        <f t="shared" si="0"/>
        <v>0</v>
      </c>
      <c r="K18" s="141"/>
      <c r="AD18" s="82"/>
      <c r="AE18" s="82"/>
      <c r="AF18" s="82"/>
    </row>
    <row r="19" spans="1:32" s="140" customFormat="1">
      <c r="A19" t="s">
        <v>1014</v>
      </c>
      <c r="B19" s="147"/>
      <c r="C19" s="147"/>
      <c r="D19" s="147"/>
      <c r="E19" s="147" t="s">
        <v>417</v>
      </c>
      <c r="F19" s="147"/>
      <c r="G19" s="147"/>
      <c r="H19" s="147"/>
      <c r="I19" s="140">
        <f t="shared" si="0"/>
        <v>1</v>
      </c>
      <c r="K19" s="141"/>
      <c r="AD19" s="82"/>
      <c r="AE19" s="82"/>
      <c r="AF19" s="82"/>
    </row>
    <row r="20" spans="1:32" s="140" customFormat="1">
      <c r="A20" t="s">
        <v>1017</v>
      </c>
      <c r="B20" s="147"/>
      <c r="C20" s="147"/>
      <c r="D20" s="147" t="s">
        <v>417</v>
      </c>
      <c r="E20" s="147" t="s">
        <v>417</v>
      </c>
      <c r="F20" s="147"/>
      <c r="G20" s="147"/>
      <c r="H20" s="147"/>
      <c r="I20" s="140">
        <f t="shared" si="0"/>
        <v>2</v>
      </c>
      <c r="K20" s="141"/>
      <c r="AD20" s="82"/>
      <c r="AE20" s="82"/>
      <c r="AF20" s="82"/>
    </row>
    <row r="21" spans="1:32" s="140" customFormat="1">
      <c r="A21" t="s">
        <v>1018</v>
      </c>
      <c r="B21" s="147"/>
      <c r="C21" s="147"/>
      <c r="D21" s="147" t="s">
        <v>417</v>
      </c>
      <c r="E21" s="147" t="s">
        <v>417</v>
      </c>
      <c r="F21" s="147"/>
      <c r="G21" s="147"/>
      <c r="H21" s="147"/>
      <c r="I21" s="140">
        <f t="shared" si="0"/>
        <v>2</v>
      </c>
      <c r="K21" s="141"/>
      <c r="AD21" s="82"/>
      <c r="AE21" s="82"/>
      <c r="AF21" s="82"/>
    </row>
    <row r="22" spans="1:32" s="140" customFormat="1">
      <c r="A22" t="s">
        <v>1019</v>
      </c>
      <c r="B22" s="147"/>
      <c r="C22" s="147"/>
      <c r="D22" s="147" t="s">
        <v>417</v>
      </c>
      <c r="E22" s="147" t="s">
        <v>417</v>
      </c>
      <c r="F22" s="147"/>
      <c r="G22" s="147"/>
      <c r="H22" s="147"/>
      <c r="I22" s="140">
        <f t="shared" si="0"/>
        <v>2</v>
      </c>
      <c r="K22" s="141"/>
      <c r="AD22" s="82"/>
      <c r="AE22" s="82"/>
      <c r="AF22" s="82"/>
    </row>
    <row r="23" spans="1:32" s="140" customFormat="1">
      <c r="A23" t="s">
        <v>1431</v>
      </c>
      <c r="B23" s="147"/>
      <c r="C23" s="147"/>
      <c r="D23" s="147" t="s">
        <v>417</v>
      </c>
      <c r="E23" s="147"/>
      <c r="F23" s="147"/>
      <c r="G23" s="147"/>
      <c r="H23" s="147"/>
      <c r="I23" s="140">
        <f t="shared" si="0"/>
        <v>1</v>
      </c>
      <c r="K23" s="141"/>
      <c r="AD23" s="82"/>
      <c r="AE23" s="82"/>
      <c r="AF23" s="82"/>
    </row>
    <row r="24" spans="1:32" s="140" customFormat="1">
      <c r="A24" t="s">
        <v>1432</v>
      </c>
      <c r="B24" s="147"/>
      <c r="C24" s="147"/>
      <c r="D24" s="147" t="s">
        <v>417</v>
      </c>
      <c r="E24" s="147"/>
      <c r="F24" s="147"/>
      <c r="G24" s="147"/>
      <c r="H24" s="147"/>
      <c r="I24" s="140">
        <f t="shared" si="0"/>
        <v>1</v>
      </c>
      <c r="K24" s="141"/>
      <c r="AD24" s="82"/>
      <c r="AE24" s="82"/>
      <c r="AF24" s="82"/>
    </row>
    <row r="25" spans="1:32" s="140" customFormat="1">
      <c r="A25" t="s">
        <v>709</v>
      </c>
      <c r="B25" s="147"/>
      <c r="C25" s="147"/>
      <c r="D25" s="147"/>
      <c r="E25" s="147" t="s">
        <v>417</v>
      </c>
      <c r="F25" s="147"/>
      <c r="G25" s="147"/>
      <c r="H25" s="147"/>
      <c r="I25" s="140">
        <f t="shared" si="0"/>
        <v>1</v>
      </c>
      <c r="K25" s="141"/>
      <c r="AD25" s="82"/>
      <c r="AE25" s="82"/>
      <c r="AF25" s="82"/>
    </row>
    <row r="26" spans="1:32" s="140" customFormat="1">
      <c r="A26" t="s">
        <v>1343</v>
      </c>
      <c r="B26" s="147"/>
      <c r="C26" s="147"/>
      <c r="D26" s="147"/>
      <c r="E26" s="147"/>
      <c r="F26" s="147"/>
      <c r="G26" s="147"/>
      <c r="H26" s="147"/>
      <c r="I26" s="140">
        <f t="shared" si="0"/>
        <v>0</v>
      </c>
      <c r="K26" s="141"/>
      <c r="AD26" s="82"/>
      <c r="AE26" s="82"/>
      <c r="AF26" s="82"/>
    </row>
    <row r="27" spans="1:32" s="140" customFormat="1">
      <c r="A27" t="s">
        <v>1344</v>
      </c>
      <c r="B27" s="147"/>
      <c r="C27" s="147"/>
      <c r="D27" s="147"/>
      <c r="E27" s="147"/>
      <c r="F27" s="147"/>
      <c r="G27" s="147"/>
      <c r="H27" s="147"/>
      <c r="I27" s="140">
        <f t="shared" si="0"/>
        <v>0</v>
      </c>
      <c r="K27" s="141"/>
      <c r="AD27" s="82"/>
      <c r="AE27" s="82"/>
      <c r="AF27" s="82"/>
    </row>
    <row r="28" spans="1:32" s="140" customFormat="1">
      <c r="A28" t="s">
        <v>1015</v>
      </c>
      <c r="B28" s="147"/>
      <c r="C28" s="147"/>
      <c r="D28" s="147"/>
      <c r="E28" s="147" t="s">
        <v>417</v>
      </c>
      <c r="F28" s="147"/>
      <c r="G28" s="147"/>
      <c r="H28" s="147"/>
      <c r="I28" s="140">
        <f t="shared" si="0"/>
        <v>1</v>
      </c>
      <c r="K28" s="141"/>
      <c r="AD28" s="82"/>
      <c r="AE28" s="82"/>
      <c r="AF28" s="82"/>
    </row>
    <row r="29" spans="1:32" s="140" customFormat="1">
      <c r="A29" t="s">
        <v>1370</v>
      </c>
      <c r="B29" s="147"/>
      <c r="C29" s="147"/>
      <c r="D29" s="147"/>
      <c r="E29" s="147"/>
      <c r="F29" s="147"/>
      <c r="G29" s="147"/>
      <c r="H29" s="147"/>
      <c r="I29" s="140">
        <f t="shared" si="0"/>
        <v>0</v>
      </c>
      <c r="K29" s="141"/>
      <c r="AD29" s="82"/>
      <c r="AE29" s="82"/>
      <c r="AF29" s="82"/>
    </row>
    <row r="30" spans="1:32">
      <c r="A30" t="s">
        <v>1362</v>
      </c>
      <c r="I30" s="140">
        <f t="shared" si="0"/>
        <v>0</v>
      </c>
    </row>
    <row r="31" spans="1:32">
      <c r="A31" t="s">
        <v>1363</v>
      </c>
    </row>
    <row r="32" spans="1:32">
      <c r="A32" t="s">
        <v>1364</v>
      </c>
      <c r="H32" s="147" t="s">
        <v>417</v>
      </c>
    </row>
    <row r="33" spans="1:8">
      <c r="A33" t="s">
        <v>1180</v>
      </c>
    </row>
    <row r="34" spans="1:8">
      <c r="A34" t="s">
        <v>1148</v>
      </c>
    </row>
    <row r="35" spans="1:8">
      <c r="A35" t="s">
        <v>1016</v>
      </c>
      <c r="E35" s="147" t="s">
        <v>417</v>
      </c>
      <c r="F35" s="147" t="s">
        <v>417</v>
      </c>
      <c r="G35" s="147" t="s">
        <v>417</v>
      </c>
      <c r="H35" s="147" t="s">
        <v>417</v>
      </c>
    </row>
    <row r="36" spans="1:8">
      <c r="A36" t="s">
        <v>1252</v>
      </c>
    </row>
    <row r="37" spans="1:8">
      <c r="A37" t="s">
        <v>1146</v>
      </c>
    </row>
    <row r="38" spans="1:8">
      <c r="A38" t="s">
        <v>1147</v>
      </c>
    </row>
    <row r="39" spans="1:8">
      <c r="A39" t="s">
        <v>1073</v>
      </c>
    </row>
    <row r="40" spans="1:8">
      <c r="A40" t="s">
        <v>1253</v>
      </c>
    </row>
    <row r="41" spans="1:8">
      <c r="A41" t="s">
        <v>1254</v>
      </c>
    </row>
    <row r="42" spans="1:8">
      <c r="A42" t="s">
        <v>1255</v>
      </c>
    </row>
    <row r="43" spans="1:8">
      <c r="A43" t="s">
        <v>1020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zoomScale="85" zoomScaleNormal="85" workbookViewId="0">
      <selection activeCell="B1" sqref="B1:B47"/>
    </sheetView>
  </sheetViews>
  <sheetFormatPr defaultRowHeight="14.5"/>
  <cols>
    <col min="1" max="1" width="54.26953125" style="9" customWidth="1"/>
    <col min="2" max="2" width="56" style="9" customWidth="1"/>
  </cols>
  <sheetData>
    <row r="1" spans="1:2">
      <c r="A1" s="1" t="s">
        <v>0</v>
      </c>
      <c r="B1" s="24" t="s">
        <v>762</v>
      </c>
    </row>
    <row r="2" spans="1:2">
      <c r="A2" s="2" t="s">
        <v>1</v>
      </c>
      <c r="B2" s="3" t="s">
        <v>1438</v>
      </c>
    </row>
    <row r="3" spans="1:2">
      <c r="A3" s="2" t="s">
        <v>2</v>
      </c>
      <c r="B3" s="3">
        <v>11</v>
      </c>
    </row>
    <row r="4" spans="1:2">
      <c r="A4" s="2" t="s">
        <v>769</v>
      </c>
      <c r="B4" s="3" t="s">
        <v>1439</v>
      </c>
    </row>
    <row r="5" spans="1:2">
      <c r="A5" s="2" t="s">
        <v>3</v>
      </c>
      <c r="B5" s="4">
        <v>54321</v>
      </c>
    </row>
    <row r="6" spans="1:2">
      <c r="A6" s="5" t="s">
        <v>4</v>
      </c>
      <c r="B6" s="5"/>
    </row>
    <row r="7" spans="1:2">
      <c r="A7" s="2" t="s">
        <v>5</v>
      </c>
      <c r="B7" s="6" t="s">
        <v>6</v>
      </c>
    </row>
    <row r="8" spans="1:2">
      <c r="A8" s="2" t="s">
        <v>7</v>
      </c>
      <c r="B8" s="6" t="s">
        <v>8</v>
      </c>
    </row>
    <row r="9" spans="1:2">
      <c r="A9" s="2" t="s">
        <v>9</v>
      </c>
      <c r="B9" s="6" t="s">
        <v>1375</v>
      </c>
    </row>
    <row r="10" spans="1:2" ht="52">
      <c r="A10" s="2" t="s">
        <v>10</v>
      </c>
      <c r="B10" s="6" t="s">
        <v>1376</v>
      </c>
    </row>
    <row r="11" spans="1:2">
      <c r="A11" s="2" t="s">
        <v>1214</v>
      </c>
      <c r="B11" s="6" t="s">
        <v>11</v>
      </c>
    </row>
    <row r="12" spans="1:2">
      <c r="A12" s="2" t="s">
        <v>12</v>
      </c>
      <c r="B12" s="6" t="s">
        <v>13</v>
      </c>
    </row>
    <row r="13" spans="1:2">
      <c r="A13" s="2" t="s">
        <v>14</v>
      </c>
      <c r="B13" s="6" t="s">
        <v>15</v>
      </c>
    </row>
    <row r="14" spans="1:2">
      <c r="A14" s="2" t="s">
        <v>16</v>
      </c>
      <c r="B14" s="6" t="s">
        <v>17</v>
      </c>
    </row>
    <row r="15" spans="1:2">
      <c r="A15" s="5" t="s">
        <v>18</v>
      </c>
      <c r="B15" s="5"/>
    </row>
    <row r="16" spans="1:2">
      <c r="A16" s="2" t="s">
        <v>19</v>
      </c>
      <c r="B16" s="88" t="s">
        <v>1440</v>
      </c>
    </row>
    <row r="17" spans="1:2">
      <c r="A17" s="2" t="s">
        <v>20</v>
      </c>
      <c r="B17" s="28" t="s">
        <v>1441</v>
      </c>
    </row>
    <row r="18" spans="1:2">
      <c r="A18" s="2" t="s">
        <v>21</v>
      </c>
      <c r="B18" s="6" t="s">
        <v>1442</v>
      </c>
    </row>
    <row r="19" spans="1:2">
      <c r="A19" s="2" t="s">
        <v>22</v>
      </c>
      <c r="B19" s="6" t="s">
        <v>1316</v>
      </c>
    </row>
    <row r="20" spans="1:2">
      <c r="A20" s="2" t="s">
        <v>23</v>
      </c>
      <c r="B20" s="6" t="s">
        <v>24</v>
      </c>
    </row>
    <row r="21" spans="1:2">
      <c r="A21" s="5" t="s">
        <v>25</v>
      </c>
      <c r="B21" s="5"/>
    </row>
    <row r="22" spans="1:2">
      <c r="A22" s="2" t="s">
        <v>26</v>
      </c>
      <c r="B22" s="6">
        <v>44060</v>
      </c>
    </row>
    <row r="23" spans="1:2">
      <c r="A23" s="2" t="s">
        <v>27</v>
      </c>
      <c r="B23" s="104" t="s">
        <v>1443</v>
      </c>
    </row>
    <row r="24" spans="1:2">
      <c r="A24" s="2" t="s">
        <v>28</v>
      </c>
      <c r="B24" s="7">
        <v>44253</v>
      </c>
    </row>
    <row r="25" spans="1:2">
      <c r="A25" s="2" t="s">
        <v>29</v>
      </c>
      <c r="B25" s="28">
        <v>44249</v>
      </c>
    </row>
    <row r="26" spans="1:2">
      <c r="A26" s="2" t="s">
        <v>30</v>
      </c>
      <c r="B26" s="28">
        <v>44253</v>
      </c>
    </row>
    <row r="27" spans="1:2">
      <c r="A27" s="5" t="s">
        <v>31</v>
      </c>
      <c r="B27" s="23"/>
    </row>
    <row r="28" spans="1:2">
      <c r="A28" s="2" t="s">
        <v>5</v>
      </c>
      <c r="B28" s="6" t="s">
        <v>1444</v>
      </c>
    </row>
    <row r="29" spans="1:2">
      <c r="A29" s="2" t="s">
        <v>9</v>
      </c>
      <c r="B29" s="6" t="s">
        <v>1445</v>
      </c>
    </row>
    <row r="30" spans="1:2">
      <c r="A30" s="2" t="s">
        <v>12</v>
      </c>
      <c r="B30" s="104" t="s">
        <v>1446</v>
      </c>
    </row>
    <row r="31" spans="1:2">
      <c r="A31" s="2" t="s">
        <v>14</v>
      </c>
      <c r="B31" s="29" t="s">
        <v>1447</v>
      </c>
    </row>
    <row r="32" spans="1:2">
      <c r="A32" s="5" t="s">
        <v>32</v>
      </c>
      <c r="B32" s="5"/>
    </row>
    <row r="33" spans="1:5">
      <c r="A33" s="2" t="s">
        <v>5</v>
      </c>
      <c r="B33" s="6" t="s">
        <v>1448</v>
      </c>
    </row>
    <row r="34" spans="1:5">
      <c r="A34" s="2" t="s">
        <v>7</v>
      </c>
      <c r="B34" s="6" t="s">
        <v>1440</v>
      </c>
    </row>
    <row r="35" spans="1:5">
      <c r="A35" s="2" t="s">
        <v>12</v>
      </c>
      <c r="B35" s="104" t="s">
        <v>1449</v>
      </c>
    </row>
    <row r="36" spans="1:5">
      <c r="A36" s="2" t="s">
        <v>14</v>
      </c>
      <c r="B36" s="29" t="s">
        <v>1450</v>
      </c>
    </row>
    <row r="37" spans="1:5">
      <c r="A37" s="5" t="s">
        <v>33</v>
      </c>
      <c r="B37" s="5"/>
    </row>
    <row r="38" spans="1:5">
      <c r="A38" s="2" t="s">
        <v>5</v>
      </c>
      <c r="B38" s="6" t="s">
        <v>1451</v>
      </c>
    </row>
    <row r="39" spans="1:5">
      <c r="A39" s="2" t="s">
        <v>7</v>
      </c>
      <c r="B39" s="6" t="s">
        <v>787</v>
      </c>
    </row>
    <row r="40" spans="1:5">
      <c r="A40" s="2" t="s">
        <v>9</v>
      </c>
      <c r="B40" s="6" t="s">
        <v>1452</v>
      </c>
    </row>
    <row r="41" spans="1:5">
      <c r="A41" s="2" t="s">
        <v>12</v>
      </c>
      <c r="B41" s="104" t="s">
        <v>787</v>
      </c>
    </row>
    <row r="42" spans="1:5">
      <c r="A42" s="2" t="s">
        <v>14</v>
      </c>
      <c r="B42" s="93" t="s">
        <v>787</v>
      </c>
    </row>
    <row r="43" spans="1:5">
      <c r="A43" s="8" t="s">
        <v>34</v>
      </c>
      <c r="B43" s="5"/>
    </row>
    <row r="44" spans="1:5">
      <c r="A44" s="2" t="s">
        <v>5</v>
      </c>
      <c r="B44" s="6" t="s">
        <v>1453</v>
      </c>
      <c r="D44" t="s">
        <v>1291</v>
      </c>
      <c r="E44" t="s">
        <v>1246</v>
      </c>
    </row>
    <row r="45" spans="1:5">
      <c r="A45" s="2" t="s">
        <v>7</v>
      </c>
      <c r="B45" s="6" t="s">
        <v>8</v>
      </c>
      <c r="D45" t="s">
        <v>8</v>
      </c>
      <c r="E45" t="s">
        <v>1247</v>
      </c>
    </row>
    <row r="46" spans="1:5">
      <c r="A46" s="2" t="s">
        <v>12</v>
      </c>
      <c r="B46" s="6" t="s">
        <v>1250</v>
      </c>
      <c r="D46" t="s">
        <v>1250</v>
      </c>
      <c r="E46" t="s">
        <v>1248</v>
      </c>
    </row>
    <row r="47" spans="1:5">
      <c r="A47" s="2" t="s">
        <v>14</v>
      </c>
      <c r="B47" s="29" t="s">
        <v>1251</v>
      </c>
      <c r="D47" t="s">
        <v>1251</v>
      </c>
      <c r="E47" t="s">
        <v>1249</v>
      </c>
    </row>
  </sheetData>
  <conditionalFormatting sqref="B1:B3 B5:B1048576">
    <cfRule type="cellIs" dxfId="129" priority="2" operator="equal">
      <formula>"xxx"</formula>
    </cfRule>
  </conditionalFormatting>
  <conditionalFormatting sqref="B4">
    <cfRule type="cellIs" dxfId="128" priority="1" operator="equal">
      <formula>"xxx"</formula>
    </cfRule>
  </conditionalFormatting>
  <hyperlinks>
    <hyperlink ref="B42" r:id="rId1" display="gabrielxhw@gmail.com" xr:uid="{AAC5AFE1-DFAA-48B4-B4B1-76BF656CE3F6}"/>
    <hyperlink ref="B31" r:id="rId2" display="majt@kamfu.com.cn " xr:uid="{5033FE2F-FFFC-4594-A647-32F3899EE4C5}"/>
    <hyperlink ref="B36" r:id="rId3" display="tanll@kamfu.com.cn " xr:uid="{6A242C7F-CD6E-4A5F-92ED-8599A9CE8E76}"/>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topLeftCell="A37" workbookViewId="0">
      <selection activeCell="B52" sqref="B52"/>
    </sheetView>
  </sheetViews>
  <sheetFormatPr defaultColWidth="8.7265625" defaultRowHeight="14.5"/>
  <cols>
    <col min="1" max="1" width="31" style="12" customWidth="1"/>
    <col min="2" max="2" width="70.7265625" style="12" customWidth="1"/>
    <col min="3" max="3" width="11.1796875" style="12" customWidth="1"/>
    <col min="4" max="16384" width="8.7265625" style="12"/>
  </cols>
  <sheetData>
    <row r="1" spans="1:3">
      <c r="A1" s="25" t="s">
        <v>814</v>
      </c>
    </row>
    <row r="2" spans="1:3" s="55" customFormat="1" ht="15.5">
      <c r="A2" s="56" t="s">
        <v>761</v>
      </c>
      <c r="B2" s="56"/>
      <c r="C2" s="54"/>
    </row>
    <row r="3" spans="1:3">
      <c r="A3" s="12" t="s">
        <v>756</v>
      </c>
      <c r="B3" s="96" t="str">
        <f>'Agreement 3'!B34</f>
        <v>Company Full Name Ltd.</v>
      </c>
      <c r="C3" s="12" t="s">
        <v>1075</v>
      </c>
    </row>
    <row r="4" spans="1:3">
      <c r="A4" s="12" t="s">
        <v>755</v>
      </c>
      <c r="B4" s="12" t="s">
        <v>1454</v>
      </c>
    </row>
    <row r="5" spans="1:3" s="105" customFormat="1"/>
    <row r="6" spans="1:3">
      <c r="A6" s="12" t="s">
        <v>757</v>
      </c>
      <c r="B6" s="97" t="str">
        <f>CONCATENATE(TEXT(B27,"yyyy-mm-dd"),"to",TEXT(B36,"mm-dd")," (A",RIGHT(B10,1),") ",'Agreement 3'!B4," D",'Agreement 3'!B2," C",'Agreement 3'!B5, " ",Planning!B4)</f>
        <v>2021-02-20to02-26 (A5) R123 D01234 C54321 ShortName</v>
      </c>
      <c r="C6" s="12" t="s">
        <v>1076</v>
      </c>
    </row>
    <row r="7" spans="1:3">
      <c r="A7" s="12" t="s">
        <v>758</v>
      </c>
      <c r="B7" s="105" t="s">
        <v>1455</v>
      </c>
    </row>
    <row r="8" spans="1:3" s="105" customFormat="1"/>
    <row r="9" spans="1:3" s="105" customFormat="1">
      <c r="A9" s="105" t="s">
        <v>444</v>
      </c>
      <c r="B9" s="106" t="s">
        <v>530</v>
      </c>
      <c r="C9" s="105" t="s">
        <v>390</v>
      </c>
    </row>
    <row r="10" spans="1:3" s="105" customFormat="1">
      <c r="A10" s="105" t="s">
        <v>418</v>
      </c>
      <c r="B10" s="106" t="s">
        <v>415</v>
      </c>
      <c r="C10" s="105" t="s">
        <v>390</v>
      </c>
    </row>
    <row r="11" spans="1:3" s="105" customFormat="1">
      <c r="A11" s="105" t="s">
        <v>419</v>
      </c>
      <c r="B11" s="106" t="s">
        <v>421</v>
      </c>
      <c r="C11" s="105" t="s">
        <v>390</v>
      </c>
    </row>
    <row r="12" spans="1:3" s="105" customFormat="1" ht="43.5">
      <c r="A12" s="105" t="s">
        <v>425</v>
      </c>
      <c r="B12" s="105" t="s">
        <v>768</v>
      </c>
    </row>
    <row r="13" spans="1:3" s="105" customFormat="1"/>
    <row r="14" spans="1:3">
      <c r="A14" s="12" t="s">
        <v>904</v>
      </c>
      <c r="B14" s="97" t="str">
        <f>CONCATENATE("D",'Agreement 3'!B2, " (A",RIGHT(B10,1),") ",B4," - ",'Agreement 3'!B18," (Q",ROUNDUP(MONTH('Agreement 3'!B26)/3,0),") ",YEAR('Agreement 3'!B26))</f>
        <v>D01234 (A5) ShortName - Shenzhen (Q1) 2021</v>
      </c>
      <c r="C14" s="12" t="s">
        <v>1075</v>
      </c>
    </row>
    <row r="15" spans="1:3">
      <c r="A15" s="12" t="s">
        <v>903</v>
      </c>
      <c r="B15" s="12" t="s">
        <v>1456</v>
      </c>
    </row>
    <row r="16" spans="1:3">
      <c r="A16" s="12" t="s">
        <v>817</v>
      </c>
      <c r="B16" s="98">
        <f>'Agreement 3'!B5</f>
        <v>54321</v>
      </c>
      <c r="C16" s="12" t="s">
        <v>1075</v>
      </c>
    </row>
    <row r="18" spans="1:3" s="55" customFormat="1" ht="15.5">
      <c r="A18" s="56" t="s">
        <v>1023</v>
      </c>
      <c r="B18" s="56"/>
      <c r="C18" s="54"/>
    </row>
    <row r="19" spans="1:3" s="55" customFormat="1" ht="15.5">
      <c r="A19" s="55" t="s">
        <v>929</v>
      </c>
      <c r="B19" s="55" t="s">
        <v>1320</v>
      </c>
      <c r="C19" s="54"/>
    </row>
    <row r="20" spans="1:3" s="55" customFormat="1" ht="15.5">
      <c r="A20" s="55" t="s">
        <v>1025</v>
      </c>
      <c r="B20" s="100">
        <f>B23-14</f>
        <v>44218</v>
      </c>
      <c r="C20" s="54"/>
    </row>
    <row r="21" spans="1:3" s="55" customFormat="1" ht="15.5">
      <c r="A21" s="55" t="s">
        <v>1079</v>
      </c>
      <c r="B21" s="161">
        <f>B20+1</f>
        <v>44219</v>
      </c>
      <c r="C21" s="54" t="s">
        <v>1076</v>
      </c>
    </row>
    <row r="22" spans="1:3" s="55" customFormat="1" ht="15.5">
      <c r="B22" s="100"/>
      <c r="C22" s="54"/>
    </row>
    <row r="23" spans="1:3" s="55" customFormat="1" ht="15.5">
      <c r="A23" s="55" t="s">
        <v>1026</v>
      </c>
      <c r="B23" s="100">
        <f>B27-14-1</f>
        <v>44232</v>
      </c>
      <c r="C23" s="54"/>
    </row>
    <row r="24" spans="1:3" s="55" customFormat="1" ht="15.5">
      <c r="A24" s="55" t="s">
        <v>1080</v>
      </c>
      <c r="B24" s="161">
        <f>B23+1</f>
        <v>44233</v>
      </c>
      <c r="C24" s="54" t="s">
        <v>1076</v>
      </c>
    </row>
    <row r="25" spans="1:3" s="55" customFormat="1" ht="15.5">
      <c r="B25" s="100"/>
      <c r="C25" s="54"/>
    </row>
    <row r="26" spans="1:3" s="55" customFormat="1" ht="15.5">
      <c r="A26" s="55" t="s">
        <v>930</v>
      </c>
      <c r="B26" s="100">
        <f>B27-2</f>
        <v>44245</v>
      </c>
      <c r="C26" s="54"/>
    </row>
    <row r="27" spans="1:3" s="55" customFormat="1" ht="15.5">
      <c r="A27" s="55" t="s">
        <v>931</v>
      </c>
      <c r="B27" s="161">
        <f>B30-B29</f>
        <v>44247</v>
      </c>
      <c r="C27" s="55" t="s">
        <v>1076</v>
      </c>
    </row>
    <row r="28" spans="1:3" s="55" customFormat="1" ht="15.5">
      <c r="A28" s="55" t="s">
        <v>932</v>
      </c>
      <c r="B28" s="55">
        <v>0</v>
      </c>
      <c r="C28" s="54"/>
    </row>
    <row r="29" spans="1:3" s="55" customFormat="1" ht="15.5">
      <c r="A29" s="55" t="s">
        <v>1085</v>
      </c>
      <c r="B29" s="55">
        <v>2</v>
      </c>
      <c r="C29" s="54" t="s">
        <v>1056</v>
      </c>
    </row>
    <row r="30" spans="1:3" s="55" customFormat="1" ht="15.5">
      <c r="A30" s="55" t="s">
        <v>933</v>
      </c>
      <c r="B30" s="99">
        <f>'Agreement 3'!B25</f>
        <v>44249</v>
      </c>
      <c r="C30" s="139"/>
    </row>
    <row r="31" spans="1:3" s="55" customFormat="1" ht="15.5">
      <c r="A31" s="55" t="s">
        <v>1242</v>
      </c>
      <c r="B31" s="55">
        <v>0</v>
      </c>
      <c r="C31" s="139"/>
    </row>
    <row r="32" spans="1:3" s="55" customFormat="1" ht="15.5">
      <c r="A32" s="55" t="s">
        <v>807</v>
      </c>
      <c r="B32" s="99">
        <f>B33-B31</f>
        <v>44253</v>
      </c>
      <c r="C32" s="139" t="s">
        <v>1076</v>
      </c>
    </row>
    <row r="33" spans="1:4" s="55" customFormat="1" ht="15.5">
      <c r="A33" s="55" t="s">
        <v>934</v>
      </c>
      <c r="B33" s="99">
        <f>'Agreement 3'!B26</f>
        <v>44253</v>
      </c>
      <c r="C33" s="54" t="s">
        <v>1075</v>
      </c>
    </row>
    <row r="34" spans="1:4" s="126" customFormat="1" ht="15.5">
      <c r="A34" s="55" t="s">
        <v>406</v>
      </c>
      <c r="B34" s="44">
        <f>B33-B27+1-B28</f>
        <v>7</v>
      </c>
      <c r="C34" s="126" t="s">
        <v>1076</v>
      </c>
    </row>
    <row r="35" spans="1:4" s="126" customFormat="1" ht="15.5">
      <c r="A35" s="126" t="s">
        <v>1244</v>
      </c>
      <c r="B35" s="55">
        <v>0</v>
      </c>
    </row>
    <row r="36" spans="1:4" s="126" customFormat="1">
      <c r="A36" s="126" t="s">
        <v>1243</v>
      </c>
      <c r="B36" s="280">
        <f>B35+B32</f>
        <v>44253</v>
      </c>
      <c r="C36" s="126" t="s">
        <v>1076</v>
      </c>
    </row>
    <row r="37" spans="1:4" s="126" customFormat="1">
      <c r="A37" s="126" t="s">
        <v>1245</v>
      </c>
      <c r="B37" s="280">
        <f>B36+7</f>
        <v>44260</v>
      </c>
      <c r="C37" s="126" t="s">
        <v>1076</v>
      </c>
    </row>
    <row r="39" spans="1:4" s="55" customFormat="1" ht="31">
      <c r="A39" s="56" t="s">
        <v>1027</v>
      </c>
      <c r="B39" s="56"/>
      <c r="C39" s="54"/>
    </row>
    <row r="40" spans="1:4" s="55" customFormat="1" ht="15.5">
      <c r="A40" s="55" t="s">
        <v>1028</v>
      </c>
      <c r="B40" s="60" t="str">
        <f>'Agreement 3'!B23</f>
        <v>Conduct appraisals in 1Q 2021.</v>
      </c>
      <c r="C40" s="54" t="s">
        <v>1075</v>
      </c>
    </row>
    <row r="41" spans="1:4" s="55" customFormat="1" ht="29">
      <c r="A41" s="55" t="s">
        <v>911</v>
      </c>
      <c r="B41" s="97" t="str">
        <f>B43</f>
        <v>Sales of 138 million, software revenue increased by 5%. Profit increased by 3%, product market share reached 25%, and productivity increased by 5%</v>
      </c>
      <c r="C41" s="54" t="s">
        <v>1076</v>
      </c>
    </row>
    <row r="42" spans="1:4" s="129" customFormat="1">
      <c r="A42" s="129" t="s">
        <v>601</v>
      </c>
      <c r="B42" s="341" t="s">
        <v>1419</v>
      </c>
      <c r="C42" s="129" t="s">
        <v>939</v>
      </c>
      <c r="D42" s="136" t="s">
        <v>1181</v>
      </c>
    </row>
    <row r="43" spans="1:4" s="129" customFormat="1" ht="29">
      <c r="A43" s="129" t="s">
        <v>602</v>
      </c>
      <c r="B43" s="342" t="s">
        <v>1420</v>
      </c>
      <c r="C43" s="129" t="s">
        <v>939</v>
      </c>
      <c r="D43" s="136" t="s">
        <v>1181</v>
      </c>
    </row>
    <row r="44" spans="1:4" s="129" customFormat="1">
      <c r="A44" s="129" t="s">
        <v>603</v>
      </c>
      <c r="B44" s="341" t="s">
        <v>1390</v>
      </c>
      <c r="C44" s="129" t="s">
        <v>939</v>
      </c>
      <c r="D44" s="136" t="s">
        <v>1181</v>
      </c>
    </row>
    <row r="45" spans="1:4" s="136" customFormat="1">
      <c r="B45" s="341"/>
    </row>
    <row r="46" spans="1:4" s="136" customFormat="1">
      <c r="A46" s="136" t="s">
        <v>607</v>
      </c>
      <c r="B46" s="342" t="s">
        <v>1394</v>
      </c>
      <c r="C46" s="279" t="s">
        <v>939</v>
      </c>
      <c r="D46" s="136" t="s">
        <v>1181</v>
      </c>
    </row>
    <row r="47" spans="1:4" s="136" customFormat="1">
      <c r="A47" s="136" t="s">
        <v>608</v>
      </c>
      <c r="B47" s="343" t="s">
        <v>1391</v>
      </c>
      <c r="C47" s="279" t="s">
        <v>939</v>
      </c>
      <c r="D47" s="136" t="s">
        <v>1181</v>
      </c>
    </row>
    <row r="48" spans="1:4" s="136" customFormat="1">
      <c r="A48" s="136" t="s">
        <v>609</v>
      </c>
      <c r="B48" s="342" t="s">
        <v>1292</v>
      </c>
      <c r="C48" s="136" t="s">
        <v>939</v>
      </c>
    </row>
    <row r="49" spans="1:3" s="136" customFormat="1">
      <c r="A49" s="136" t="s">
        <v>610</v>
      </c>
      <c r="B49" s="342" t="s">
        <v>640</v>
      </c>
      <c r="C49" s="136" t="s">
        <v>939</v>
      </c>
    </row>
    <row r="50" spans="1:3" s="136" customFormat="1">
      <c r="A50" s="136" t="s">
        <v>611</v>
      </c>
      <c r="B50" s="342" t="s">
        <v>1392</v>
      </c>
      <c r="C50" s="136" t="s">
        <v>939</v>
      </c>
    </row>
    <row r="51" spans="1:3" s="136" customFormat="1">
      <c r="A51" s="136" t="s">
        <v>620</v>
      </c>
      <c r="B51" s="342" t="s">
        <v>1393</v>
      </c>
      <c r="C51" s="136" t="s">
        <v>939</v>
      </c>
    </row>
    <row r="52" spans="1:3" s="55" customFormat="1" ht="15.5">
      <c r="B52" s="344"/>
      <c r="C52" s="54"/>
    </row>
    <row r="53" spans="1:3" s="55" customFormat="1" ht="46.5">
      <c r="A53" s="55" t="s">
        <v>1177</v>
      </c>
      <c r="B53" s="55" t="s">
        <v>1029</v>
      </c>
      <c r="C53" s="54"/>
    </row>
    <row r="54" spans="1:3" s="55" customFormat="1" ht="15.5">
      <c r="C54" s="54"/>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49"/>
  <sheetViews>
    <sheetView topLeftCell="B22" workbookViewId="0">
      <selection activeCell="B24" sqref="B24"/>
    </sheetView>
  </sheetViews>
  <sheetFormatPr defaultColWidth="10.81640625" defaultRowHeight="15.5"/>
  <cols>
    <col min="1" max="1" width="53.1796875" style="55" customWidth="1"/>
    <col min="2" max="2" width="71.81640625" style="55" customWidth="1"/>
    <col min="3" max="3" width="32.54296875" style="54" customWidth="1"/>
    <col min="4" max="4" width="44.26953125" style="55" customWidth="1"/>
    <col min="5" max="16384" width="10.81640625" style="55"/>
  </cols>
  <sheetData>
    <row r="1" spans="1:3" ht="18.5">
      <c r="A1" s="53" t="s">
        <v>1091</v>
      </c>
      <c r="B1" s="53"/>
      <c r="C1" s="54" t="s">
        <v>906</v>
      </c>
    </row>
    <row r="2" spans="1:3">
      <c r="A2" s="56" t="s">
        <v>395</v>
      </c>
      <c r="B2" s="56"/>
    </row>
    <row r="3" spans="1:3">
      <c r="A3" s="55" t="s">
        <v>907</v>
      </c>
      <c r="B3" s="60" t="str">
        <f>'Agreement 3'!B16</f>
        <v>Company Full Name Ltd.</v>
      </c>
      <c r="C3" s="54" t="s">
        <v>1075</v>
      </c>
    </row>
    <row r="4" spans="1:3">
      <c r="A4" s="55" t="s">
        <v>908</v>
      </c>
      <c r="B4" s="60" t="str">
        <f>IF('Agreement 3'!B17&lt;&gt;"",'Agreement 3'!B17,"")</f>
        <v>公司名</v>
      </c>
      <c r="C4" s="54" t="s">
        <v>1075</v>
      </c>
    </row>
    <row r="5" spans="1:3" s="89" customFormat="1" ht="14.5">
      <c r="A5" s="89" t="s">
        <v>37</v>
      </c>
      <c r="B5" s="91" t="s">
        <v>1457</v>
      </c>
    </row>
    <row r="6" spans="1:3" s="89" customFormat="1" ht="14.5">
      <c r="A6" s="89" t="s">
        <v>38</v>
      </c>
      <c r="B6" s="89" t="s">
        <v>1458</v>
      </c>
    </row>
    <row r="7" spans="1:3" s="89" customFormat="1">
      <c r="A7" s="89" t="s">
        <v>39</v>
      </c>
      <c r="B7" s="60" t="str">
        <f>'Agreement 3'!B18</f>
        <v>Shenzhen</v>
      </c>
      <c r="C7" s="89" t="s">
        <v>1075</v>
      </c>
    </row>
    <row r="8" spans="1:3" s="89" customFormat="1">
      <c r="A8" s="89" t="s">
        <v>40</v>
      </c>
      <c r="B8" s="60" t="str">
        <f>'Agreement 3'!B19</f>
        <v>Guangdong</v>
      </c>
      <c r="C8" s="89" t="s">
        <v>1075</v>
      </c>
    </row>
    <row r="9" spans="1:3" s="89" customFormat="1" ht="14.5">
      <c r="A9" s="89" t="s">
        <v>41</v>
      </c>
      <c r="B9" s="91">
        <v>200080</v>
      </c>
    </row>
    <row r="10" spans="1:3" s="89" customFormat="1" ht="14.5">
      <c r="A10" s="89" t="s">
        <v>23</v>
      </c>
      <c r="B10" s="90" t="s">
        <v>24</v>
      </c>
      <c r="C10" s="89" t="s">
        <v>390</v>
      </c>
    </row>
    <row r="11" spans="1:3" ht="31">
      <c r="A11" s="55" t="s">
        <v>909</v>
      </c>
      <c r="B11" s="92" t="str">
        <f>_xlfn.CONCAT(B5,", ",B6,", ",B7,", ",B8,", ",B9,", ",B10)</f>
        <v>Room 1, West Block, High-Tech Plaza, Some Street, Some District, Shenzhen, Guangdong, 200080, China</v>
      </c>
      <c r="C11" s="54" t="s">
        <v>1076</v>
      </c>
    </row>
    <row r="12" spans="1:3">
      <c r="A12" s="55" t="s">
        <v>910</v>
      </c>
      <c r="B12" s="351" t="s">
        <v>1459</v>
      </c>
    </row>
    <row r="13" spans="1:3" ht="31">
      <c r="A13" s="55" t="s">
        <v>911</v>
      </c>
      <c r="B13" s="60" t="str">
        <f>_xlfn.CONCAT("[B1] ",Planning!B43)</f>
        <v>[B1] Sales of 138 million, software revenue increased by 5%. Profit increased by 3%, product market share reached 25%, and productivity increased by 5%</v>
      </c>
      <c r="C13" s="54" t="s">
        <v>1024</v>
      </c>
    </row>
    <row r="14" spans="1:3">
      <c r="A14" s="55" t="str">
        <f>Planning!A46</f>
        <v>QPPO Target Measurement/KPI</v>
      </c>
      <c r="B14" s="60" t="str">
        <f>Planning!B46</f>
        <v>Post release defect density: UCL:2.424, CL:2.103, LCL:1.783</v>
      </c>
      <c r="C14" s="54" t="s">
        <v>1024</v>
      </c>
    </row>
    <row r="15" spans="1:3">
      <c r="A15" s="55" t="str">
        <f>Planning!A47</f>
        <v>QPPO Actual Measurement/KPI</v>
      </c>
      <c r="B15" s="60" t="str">
        <f>Planning!B47</f>
        <v>Post release defect density: UCL:1.8726,CL:1.607,LCL:1.3407</v>
      </c>
      <c r="C15" s="54" t="s">
        <v>1024</v>
      </c>
    </row>
    <row r="16" spans="1:3" ht="68.150000000000006" customHeight="1">
      <c r="A16" s="55" t="s">
        <v>1057</v>
      </c>
      <c r="B16" s="293"/>
    </row>
    <row r="18" spans="1:3">
      <c r="A18" s="56" t="s">
        <v>912</v>
      </c>
      <c r="B18" s="56"/>
    </row>
    <row r="19" spans="1:3">
      <c r="A19" s="55" t="s">
        <v>913</v>
      </c>
      <c r="B19" s="95" t="s">
        <v>1260</v>
      </c>
    </row>
    <row r="20" spans="1:3">
      <c r="A20" s="55" t="s">
        <v>914</v>
      </c>
      <c r="B20" s="95" t="s">
        <v>1261</v>
      </c>
    </row>
    <row r="21" spans="1:3" ht="29">
      <c r="A21" s="55" t="s">
        <v>915</v>
      </c>
      <c r="B21" s="95" t="s">
        <v>1321</v>
      </c>
    </row>
    <row r="22" spans="1:3" ht="101.5">
      <c r="A22" s="55" t="s">
        <v>916</v>
      </c>
      <c r="B22" s="94" t="s">
        <v>1322</v>
      </c>
      <c r="C22" s="294"/>
    </row>
    <row r="23" spans="1:3">
      <c r="A23" s="55" t="s">
        <v>917</v>
      </c>
      <c r="B23" s="59" t="s">
        <v>372</v>
      </c>
      <c r="C23" s="54" t="s">
        <v>390</v>
      </c>
    </row>
    <row r="24" spans="1:3">
      <c r="A24" s="55" t="s">
        <v>918</v>
      </c>
      <c r="B24" s="55">
        <v>761</v>
      </c>
    </row>
    <row r="25" spans="1:3">
      <c r="A25" s="55" t="s">
        <v>1048</v>
      </c>
      <c r="B25" s="57" t="str">
        <f>_xlfn.CONCAT(StartupInfo!B7," only")</f>
        <v>Shenzhen only</v>
      </c>
      <c r="C25" s="54" t="s">
        <v>1076</v>
      </c>
    </row>
    <row r="27" spans="1:3">
      <c r="A27" s="56" t="s">
        <v>919</v>
      </c>
      <c r="B27" s="56"/>
    </row>
    <row r="28" spans="1:3">
      <c r="A28" s="55" t="s">
        <v>920</v>
      </c>
      <c r="B28" s="60" t="str">
        <f>'Agreement 3'!B29</f>
        <v>Manager</v>
      </c>
      <c r="C28" s="54" t="s">
        <v>1075</v>
      </c>
    </row>
    <row r="29" spans="1:3">
      <c r="A29" s="55" t="s">
        <v>921</v>
      </c>
      <c r="B29" s="60" t="str">
        <f>'Agreement 3'!B28</f>
        <v>SponseSurname, A</v>
      </c>
      <c r="C29" s="54" t="s">
        <v>1075</v>
      </c>
    </row>
    <row r="30" spans="1:3">
      <c r="A30" s="55" t="s">
        <v>922</v>
      </c>
      <c r="B30" s="60" t="str">
        <f>'Agreement 3'!B16</f>
        <v>Company Full Name Ltd.</v>
      </c>
      <c r="C30" s="54" t="s">
        <v>1075</v>
      </c>
    </row>
    <row r="31" spans="1:3">
      <c r="A31" s="55" t="s">
        <v>1182</v>
      </c>
      <c r="B31" s="59" t="s">
        <v>1086</v>
      </c>
      <c r="C31" s="54" t="s">
        <v>390</v>
      </c>
    </row>
    <row r="32" spans="1:3" ht="31">
      <c r="A32" s="55" t="s">
        <v>923</v>
      </c>
      <c r="B32" s="57" t="str">
        <f>B11</f>
        <v>Room 1, West Block, High-Tech Plaza, Some Street, Some District, Shenzhen, Guangdong, 200080, China</v>
      </c>
      <c r="C32" s="54" t="s">
        <v>1076</v>
      </c>
    </row>
    <row r="33" spans="1:3">
      <c r="A33" s="55" t="s">
        <v>924</v>
      </c>
      <c r="B33" s="83" t="str">
        <f>'Agreement 3'!B31</f>
        <v>sponsor@gmail.com</v>
      </c>
      <c r="C33" s="54" t="s">
        <v>1075</v>
      </c>
    </row>
    <row r="34" spans="1:3">
      <c r="A34" s="55" t="s">
        <v>925</v>
      </c>
      <c r="B34" s="84" t="str">
        <f>'Agreement 3'!B30</f>
        <v>0000-1111-22222</v>
      </c>
      <c r="C34" s="54" t="s">
        <v>1075</v>
      </c>
    </row>
    <row r="36" spans="1:3">
      <c r="A36" s="56" t="s">
        <v>431</v>
      </c>
      <c r="B36" s="56"/>
    </row>
    <row r="37" spans="1:3">
      <c r="A37" s="55" t="s">
        <v>1092</v>
      </c>
      <c r="B37" s="60" t="str">
        <f>'Agreement 3'!B33</f>
        <v>SiteCoordinator, A</v>
      </c>
      <c r="C37" s="54" t="s">
        <v>1075</v>
      </c>
    </row>
    <row r="38" spans="1:3">
      <c r="A38" s="55" t="s">
        <v>926</v>
      </c>
      <c r="B38" s="59" t="s">
        <v>1086</v>
      </c>
      <c r="C38" s="54" t="s">
        <v>390</v>
      </c>
    </row>
    <row r="39" spans="1:3">
      <c r="A39" s="55" t="s">
        <v>927</v>
      </c>
      <c r="B39" s="84" t="str">
        <f>'Agreement 3'!B35</f>
        <v>00000-22222-44444</v>
      </c>
      <c r="C39" s="54" t="s">
        <v>1075</v>
      </c>
    </row>
    <row r="40" spans="1:3">
      <c r="A40" s="55" t="s">
        <v>928</v>
      </c>
      <c r="B40" s="83" t="str">
        <f>'Agreement 3'!B36</f>
        <v>siteCoridnator@gmail.com</v>
      </c>
      <c r="C40" s="54" t="s">
        <v>1075</v>
      </c>
    </row>
    <row r="42" spans="1:3">
      <c r="A42" s="56" t="s">
        <v>33</v>
      </c>
      <c r="B42" s="56"/>
    </row>
    <row r="43" spans="1:3">
      <c r="A43" s="55" t="s">
        <v>19</v>
      </c>
      <c r="B43" s="60" t="str">
        <f>'Agreement 3'!B38</f>
        <v>TranslatorSurname, A</v>
      </c>
      <c r="C43" s="54" t="s">
        <v>1075</v>
      </c>
    </row>
    <row r="44" spans="1:3">
      <c r="A44" s="55" t="s">
        <v>1087</v>
      </c>
      <c r="B44" s="60" t="str">
        <f>'Agreement 3'!B39</f>
        <v>tbd</v>
      </c>
      <c r="C44" s="54" t="s">
        <v>1075</v>
      </c>
    </row>
    <row r="45" spans="1:3">
      <c r="A45" s="55" t="s">
        <v>1088</v>
      </c>
      <c r="B45" s="59" t="s">
        <v>1086</v>
      </c>
      <c r="C45" s="54" t="s">
        <v>390</v>
      </c>
    </row>
    <row r="46" spans="1:3">
      <c r="A46" s="55" t="s">
        <v>770</v>
      </c>
      <c r="B46" s="59" t="s">
        <v>440</v>
      </c>
      <c r="C46" s="54" t="s">
        <v>390</v>
      </c>
    </row>
    <row r="47" spans="1:3">
      <c r="A47" s="55" t="s">
        <v>1089</v>
      </c>
      <c r="B47" s="55" t="s">
        <v>1090</v>
      </c>
    </row>
    <row r="48" spans="1:3">
      <c r="A48" s="55" t="s">
        <v>927</v>
      </c>
      <c r="B48" s="84" t="str">
        <f>'Agreement 3'!B41</f>
        <v>tbd</v>
      </c>
      <c r="C48" s="54" t="s">
        <v>1075</v>
      </c>
    </row>
    <row r="49" spans="1:3">
      <c r="A49" s="55" t="s">
        <v>928</v>
      </c>
      <c r="B49" s="83" t="str">
        <f>'Agreement 3'!B42</f>
        <v>tbd</v>
      </c>
      <c r="C49" s="54" t="s">
        <v>1075</v>
      </c>
    </row>
  </sheetData>
  <dataValidations count="4">
    <dataValidation type="list" allowBlank="1" showInputMessage="1" showErrorMessage="1" sqref="B23" xr:uid="{CDD3F377-5378-44E1-B83C-16B7392CD656}">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33" r:id="rId1" display="jack@c-goshine.com" xr:uid="{25F06946-4C8A-47A6-8E18-995C96686BFB}"/>
    <hyperlink ref="B40"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topLeftCell="D1" zoomScale="85" zoomScaleNormal="85" workbookViewId="0">
      <selection activeCell="H23" sqref="H23"/>
    </sheetView>
  </sheetViews>
  <sheetFormatPr defaultColWidth="8.81640625" defaultRowHeight="14.5"/>
  <cols>
    <col min="1" max="1" width="11.453125" style="105" customWidth="1"/>
    <col min="2" max="2" width="20.453125" style="105" customWidth="1"/>
    <col min="3" max="3" width="60.54296875" style="105" customWidth="1"/>
    <col min="4" max="4" width="15.1796875" style="105" customWidth="1"/>
    <col min="5" max="5" width="20.453125" style="105" customWidth="1"/>
    <col min="6" max="7" width="15.453125" style="115" customWidth="1"/>
    <col min="8" max="8" width="20.81640625" style="105" customWidth="1"/>
    <col min="9" max="9" width="8.7265625" style="112" customWidth="1"/>
    <col min="10" max="27" width="6.54296875" style="112" customWidth="1"/>
    <col min="28" max="28" width="8.7265625" style="112" customWidth="1"/>
    <col min="29" max="34" width="7.54296875" style="105" customWidth="1"/>
    <col min="35" max="35" width="5.1796875" style="105" customWidth="1"/>
    <col min="36" max="16384" width="8.81640625" style="105"/>
  </cols>
  <sheetData>
    <row r="1" spans="1:35" s="55" customFormat="1" ht="18.5">
      <c r="A1" s="122" t="s">
        <v>1039</v>
      </c>
      <c r="B1" s="53"/>
      <c r="C1" s="123"/>
      <c r="D1" s="124"/>
      <c r="E1" s="124"/>
      <c r="F1" s="124"/>
      <c r="G1" s="124"/>
      <c r="H1" s="124"/>
      <c r="I1" s="124"/>
      <c r="J1" s="124"/>
      <c r="K1" s="124"/>
      <c r="L1" s="124"/>
      <c r="M1" s="124"/>
      <c r="N1" s="124"/>
      <c r="O1" s="124"/>
      <c r="P1" s="124"/>
      <c r="Q1" s="124"/>
      <c r="R1" s="124"/>
      <c r="S1" s="124"/>
      <c r="T1" s="124"/>
      <c r="U1" s="124"/>
      <c r="V1" s="124"/>
      <c r="W1" s="124"/>
      <c r="X1" s="124"/>
      <c r="Y1" s="124"/>
      <c r="Z1" s="124"/>
      <c r="AA1" s="124"/>
      <c r="AB1" s="308" t="s">
        <v>1347</v>
      </c>
      <c r="AC1" s="361" t="s">
        <v>1348</v>
      </c>
      <c r="AD1" s="361"/>
      <c r="AE1" s="361"/>
      <c r="AF1" s="361"/>
      <c r="AG1" s="361"/>
      <c r="AH1" s="361"/>
      <c r="AI1" s="361"/>
    </row>
    <row r="2" spans="1:35" s="315" customFormat="1" ht="69">
      <c r="A2" s="309" t="s">
        <v>935</v>
      </c>
      <c r="B2" s="309" t="s">
        <v>19</v>
      </c>
      <c r="C2" s="309" t="s">
        <v>388</v>
      </c>
      <c r="D2" s="309" t="s">
        <v>936</v>
      </c>
      <c r="E2" s="309" t="s">
        <v>1262</v>
      </c>
      <c r="F2" s="310" t="s">
        <v>1263</v>
      </c>
      <c r="G2" s="310" t="s">
        <v>1264</v>
      </c>
      <c r="H2" s="309" t="s">
        <v>1233</v>
      </c>
      <c r="I2" s="311" t="s">
        <v>982</v>
      </c>
      <c r="J2" s="312" t="s">
        <v>937</v>
      </c>
      <c r="K2" s="312" t="s">
        <v>938</v>
      </c>
      <c r="L2" s="312" t="s">
        <v>889</v>
      </c>
      <c r="M2" s="312" t="s">
        <v>939</v>
      </c>
      <c r="N2" s="312" t="s">
        <v>940</v>
      </c>
      <c r="O2" s="312" t="s">
        <v>941</v>
      </c>
      <c r="P2" s="312" t="s">
        <v>942</v>
      </c>
      <c r="Q2" s="312" t="s">
        <v>943</v>
      </c>
      <c r="R2" s="312" t="s">
        <v>944</v>
      </c>
      <c r="S2" s="312" t="s">
        <v>945</v>
      </c>
      <c r="T2" s="312" t="s">
        <v>805</v>
      </c>
      <c r="U2" s="312" t="s">
        <v>946</v>
      </c>
      <c r="V2" s="312" t="s">
        <v>947</v>
      </c>
      <c r="W2" s="312" t="s">
        <v>948</v>
      </c>
      <c r="X2" s="312" t="s">
        <v>949</v>
      </c>
      <c r="Y2" s="312" t="s">
        <v>803</v>
      </c>
      <c r="Z2" s="312" t="s">
        <v>950</v>
      </c>
      <c r="AA2" s="312" t="s">
        <v>951</v>
      </c>
      <c r="AB2" s="311"/>
      <c r="AC2" s="313" t="s">
        <v>1349</v>
      </c>
      <c r="AD2" s="313" t="s">
        <v>1350</v>
      </c>
      <c r="AE2" s="313" t="s">
        <v>1351</v>
      </c>
      <c r="AF2" s="313" t="s">
        <v>1352</v>
      </c>
      <c r="AG2" s="313" t="s">
        <v>1353</v>
      </c>
      <c r="AH2" s="313" t="s">
        <v>1280</v>
      </c>
      <c r="AI2" s="314" t="s">
        <v>1354</v>
      </c>
    </row>
    <row r="3" spans="1:35" s="315" customFormat="1" ht="23.5" customHeight="1">
      <c r="A3" s="316" t="s">
        <v>952</v>
      </c>
      <c r="B3" s="315" t="s">
        <v>1460</v>
      </c>
      <c r="C3" s="316" t="s">
        <v>1461</v>
      </c>
      <c r="D3" s="316" t="s">
        <v>1265</v>
      </c>
      <c r="E3" s="316" t="s">
        <v>1462</v>
      </c>
      <c r="F3" s="317">
        <v>44044</v>
      </c>
      <c r="G3" s="317">
        <v>44166</v>
      </c>
      <c r="H3" s="316" t="s">
        <v>1346</v>
      </c>
      <c r="I3" s="318"/>
      <c r="J3" s="319" t="s">
        <v>1345</v>
      </c>
      <c r="K3" s="319" t="s">
        <v>1345</v>
      </c>
      <c r="L3" s="319"/>
      <c r="M3" s="319" t="s">
        <v>1302</v>
      </c>
      <c r="N3" s="319" t="s">
        <v>1302</v>
      </c>
      <c r="O3" s="319" t="s">
        <v>1302</v>
      </c>
      <c r="P3" s="319"/>
      <c r="Q3" s="319"/>
      <c r="R3" s="319"/>
      <c r="S3" s="319"/>
      <c r="T3" s="319"/>
      <c r="U3" s="319" t="s">
        <v>1345</v>
      </c>
      <c r="V3" s="319" t="s">
        <v>1345</v>
      </c>
      <c r="W3" s="319" t="s">
        <v>1345</v>
      </c>
      <c r="X3" s="319"/>
      <c r="Y3" s="319"/>
      <c r="Z3" s="319"/>
      <c r="AA3" s="319"/>
      <c r="AB3" s="318">
        <v>8</v>
      </c>
      <c r="AC3" s="320" t="s">
        <v>417</v>
      </c>
      <c r="AD3" s="320" t="s">
        <v>417</v>
      </c>
      <c r="AE3" s="320"/>
      <c r="AF3" s="320"/>
      <c r="AG3" s="320"/>
      <c r="AH3" s="320"/>
      <c r="AI3" s="321"/>
    </row>
    <row r="4" spans="1:35" s="315" customFormat="1" ht="23.5" customHeight="1">
      <c r="A4" s="316" t="s">
        <v>953</v>
      </c>
      <c r="B4" s="315" t="s">
        <v>1463</v>
      </c>
      <c r="C4" s="316" t="s">
        <v>1464</v>
      </c>
      <c r="D4" s="316" t="s">
        <v>1265</v>
      </c>
      <c r="E4" s="316" t="s">
        <v>1462</v>
      </c>
      <c r="F4" s="322">
        <v>43966</v>
      </c>
      <c r="G4" s="322">
        <v>44148</v>
      </c>
      <c r="H4" s="316" t="s">
        <v>1346</v>
      </c>
      <c r="I4" s="318"/>
      <c r="J4" s="319"/>
      <c r="K4" s="319"/>
      <c r="L4" s="319"/>
      <c r="M4" s="319"/>
      <c r="N4" s="319"/>
      <c r="O4" s="319"/>
      <c r="P4" s="319"/>
      <c r="Q4" s="319"/>
      <c r="R4" s="319"/>
      <c r="S4" s="319" t="s">
        <v>1302</v>
      </c>
      <c r="T4" s="319"/>
      <c r="U4" s="319"/>
      <c r="V4" s="319"/>
      <c r="W4" s="319"/>
      <c r="X4" s="319"/>
      <c r="Y4" s="319"/>
      <c r="Z4" s="319"/>
      <c r="AA4" s="319"/>
      <c r="AB4" s="318">
        <v>7</v>
      </c>
      <c r="AC4" s="320"/>
      <c r="AD4" s="320" t="s">
        <v>417</v>
      </c>
      <c r="AE4" s="320"/>
      <c r="AF4" s="320"/>
      <c r="AG4" s="320"/>
      <c r="AH4" s="320"/>
      <c r="AI4" s="321"/>
    </row>
    <row r="5" spans="1:35" s="315" customFormat="1" ht="23.5" customHeight="1">
      <c r="A5" s="316" t="s">
        <v>954</v>
      </c>
      <c r="B5" s="315" t="s">
        <v>1465</v>
      </c>
      <c r="C5" s="316" t="s">
        <v>1466</v>
      </c>
      <c r="D5" s="316" t="s">
        <v>1265</v>
      </c>
      <c r="E5" s="316" t="s">
        <v>1462</v>
      </c>
      <c r="F5" s="322">
        <v>43900</v>
      </c>
      <c r="G5" s="322">
        <v>44104</v>
      </c>
      <c r="H5" s="316" t="s">
        <v>1346</v>
      </c>
      <c r="I5" s="318"/>
      <c r="J5" s="319" t="s">
        <v>1302</v>
      </c>
      <c r="K5" s="319" t="s">
        <v>1302</v>
      </c>
      <c r="L5" s="319"/>
      <c r="M5" s="319"/>
      <c r="N5" s="319"/>
      <c r="O5" s="319"/>
      <c r="P5" s="319"/>
      <c r="Q5" s="319"/>
      <c r="R5" s="319"/>
      <c r="S5" s="319"/>
      <c r="T5" s="319"/>
      <c r="U5" s="319"/>
      <c r="V5" s="319"/>
      <c r="W5" s="319"/>
      <c r="X5" s="319"/>
      <c r="Y5" s="319"/>
      <c r="Z5" s="319"/>
      <c r="AA5" s="319"/>
      <c r="AB5" s="318">
        <v>8</v>
      </c>
      <c r="AC5" s="320"/>
      <c r="AD5" s="320"/>
      <c r="AE5" s="320"/>
      <c r="AF5" s="320"/>
      <c r="AG5" s="320"/>
      <c r="AH5" s="320"/>
      <c r="AI5" s="321"/>
    </row>
    <row r="6" spans="1:35" s="315" customFormat="1" ht="23.5" customHeight="1">
      <c r="A6" s="316" t="s">
        <v>955</v>
      </c>
      <c r="B6" s="315" t="s">
        <v>1467</v>
      </c>
      <c r="C6" s="322" t="s">
        <v>1468</v>
      </c>
      <c r="D6" s="316" t="s">
        <v>1265</v>
      </c>
      <c r="E6" s="316" t="s">
        <v>1469</v>
      </c>
      <c r="F6" s="322">
        <v>44086</v>
      </c>
      <c r="G6" s="322">
        <v>44237</v>
      </c>
      <c r="H6" s="316" t="s">
        <v>1346</v>
      </c>
      <c r="I6" s="318"/>
      <c r="J6" s="319"/>
      <c r="K6" s="319"/>
      <c r="L6" s="319"/>
      <c r="M6" s="319" t="s">
        <v>1345</v>
      </c>
      <c r="N6" s="319" t="s">
        <v>1345</v>
      </c>
      <c r="O6" s="319" t="s">
        <v>1345</v>
      </c>
      <c r="P6" s="319"/>
      <c r="Q6" s="319"/>
      <c r="R6" s="319"/>
      <c r="S6" s="319" t="s">
        <v>1345</v>
      </c>
      <c r="T6" s="319"/>
      <c r="U6" s="319" t="s">
        <v>1302</v>
      </c>
      <c r="V6" s="319" t="s">
        <v>1302</v>
      </c>
      <c r="W6" s="319" t="s">
        <v>1302</v>
      </c>
      <c r="X6" s="319"/>
      <c r="Y6" s="319"/>
      <c r="Z6" s="319"/>
      <c r="AA6" s="319"/>
      <c r="AB6" s="318">
        <v>7</v>
      </c>
      <c r="AC6" s="320" t="s">
        <v>417</v>
      </c>
      <c r="AD6" s="320" t="s">
        <v>417</v>
      </c>
      <c r="AE6" s="320"/>
      <c r="AF6" s="320"/>
      <c r="AG6" s="320"/>
      <c r="AH6" s="320"/>
      <c r="AI6" s="321"/>
    </row>
    <row r="7" spans="1:35" s="315" customFormat="1" ht="23.5" customHeight="1">
      <c r="A7" s="316" t="s">
        <v>956</v>
      </c>
      <c r="B7" s="315" t="s">
        <v>1470</v>
      </c>
      <c r="C7" s="322" t="s">
        <v>1471</v>
      </c>
      <c r="D7" s="316" t="s">
        <v>1265</v>
      </c>
      <c r="E7" s="322" t="s">
        <v>1472</v>
      </c>
      <c r="F7" s="322">
        <v>44150</v>
      </c>
      <c r="G7" s="322">
        <v>44279</v>
      </c>
      <c r="H7" s="316" t="s">
        <v>1346</v>
      </c>
      <c r="I7" s="318"/>
      <c r="J7" s="319"/>
      <c r="K7" s="319"/>
      <c r="L7" s="319"/>
      <c r="M7" s="319"/>
      <c r="N7" s="319"/>
      <c r="O7" s="319"/>
      <c r="P7" s="319"/>
      <c r="Q7" s="319"/>
      <c r="R7" s="319"/>
      <c r="S7" s="319"/>
      <c r="T7" s="319"/>
      <c r="U7" s="319"/>
      <c r="V7" s="319"/>
      <c r="W7" s="319"/>
      <c r="X7" s="319"/>
      <c r="Y7" s="319"/>
      <c r="Z7" s="319"/>
      <c r="AA7" s="319"/>
      <c r="AB7" s="323">
        <v>7</v>
      </c>
      <c r="AC7" s="320"/>
      <c r="AD7" s="320"/>
      <c r="AE7" s="320"/>
      <c r="AF7" s="320"/>
      <c r="AG7" s="320"/>
      <c r="AH7" s="320"/>
      <c r="AI7" s="321"/>
    </row>
    <row r="8" spans="1:35" s="315" customFormat="1" ht="23.5" customHeight="1">
      <c r="A8" s="316" t="s">
        <v>1327</v>
      </c>
      <c r="B8" s="315" t="s">
        <v>1473</v>
      </c>
      <c r="C8" s="322" t="s">
        <v>1474</v>
      </c>
      <c r="D8" s="316" t="s">
        <v>1265</v>
      </c>
      <c r="E8" s="322" t="s">
        <v>1469</v>
      </c>
      <c r="F8" s="322">
        <v>44073</v>
      </c>
      <c r="G8" s="322">
        <v>44293</v>
      </c>
      <c r="H8" s="316" t="s">
        <v>1346</v>
      </c>
      <c r="I8" s="318"/>
      <c r="J8" s="319"/>
      <c r="K8" s="319"/>
      <c r="L8" s="319"/>
      <c r="M8" s="319"/>
      <c r="N8" s="319"/>
      <c r="O8" s="319"/>
      <c r="P8" s="319"/>
      <c r="Q8" s="319"/>
      <c r="R8" s="319"/>
      <c r="S8" s="319"/>
      <c r="T8" s="319"/>
      <c r="U8" s="319"/>
      <c r="V8" s="319"/>
      <c r="W8" s="319"/>
      <c r="X8" s="319"/>
      <c r="Y8" s="319"/>
      <c r="Z8" s="319"/>
      <c r="AA8" s="319"/>
      <c r="AB8" s="323">
        <v>7</v>
      </c>
      <c r="AC8" s="320"/>
      <c r="AD8" s="320"/>
      <c r="AE8" s="320"/>
      <c r="AF8" s="320"/>
      <c r="AG8" s="320"/>
      <c r="AH8" s="320"/>
      <c r="AI8" s="321"/>
    </row>
    <row r="9" spans="1:35" s="315" customFormat="1" ht="26">
      <c r="A9" s="324" t="s">
        <v>958</v>
      </c>
      <c r="B9" s="324" t="s">
        <v>1034</v>
      </c>
      <c r="C9" s="324" t="s">
        <v>1266</v>
      </c>
      <c r="D9" s="324" t="s">
        <v>1267</v>
      </c>
      <c r="E9" s="325"/>
      <c r="F9" s="326"/>
      <c r="G9" s="326"/>
      <c r="H9" s="316" t="s">
        <v>1346</v>
      </c>
      <c r="I9" s="319"/>
      <c r="J9" s="319"/>
      <c r="K9" s="319"/>
      <c r="L9" s="319"/>
      <c r="M9" s="319"/>
      <c r="N9" s="319"/>
      <c r="O9" s="319"/>
      <c r="P9" s="319"/>
      <c r="Q9" s="319"/>
      <c r="R9" s="319"/>
      <c r="S9" s="319"/>
      <c r="T9" s="319"/>
      <c r="U9" s="319"/>
      <c r="V9" s="319"/>
      <c r="W9" s="319"/>
      <c r="X9" s="319"/>
      <c r="Y9" s="319" t="s">
        <v>1302</v>
      </c>
      <c r="Z9" s="319"/>
      <c r="AA9" s="319"/>
      <c r="AB9" s="323">
        <v>1</v>
      </c>
      <c r="AC9" s="320"/>
      <c r="AD9" s="320"/>
      <c r="AE9" s="320" t="s">
        <v>417</v>
      </c>
      <c r="AF9" s="320"/>
      <c r="AG9" s="320"/>
      <c r="AH9" s="320"/>
      <c r="AI9" s="321"/>
    </row>
    <row r="10" spans="1:35" s="315" customFormat="1" ht="65">
      <c r="A10" s="324" t="s">
        <v>959</v>
      </c>
      <c r="B10" s="324" t="s">
        <v>1035</v>
      </c>
      <c r="C10" s="324" t="s">
        <v>1268</v>
      </c>
      <c r="D10" s="324" t="s">
        <v>1267</v>
      </c>
      <c r="E10" s="325"/>
      <c r="F10" s="326"/>
      <c r="G10" s="326"/>
      <c r="H10" s="316" t="s">
        <v>1346</v>
      </c>
      <c r="I10" s="319"/>
      <c r="J10" s="319"/>
      <c r="K10" s="319"/>
      <c r="L10" s="319"/>
      <c r="M10" s="319"/>
      <c r="N10" s="319"/>
      <c r="O10" s="319"/>
      <c r="P10" s="319" t="s">
        <v>1302</v>
      </c>
      <c r="Q10" s="319" t="s">
        <v>1302</v>
      </c>
      <c r="R10" s="319" t="s">
        <v>1302</v>
      </c>
      <c r="S10" s="319"/>
      <c r="T10" s="319"/>
      <c r="U10" s="319"/>
      <c r="V10" s="319"/>
      <c r="W10" s="319"/>
      <c r="X10" s="319" t="s">
        <v>1302</v>
      </c>
      <c r="Y10" s="319"/>
      <c r="Z10" s="319" t="s">
        <v>1302</v>
      </c>
      <c r="AA10" s="319"/>
      <c r="AB10" s="323">
        <v>1</v>
      </c>
      <c r="AC10" s="320"/>
      <c r="AD10" s="320"/>
      <c r="AE10" s="320"/>
      <c r="AF10" s="320" t="s">
        <v>417</v>
      </c>
      <c r="AG10" s="320"/>
      <c r="AH10" s="320"/>
      <c r="AI10" s="321"/>
    </row>
    <row r="11" spans="1:35" s="315" customFormat="1" ht="39">
      <c r="A11" s="324" t="s">
        <v>960</v>
      </c>
      <c r="B11" s="324" t="s">
        <v>1036</v>
      </c>
      <c r="C11" s="324" t="s">
        <v>1269</v>
      </c>
      <c r="D11" s="324" t="s">
        <v>1267</v>
      </c>
      <c r="E11" s="325"/>
      <c r="F11" s="326"/>
      <c r="G11" s="326"/>
      <c r="H11" s="316" t="s">
        <v>1346</v>
      </c>
      <c r="I11" s="319"/>
      <c r="J11" s="319"/>
      <c r="K11" s="319"/>
      <c r="L11" s="319"/>
      <c r="M11" s="319"/>
      <c r="N11" s="319"/>
      <c r="O11" s="319"/>
      <c r="P11" s="319"/>
      <c r="Q11" s="319"/>
      <c r="R11" s="319"/>
      <c r="S11" s="319"/>
      <c r="T11" s="319" t="s">
        <v>1302</v>
      </c>
      <c r="U11" s="319"/>
      <c r="V11" s="319"/>
      <c r="W11" s="319"/>
      <c r="X11" s="319"/>
      <c r="Y11" s="319"/>
      <c r="Z11" s="319"/>
      <c r="AA11" s="319"/>
      <c r="AB11" s="323">
        <v>1</v>
      </c>
      <c r="AC11" s="320"/>
      <c r="AD11" s="320"/>
      <c r="AE11" s="320"/>
      <c r="AF11" s="320"/>
      <c r="AG11" s="320" t="s">
        <v>417</v>
      </c>
      <c r="AH11" s="320"/>
      <c r="AI11" s="321"/>
    </row>
    <row r="12" spans="1:35" s="315" customFormat="1" ht="26">
      <c r="A12" s="324" t="s">
        <v>961</v>
      </c>
      <c r="B12" s="324" t="s">
        <v>1037</v>
      </c>
      <c r="C12" s="324" t="s">
        <v>1270</v>
      </c>
      <c r="D12" s="324" t="s">
        <v>1267</v>
      </c>
      <c r="E12" s="325"/>
      <c r="F12" s="326"/>
      <c r="G12" s="326"/>
      <c r="H12" s="316" t="s">
        <v>1346</v>
      </c>
      <c r="I12" s="319"/>
      <c r="J12" s="319"/>
      <c r="K12" s="319"/>
      <c r="L12" s="319" t="s">
        <v>1302</v>
      </c>
      <c r="M12" s="319"/>
      <c r="N12" s="319"/>
      <c r="O12" s="319"/>
      <c r="P12" s="319"/>
      <c r="Q12" s="319"/>
      <c r="R12" s="319"/>
      <c r="S12" s="319"/>
      <c r="T12" s="319"/>
      <c r="U12" s="319"/>
      <c r="V12" s="319"/>
      <c r="W12" s="319"/>
      <c r="X12" s="319"/>
      <c r="Y12" s="319"/>
      <c r="Z12" s="319"/>
      <c r="AA12" s="319"/>
      <c r="AB12" s="323">
        <v>1</v>
      </c>
      <c r="AC12" s="320"/>
      <c r="AD12" s="320"/>
      <c r="AE12" s="320"/>
      <c r="AF12" s="320"/>
      <c r="AG12" s="320"/>
      <c r="AH12" s="320" t="s">
        <v>417</v>
      </c>
      <c r="AI12" s="321"/>
    </row>
    <row r="13" spans="1:35" s="315" customFormat="1" ht="13">
      <c r="A13" s="324" t="s">
        <v>970</v>
      </c>
      <c r="B13" s="324" t="s">
        <v>1271</v>
      </c>
      <c r="C13" s="324" t="s">
        <v>1272</v>
      </c>
      <c r="D13" s="324" t="s">
        <v>1267</v>
      </c>
      <c r="E13" s="325"/>
      <c r="F13" s="326"/>
      <c r="G13" s="326"/>
      <c r="H13" s="316" t="s">
        <v>1346</v>
      </c>
      <c r="I13" s="319"/>
      <c r="J13" s="319"/>
      <c r="K13" s="319"/>
      <c r="L13" s="319"/>
      <c r="M13" s="319"/>
      <c r="N13" s="319"/>
      <c r="O13" s="319"/>
      <c r="P13" s="319"/>
      <c r="Q13" s="319"/>
      <c r="R13" s="319"/>
      <c r="S13" s="319"/>
      <c r="T13" s="319"/>
      <c r="U13" s="319"/>
      <c r="V13" s="319"/>
      <c r="W13" s="319"/>
      <c r="X13" s="319"/>
      <c r="Y13" s="319"/>
      <c r="Z13" s="319"/>
      <c r="AA13" s="319"/>
      <c r="AB13" s="323">
        <v>1</v>
      </c>
      <c r="AC13" s="320"/>
      <c r="AD13" s="320"/>
      <c r="AE13" s="320"/>
      <c r="AF13" s="320"/>
      <c r="AG13" s="320"/>
      <c r="AH13" s="320"/>
      <c r="AI13" s="321"/>
    </row>
  </sheetData>
  <sortState xmlns:xlrd2="http://schemas.microsoft.com/office/spreadsheetml/2017/richdata2" ref="A3:AA7">
    <sortCondition ref="A3:A7"/>
  </sortState>
  <mergeCells count="1">
    <mergeCell ref="AC1:AI1"/>
  </mergeCells>
  <conditionalFormatting sqref="J3:AA15">
    <cfRule type="cellIs" dxfId="127" priority="5" operator="equal">
      <formula>"s"</formula>
    </cfRule>
    <cfRule type="cellIs" dxfId="126" priority="6" operator="equal">
      <formula>"a"</formula>
    </cfRule>
  </conditionalFormatting>
  <conditionalFormatting sqref="AC3:AH13">
    <cfRule type="cellIs" dxfId="125" priority="1" operator="equal">
      <formula>"x"</formula>
    </cfRule>
  </conditionalFormatting>
  <pageMargins left="0.7" right="0.7" top="0.75" bottom="0.75" header="0.3" footer="0.3"/>
  <pageSetup paperSize="9" scale="36"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35"/>
  <sheetViews>
    <sheetView workbookViewId="0">
      <selection sqref="A1:XFD1048576"/>
    </sheetView>
  </sheetViews>
  <sheetFormatPr defaultColWidth="10.81640625" defaultRowHeight="15.5"/>
  <cols>
    <col min="1" max="1" width="11.453125" style="67" customWidth="1"/>
    <col min="2" max="2" width="22.08984375" style="67" customWidth="1"/>
    <col min="3" max="3" width="21.54296875" style="67" customWidth="1"/>
    <col min="4" max="4" width="32.36328125" style="67" customWidth="1"/>
    <col min="5" max="5" width="29.7265625" style="67" customWidth="1"/>
    <col min="6" max="25" width="7.90625" style="68" customWidth="1"/>
    <col min="26" max="16384" width="10.81640625" style="67"/>
  </cols>
  <sheetData>
    <row r="1" spans="1:25" s="55" customFormat="1" ht="18.5">
      <c r="A1" s="122" t="s">
        <v>1105</v>
      </c>
      <c r="B1" s="53"/>
      <c r="C1" s="123"/>
      <c r="D1" s="124"/>
      <c r="E1" s="124"/>
      <c r="F1" s="308">
        <f t="shared" ref="F1:Y1" si="0">COUNTA(F3:F1048576)</f>
        <v>8</v>
      </c>
      <c r="G1" s="308">
        <f t="shared" si="0"/>
        <v>1</v>
      </c>
      <c r="H1" s="308">
        <f t="shared" si="0"/>
        <v>13</v>
      </c>
      <c r="I1" s="308">
        <f t="shared" si="0"/>
        <v>6</v>
      </c>
      <c r="J1" s="308">
        <f t="shared" si="0"/>
        <v>0</v>
      </c>
      <c r="K1" s="308">
        <f t="shared" si="0"/>
        <v>0</v>
      </c>
      <c r="L1" s="308">
        <f t="shared" si="0"/>
        <v>2</v>
      </c>
      <c r="M1" s="308">
        <f t="shared" si="0"/>
        <v>6</v>
      </c>
      <c r="N1" s="308">
        <f t="shared" si="0"/>
        <v>1</v>
      </c>
      <c r="O1" s="308">
        <f t="shared" si="0"/>
        <v>28</v>
      </c>
      <c r="P1" s="308">
        <f t="shared" si="0"/>
        <v>6</v>
      </c>
      <c r="Q1" s="308">
        <f t="shared" si="0"/>
        <v>2</v>
      </c>
      <c r="R1" s="308">
        <f t="shared" si="0"/>
        <v>2</v>
      </c>
      <c r="S1" s="308">
        <f t="shared" si="0"/>
        <v>1</v>
      </c>
      <c r="T1" s="308">
        <f t="shared" si="0"/>
        <v>6</v>
      </c>
      <c r="U1" s="308">
        <f t="shared" si="0"/>
        <v>6</v>
      </c>
      <c r="V1" s="308">
        <f t="shared" si="0"/>
        <v>6</v>
      </c>
      <c r="W1" s="308">
        <f t="shared" si="0"/>
        <v>11</v>
      </c>
      <c r="X1" s="308">
        <f t="shared" si="0"/>
        <v>12</v>
      </c>
      <c r="Y1" s="308">
        <f t="shared" si="0"/>
        <v>0</v>
      </c>
    </row>
    <row r="2" spans="1:25" s="65" customFormat="1">
      <c r="A2" s="352" t="s">
        <v>935</v>
      </c>
      <c r="B2" s="352" t="s">
        <v>962</v>
      </c>
      <c r="C2" s="352" t="s">
        <v>19</v>
      </c>
      <c r="D2" s="352" t="s">
        <v>963</v>
      </c>
      <c r="E2" s="352" t="s">
        <v>964</v>
      </c>
      <c r="F2" s="353" t="s">
        <v>949</v>
      </c>
      <c r="G2" s="353" t="s">
        <v>803</v>
      </c>
      <c r="H2" s="353" t="s">
        <v>950</v>
      </c>
      <c r="I2" s="353" t="s">
        <v>946</v>
      </c>
      <c r="J2" s="353" t="s">
        <v>965</v>
      </c>
      <c r="K2" s="353" t="s">
        <v>966</v>
      </c>
      <c r="L2" s="353" t="s">
        <v>942</v>
      </c>
      <c r="M2" s="353" t="s">
        <v>947</v>
      </c>
      <c r="N2" s="353" t="s">
        <v>805</v>
      </c>
      <c r="O2" s="353" t="s">
        <v>939</v>
      </c>
      <c r="P2" s="353" t="s">
        <v>948</v>
      </c>
      <c r="Q2" s="353" t="s">
        <v>943</v>
      </c>
      <c r="R2" s="353" t="s">
        <v>944</v>
      </c>
      <c r="S2" s="353" t="s">
        <v>889</v>
      </c>
      <c r="T2" s="353" t="s">
        <v>937</v>
      </c>
      <c r="U2" s="353" t="s">
        <v>940</v>
      </c>
      <c r="V2" s="353" t="s">
        <v>945</v>
      </c>
      <c r="W2" s="353" t="s">
        <v>938</v>
      </c>
      <c r="X2" s="353" t="s">
        <v>941</v>
      </c>
      <c r="Y2" s="353" t="s">
        <v>951</v>
      </c>
    </row>
    <row r="3" spans="1:25">
      <c r="A3" s="354" t="s">
        <v>952</v>
      </c>
      <c r="B3" s="354" t="s">
        <v>1460</v>
      </c>
      <c r="C3" s="354" t="s">
        <v>1475</v>
      </c>
      <c r="D3" s="354" t="s">
        <v>1277</v>
      </c>
      <c r="E3" s="354" t="s">
        <v>1260</v>
      </c>
      <c r="F3" s="355"/>
      <c r="G3" s="355"/>
      <c r="H3" s="355"/>
      <c r="I3" s="355"/>
      <c r="J3" s="355"/>
      <c r="K3" s="355"/>
      <c r="L3" s="355"/>
      <c r="M3" s="355"/>
      <c r="N3" s="355"/>
      <c r="O3" s="355" t="s">
        <v>417</v>
      </c>
      <c r="P3" s="355"/>
      <c r="Q3" s="355"/>
      <c r="R3" s="355"/>
      <c r="S3" s="355"/>
      <c r="T3" s="355" t="s">
        <v>417</v>
      </c>
      <c r="U3" s="355" t="s">
        <v>417</v>
      </c>
      <c r="V3" s="355"/>
      <c r="W3" s="355" t="s">
        <v>417</v>
      </c>
      <c r="X3" s="355" t="s">
        <v>417</v>
      </c>
      <c r="Y3" s="355"/>
    </row>
    <row r="4" spans="1:25">
      <c r="A4" s="354" t="s">
        <v>952</v>
      </c>
      <c r="B4" s="354" t="s">
        <v>1460</v>
      </c>
      <c r="C4" s="354" t="s">
        <v>1476</v>
      </c>
      <c r="D4" s="354" t="s">
        <v>1276</v>
      </c>
      <c r="E4" s="354" t="s">
        <v>1260</v>
      </c>
      <c r="F4" s="355" t="s">
        <v>417</v>
      </c>
      <c r="G4" s="355"/>
      <c r="H4" s="355" t="s">
        <v>417</v>
      </c>
      <c r="I4" s="355" t="s">
        <v>417</v>
      </c>
      <c r="J4" s="355"/>
      <c r="K4" s="355"/>
      <c r="L4" s="355"/>
      <c r="M4" s="355" t="s">
        <v>417</v>
      </c>
      <c r="N4" s="355"/>
      <c r="O4" s="355" t="s">
        <v>417</v>
      </c>
      <c r="P4" s="355" t="s">
        <v>417</v>
      </c>
      <c r="Q4" s="355"/>
      <c r="R4" s="355"/>
      <c r="S4" s="355"/>
      <c r="T4" s="355"/>
      <c r="U4" s="355"/>
      <c r="V4" s="355" t="s">
        <v>417</v>
      </c>
      <c r="W4" s="355"/>
      <c r="X4" s="355"/>
      <c r="Y4" s="355"/>
    </row>
    <row r="5" spans="1:25">
      <c r="A5" s="354" t="s">
        <v>952</v>
      </c>
      <c r="B5" s="354" t="s">
        <v>1460</v>
      </c>
      <c r="C5" s="354" t="s">
        <v>1477</v>
      </c>
      <c r="D5" s="354" t="s">
        <v>1278</v>
      </c>
      <c r="E5" s="354" t="s">
        <v>1260</v>
      </c>
      <c r="F5" s="355"/>
      <c r="G5" s="355"/>
      <c r="H5" s="355"/>
      <c r="I5" s="355"/>
      <c r="J5" s="355"/>
      <c r="K5" s="355"/>
      <c r="L5" s="355"/>
      <c r="M5" s="355"/>
      <c r="N5" s="355"/>
      <c r="O5" s="355" t="s">
        <v>417</v>
      </c>
      <c r="P5" s="355"/>
      <c r="Q5" s="355"/>
      <c r="R5" s="355"/>
      <c r="S5" s="355"/>
      <c r="T5" s="355"/>
      <c r="U5" s="355"/>
      <c r="V5" s="355"/>
      <c r="W5" s="355"/>
      <c r="X5" s="355" t="s">
        <v>417</v>
      </c>
      <c r="Y5" s="355"/>
    </row>
    <row r="6" spans="1:25">
      <c r="A6" s="354" t="s">
        <v>953</v>
      </c>
      <c r="B6" s="354" t="s">
        <v>1463</v>
      </c>
      <c r="C6" s="354" t="s">
        <v>1478</v>
      </c>
      <c r="D6" s="354" t="s">
        <v>967</v>
      </c>
      <c r="E6" s="354" t="s">
        <v>1260</v>
      </c>
      <c r="F6" s="355"/>
      <c r="G6" s="355"/>
      <c r="H6" s="355" t="s">
        <v>417</v>
      </c>
      <c r="I6" s="355"/>
      <c r="J6" s="355"/>
      <c r="K6" s="355"/>
      <c r="L6" s="355"/>
      <c r="M6" s="355"/>
      <c r="N6" s="355"/>
      <c r="O6" s="355" t="s">
        <v>417</v>
      </c>
      <c r="P6" s="355"/>
      <c r="Q6" s="355"/>
      <c r="R6" s="355"/>
      <c r="S6" s="355"/>
      <c r="T6" s="355"/>
      <c r="U6" s="355" t="s">
        <v>417</v>
      </c>
      <c r="V6" s="355"/>
      <c r="W6" s="355"/>
      <c r="X6" s="355"/>
      <c r="Y6" s="355"/>
    </row>
    <row r="7" spans="1:25">
      <c r="A7" s="354" t="s">
        <v>953</v>
      </c>
      <c r="B7" s="354" t="s">
        <v>1463</v>
      </c>
      <c r="C7" s="354" t="s">
        <v>1479</v>
      </c>
      <c r="D7" s="354" t="s">
        <v>969</v>
      </c>
      <c r="E7" s="354" t="s">
        <v>1260</v>
      </c>
      <c r="F7" s="355"/>
      <c r="G7" s="355"/>
      <c r="H7" s="355"/>
      <c r="I7" s="355"/>
      <c r="J7" s="355"/>
      <c r="K7" s="355"/>
      <c r="L7" s="355"/>
      <c r="M7" s="355"/>
      <c r="N7" s="355"/>
      <c r="O7" s="355" t="s">
        <v>417</v>
      </c>
      <c r="P7" s="355"/>
      <c r="Q7" s="355"/>
      <c r="R7" s="355"/>
      <c r="S7" s="355"/>
      <c r="T7" s="355"/>
      <c r="U7" s="355"/>
      <c r="V7" s="355"/>
      <c r="W7" s="355" t="s">
        <v>417</v>
      </c>
      <c r="X7" s="355"/>
      <c r="Y7" s="355"/>
    </row>
    <row r="8" spans="1:25">
      <c r="A8" s="354" t="s">
        <v>953</v>
      </c>
      <c r="B8" s="354" t="s">
        <v>1463</v>
      </c>
      <c r="C8" s="354" t="s">
        <v>1480</v>
      </c>
      <c r="D8" s="354" t="s">
        <v>1277</v>
      </c>
      <c r="E8" s="354" t="s">
        <v>1260</v>
      </c>
      <c r="F8" s="355"/>
      <c r="G8" s="355"/>
      <c r="H8" s="355"/>
      <c r="I8" s="355"/>
      <c r="J8" s="355"/>
      <c r="K8" s="355"/>
      <c r="L8" s="355"/>
      <c r="M8" s="355"/>
      <c r="N8" s="355"/>
      <c r="O8" s="355" t="s">
        <v>417</v>
      </c>
      <c r="P8" s="355"/>
      <c r="Q8" s="355"/>
      <c r="R8" s="355"/>
      <c r="S8" s="355"/>
      <c r="T8" s="355" t="s">
        <v>417</v>
      </c>
      <c r="U8" s="355"/>
      <c r="V8" s="355"/>
      <c r="W8" s="355" t="s">
        <v>417</v>
      </c>
      <c r="X8" s="355" t="s">
        <v>417</v>
      </c>
      <c r="Y8" s="355"/>
    </row>
    <row r="9" spans="1:25">
      <c r="A9" s="354" t="s">
        <v>953</v>
      </c>
      <c r="B9" s="354" t="s">
        <v>1463</v>
      </c>
      <c r="C9" s="354" t="s">
        <v>1481</v>
      </c>
      <c r="D9" s="354" t="s">
        <v>1276</v>
      </c>
      <c r="E9" s="354" t="s">
        <v>1260</v>
      </c>
      <c r="F9" s="355" t="s">
        <v>417</v>
      </c>
      <c r="G9" s="355"/>
      <c r="H9" s="355" t="s">
        <v>417</v>
      </c>
      <c r="I9" s="355" t="s">
        <v>417</v>
      </c>
      <c r="J9" s="355"/>
      <c r="K9" s="355"/>
      <c r="L9" s="355"/>
      <c r="M9" s="355" t="s">
        <v>417</v>
      </c>
      <c r="N9" s="355"/>
      <c r="O9" s="355" t="s">
        <v>417</v>
      </c>
      <c r="P9" s="355" t="s">
        <v>417</v>
      </c>
      <c r="Q9" s="355"/>
      <c r="R9" s="355"/>
      <c r="S9" s="355"/>
      <c r="T9" s="355"/>
      <c r="U9" s="355"/>
      <c r="V9" s="355" t="s">
        <v>417</v>
      </c>
      <c r="W9" s="355"/>
      <c r="X9" s="355"/>
      <c r="Y9" s="355"/>
    </row>
    <row r="10" spans="1:25">
      <c r="A10" s="354" t="s">
        <v>953</v>
      </c>
      <c r="B10" s="354" t="s">
        <v>1463</v>
      </c>
      <c r="C10" s="354" t="s">
        <v>1482</v>
      </c>
      <c r="D10" s="354" t="s">
        <v>1278</v>
      </c>
      <c r="E10" s="354" t="s">
        <v>1260</v>
      </c>
      <c r="F10" s="355"/>
      <c r="G10" s="355"/>
      <c r="H10" s="355"/>
      <c r="I10" s="355"/>
      <c r="J10" s="355"/>
      <c r="K10" s="355"/>
      <c r="L10" s="355"/>
      <c r="M10" s="355"/>
      <c r="N10" s="355"/>
      <c r="O10" s="355" t="s">
        <v>417</v>
      </c>
      <c r="P10" s="355"/>
      <c r="Q10" s="355"/>
      <c r="R10" s="355"/>
      <c r="S10" s="355"/>
      <c r="T10" s="355"/>
      <c r="U10" s="355"/>
      <c r="V10" s="355"/>
      <c r="W10" s="355"/>
      <c r="X10" s="355" t="s">
        <v>417</v>
      </c>
      <c r="Y10" s="355"/>
    </row>
    <row r="11" spans="1:25">
      <c r="A11" s="354" t="s">
        <v>954</v>
      </c>
      <c r="B11" s="354" t="s">
        <v>1465</v>
      </c>
      <c r="C11" s="354" t="s">
        <v>1483</v>
      </c>
      <c r="D11" s="354" t="s">
        <v>967</v>
      </c>
      <c r="E11" s="354" t="s">
        <v>1260</v>
      </c>
      <c r="F11" s="355"/>
      <c r="G11" s="355"/>
      <c r="H11" s="355" t="s">
        <v>417</v>
      </c>
      <c r="I11" s="355"/>
      <c r="J11" s="355"/>
      <c r="K11" s="355"/>
      <c r="L11" s="355"/>
      <c r="M11" s="355"/>
      <c r="N11" s="355"/>
      <c r="O11" s="355" t="s">
        <v>417</v>
      </c>
      <c r="P11" s="355"/>
      <c r="Q11" s="355"/>
      <c r="R11" s="355"/>
      <c r="S11" s="355"/>
      <c r="T11" s="355"/>
      <c r="U11" s="355" t="s">
        <v>417</v>
      </c>
      <c r="V11" s="355"/>
      <c r="W11" s="355"/>
      <c r="X11" s="355"/>
      <c r="Y11" s="355"/>
    </row>
    <row r="12" spans="1:25">
      <c r="A12" s="354" t="s">
        <v>954</v>
      </c>
      <c r="B12" s="354" t="s">
        <v>1465</v>
      </c>
      <c r="C12" s="354" t="s">
        <v>1484</v>
      </c>
      <c r="D12" s="354" t="s">
        <v>969</v>
      </c>
      <c r="E12" s="354" t="s">
        <v>1260</v>
      </c>
      <c r="F12" s="355"/>
      <c r="G12" s="355"/>
      <c r="H12" s="355"/>
      <c r="I12" s="355"/>
      <c r="J12" s="355"/>
      <c r="K12" s="355"/>
      <c r="L12" s="355"/>
      <c r="M12" s="355"/>
      <c r="N12" s="355"/>
      <c r="O12" s="355" t="s">
        <v>417</v>
      </c>
      <c r="P12" s="355"/>
      <c r="Q12" s="355"/>
      <c r="R12" s="355"/>
      <c r="S12" s="355"/>
      <c r="T12" s="355"/>
      <c r="U12" s="355"/>
      <c r="V12" s="355"/>
      <c r="W12" s="355" t="s">
        <v>417</v>
      </c>
      <c r="X12" s="355"/>
      <c r="Y12" s="355"/>
    </row>
    <row r="13" spans="1:25">
      <c r="A13" s="354" t="s">
        <v>954</v>
      </c>
      <c r="B13" s="354" t="s">
        <v>1465</v>
      </c>
      <c r="C13" s="354" t="s">
        <v>1485</v>
      </c>
      <c r="D13" s="354" t="s">
        <v>1277</v>
      </c>
      <c r="E13" s="354" t="s">
        <v>1260</v>
      </c>
      <c r="F13" s="355"/>
      <c r="G13" s="355"/>
      <c r="H13" s="355"/>
      <c r="I13" s="355"/>
      <c r="J13" s="355"/>
      <c r="K13" s="355"/>
      <c r="L13" s="355"/>
      <c r="M13" s="355"/>
      <c r="N13" s="355"/>
      <c r="O13" s="355" t="s">
        <v>417</v>
      </c>
      <c r="P13" s="355"/>
      <c r="Q13" s="355"/>
      <c r="R13" s="355"/>
      <c r="S13" s="355"/>
      <c r="T13" s="355" t="s">
        <v>417</v>
      </c>
      <c r="U13" s="355"/>
      <c r="V13" s="355"/>
      <c r="W13" s="355" t="s">
        <v>417</v>
      </c>
      <c r="X13" s="355" t="s">
        <v>417</v>
      </c>
      <c r="Y13" s="355"/>
    </row>
    <row r="14" spans="1:25">
      <c r="A14" s="354" t="s">
        <v>954</v>
      </c>
      <c r="B14" s="354" t="s">
        <v>1465</v>
      </c>
      <c r="C14" s="354" t="s">
        <v>1486</v>
      </c>
      <c r="D14" s="354" t="s">
        <v>1276</v>
      </c>
      <c r="E14" s="354" t="s">
        <v>1260</v>
      </c>
      <c r="F14" s="355" t="s">
        <v>417</v>
      </c>
      <c r="G14" s="355"/>
      <c r="H14" s="355" t="s">
        <v>417</v>
      </c>
      <c r="I14" s="355" t="s">
        <v>417</v>
      </c>
      <c r="J14" s="355"/>
      <c r="K14" s="355"/>
      <c r="L14" s="355"/>
      <c r="M14" s="355" t="s">
        <v>417</v>
      </c>
      <c r="N14" s="355"/>
      <c r="O14" s="355" t="s">
        <v>417</v>
      </c>
      <c r="P14" s="355" t="s">
        <v>417</v>
      </c>
      <c r="Q14" s="355"/>
      <c r="R14" s="355"/>
      <c r="S14" s="355"/>
      <c r="T14" s="355"/>
      <c r="U14" s="355"/>
      <c r="V14" s="355" t="s">
        <v>417</v>
      </c>
      <c r="W14" s="355"/>
      <c r="X14" s="355"/>
      <c r="Y14" s="355"/>
    </row>
    <row r="15" spans="1:25">
      <c r="A15" s="354" t="s">
        <v>954</v>
      </c>
      <c r="B15" s="354" t="s">
        <v>1465</v>
      </c>
      <c r="C15" s="354" t="s">
        <v>1487</v>
      </c>
      <c r="D15" s="354" t="s">
        <v>1278</v>
      </c>
      <c r="E15" s="354" t="s">
        <v>1260</v>
      </c>
      <c r="F15" s="355"/>
      <c r="G15" s="355"/>
      <c r="H15" s="355"/>
      <c r="I15" s="355"/>
      <c r="J15" s="355"/>
      <c r="K15" s="355"/>
      <c r="L15" s="355"/>
      <c r="M15" s="355"/>
      <c r="N15" s="355"/>
      <c r="O15" s="355" t="s">
        <v>417</v>
      </c>
      <c r="P15" s="355"/>
      <c r="Q15" s="355"/>
      <c r="R15" s="355"/>
      <c r="S15" s="355"/>
      <c r="T15" s="355"/>
      <c r="U15" s="355"/>
      <c r="V15" s="355"/>
      <c r="W15" s="355"/>
      <c r="X15" s="355" t="s">
        <v>417</v>
      </c>
      <c r="Y15" s="355"/>
    </row>
    <row r="16" spans="1:25">
      <c r="A16" s="354" t="s">
        <v>955</v>
      </c>
      <c r="B16" s="354" t="s">
        <v>1467</v>
      </c>
      <c r="C16" s="354" t="s">
        <v>1488</v>
      </c>
      <c r="D16" s="354" t="s">
        <v>967</v>
      </c>
      <c r="E16" s="354" t="s">
        <v>1260</v>
      </c>
      <c r="F16" s="355"/>
      <c r="G16" s="355"/>
      <c r="H16" s="355" t="s">
        <v>417</v>
      </c>
      <c r="I16" s="355"/>
      <c r="J16" s="355"/>
      <c r="K16" s="355"/>
      <c r="L16" s="355"/>
      <c r="M16" s="355"/>
      <c r="N16" s="355"/>
      <c r="O16" s="355" t="s">
        <v>417</v>
      </c>
      <c r="P16" s="355"/>
      <c r="Q16" s="355"/>
      <c r="R16" s="355"/>
      <c r="S16" s="355"/>
      <c r="T16" s="355"/>
      <c r="U16" s="355" t="s">
        <v>417</v>
      </c>
      <c r="V16" s="355"/>
      <c r="W16" s="355"/>
      <c r="X16" s="355"/>
      <c r="Y16" s="355"/>
    </row>
    <row r="17" spans="1:25">
      <c r="A17" s="354" t="s">
        <v>955</v>
      </c>
      <c r="B17" s="354" t="s">
        <v>1467</v>
      </c>
      <c r="C17" s="354" t="s">
        <v>1489</v>
      </c>
      <c r="D17" s="354" t="s">
        <v>969</v>
      </c>
      <c r="E17" s="354" t="s">
        <v>1260</v>
      </c>
      <c r="F17" s="355"/>
      <c r="G17" s="355"/>
      <c r="H17" s="355"/>
      <c r="I17" s="355"/>
      <c r="J17" s="355"/>
      <c r="K17" s="355"/>
      <c r="L17" s="355"/>
      <c r="M17" s="355"/>
      <c r="N17" s="355"/>
      <c r="O17" s="355" t="s">
        <v>417</v>
      </c>
      <c r="P17" s="355"/>
      <c r="Q17" s="355"/>
      <c r="R17" s="355"/>
      <c r="S17" s="355"/>
      <c r="T17" s="355"/>
      <c r="U17" s="355"/>
      <c r="V17" s="355"/>
      <c r="W17" s="355" t="s">
        <v>417</v>
      </c>
      <c r="X17" s="355"/>
      <c r="Y17" s="355"/>
    </row>
    <row r="18" spans="1:25">
      <c r="A18" s="354" t="s">
        <v>955</v>
      </c>
      <c r="B18" s="354" t="s">
        <v>1467</v>
      </c>
      <c r="C18" s="354" t="s">
        <v>1490</v>
      </c>
      <c r="D18" s="354" t="s">
        <v>1277</v>
      </c>
      <c r="E18" s="354" t="s">
        <v>1260</v>
      </c>
      <c r="F18" s="355"/>
      <c r="G18" s="355"/>
      <c r="H18" s="355"/>
      <c r="I18" s="355"/>
      <c r="J18" s="355"/>
      <c r="K18" s="355"/>
      <c r="L18" s="355"/>
      <c r="M18" s="355"/>
      <c r="N18" s="355"/>
      <c r="O18" s="355" t="s">
        <v>417</v>
      </c>
      <c r="P18" s="355"/>
      <c r="Q18" s="355"/>
      <c r="R18" s="355"/>
      <c r="S18" s="355"/>
      <c r="T18" s="355" t="s">
        <v>417</v>
      </c>
      <c r="U18" s="355"/>
      <c r="V18" s="355"/>
      <c r="W18" s="355" t="s">
        <v>417</v>
      </c>
      <c r="X18" s="355" t="s">
        <v>417</v>
      </c>
      <c r="Y18" s="355"/>
    </row>
    <row r="19" spans="1:25">
      <c r="A19" s="354" t="s">
        <v>955</v>
      </c>
      <c r="B19" s="354" t="s">
        <v>1467</v>
      </c>
      <c r="C19" s="354" t="s">
        <v>1491</v>
      </c>
      <c r="D19" s="354" t="s">
        <v>1276</v>
      </c>
      <c r="E19" s="354" t="s">
        <v>1260</v>
      </c>
      <c r="F19" s="355" t="s">
        <v>417</v>
      </c>
      <c r="G19" s="355"/>
      <c r="H19" s="355" t="s">
        <v>417</v>
      </c>
      <c r="I19" s="355" t="s">
        <v>417</v>
      </c>
      <c r="J19" s="355"/>
      <c r="K19" s="355"/>
      <c r="L19" s="355"/>
      <c r="M19" s="355" t="s">
        <v>417</v>
      </c>
      <c r="N19" s="355"/>
      <c r="O19" s="355" t="s">
        <v>417</v>
      </c>
      <c r="P19" s="355" t="s">
        <v>417</v>
      </c>
      <c r="Q19" s="355"/>
      <c r="R19" s="355"/>
      <c r="S19" s="355"/>
      <c r="T19" s="355"/>
      <c r="U19" s="355"/>
      <c r="V19" s="355" t="s">
        <v>417</v>
      </c>
      <c r="W19" s="355"/>
      <c r="X19" s="355"/>
      <c r="Y19" s="355"/>
    </row>
    <row r="20" spans="1:25">
      <c r="A20" s="354" t="s">
        <v>955</v>
      </c>
      <c r="B20" s="354" t="s">
        <v>1467</v>
      </c>
      <c r="C20" s="354" t="s">
        <v>1492</v>
      </c>
      <c r="D20" s="354" t="s">
        <v>1278</v>
      </c>
      <c r="E20" s="354" t="s">
        <v>1260</v>
      </c>
      <c r="F20" s="355"/>
      <c r="G20" s="355"/>
      <c r="H20" s="355"/>
      <c r="I20" s="355"/>
      <c r="J20" s="355"/>
      <c r="K20" s="355"/>
      <c r="L20" s="355"/>
      <c r="M20" s="355"/>
      <c r="N20" s="355"/>
      <c r="O20" s="355" t="s">
        <v>417</v>
      </c>
      <c r="P20" s="355"/>
      <c r="Q20" s="355"/>
      <c r="R20" s="355"/>
      <c r="S20" s="355"/>
      <c r="T20" s="355"/>
      <c r="U20" s="355"/>
      <c r="V20" s="355"/>
      <c r="W20" s="355"/>
      <c r="X20" s="355" t="s">
        <v>417</v>
      </c>
      <c r="Y20" s="355"/>
    </row>
    <row r="21" spans="1:25">
      <c r="A21" s="354" t="s">
        <v>956</v>
      </c>
      <c r="B21" s="354" t="s">
        <v>1470</v>
      </c>
      <c r="C21" s="354" t="s">
        <v>1493</v>
      </c>
      <c r="D21" s="354" t="s">
        <v>967</v>
      </c>
      <c r="E21" s="354" t="s">
        <v>1260</v>
      </c>
      <c r="F21" s="355"/>
      <c r="G21" s="355"/>
      <c r="H21" s="355" t="s">
        <v>417</v>
      </c>
      <c r="I21" s="355"/>
      <c r="J21" s="355"/>
      <c r="K21" s="355"/>
      <c r="L21" s="355"/>
      <c r="M21" s="355"/>
      <c r="N21" s="355"/>
      <c r="O21" s="355" t="s">
        <v>417</v>
      </c>
      <c r="P21" s="355"/>
      <c r="Q21" s="355"/>
      <c r="R21" s="355"/>
      <c r="S21" s="355"/>
      <c r="T21" s="355"/>
      <c r="U21" s="355" t="s">
        <v>417</v>
      </c>
      <c r="V21" s="355"/>
      <c r="W21" s="355"/>
      <c r="X21" s="355"/>
      <c r="Y21" s="355"/>
    </row>
    <row r="22" spans="1:25">
      <c r="A22" s="354" t="s">
        <v>956</v>
      </c>
      <c r="B22" s="354" t="s">
        <v>1470</v>
      </c>
      <c r="C22" s="354" t="s">
        <v>1494</v>
      </c>
      <c r="D22" s="354" t="s">
        <v>969</v>
      </c>
      <c r="E22" s="354" t="s">
        <v>1260</v>
      </c>
      <c r="F22" s="355"/>
      <c r="G22" s="355"/>
      <c r="H22" s="355"/>
      <c r="I22" s="355"/>
      <c r="J22" s="355"/>
      <c r="K22" s="355"/>
      <c r="L22" s="355"/>
      <c r="M22" s="355"/>
      <c r="N22" s="355"/>
      <c r="O22" s="355" t="s">
        <v>417</v>
      </c>
      <c r="P22" s="355"/>
      <c r="Q22" s="355"/>
      <c r="R22" s="355"/>
      <c r="S22" s="355"/>
      <c r="T22" s="355"/>
      <c r="U22" s="355"/>
      <c r="V22" s="355"/>
      <c r="W22" s="355" t="s">
        <v>417</v>
      </c>
      <c r="X22" s="355"/>
      <c r="Y22" s="355"/>
    </row>
    <row r="23" spans="1:25">
      <c r="A23" s="354" t="s">
        <v>956</v>
      </c>
      <c r="B23" s="354" t="s">
        <v>1470</v>
      </c>
      <c r="C23" s="354" t="s">
        <v>1495</v>
      </c>
      <c r="D23" s="354" t="s">
        <v>1277</v>
      </c>
      <c r="E23" s="354" t="s">
        <v>1260</v>
      </c>
      <c r="F23" s="355"/>
      <c r="G23" s="355"/>
      <c r="H23" s="355"/>
      <c r="I23" s="355"/>
      <c r="J23" s="355"/>
      <c r="K23" s="355"/>
      <c r="L23" s="355"/>
      <c r="M23" s="355"/>
      <c r="N23" s="355"/>
      <c r="O23" s="355" t="s">
        <v>417</v>
      </c>
      <c r="P23" s="355"/>
      <c r="Q23" s="355"/>
      <c r="R23" s="355"/>
      <c r="S23" s="355"/>
      <c r="T23" s="355" t="s">
        <v>417</v>
      </c>
      <c r="U23" s="355"/>
      <c r="V23" s="355"/>
      <c r="W23" s="355" t="s">
        <v>417</v>
      </c>
      <c r="X23" s="355" t="s">
        <v>417</v>
      </c>
      <c r="Y23" s="355"/>
    </row>
    <row r="24" spans="1:25">
      <c r="A24" s="354" t="s">
        <v>956</v>
      </c>
      <c r="B24" s="354" t="s">
        <v>1470</v>
      </c>
      <c r="C24" s="354" t="s">
        <v>1496</v>
      </c>
      <c r="D24" s="354" t="s">
        <v>1276</v>
      </c>
      <c r="E24" s="354" t="s">
        <v>1260</v>
      </c>
      <c r="F24" s="355" t="s">
        <v>417</v>
      </c>
      <c r="G24" s="355"/>
      <c r="H24" s="355" t="s">
        <v>417</v>
      </c>
      <c r="I24" s="355" t="s">
        <v>417</v>
      </c>
      <c r="J24" s="355"/>
      <c r="K24" s="355"/>
      <c r="L24" s="355"/>
      <c r="M24" s="355" t="s">
        <v>417</v>
      </c>
      <c r="N24" s="355"/>
      <c r="O24" s="355" t="s">
        <v>417</v>
      </c>
      <c r="P24" s="355" t="s">
        <v>417</v>
      </c>
      <c r="Q24" s="355"/>
      <c r="R24" s="355"/>
      <c r="S24" s="355"/>
      <c r="T24" s="355"/>
      <c r="U24" s="355"/>
      <c r="V24" s="355" t="s">
        <v>417</v>
      </c>
      <c r="W24" s="355"/>
      <c r="X24" s="355"/>
      <c r="Y24" s="355"/>
    </row>
    <row r="25" spans="1:25">
      <c r="A25" s="354" t="s">
        <v>956</v>
      </c>
      <c r="B25" s="354" t="s">
        <v>1470</v>
      </c>
      <c r="C25" s="354" t="s">
        <v>1497</v>
      </c>
      <c r="D25" s="354" t="s">
        <v>1278</v>
      </c>
      <c r="E25" s="354" t="s">
        <v>1260</v>
      </c>
      <c r="F25" s="355"/>
      <c r="G25" s="355"/>
      <c r="H25" s="355"/>
      <c r="I25" s="355"/>
      <c r="J25" s="355"/>
      <c r="K25" s="355"/>
      <c r="L25" s="355"/>
      <c r="M25" s="355"/>
      <c r="N25" s="355"/>
      <c r="O25" s="355" t="s">
        <v>417</v>
      </c>
      <c r="P25" s="355"/>
      <c r="Q25" s="355"/>
      <c r="R25" s="355"/>
      <c r="S25" s="355"/>
      <c r="T25" s="355"/>
      <c r="U25" s="355"/>
      <c r="V25" s="355"/>
      <c r="W25" s="355"/>
      <c r="X25" s="355" t="s">
        <v>417</v>
      </c>
      <c r="Y25" s="355"/>
    </row>
    <row r="26" spans="1:25">
      <c r="A26" s="354" t="s">
        <v>1327</v>
      </c>
      <c r="B26" s="354" t="s">
        <v>1473</v>
      </c>
      <c r="C26" s="354" t="s">
        <v>1498</v>
      </c>
      <c r="D26" s="354" t="s">
        <v>967</v>
      </c>
      <c r="E26" s="354" t="s">
        <v>1260</v>
      </c>
      <c r="F26" s="355"/>
      <c r="G26" s="355"/>
      <c r="H26" s="355" t="s">
        <v>417</v>
      </c>
      <c r="I26" s="355"/>
      <c r="J26" s="355"/>
      <c r="K26" s="355"/>
      <c r="L26" s="355"/>
      <c r="M26" s="355"/>
      <c r="N26" s="355"/>
      <c r="O26" s="355" t="s">
        <v>417</v>
      </c>
      <c r="P26" s="355"/>
      <c r="Q26" s="355"/>
      <c r="R26" s="355"/>
      <c r="S26" s="355"/>
      <c r="T26" s="355"/>
      <c r="U26" s="355" t="s">
        <v>417</v>
      </c>
      <c r="V26" s="355"/>
      <c r="W26" s="355"/>
      <c r="X26" s="355"/>
      <c r="Y26" s="355"/>
    </row>
    <row r="27" spans="1:25">
      <c r="A27" s="354" t="s">
        <v>1327</v>
      </c>
      <c r="B27" s="354" t="s">
        <v>1473</v>
      </c>
      <c r="C27" s="354" t="s">
        <v>1499</v>
      </c>
      <c r="D27" s="354" t="s">
        <v>969</v>
      </c>
      <c r="E27" s="354" t="s">
        <v>1260</v>
      </c>
      <c r="F27" s="355"/>
      <c r="G27" s="355"/>
      <c r="H27" s="355"/>
      <c r="I27" s="355"/>
      <c r="J27" s="355"/>
      <c r="K27" s="355"/>
      <c r="L27" s="355"/>
      <c r="M27" s="355"/>
      <c r="N27" s="355"/>
      <c r="O27" s="355" t="s">
        <v>417</v>
      </c>
      <c r="P27" s="355"/>
      <c r="Q27" s="355"/>
      <c r="R27" s="355"/>
      <c r="S27" s="355"/>
      <c r="T27" s="355"/>
      <c r="U27" s="355"/>
      <c r="V27" s="355"/>
      <c r="W27" s="355" t="s">
        <v>417</v>
      </c>
      <c r="X27" s="355"/>
      <c r="Y27" s="355"/>
    </row>
    <row r="28" spans="1:25">
      <c r="A28" s="354" t="s">
        <v>1327</v>
      </c>
      <c r="B28" s="354" t="s">
        <v>1473</v>
      </c>
      <c r="C28" s="354" t="s">
        <v>1500</v>
      </c>
      <c r="D28" s="354" t="s">
        <v>1277</v>
      </c>
      <c r="E28" s="354" t="s">
        <v>1260</v>
      </c>
      <c r="F28" s="355"/>
      <c r="G28" s="355"/>
      <c r="H28" s="355"/>
      <c r="I28" s="355"/>
      <c r="J28" s="355"/>
      <c r="K28" s="355"/>
      <c r="L28" s="355"/>
      <c r="M28" s="355"/>
      <c r="N28" s="355"/>
      <c r="O28" s="355" t="s">
        <v>417</v>
      </c>
      <c r="P28" s="355"/>
      <c r="Q28" s="355"/>
      <c r="R28" s="355"/>
      <c r="S28" s="355"/>
      <c r="T28" s="355" t="s">
        <v>417</v>
      </c>
      <c r="U28" s="355"/>
      <c r="V28" s="355"/>
      <c r="W28" s="355" t="s">
        <v>417</v>
      </c>
      <c r="X28" s="355" t="s">
        <v>417</v>
      </c>
      <c r="Y28" s="355"/>
    </row>
    <row r="29" spans="1:25">
      <c r="A29" s="354" t="s">
        <v>1327</v>
      </c>
      <c r="B29" s="354" t="s">
        <v>1473</v>
      </c>
      <c r="C29" s="354" t="s">
        <v>1501</v>
      </c>
      <c r="D29" s="354" t="s">
        <v>1276</v>
      </c>
      <c r="E29" s="354" t="s">
        <v>1260</v>
      </c>
      <c r="F29" s="355" t="s">
        <v>417</v>
      </c>
      <c r="G29" s="355"/>
      <c r="H29" s="355" t="s">
        <v>417</v>
      </c>
      <c r="I29" s="355" t="s">
        <v>417</v>
      </c>
      <c r="J29" s="355"/>
      <c r="K29" s="355"/>
      <c r="L29" s="355"/>
      <c r="M29" s="355" t="s">
        <v>417</v>
      </c>
      <c r="N29" s="355"/>
      <c r="O29" s="355" t="s">
        <v>417</v>
      </c>
      <c r="P29" s="355" t="s">
        <v>417</v>
      </c>
      <c r="Q29" s="355"/>
      <c r="R29" s="355"/>
      <c r="S29" s="355"/>
      <c r="T29" s="355"/>
      <c r="U29" s="355"/>
      <c r="V29" s="355" t="s">
        <v>417</v>
      </c>
      <c r="W29" s="355"/>
      <c r="X29" s="355"/>
      <c r="Y29" s="355"/>
    </row>
    <row r="30" spans="1:25">
      <c r="A30" s="354" t="s">
        <v>1327</v>
      </c>
      <c r="B30" s="354" t="s">
        <v>1473</v>
      </c>
      <c r="C30" s="354" t="s">
        <v>1502</v>
      </c>
      <c r="D30" s="354" t="s">
        <v>1278</v>
      </c>
      <c r="E30" s="354" t="s">
        <v>1260</v>
      </c>
      <c r="F30" s="355"/>
      <c r="G30" s="355"/>
      <c r="H30" s="355"/>
      <c r="I30" s="355"/>
      <c r="J30" s="355"/>
      <c r="K30" s="355"/>
      <c r="L30" s="355"/>
      <c r="M30" s="355"/>
      <c r="N30" s="355"/>
      <c r="O30" s="355" t="s">
        <v>417</v>
      </c>
      <c r="P30" s="355"/>
      <c r="Q30" s="355"/>
      <c r="R30" s="355"/>
      <c r="S30" s="355"/>
      <c r="T30" s="355"/>
      <c r="U30" s="355"/>
      <c r="V30" s="355"/>
      <c r="W30" s="355"/>
      <c r="X30" s="355" t="s">
        <v>417</v>
      </c>
      <c r="Y30" s="355"/>
    </row>
    <row r="31" spans="1:25">
      <c r="A31" s="354" t="s">
        <v>958</v>
      </c>
      <c r="B31" s="354" t="s">
        <v>1034</v>
      </c>
      <c r="C31" s="354" t="s">
        <v>1503</v>
      </c>
      <c r="D31" s="354" t="s">
        <v>1275</v>
      </c>
      <c r="E31" s="354" t="s">
        <v>1260</v>
      </c>
      <c r="F31" s="355"/>
      <c r="G31" s="355" t="s">
        <v>417</v>
      </c>
      <c r="H31" s="355"/>
      <c r="I31" s="355"/>
      <c r="J31" s="355"/>
      <c r="K31" s="355"/>
      <c r="L31" s="355"/>
      <c r="M31" s="355"/>
      <c r="N31" s="355"/>
      <c r="O31" s="355"/>
      <c r="P31" s="355"/>
      <c r="Q31" s="355"/>
      <c r="R31" s="355"/>
      <c r="S31" s="355"/>
      <c r="T31" s="355"/>
      <c r="U31" s="355"/>
      <c r="V31" s="355"/>
      <c r="W31" s="355"/>
      <c r="X31" s="355"/>
      <c r="Y31" s="355"/>
    </row>
    <row r="32" spans="1:25">
      <c r="A32" s="354" t="s">
        <v>959</v>
      </c>
      <c r="B32" s="354" t="s">
        <v>1035</v>
      </c>
      <c r="C32" s="354" t="s">
        <v>1504</v>
      </c>
      <c r="D32" s="354" t="s">
        <v>1279</v>
      </c>
      <c r="E32" s="354" t="s">
        <v>1260</v>
      </c>
      <c r="F32" s="355" t="s">
        <v>417</v>
      </c>
      <c r="G32" s="355"/>
      <c r="H32" s="355" t="s">
        <v>417</v>
      </c>
      <c r="I32" s="355"/>
      <c r="J32" s="355"/>
      <c r="K32" s="355"/>
      <c r="L32" s="355" t="s">
        <v>417</v>
      </c>
      <c r="M32" s="355"/>
      <c r="N32" s="355"/>
      <c r="O32" s="355"/>
      <c r="P32" s="355"/>
      <c r="Q32" s="355" t="s">
        <v>417</v>
      </c>
      <c r="R32" s="355" t="s">
        <v>417</v>
      </c>
      <c r="S32" s="355"/>
      <c r="T32" s="355"/>
      <c r="U32" s="355"/>
      <c r="V32" s="355"/>
      <c r="W32" s="355"/>
      <c r="X32" s="355"/>
      <c r="Y32" s="355"/>
    </row>
    <row r="33" spans="1:25">
      <c r="A33" s="354" t="s">
        <v>959</v>
      </c>
      <c r="B33" s="354" t="s">
        <v>1035</v>
      </c>
      <c r="C33" s="354" t="s">
        <v>1505</v>
      </c>
      <c r="D33" s="354" t="s">
        <v>1279</v>
      </c>
      <c r="E33" s="354" t="s">
        <v>1260</v>
      </c>
      <c r="F33" s="355" t="s">
        <v>417</v>
      </c>
      <c r="G33" s="355"/>
      <c r="H33" s="355" t="s">
        <v>417</v>
      </c>
      <c r="I33" s="355"/>
      <c r="J33" s="355"/>
      <c r="K33" s="355"/>
      <c r="L33" s="355" t="s">
        <v>417</v>
      </c>
      <c r="M33" s="355"/>
      <c r="N33" s="355"/>
      <c r="O33" s="355"/>
      <c r="P33" s="355"/>
      <c r="Q33" s="355" t="s">
        <v>417</v>
      </c>
      <c r="R33" s="355" t="s">
        <v>417</v>
      </c>
      <c r="S33" s="355"/>
      <c r="T33" s="355"/>
      <c r="U33" s="355"/>
      <c r="V33" s="355"/>
      <c r="W33" s="355"/>
      <c r="X33" s="355"/>
      <c r="Y33" s="355"/>
    </row>
    <row r="34" spans="1:25">
      <c r="A34" s="354" t="s">
        <v>960</v>
      </c>
      <c r="B34" s="354" t="s">
        <v>1036</v>
      </c>
      <c r="C34" s="354" t="s">
        <v>1506</v>
      </c>
      <c r="D34" s="354" t="s">
        <v>1274</v>
      </c>
      <c r="E34" s="354" t="s">
        <v>1260</v>
      </c>
      <c r="F34" s="355"/>
      <c r="G34" s="355"/>
      <c r="H34" s="355"/>
      <c r="I34" s="355"/>
      <c r="J34" s="355"/>
      <c r="K34" s="355"/>
      <c r="L34" s="355"/>
      <c r="M34" s="355"/>
      <c r="N34" s="355" t="s">
        <v>417</v>
      </c>
      <c r="O34" s="355"/>
      <c r="P34" s="355"/>
      <c r="Q34" s="355"/>
      <c r="R34" s="355"/>
      <c r="S34" s="355"/>
      <c r="T34" s="355"/>
      <c r="U34" s="355"/>
      <c r="V34" s="355"/>
      <c r="W34" s="355"/>
      <c r="X34" s="355"/>
      <c r="Y34" s="355"/>
    </row>
    <row r="35" spans="1:25">
      <c r="A35" s="354" t="s">
        <v>961</v>
      </c>
      <c r="B35" s="354" t="s">
        <v>1037</v>
      </c>
      <c r="C35" s="354" t="s">
        <v>1507</v>
      </c>
      <c r="D35" s="354" t="s">
        <v>1508</v>
      </c>
      <c r="E35" s="354" t="s">
        <v>1260</v>
      </c>
      <c r="F35" s="355"/>
      <c r="G35" s="355"/>
      <c r="H35" s="355"/>
      <c r="I35" s="355"/>
      <c r="J35" s="355"/>
      <c r="K35" s="355"/>
      <c r="L35" s="355"/>
      <c r="M35" s="355"/>
      <c r="N35" s="355"/>
      <c r="O35" s="355"/>
      <c r="P35" s="355"/>
      <c r="Q35" s="355"/>
      <c r="R35" s="355"/>
      <c r="S35" s="355" t="s">
        <v>417</v>
      </c>
      <c r="T35" s="355"/>
      <c r="U35" s="355"/>
      <c r="V35" s="355"/>
      <c r="W35" s="355"/>
      <c r="X35" s="355"/>
      <c r="Y35" s="355"/>
    </row>
  </sheetData>
  <phoneticPr fontId="55" type="noConversion"/>
  <conditionalFormatting sqref="F34:Y34">
    <cfRule type="cellIs" dxfId="124" priority="14" operator="equal">
      <formula>"x"</formula>
    </cfRule>
  </conditionalFormatting>
  <conditionalFormatting sqref="C35:C1048576 C1:C2">
    <cfRule type="duplicateValues" dxfId="123" priority="13"/>
  </conditionalFormatting>
  <conditionalFormatting sqref="F3:Y7 F28:Y28 F33:Y33 Y31 Y29">
    <cfRule type="cellIs" dxfId="122" priority="12" operator="equal">
      <formula>"x"</formula>
    </cfRule>
  </conditionalFormatting>
  <conditionalFormatting sqref="Y13:Y17">
    <cfRule type="cellIs" dxfId="121" priority="11" operator="equal">
      <formula>"x"</formula>
    </cfRule>
  </conditionalFormatting>
  <conditionalFormatting sqref="F13:X17">
    <cfRule type="cellIs" dxfId="120" priority="10" operator="equal">
      <formula>"x"</formula>
    </cfRule>
  </conditionalFormatting>
  <conditionalFormatting sqref="F18:Y22">
    <cfRule type="cellIs" dxfId="119" priority="9" operator="equal">
      <formula>"x"</formula>
    </cfRule>
  </conditionalFormatting>
  <conditionalFormatting sqref="F8:Y12">
    <cfRule type="cellIs" dxfId="118" priority="8" operator="equal">
      <formula>"x"</formula>
    </cfRule>
  </conditionalFormatting>
  <conditionalFormatting sqref="F23:Y27">
    <cfRule type="cellIs" dxfId="117" priority="7" operator="equal">
      <formula>"x"</formula>
    </cfRule>
  </conditionalFormatting>
  <conditionalFormatting sqref="F31:X31">
    <cfRule type="cellIs" dxfId="116" priority="6" operator="equal">
      <formula>"x"</formula>
    </cfRule>
  </conditionalFormatting>
  <conditionalFormatting sqref="F29:X29">
    <cfRule type="cellIs" dxfId="115" priority="5" operator="equal">
      <formula>"x"</formula>
    </cfRule>
  </conditionalFormatting>
  <conditionalFormatting sqref="F30:Y30">
    <cfRule type="cellIs" dxfId="114" priority="4" operator="equal">
      <formula>"x"</formula>
    </cfRule>
  </conditionalFormatting>
  <conditionalFormatting sqref="C3:C31 C33:C34">
    <cfRule type="duplicateValues" dxfId="113" priority="3"/>
  </conditionalFormatting>
  <conditionalFormatting sqref="F32:Y32">
    <cfRule type="cellIs" dxfId="112" priority="2" operator="equal">
      <formula>"x"</formula>
    </cfRule>
  </conditionalFormatting>
  <conditionalFormatting sqref="C32">
    <cfRule type="duplicateValues" dxfId="111"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Y14"/>
  <sheetViews>
    <sheetView workbookViewId="0">
      <selection activeCell="Y12" sqref="F3:Y12"/>
    </sheetView>
  </sheetViews>
  <sheetFormatPr defaultColWidth="10.81640625" defaultRowHeight="15.5"/>
  <cols>
    <col min="1" max="1" width="11.453125" style="67" customWidth="1"/>
    <col min="2" max="2" width="25.453125" style="67" customWidth="1"/>
    <col min="3" max="3" width="17.54296875" style="67" customWidth="1"/>
    <col min="4" max="4" width="32.453125" style="67" customWidth="1"/>
    <col min="5" max="5" width="29.7265625" style="67" customWidth="1"/>
    <col min="6" max="25" width="6.453125" style="68" customWidth="1"/>
    <col min="26" max="16384" width="10.81640625" style="67"/>
  </cols>
  <sheetData>
    <row r="1" spans="1:25" s="55" customFormat="1" ht="18.5">
      <c r="A1" s="122" t="s">
        <v>1357</v>
      </c>
      <c r="B1" s="53"/>
      <c r="C1" s="123"/>
      <c r="D1" s="124"/>
      <c r="E1" s="124"/>
      <c r="F1" s="124"/>
      <c r="G1" s="124"/>
      <c r="H1" s="124"/>
      <c r="I1" s="124"/>
      <c r="J1" s="124"/>
      <c r="K1" s="124"/>
      <c r="L1" s="124"/>
      <c r="M1" s="124"/>
      <c r="N1" s="124"/>
      <c r="O1" s="124"/>
      <c r="P1" s="124"/>
      <c r="Q1" s="124"/>
      <c r="R1" s="124"/>
      <c r="S1" s="124"/>
      <c r="T1" s="124"/>
      <c r="U1" s="124"/>
      <c r="V1" s="124"/>
      <c r="W1" s="124"/>
      <c r="X1" s="124"/>
      <c r="Y1" s="124"/>
    </row>
    <row r="2" spans="1:25" s="65" customFormat="1">
      <c r="A2" s="63" t="s">
        <v>935</v>
      </c>
      <c r="B2" s="63" t="s">
        <v>962</v>
      </c>
      <c r="C2" s="63" t="s">
        <v>19</v>
      </c>
      <c r="D2" s="63" t="s">
        <v>963</v>
      </c>
      <c r="E2" s="63" t="s">
        <v>964</v>
      </c>
      <c r="F2" s="64" t="s">
        <v>949</v>
      </c>
      <c r="G2" s="64" t="s">
        <v>803</v>
      </c>
      <c r="H2" s="64" t="s">
        <v>950</v>
      </c>
      <c r="I2" s="64" t="s">
        <v>946</v>
      </c>
      <c r="J2" s="64" t="s">
        <v>965</v>
      </c>
      <c r="K2" s="64" t="s">
        <v>966</v>
      </c>
      <c r="L2" s="64" t="s">
        <v>942</v>
      </c>
      <c r="M2" s="64" t="s">
        <v>947</v>
      </c>
      <c r="N2" s="64" t="s">
        <v>805</v>
      </c>
      <c r="O2" s="64" t="s">
        <v>939</v>
      </c>
      <c r="P2" s="64" t="s">
        <v>948</v>
      </c>
      <c r="Q2" s="64" t="s">
        <v>943</v>
      </c>
      <c r="R2" s="64" t="s">
        <v>944</v>
      </c>
      <c r="S2" s="64" t="s">
        <v>889</v>
      </c>
      <c r="T2" s="64" t="s">
        <v>937</v>
      </c>
      <c r="U2" s="64" t="s">
        <v>940</v>
      </c>
      <c r="V2" s="64" t="s">
        <v>945</v>
      </c>
      <c r="W2" s="64" t="s">
        <v>938</v>
      </c>
      <c r="X2" s="64" t="s">
        <v>941</v>
      </c>
      <c r="Y2" s="64" t="s">
        <v>951</v>
      </c>
    </row>
    <row r="3" spans="1:25">
      <c r="D3" s="67" t="s">
        <v>967</v>
      </c>
      <c r="F3" s="66"/>
      <c r="G3" s="66"/>
      <c r="H3" s="66" t="s">
        <v>417</v>
      </c>
      <c r="I3" s="66"/>
      <c r="J3" s="66"/>
      <c r="K3" s="66"/>
      <c r="L3" s="66"/>
      <c r="M3" s="66"/>
      <c r="N3" s="66"/>
      <c r="O3" s="66" t="s">
        <v>417</v>
      </c>
      <c r="P3" s="66"/>
      <c r="Q3" s="66"/>
      <c r="R3" s="66"/>
      <c r="S3" s="66"/>
      <c r="T3" s="66"/>
      <c r="U3" s="66" t="s">
        <v>417</v>
      </c>
      <c r="V3" s="66"/>
      <c r="W3" s="66"/>
      <c r="X3" s="66"/>
      <c r="Y3" s="66"/>
    </row>
    <row r="4" spans="1:25">
      <c r="D4" s="67" t="s">
        <v>1275</v>
      </c>
      <c r="F4" s="66"/>
      <c r="G4" s="66" t="s">
        <v>417</v>
      </c>
      <c r="H4" s="66"/>
      <c r="I4" s="66"/>
      <c r="J4" s="66"/>
      <c r="K4" s="66"/>
      <c r="L4" s="66"/>
      <c r="M4" s="66"/>
      <c r="N4" s="66"/>
      <c r="O4" s="66"/>
      <c r="P4" s="66"/>
      <c r="Q4" s="66"/>
      <c r="R4" s="66"/>
      <c r="S4" s="66"/>
      <c r="T4" s="66"/>
      <c r="U4" s="66"/>
      <c r="V4" s="66"/>
      <c r="W4" s="66"/>
      <c r="X4" s="66"/>
      <c r="Y4" s="66"/>
    </row>
    <row r="5" spans="1:25">
      <c r="D5" s="67" t="s">
        <v>969</v>
      </c>
      <c r="F5" s="66"/>
      <c r="G5" s="66"/>
      <c r="H5" s="66"/>
      <c r="I5" s="66"/>
      <c r="J5" s="66"/>
      <c r="K5" s="66"/>
      <c r="L5" s="66"/>
      <c r="M5" s="66"/>
      <c r="N5" s="66"/>
      <c r="O5" s="66" t="s">
        <v>417</v>
      </c>
      <c r="P5" s="66"/>
      <c r="Q5" s="66"/>
      <c r="R5" s="66"/>
      <c r="S5" s="66"/>
      <c r="T5" s="66"/>
      <c r="U5" s="66"/>
      <c r="V5" s="66"/>
      <c r="W5" s="66" t="s">
        <v>417</v>
      </c>
      <c r="X5" s="66"/>
      <c r="Y5" s="66"/>
    </row>
    <row r="6" spans="1:25">
      <c r="D6" s="67" t="s">
        <v>1277</v>
      </c>
      <c r="F6" s="66"/>
      <c r="G6" s="66"/>
      <c r="H6" s="66"/>
      <c r="I6" s="66"/>
      <c r="J6" s="66"/>
      <c r="K6" s="66"/>
      <c r="L6" s="66"/>
      <c r="M6" s="66"/>
      <c r="N6" s="66"/>
      <c r="O6" s="66" t="s">
        <v>417</v>
      </c>
      <c r="P6" s="66"/>
      <c r="Q6" s="66"/>
      <c r="R6" s="66"/>
      <c r="S6" s="66"/>
      <c r="T6" s="66" t="s">
        <v>417</v>
      </c>
      <c r="U6" s="66"/>
      <c r="V6" s="66"/>
      <c r="W6" s="66" t="s">
        <v>417</v>
      </c>
      <c r="X6" s="66" t="s">
        <v>417</v>
      </c>
      <c r="Y6" s="66"/>
    </row>
    <row r="7" spans="1:25">
      <c r="D7" s="67" t="s">
        <v>1273</v>
      </c>
      <c r="F7" s="66"/>
      <c r="G7" s="66"/>
      <c r="H7" s="66"/>
      <c r="I7" s="66"/>
      <c r="J7" s="66" t="s">
        <v>417</v>
      </c>
      <c r="K7" s="66"/>
      <c r="L7" s="66"/>
      <c r="M7" s="66"/>
      <c r="N7" s="66"/>
      <c r="O7" s="66"/>
      <c r="P7" s="66"/>
      <c r="Q7" s="66"/>
      <c r="R7" s="66"/>
      <c r="S7" s="66"/>
      <c r="T7" s="66"/>
      <c r="U7" s="66"/>
      <c r="V7" s="66"/>
      <c r="W7" s="66"/>
      <c r="X7" s="66"/>
      <c r="Y7" s="66"/>
    </row>
    <row r="8" spans="1:25">
      <c r="D8" s="67" t="s">
        <v>1279</v>
      </c>
      <c r="F8" s="66" t="s">
        <v>417</v>
      </c>
      <c r="G8" s="66"/>
      <c r="H8" s="66" t="s">
        <v>417</v>
      </c>
      <c r="I8" s="66"/>
      <c r="J8" s="66"/>
      <c r="K8" s="66"/>
      <c r="L8" s="66" t="s">
        <v>417</v>
      </c>
      <c r="M8" s="66"/>
      <c r="N8" s="66"/>
      <c r="O8" s="66"/>
      <c r="P8" s="66"/>
      <c r="Q8" s="66" t="s">
        <v>417</v>
      </c>
      <c r="R8" s="66" t="s">
        <v>417</v>
      </c>
      <c r="S8" s="66"/>
      <c r="T8" s="66"/>
      <c r="U8" s="66"/>
      <c r="V8" s="66"/>
      <c r="W8" s="66"/>
      <c r="X8" s="66"/>
      <c r="Y8" s="66"/>
    </row>
    <row r="9" spans="1:25">
      <c r="D9" s="67" t="s">
        <v>1280</v>
      </c>
      <c r="F9" s="66"/>
      <c r="G9" s="66"/>
      <c r="H9" s="66"/>
      <c r="I9" s="66"/>
      <c r="J9" s="66"/>
      <c r="K9" s="66"/>
      <c r="L9" s="66"/>
      <c r="M9" s="66"/>
      <c r="N9" s="66"/>
      <c r="O9" s="66"/>
      <c r="P9" s="66"/>
      <c r="Q9" s="66"/>
      <c r="R9" s="66"/>
      <c r="S9" s="66" t="s">
        <v>417</v>
      </c>
      <c r="T9" s="66"/>
      <c r="U9" s="66"/>
      <c r="V9" s="66"/>
      <c r="W9" s="66"/>
      <c r="X9" s="66"/>
      <c r="Y9" s="66"/>
    </row>
    <row r="10" spans="1:25">
      <c r="D10" s="67" t="s">
        <v>1276</v>
      </c>
      <c r="F10" s="66" t="s">
        <v>417</v>
      </c>
      <c r="G10" s="66"/>
      <c r="H10" s="66" t="s">
        <v>417</v>
      </c>
      <c r="I10" s="66" t="s">
        <v>417</v>
      </c>
      <c r="J10" s="66"/>
      <c r="K10" s="66"/>
      <c r="L10" s="66"/>
      <c r="M10" s="66" t="s">
        <v>417</v>
      </c>
      <c r="N10" s="66"/>
      <c r="O10" s="66" t="s">
        <v>417</v>
      </c>
      <c r="P10" s="66" t="s">
        <v>417</v>
      </c>
      <c r="Q10" s="66"/>
      <c r="R10" s="66"/>
      <c r="S10" s="66"/>
      <c r="T10" s="66"/>
      <c r="U10" s="66"/>
      <c r="V10" s="66" t="s">
        <v>417</v>
      </c>
      <c r="W10" s="66"/>
      <c r="X10" s="66"/>
      <c r="Y10" s="66"/>
    </row>
    <row r="11" spans="1:25">
      <c r="D11" s="67" t="s">
        <v>1278</v>
      </c>
      <c r="F11" s="66"/>
      <c r="G11" s="66"/>
      <c r="H11" s="66"/>
      <c r="I11" s="66"/>
      <c r="J11" s="66"/>
      <c r="K11" s="66"/>
      <c r="L11" s="66"/>
      <c r="M11" s="66"/>
      <c r="N11" s="66"/>
      <c r="O11" s="66" t="s">
        <v>417</v>
      </c>
      <c r="P11" s="66"/>
      <c r="Q11" s="66"/>
      <c r="R11" s="66"/>
      <c r="S11" s="66"/>
      <c r="T11" s="66"/>
      <c r="U11" s="66"/>
      <c r="V11" s="66"/>
      <c r="W11" s="66"/>
      <c r="X11" s="66" t="s">
        <v>417</v>
      </c>
      <c r="Y11" s="66"/>
    </row>
    <row r="12" spans="1:25">
      <c r="D12" s="67" t="s">
        <v>1281</v>
      </c>
      <c r="F12" s="66"/>
      <c r="G12" s="66"/>
      <c r="H12" s="66"/>
      <c r="I12" s="66"/>
      <c r="J12" s="66"/>
      <c r="K12" s="66"/>
      <c r="L12" s="66"/>
      <c r="M12" s="66"/>
      <c r="N12" s="66" t="s">
        <v>417</v>
      </c>
      <c r="O12" s="66"/>
      <c r="P12" s="66"/>
      <c r="Q12" s="66"/>
      <c r="R12" s="66"/>
      <c r="S12" s="66"/>
      <c r="T12" s="66"/>
      <c r="U12" s="66"/>
      <c r="V12" s="66"/>
      <c r="W12" s="66"/>
      <c r="X12" s="66"/>
      <c r="Y12" s="66"/>
    </row>
    <row r="14" spans="1:25">
      <c r="F14" s="68">
        <f>COUNTA(F3:F13)</f>
        <v>2</v>
      </c>
      <c r="G14" s="68">
        <f t="shared" ref="G14:Y14" si="0">COUNTA(G3:G13)</f>
        <v>1</v>
      </c>
      <c r="H14" s="68">
        <f t="shared" si="0"/>
        <v>3</v>
      </c>
      <c r="I14" s="68">
        <f t="shared" si="0"/>
        <v>1</v>
      </c>
      <c r="J14" s="68">
        <f t="shared" si="0"/>
        <v>1</v>
      </c>
      <c r="K14" s="68">
        <f t="shared" si="0"/>
        <v>0</v>
      </c>
      <c r="L14" s="68">
        <f t="shared" si="0"/>
        <v>1</v>
      </c>
      <c r="M14" s="68">
        <f t="shared" si="0"/>
        <v>1</v>
      </c>
      <c r="N14" s="68">
        <f t="shared" si="0"/>
        <v>1</v>
      </c>
      <c r="O14" s="68">
        <f t="shared" si="0"/>
        <v>5</v>
      </c>
      <c r="P14" s="68">
        <f t="shared" si="0"/>
        <v>1</v>
      </c>
      <c r="Q14" s="68">
        <f t="shared" si="0"/>
        <v>1</v>
      </c>
      <c r="R14" s="68">
        <f t="shared" si="0"/>
        <v>1</v>
      </c>
      <c r="S14" s="68">
        <f t="shared" si="0"/>
        <v>1</v>
      </c>
      <c r="T14" s="68">
        <f t="shared" si="0"/>
        <v>1</v>
      </c>
      <c r="U14" s="68">
        <f t="shared" si="0"/>
        <v>1</v>
      </c>
      <c r="V14" s="68">
        <f t="shared" si="0"/>
        <v>1</v>
      </c>
      <c r="W14" s="68">
        <f t="shared" si="0"/>
        <v>2</v>
      </c>
      <c r="X14" s="68">
        <f t="shared" si="0"/>
        <v>2</v>
      </c>
      <c r="Y14" s="68">
        <f t="shared" si="0"/>
        <v>0</v>
      </c>
    </row>
  </sheetData>
  <sortState xmlns:xlrd2="http://schemas.microsoft.com/office/spreadsheetml/2017/richdata2" ref="A3:Y12">
    <sortCondition ref="D3:D12"/>
  </sortState>
  <conditionalFormatting sqref="F3:Y3">
    <cfRule type="cellIs" dxfId="110" priority="12" operator="equal">
      <formula>"x"</formula>
    </cfRule>
  </conditionalFormatting>
  <conditionalFormatting sqref="H1">
    <cfRule type="cellIs" dxfId="109" priority="11" operator="equal">
      <formula>"x"</formula>
    </cfRule>
  </conditionalFormatting>
  <conditionalFormatting sqref="F4:Y4">
    <cfRule type="cellIs" dxfId="108" priority="10" operator="equal">
      <formula>"x"</formula>
    </cfRule>
  </conditionalFormatting>
  <conditionalFormatting sqref="F5:Y6">
    <cfRule type="cellIs" dxfId="107" priority="9" operator="equal">
      <formula>"x"</formula>
    </cfRule>
  </conditionalFormatting>
  <conditionalFormatting sqref="F7:Y7">
    <cfRule type="cellIs" dxfId="106" priority="8" operator="equal">
      <formula>"x"</formula>
    </cfRule>
  </conditionalFormatting>
  <conditionalFormatting sqref="F8:Y8">
    <cfRule type="cellIs" dxfId="105" priority="7" operator="equal">
      <formula>"x"</formula>
    </cfRule>
  </conditionalFormatting>
  <conditionalFormatting sqref="F9:Y9">
    <cfRule type="cellIs" dxfId="104" priority="6" operator="equal">
      <formula>"x"</formula>
    </cfRule>
  </conditionalFormatting>
  <conditionalFormatting sqref="F10:Y10">
    <cfRule type="cellIs" dxfId="103" priority="5" operator="equal">
      <formula>"x"</formula>
    </cfRule>
  </conditionalFormatting>
  <conditionalFormatting sqref="F11:Y11">
    <cfRule type="cellIs" dxfId="102" priority="4" operator="equal">
      <formula>"x"</formula>
    </cfRule>
  </conditionalFormatting>
  <conditionalFormatting sqref="F12:Y12">
    <cfRule type="cellIs" dxfId="101" priority="3" operator="equal">
      <formula>"x"</formula>
    </cfRule>
  </conditionalFormatting>
  <conditionalFormatting sqref="C1:C1048576">
    <cfRule type="duplicateValues" dxfId="100"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M16"/>
  <sheetViews>
    <sheetView workbookViewId="0">
      <selection activeCell="A16" sqref="A16"/>
    </sheetView>
  </sheetViews>
  <sheetFormatPr defaultRowHeight="14.5"/>
  <cols>
    <col min="1" max="1" width="18.632812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3" spans="1:13">
      <c r="A3" s="143" t="s">
        <v>1007</v>
      </c>
      <c r="B3" s="143" t="s">
        <v>973</v>
      </c>
    </row>
    <row r="4" spans="1:13">
      <c r="A4" s="143" t="s">
        <v>974</v>
      </c>
      <c r="B4" s="141" t="s">
        <v>952</v>
      </c>
      <c r="C4" s="141" t="s">
        <v>953</v>
      </c>
      <c r="D4" s="141" t="s">
        <v>954</v>
      </c>
      <c r="E4" s="141" t="s">
        <v>955</v>
      </c>
      <c r="F4" s="141" t="s">
        <v>956</v>
      </c>
      <c r="G4" s="141" t="s">
        <v>1327</v>
      </c>
      <c r="H4" s="141" t="s">
        <v>958</v>
      </c>
      <c r="I4" s="141" t="s">
        <v>959</v>
      </c>
      <c r="J4" s="141" t="s">
        <v>960</v>
      </c>
      <c r="K4" s="141" t="s">
        <v>961</v>
      </c>
      <c r="L4" s="141" t="s">
        <v>975</v>
      </c>
      <c r="M4" s="141" t="s">
        <v>976</v>
      </c>
    </row>
    <row r="5" spans="1:13">
      <c r="A5" s="142" t="s">
        <v>975</v>
      </c>
      <c r="B5" s="144"/>
      <c r="C5" s="144"/>
      <c r="D5" s="144"/>
      <c r="E5" s="144"/>
      <c r="F5" s="144"/>
      <c r="G5" s="144"/>
      <c r="H5" s="144"/>
      <c r="I5" s="144"/>
      <c r="J5" s="144"/>
      <c r="K5" s="144"/>
      <c r="L5" s="144"/>
      <c r="M5" s="144"/>
    </row>
    <row r="6" spans="1:13">
      <c r="A6" s="142" t="s">
        <v>1037</v>
      </c>
      <c r="B6" s="144"/>
      <c r="C6" s="144"/>
      <c r="D6" s="144"/>
      <c r="E6" s="144"/>
      <c r="F6" s="144"/>
      <c r="G6" s="144"/>
      <c r="H6" s="144"/>
      <c r="I6" s="144"/>
      <c r="J6" s="144"/>
      <c r="K6" s="144">
        <v>1</v>
      </c>
      <c r="L6" s="144"/>
      <c r="M6" s="144">
        <v>1</v>
      </c>
    </row>
    <row r="7" spans="1:13">
      <c r="A7" s="142" t="s">
        <v>1034</v>
      </c>
      <c r="B7" s="144"/>
      <c r="C7" s="144"/>
      <c r="D7" s="144"/>
      <c r="E7" s="144"/>
      <c r="F7" s="144"/>
      <c r="G7" s="144"/>
      <c r="H7" s="144">
        <v>1</v>
      </c>
      <c r="I7" s="144"/>
      <c r="J7" s="144"/>
      <c r="K7" s="144"/>
      <c r="L7" s="144"/>
      <c r="M7" s="144">
        <v>1</v>
      </c>
    </row>
    <row r="8" spans="1:13">
      <c r="A8" s="142" t="s">
        <v>1035</v>
      </c>
      <c r="B8" s="144"/>
      <c r="C8" s="144"/>
      <c r="D8" s="144"/>
      <c r="E8" s="144"/>
      <c r="F8" s="144"/>
      <c r="G8" s="144"/>
      <c r="H8" s="144"/>
      <c r="I8" s="144">
        <v>2</v>
      </c>
      <c r="J8" s="144"/>
      <c r="K8" s="144"/>
      <c r="L8" s="144"/>
      <c r="M8" s="144">
        <v>2</v>
      </c>
    </row>
    <row r="9" spans="1:13">
      <c r="A9" s="142" t="s">
        <v>1036</v>
      </c>
      <c r="B9" s="144"/>
      <c r="C9" s="144"/>
      <c r="D9" s="144"/>
      <c r="E9" s="144"/>
      <c r="F9" s="144"/>
      <c r="G9" s="144"/>
      <c r="H9" s="144"/>
      <c r="I9" s="144"/>
      <c r="J9" s="144">
        <v>1</v>
      </c>
      <c r="K9" s="144"/>
      <c r="L9" s="144"/>
      <c r="M9" s="144">
        <v>1</v>
      </c>
    </row>
    <row r="10" spans="1:13">
      <c r="A10" s="142" t="s">
        <v>1460</v>
      </c>
      <c r="B10" s="144">
        <v>3</v>
      </c>
      <c r="C10" s="144"/>
      <c r="D10" s="144"/>
      <c r="E10" s="144"/>
      <c r="F10" s="144"/>
      <c r="G10" s="144"/>
      <c r="H10" s="144"/>
      <c r="I10" s="144"/>
      <c r="J10" s="144"/>
      <c r="K10" s="144"/>
      <c r="L10" s="144"/>
      <c r="M10" s="144">
        <v>3</v>
      </c>
    </row>
    <row r="11" spans="1:13">
      <c r="A11" s="142" t="s">
        <v>1463</v>
      </c>
      <c r="B11" s="144"/>
      <c r="C11" s="144">
        <v>5</v>
      </c>
      <c r="D11" s="144"/>
      <c r="E11" s="144"/>
      <c r="F11" s="144"/>
      <c r="G11" s="144"/>
      <c r="H11" s="144"/>
      <c r="I11" s="144"/>
      <c r="J11" s="144"/>
      <c r="K11" s="144"/>
      <c r="L11" s="144"/>
      <c r="M11" s="144">
        <v>5</v>
      </c>
    </row>
    <row r="12" spans="1:13">
      <c r="A12" s="142" t="s">
        <v>1465</v>
      </c>
      <c r="B12" s="144"/>
      <c r="C12" s="144"/>
      <c r="D12" s="144">
        <v>5</v>
      </c>
      <c r="E12" s="144"/>
      <c r="F12" s="144"/>
      <c r="G12" s="144"/>
      <c r="H12" s="144"/>
      <c r="I12" s="144"/>
      <c r="J12" s="144"/>
      <c r="K12" s="144"/>
      <c r="L12" s="144"/>
      <c r="M12" s="144">
        <v>5</v>
      </c>
    </row>
    <row r="13" spans="1:13">
      <c r="A13" s="142" t="s">
        <v>1467</v>
      </c>
      <c r="B13" s="144"/>
      <c r="C13" s="144"/>
      <c r="D13" s="144"/>
      <c r="E13" s="144">
        <v>5</v>
      </c>
      <c r="F13" s="144"/>
      <c r="G13" s="144"/>
      <c r="H13" s="144"/>
      <c r="I13" s="144"/>
      <c r="J13" s="144"/>
      <c r="K13" s="144"/>
      <c r="L13" s="144"/>
      <c r="M13" s="144">
        <v>5</v>
      </c>
    </row>
    <row r="14" spans="1:13">
      <c r="A14" s="142" t="s">
        <v>1470</v>
      </c>
      <c r="B14" s="144"/>
      <c r="C14" s="144"/>
      <c r="D14" s="144"/>
      <c r="E14" s="144"/>
      <c r="F14" s="144">
        <v>5</v>
      </c>
      <c r="G14" s="144"/>
      <c r="H14" s="144"/>
      <c r="I14" s="144"/>
      <c r="J14" s="144"/>
      <c r="K14" s="144"/>
      <c r="L14" s="144"/>
      <c r="M14" s="144">
        <v>5</v>
      </c>
    </row>
    <row r="15" spans="1:13">
      <c r="A15" s="142" t="s">
        <v>1473</v>
      </c>
      <c r="B15" s="144"/>
      <c r="C15" s="144"/>
      <c r="D15" s="144"/>
      <c r="E15" s="144"/>
      <c r="F15" s="144"/>
      <c r="G15" s="144">
        <v>5</v>
      </c>
      <c r="H15" s="144"/>
      <c r="I15" s="144"/>
      <c r="J15" s="144"/>
      <c r="K15" s="144"/>
      <c r="L15" s="144"/>
      <c r="M15" s="144">
        <v>5</v>
      </c>
    </row>
    <row r="16" spans="1:13">
      <c r="A16" s="142" t="s">
        <v>976</v>
      </c>
      <c r="B16" s="144">
        <v>3</v>
      </c>
      <c r="C16" s="144">
        <v>5</v>
      </c>
      <c r="D16" s="144">
        <v>5</v>
      </c>
      <c r="E16" s="144">
        <v>5</v>
      </c>
      <c r="F16" s="144">
        <v>5</v>
      </c>
      <c r="G16" s="144">
        <v>5</v>
      </c>
      <c r="H16" s="144">
        <v>1</v>
      </c>
      <c r="I16" s="144">
        <v>2</v>
      </c>
      <c r="J16" s="144">
        <v>1</v>
      </c>
      <c r="K16" s="144">
        <v>1</v>
      </c>
      <c r="L16" s="144"/>
      <c r="M16" s="144">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39"/>
  <sheetViews>
    <sheetView topLeftCell="A5" workbookViewId="0">
      <selection activeCell="A18" sqref="A18"/>
    </sheetView>
  </sheetViews>
  <sheetFormatPr defaultRowHeight="14.5"/>
  <cols>
    <col min="1" max="1" width="17.179687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1" spans="1:14">
      <c r="A1" s="51" t="s">
        <v>1009</v>
      </c>
    </row>
    <row r="2" spans="1:14">
      <c r="A2" s="114" t="s">
        <v>1038</v>
      </c>
      <c r="B2" s="114"/>
      <c r="C2" s="114"/>
      <c r="D2" s="114"/>
      <c r="E2" s="114"/>
      <c r="F2" s="114"/>
      <c r="G2" s="114"/>
      <c r="H2" s="114"/>
      <c r="I2" s="114"/>
      <c r="J2" s="114"/>
      <c r="K2" s="114"/>
      <c r="L2" s="114"/>
      <c r="M2" s="114"/>
      <c r="N2" s="114"/>
    </row>
    <row r="3" spans="1:14" hidden="1">
      <c r="A3" s="143" t="s">
        <v>972</v>
      </c>
      <c r="B3" s="143" t="s">
        <v>973</v>
      </c>
    </row>
    <row r="4" spans="1:14" hidden="1">
      <c r="A4" s="143" t="s">
        <v>974</v>
      </c>
      <c r="B4" s="141" t="s">
        <v>952</v>
      </c>
      <c r="C4" s="141" t="s">
        <v>953</v>
      </c>
      <c r="D4" s="141" t="s">
        <v>954</v>
      </c>
      <c r="E4" s="141" t="s">
        <v>955</v>
      </c>
      <c r="F4" s="141" t="s">
        <v>956</v>
      </c>
      <c r="G4" s="141" t="s">
        <v>1327</v>
      </c>
      <c r="H4" s="141" t="s">
        <v>958</v>
      </c>
      <c r="I4" s="141" t="s">
        <v>959</v>
      </c>
      <c r="J4" s="141" t="s">
        <v>960</v>
      </c>
      <c r="K4" s="141" t="s">
        <v>961</v>
      </c>
      <c r="L4" s="141" t="s">
        <v>975</v>
      </c>
      <c r="M4" s="141" t="s">
        <v>976</v>
      </c>
    </row>
    <row r="5" spans="1:14">
      <c r="A5" s="142" t="s">
        <v>975</v>
      </c>
      <c r="B5" s="144"/>
      <c r="C5" s="144"/>
      <c r="D5" s="144"/>
      <c r="E5" s="144"/>
      <c r="F5" s="144"/>
      <c r="G5" s="144"/>
      <c r="H5" s="144"/>
      <c r="I5" s="144"/>
      <c r="J5" s="144"/>
      <c r="K5" s="144"/>
      <c r="L5" s="144"/>
      <c r="M5" s="144"/>
    </row>
    <row r="6" spans="1:14">
      <c r="A6" s="142" t="s">
        <v>1475</v>
      </c>
      <c r="B6" s="144">
        <v>1</v>
      </c>
      <c r="C6" s="144"/>
      <c r="D6" s="144"/>
      <c r="E6" s="144"/>
      <c r="F6" s="144"/>
      <c r="G6" s="144"/>
      <c r="H6" s="144"/>
      <c r="I6" s="144"/>
      <c r="J6" s="144"/>
      <c r="K6" s="144"/>
      <c r="L6" s="144"/>
      <c r="M6" s="144">
        <v>1</v>
      </c>
    </row>
    <row r="7" spans="1:14">
      <c r="A7" s="142" t="s">
        <v>1476</v>
      </c>
      <c r="B7" s="144">
        <v>1</v>
      </c>
      <c r="C7" s="144"/>
      <c r="D7" s="144"/>
      <c r="E7" s="144"/>
      <c r="F7" s="144"/>
      <c r="G7" s="144"/>
      <c r="H7" s="144"/>
      <c r="I7" s="144"/>
      <c r="J7" s="144"/>
      <c r="K7" s="144"/>
      <c r="L7" s="144"/>
      <c r="M7" s="144">
        <v>1</v>
      </c>
    </row>
    <row r="8" spans="1:14">
      <c r="A8" s="142" t="s">
        <v>1477</v>
      </c>
      <c r="B8" s="144">
        <v>1</v>
      </c>
      <c r="C8" s="144"/>
      <c r="D8" s="144"/>
      <c r="E8" s="144"/>
      <c r="F8" s="144"/>
      <c r="G8" s="144"/>
      <c r="H8" s="144"/>
      <c r="I8" s="144"/>
      <c r="J8" s="144"/>
      <c r="K8" s="144"/>
      <c r="L8" s="144"/>
      <c r="M8" s="144">
        <v>1</v>
      </c>
    </row>
    <row r="9" spans="1:14">
      <c r="A9" s="142" t="s">
        <v>1478</v>
      </c>
      <c r="B9" s="144"/>
      <c r="C9" s="144">
        <v>1</v>
      </c>
      <c r="D9" s="144"/>
      <c r="E9" s="144"/>
      <c r="F9" s="144"/>
      <c r="G9" s="144"/>
      <c r="H9" s="144"/>
      <c r="I9" s="144"/>
      <c r="J9" s="144"/>
      <c r="K9" s="144"/>
      <c r="L9" s="144"/>
      <c r="M9" s="144">
        <v>1</v>
      </c>
    </row>
    <row r="10" spans="1:14">
      <c r="A10" s="142" t="s">
        <v>1479</v>
      </c>
      <c r="B10" s="144"/>
      <c r="C10" s="144">
        <v>1</v>
      </c>
      <c r="D10" s="144"/>
      <c r="E10" s="144"/>
      <c r="F10" s="144"/>
      <c r="G10" s="144"/>
      <c r="H10" s="144"/>
      <c r="I10" s="144"/>
      <c r="J10" s="144"/>
      <c r="K10" s="144"/>
      <c r="L10" s="144"/>
      <c r="M10" s="144">
        <v>1</v>
      </c>
    </row>
    <row r="11" spans="1:14">
      <c r="A11" s="142" t="s">
        <v>1480</v>
      </c>
      <c r="B11" s="144"/>
      <c r="C11" s="144">
        <v>1</v>
      </c>
      <c r="D11" s="144"/>
      <c r="E11" s="144"/>
      <c r="F11" s="144"/>
      <c r="G11" s="144"/>
      <c r="H11" s="144"/>
      <c r="I11" s="144"/>
      <c r="J11" s="144"/>
      <c r="K11" s="144"/>
      <c r="L11" s="144"/>
      <c r="M11" s="144">
        <v>1</v>
      </c>
    </row>
    <row r="12" spans="1:14">
      <c r="A12" s="142" t="s">
        <v>1481</v>
      </c>
      <c r="B12" s="144"/>
      <c r="C12" s="144">
        <v>1</v>
      </c>
      <c r="D12" s="144"/>
      <c r="E12" s="144"/>
      <c r="F12" s="144"/>
      <c r="G12" s="144"/>
      <c r="H12" s="144"/>
      <c r="I12" s="144"/>
      <c r="J12" s="144"/>
      <c r="K12" s="144"/>
      <c r="L12" s="144"/>
      <c r="M12" s="144">
        <v>1</v>
      </c>
    </row>
    <row r="13" spans="1:14">
      <c r="A13" s="142" t="s">
        <v>1482</v>
      </c>
      <c r="B13" s="144"/>
      <c r="C13" s="144">
        <v>1</v>
      </c>
      <c r="D13" s="144"/>
      <c r="E13" s="144"/>
      <c r="F13" s="144"/>
      <c r="G13" s="144"/>
      <c r="H13" s="144"/>
      <c r="I13" s="144"/>
      <c r="J13" s="144"/>
      <c r="K13" s="144"/>
      <c r="L13" s="144"/>
      <c r="M13" s="144">
        <v>1</v>
      </c>
    </row>
    <row r="14" spans="1:14">
      <c r="A14" s="142" t="s">
        <v>1483</v>
      </c>
      <c r="B14" s="144"/>
      <c r="C14" s="144"/>
      <c r="D14" s="144">
        <v>1</v>
      </c>
      <c r="E14" s="144"/>
      <c r="F14" s="144"/>
      <c r="G14" s="144"/>
      <c r="H14" s="144"/>
      <c r="I14" s="144"/>
      <c r="J14" s="144"/>
      <c r="K14" s="144"/>
      <c r="L14" s="144"/>
      <c r="M14" s="144">
        <v>1</v>
      </c>
    </row>
    <row r="15" spans="1:14">
      <c r="A15" s="142" t="s">
        <v>1484</v>
      </c>
      <c r="B15" s="144"/>
      <c r="C15" s="144"/>
      <c r="D15" s="144">
        <v>1</v>
      </c>
      <c r="E15" s="144"/>
      <c r="F15" s="144"/>
      <c r="G15" s="144"/>
      <c r="H15" s="144"/>
      <c r="I15" s="144"/>
      <c r="J15" s="144"/>
      <c r="K15" s="144"/>
      <c r="L15" s="144"/>
      <c r="M15" s="144">
        <v>1</v>
      </c>
    </row>
    <row r="16" spans="1:14">
      <c r="A16" s="142" t="s">
        <v>1485</v>
      </c>
      <c r="B16" s="144"/>
      <c r="C16" s="144"/>
      <c r="D16" s="144">
        <v>1</v>
      </c>
      <c r="E16" s="144"/>
      <c r="F16" s="144"/>
      <c r="G16" s="144"/>
      <c r="H16" s="144"/>
      <c r="I16" s="144"/>
      <c r="J16" s="144"/>
      <c r="K16" s="144"/>
      <c r="L16" s="144"/>
      <c r="M16" s="144">
        <v>1</v>
      </c>
    </row>
    <row r="17" spans="1:13">
      <c r="A17" s="142" t="s">
        <v>1486</v>
      </c>
      <c r="B17" s="144"/>
      <c r="C17" s="144"/>
      <c r="D17" s="144">
        <v>1</v>
      </c>
      <c r="E17" s="144"/>
      <c r="F17" s="144"/>
      <c r="G17" s="144"/>
      <c r="H17" s="144"/>
      <c r="I17" s="144"/>
      <c r="J17" s="144"/>
      <c r="K17" s="144"/>
      <c r="L17" s="144"/>
      <c r="M17" s="144">
        <v>1</v>
      </c>
    </row>
    <row r="18" spans="1:13">
      <c r="A18" s="142" t="s">
        <v>1487</v>
      </c>
      <c r="B18" s="144"/>
      <c r="C18" s="144"/>
      <c r="D18" s="144">
        <v>1</v>
      </c>
      <c r="E18" s="144"/>
      <c r="F18" s="144"/>
      <c r="G18" s="144"/>
      <c r="H18" s="144"/>
      <c r="I18" s="144"/>
      <c r="J18" s="144"/>
      <c r="K18" s="144"/>
      <c r="L18" s="144"/>
      <c r="M18" s="144">
        <v>1</v>
      </c>
    </row>
    <row r="19" spans="1:13">
      <c r="A19" s="142" t="s">
        <v>1488</v>
      </c>
      <c r="B19" s="144"/>
      <c r="C19" s="144"/>
      <c r="D19" s="144"/>
      <c r="E19" s="144">
        <v>1</v>
      </c>
      <c r="F19" s="144"/>
      <c r="G19" s="144"/>
      <c r="H19" s="144"/>
      <c r="I19" s="144"/>
      <c r="J19" s="144"/>
      <c r="K19" s="144"/>
      <c r="L19" s="144"/>
      <c r="M19" s="144">
        <v>1</v>
      </c>
    </row>
    <row r="20" spans="1:13">
      <c r="A20" s="142" t="s">
        <v>1489</v>
      </c>
      <c r="B20" s="144"/>
      <c r="C20" s="144"/>
      <c r="D20" s="144"/>
      <c r="E20" s="144">
        <v>1</v>
      </c>
      <c r="F20" s="144"/>
      <c r="G20" s="144"/>
      <c r="H20" s="144"/>
      <c r="I20" s="144"/>
      <c r="J20" s="144"/>
      <c r="K20" s="144"/>
      <c r="L20" s="144"/>
      <c r="M20" s="144">
        <v>1</v>
      </c>
    </row>
    <row r="21" spans="1:13">
      <c r="A21" s="142" t="s">
        <v>1490</v>
      </c>
      <c r="B21" s="144"/>
      <c r="C21" s="144"/>
      <c r="D21" s="144"/>
      <c r="E21" s="144">
        <v>1</v>
      </c>
      <c r="F21" s="144"/>
      <c r="G21" s="144"/>
      <c r="H21" s="144"/>
      <c r="I21" s="144"/>
      <c r="J21" s="144"/>
      <c r="K21" s="144"/>
      <c r="L21" s="144"/>
      <c r="M21" s="144">
        <v>1</v>
      </c>
    </row>
    <row r="22" spans="1:13">
      <c r="A22" s="142" t="s">
        <v>1491</v>
      </c>
      <c r="B22" s="144"/>
      <c r="C22" s="144"/>
      <c r="D22" s="144"/>
      <c r="E22" s="144">
        <v>1</v>
      </c>
      <c r="F22" s="144"/>
      <c r="G22" s="144"/>
      <c r="H22" s="144"/>
      <c r="I22" s="144"/>
      <c r="J22" s="144"/>
      <c r="K22" s="144"/>
      <c r="L22" s="144"/>
      <c r="M22" s="144">
        <v>1</v>
      </c>
    </row>
    <row r="23" spans="1:13">
      <c r="A23" s="142" t="s">
        <v>1492</v>
      </c>
      <c r="B23" s="144"/>
      <c r="C23" s="144"/>
      <c r="D23" s="144"/>
      <c r="E23" s="144">
        <v>1</v>
      </c>
      <c r="F23" s="144"/>
      <c r="G23" s="144"/>
      <c r="H23" s="144"/>
      <c r="I23" s="144"/>
      <c r="J23" s="144"/>
      <c r="K23" s="144"/>
      <c r="L23" s="144"/>
      <c r="M23" s="144">
        <v>1</v>
      </c>
    </row>
    <row r="24" spans="1:13">
      <c r="A24" s="142" t="s">
        <v>1493</v>
      </c>
      <c r="B24" s="144"/>
      <c r="C24" s="144"/>
      <c r="D24" s="144"/>
      <c r="E24" s="144"/>
      <c r="F24" s="144">
        <v>1</v>
      </c>
      <c r="G24" s="144"/>
      <c r="H24" s="144"/>
      <c r="I24" s="144"/>
      <c r="J24" s="144"/>
      <c r="K24" s="144"/>
      <c r="L24" s="144"/>
      <c r="M24" s="144">
        <v>1</v>
      </c>
    </row>
    <row r="25" spans="1:13">
      <c r="A25" s="142" t="s">
        <v>1494</v>
      </c>
      <c r="B25" s="144"/>
      <c r="C25" s="144"/>
      <c r="D25" s="144"/>
      <c r="E25" s="144"/>
      <c r="F25" s="144">
        <v>1</v>
      </c>
      <c r="G25" s="144"/>
      <c r="H25" s="144"/>
      <c r="I25" s="144"/>
      <c r="J25" s="144"/>
      <c r="K25" s="144"/>
      <c r="L25" s="144"/>
      <c r="M25" s="144">
        <v>1</v>
      </c>
    </row>
    <row r="26" spans="1:13">
      <c r="A26" s="142" t="s">
        <v>1495</v>
      </c>
      <c r="B26" s="144"/>
      <c r="C26" s="144"/>
      <c r="D26" s="144"/>
      <c r="E26" s="144"/>
      <c r="F26" s="144">
        <v>1</v>
      </c>
      <c r="G26" s="144"/>
      <c r="H26" s="144"/>
      <c r="I26" s="144"/>
      <c r="J26" s="144"/>
      <c r="K26" s="144"/>
      <c r="L26" s="144"/>
      <c r="M26" s="144">
        <v>1</v>
      </c>
    </row>
    <row r="27" spans="1:13">
      <c r="A27" s="142" t="s">
        <v>1496</v>
      </c>
      <c r="B27" s="144"/>
      <c r="C27" s="144"/>
      <c r="D27" s="144"/>
      <c r="E27" s="144"/>
      <c r="F27" s="144">
        <v>1</v>
      </c>
      <c r="G27" s="144"/>
      <c r="H27" s="144"/>
      <c r="I27" s="144"/>
      <c r="J27" s="144"/>
      <c r="K27" s="144"/>
      <c r="L27" s="144"/>
      <c r="M27" s="144">
        <v>1</v>
      </c>
    </row>
    <row r="28" spans="1:13">
      <c r="A28" s="142" t="s">
        <v>1497</v>
      </c>
      <c r="B28" s="144"/>
      <c r="C28" s="144"/>
      <c r="D28" s="144"/>
      <c r="E28" s="144"/>
      <c r="F28" s="144">
        <v>1</v>
      </c>
      <c r="G28" s="144"/>
      <c r="H28" s="144"/>
      <c r="I28" s="144"/>
      <c r="J28" s="144"/>
      <c r="K28" s="144"/>
      <c r="L28" s="144"/>
      <c r="M28" s="144">
        <v>1</v>
      </c>
    </row>
    <row r="29" spans="1:13">
      <c r="A29" s="142" t="s">
        <v>1498</v>
      </c>
      <c r="B29" s="144"/>
      <c r="C29" s="144"/>
      <c r="D29" s="144"/>
      <c r="E29" s="144"/>
      <c r="F29" s="144"/>
      <c r="G29" s="144">
        <v>1</v>
      </c>
      <c r="H29" s="144"/>
      <c r="I29" s="144"/>
      <c r="J29" s="144"/>
      <c r="K29" s="144"/>
      <c r="L29" s="144"/>
      <c r="M29" s="144">
        <v>1</v>
      </c>
    </row>
    <row r="30" spans="1:13">
      <c r="A30" s="142" t="s">
        <v>1499</v>
      </c>
      <c r="B30" s="144"/>
      <c r="C30" s="144"/>
      <c r="D30" s="144"/>
      <c r="E30" s="144"/>
      <c r="F30" s="144"/>
      <c r="G30" s="144">
        <v>1</v>
      </c>
      <c r="H30" s="144"/>
      <c r="I30" s="144"/>
      <c r="J30" s="144"/>
      <c r="K30" s="144"/>
      <c r="L30" s="144"/>
      <c r="M30" s="144">
        <v>1</v>
      </c>
    </row>
    <row r="31" spans="1:13">
      <c r="A31" s="142" t="s">
        <v>1500</v>
      </c>
      <c r="B31" s="144"/>
      <c r="C31" s="144"/>
      <c r="D31" s="144"/>
      <c r="E31" s="144"/>
      <c r="F31" s="144"/>
      <c r="G31" s="144">
        <v>1</v>
      </c>
      <c r="H31" s="144"/>
      <c r="I31" s="144"/>
      <c r="J31" s="144"/>
      <c r="K31" s="144"/>
      <c r="L31" s="144"/>
      <c r="M31" s="144">
        <v>1</v>
      </c>
    </row>
    <row r="32" spans="1:13">
      <c r="A32" s="142" t="s">
        <v>1501</v>
      </c>
      <c r="B32" s="144"/>
      <c r="C32" s="144"/>
      <c r="D32" s="144"/>
      <c r="E32" s="144"/>
      <c r="F32" s="144"/>
      <c r="G32" s="144">
        <v>1</v>
      </c>
      <c r="H32" s="144"/>
      <c r="I32" s="144"/>
      <c r="J32" s="144"/>
      <c r="K32" s="144"/>
      <c r="L32" s="144"/>
      <c r="M32" s="144">
        <v>1</v>
      </c>
    </row>
    <row r="33" spans="1:13">
      <c r="A33" s="142" t="s">
        <v>1502</v>
      </c>
      <c r="B33" s="144"/>
      <c r="C33" s="144"/>
      <c r="D33" s="144"/>
      <c r="E33" s="144"/>
      <c r="F33" s="144"/>
      <c r="G33" s="144">
        <v>1</v>
      </c>
      <c r="H33" s="144"/>
      <c r="I33" s="144"/>
      <c r="J33" s="144"/>
      <c r="K33" s="144"/>
      <c r="L33" s="144"/>
      <c r="M33" s="144">
        <v>1</v>
      </c>
    </row>
    <row r="34" spans="1:13">
      <c r="A34" s="142" t="s">
        <v>1503</v>
      </c>
      <c r="B34" s="144"/>
      <c r="C34" s="144"/>
      <c r="D34" s="144"/>
      <c r="E34" s="144"/>
      <c r="F34" s="144"/>
      <c r="G34" s="144"/>
      <c r="H34" s="144">
        <v>1</v>
      </c>
      <c r="I34" s="144"/>
      <c r="J34" s="144"/>
      <c r="K34" s="144"/>
      <c r="L34" s="144"/>
      <c r="M34" s="144">
        <v>1</v>
      </c>
    </row>
    <row r="35" spans="1:13">
      <c r="A35" s="142" t="s">
        <v>1504</v>
      </c>
      <c r="B35" s="144"/>
      <c r="C35" s="144"/>
      <c r="D35" s="144"/>
      <c r="E35" s="144"/>
      <c r="F35" s="144"/>
      <c r="G35" s="144"/>
      <c r="H35" s="144"/>
      <c r="I35" s="144">
        <v>1</v>
      </c>
      <c r="J35" s="144"/>
      <c r="K35" s="144"/>
      <c r="L35" s="144"/>
      <c r="M35" s="144">
        <v>1</v>
      </c>
    </row>
    <row r="36" spans="1:13">
      <c r="A36" s="142" t="s">
        <v>1505</v>
      </c>
      <c r="B36" s="144"/>
      <c r="C36" s="144"/>
      <c r="D36" s="144"/>
      <c r="E36" s="144"/>
      <c r="F36" s="144"/>
      <c r="G36" s="144"/>
      <c r="H36" s="144"/>
      <c r="I36" s="144">
        <v>1</v>
      </c>
      <c r="J36" s="144"/>
      <c r="K36" s="144"/>
      <c r="L36" s="144"/>
      <c r="M36" s="144">
        <v>1</v>
      </c>
    </row>
    <row r="37" spans="1:13">
      <c r="A37" s="142" t="s">
        <v>1506</v>
      </c>
      <c r="B37" s="144"/>
      <c r="C37" s="144"/>
      <c r="D37" s="144"/>
      <c r="E37" s="144"/>
      <c r="F37" s="144"/>
      <c r="G37" s="144"/>
      <c r="H37" s="144"/>
      <c r="I37" s="144"/>
      <c r="J37" s="144">
        <v>1</v>
      </c>
      <c r="K37" s="144"/>
      <c r="L37" s="144"/>
      <c r="M37" s="144">
        <v>1</v>
      </c>
    </row>
    <row r="38" spans="1:13">
      <c r="A38" s="142" t="s">
        <v>1507</v>
      </c>
      <c r="B38" s="144"/>
      <c r="C38" s="144"/>
      <c r="D38" s="144"/>
      <c r="E38" s="144"/>
      <c r="F38" s="144"/>
      <c r="G38" s="144"/>
      <c r="H38" s="144"/>
      <c r="I38" s="144"/>
      <c r="J38" s="144"/>
      <c r="K38" s="144">
        <v>1</v>
      </c>
      <c r="L38" s="144"/>
      <c r="M38" s="144">
        <v>1</v>
      </c>
    </row>
    <row r="39" spans="1:13">
      <c r="A39" s="142" t="s">
        <v>976</v>
      </c>
      <c r="B39" s="144">
        <v>3</v>
      </c>
      <c r="C39" s="144">
        <v>5</v>
      </c>
      <c r="D39" s="144">
        <v>5</v>
      </c>
      <c r="E39" s="144">
        <v>5</v>
      </c>
      <c r="F39" s="144">
        <v>5</v>
      </c>
      <c r="G39" s="144">
        <v>5</v>
      </c>
      <c r="H39" s="144">
        <v>1</v>
      </c>
      <c r="I39" s="144">
        <v>2</v>
      </c>
      <c r="J39" s="144">
        <v>1</v>
      </c>
      <c r="K39" s="144">
        <v>1</v>
      </c>
      <c r="L39" s="144"/>
      <c r="M39" s="144">
        <v>33</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election activeCell="A11" sqref="A11"/>
    </sheetView>
  </sheetViews>
  <sheetFormatPr defaultRowHeight="14.5"/>
  <cols>
    <col min="1" max="1" width="12.6328125" bestFit="1" customWidth="1"/>
    <col min="2" max="2" width="10.90625" bestFit="1" customWidth="1"/>
  </cols>
  <sheetData>
    <row r="3" spans="1:2">
      <c r="A3" s="143" t="s">
        <v>974</v>
      </c>
      <c r="B3" t="s">
        <v>983</v>
      </c>
    </row>
    <row r="4" spans="1:2">
      <c r="A4" s="142" t="s">
        <v>949</v>
      </c>
      <c r="B4" s="144">
        <v>1</v>
      </c>
    </row>
    <row r="5" spans="1:2">
      <c r="A5" s="142" t="s">
        <v>803</v>
      </c>
      <c r="B5" s="144">
        <v>1</v>
      </c>
    </row>
    <row r="6" spans="1:2">
      <c r="A6" s="142" t="s">
        <v>950</v>
      </c>
      <c r="B6" s="144">
        <v>1</v>
      </c>
    </row>
    <row r="7" spans="1:2">
      <c r="A7" s="142" t="s">
        <v>946</v>
      </c>
      <c r="B7" s="144">
        <v>2</v>
      </c>
    </row>
    <row r="8" spans="1:2">
      <c r="A8" s="142" t="s">
        <v>947</v>
      </c>
      <c r="B8" s="144">
        <v>2</v>
      </c>
    </row>
    <row r="9" spans="1:2">
      <c r="A9" s="142" t="s">
        <v>942</v>
      </c>
      <c r="B9" s="144">
        <v>1</v>
      </c>
    </row>
    <row r="10" spans="1:2">
      <c r="A10" s="142" t="s">
        <v>805</v>
      </c>
      <c r="B10" s="144">
        <v>1</v>
      </c>
    </row>
    <row r="11" spans="1:2">
      <c r="A11" s="142" t="s">
        <v>943</v>
      </c>
      <c r="B11" s="144">
        <v>1</v>
      </c>
    </row>
    <row r="12" spans="1:2">
      <c r="A12" s="142" t="s">
        <v>944</v>
      </c>
      <c r="B12" s="144">
        <v>1</v>
      </c>
    </row>
    <row r="13" spans="1:2">
      <c r="A13" s="142" t="s">
        <v>937</v>
      </c>
      <c r="B13" s="144">
        <v>2</v>
      </c>
    </row>
    <row r="14" spans="1:2">
      <c r="A14" s="142" t="s">
        <v>948</v>
      </c>
      <c r="B14" s="144">
        <v>2</v>
      </c>
    </row>
    <row r="15" spans="1:2">
      <c r="A15" s="142" t="s">
        <v>889</v>
      </c>
      <c r="B15" s="144">
        <v>1</v>
      </c>
    </row>
    <row r="16" spans="1:2">
      <c r="A16" s="142" t="s">
        <v>939</v>
      </c>
      <c r="B16" s="144">
        <v>2</v>
      </c>
    </row>
    <row r="17" spans="1:2">
      <c r="A17" s="142" t="s">
        <v>940</v>
      </c>
      <c r="B17" s="144">
        <v>2</v>
      </c>
    </row>
    <row r="18" spans="1:2">
      <c r="A18" s="142" t="s">
        <v>945</v>
      </c>
      <c r="B18" s="144">
        <v>2</v>
      </c>
    </row>
    <row r="19" spans="1:2">
      <c r="A19" s="142" t="s">
        <v>938</v>
      </c>
      <c r="B19" s="144">
        <v>2</v>
      </c>
    </row>
    <row r="20" spans="1:2">
      <c r="A20" s="142" t="s">
        <v>941</v>
      </c>
      <c r="B20" s="144">
        <v>2</v>
      </c>
    </row>
    <row r="21" spans="1:2">
      <c r="A21" s="142" t="s">
        <v>975</v>
      </c>
      <c r="B21" s="144"/>
    </row>
    <row r="22" spans="1:2">
      <c r="A22" s="142" t="s">
        <v>976</v>
      </c>
      <c r="B22" s="144">
        <v>26</v>
      </c>
    </row>
    <row r="26" spans="1:2">
      <c r="A26" t="s">
        <v>1151</v>
      </c>
    </row>
    <row r="27" spans="1:2">
      <c r="A27" t="s">
        <v>966</v>
      </c>
    </row>
    <row r="28" spans="1:2">
      <c r="A28" t="s">
        <v>965</v>
      </c>
    </row>
    <row r="29" spans="1:2">
      <c r="A29" t="s">
        <v>1150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2E36-0055-43F2-A976-31776C650B76}">
  <sheetPr codeName="Sheet16">
    <tabColor theme="0" tint="-4.9989318521683403E-2"/>
  </sheetPr>
  <dimension ref="A2:C250"/>
  <sheetViews>
    <sheetView workbookViewId="0"/>
  </sheetViews>
  <sheetFormatPr defaultRowHeight="14.5"/>
  <sheetData>
    <row r="2" spans="1:3">
      <c r="A2" t="s">
        <v>1478</v>
      </c>
    </row>
    <row r="3" spans="1:3">
      <c r="B3" t="s">
        <v>977</v>
      </c>
    </row>
    <row r="4" spans="1:3">
      <c r="C4" t="s">
        <v>1567</v>
      </c>
    </row>
    <row r="5" spans="1:3">
      <c r="B5" t="s">
        <v>978</v>
      </c>
    </row>
    <row r="6" spans="1:3">
      <c r="C6" t="s">
        <v>939</v>
      </c>
    </row>
    <row r="7" spans="1:3">
      <c r="C7" t="s">
        <v>940</v>
      </c>
    </row>
    <row r="8" spans="1:3">
      <c r="C8" t="s">
        <v>950</v>
      </c>
    </row>
    <row r="9" spans="1:3">
      <c r="A9" t="s">
        <v>1483</v>
      </c>
    </row>
    <row r="10" spans="1:3">
      <c r="B10" t="s">
        <v>977</v>
      </c>
    </row>
    <row r="11" spans="1:3">
      <c r="C11" t="s">
        <v>1568</v>
      </c>
    </row>
    <row r="12" spans="1:3">
      <c r="B12" t="s">
        <v>978</v>
      </c>
    </row>
    <row r="13" spans="1:3">
      <c r="C13" t="s">
        <v>939</v>
      </c>
    </row>
    <row r="14" spans="1:3">
      <c r="C14" t="s">
        <v>940</v>
      </c>
    </row>
    <row r="15" spans="1:3">
      <c r="C15" t="s">
        <v>950</v>
      </c>
    </row>
    <row r="16" spans="1:3">
      <c r="A16" t="s">
        <v>1488</v>
      </c>
    </row>
    <row r="17" spans="1:3">
      <c r="B17" t="s">
        <v>977</v>
      </c>
    </row>
    <row r="18" spans="1:3">
      <c r="C18" t="s">
        <v>1569</v>
      </c>
    </row>
    <row r="19" spans="1:3">
      <c r="B19" t="s">
        <v>978</v>
      </c>
    </row>
    <row r="20" spans="1:3">
      <c r="C20" t="s">
        <v>939</v>
      </c>
    </row>
    <row r="21" spans="1:3">
      <c r="C21" t="s">
        <v>940</v>
      </c>
    </row>
    <row r="22" spans="1:3">
      <c r="C22" t="s">
        <v>950</v>
      </c>
    </row>
    <row r="23" spans="1:3">
      <c r="A23" t="s">
        <v>1493</v>
      </c>
    </row>
    <row r="24" spans="1:3">
      <c r="B24" t="s">
        <v>977</v>
      </c>
    </row>
    <row r="25" spans="1:3">
      <c r="C25" t="s">
        <v>1570</v>
      </c>
    </row>
    <row r="26" spans="1:3">
      <c r="B26" t="s">
        <v>978</v>
      </c>
    </row>
    <row r="27" spans="1:3">
      <c r="C27" t="s">
        <v>939</v>
      </c>
    </row>
    <row r="28" spans="1:3">
      <c r="C28" t="s">
        <v>940</v>
      </c>
    </row>
    <row r="29" spans="1:3">
      <c r="C29" t="s">
        <v>950</v>
      </c>
    </row>
    <row r="30" spans="1:3">
      <c r="A30" t="s">
        <v>1498</v>
      </c>
    </row>
    <row r="31" spans="1:3">
      <c r="B31" t="s">
        <v>977</v>
      </c>
    </row>
    <row r="32" spans="1:3">
      <c r="C32" t="s">
        <v>1571</v>
      </c>
    </row>
    <row r="33" spans="1:3">
      <c r="B33" t="s">
        <v>978</v>
      </c>
    </row>
    <row r="34" spans="1:3">
      <c r="C34" t="s">
        <v>939</v>
      </c>
    </row>
    <row r="35" spans="1:3">
      <c r="C35" t="s">
        <v>940</v>
      </c>
    </row>
    <row r="36" spans="1:3">
      <c r="C36" t="s">
        <v>950</v>
      </c>
    </row>
    <row r="37" spans="1:3">
      <c r="A37" t="s">
        <v>1503</v>
      </c>
    </row>
    <row r="38" spans="1:3">
      <c r="B38" t="s">
        <v>977</v>
      </c>
    </row>
    <row r="39" spans="1:3">
      <c r="C39" t="s">
        <v>1285</v>
      </c>
    </row>
    <row r="40" spans="1:3">
      <c r="B40" t="s">
        <v>978</v>
      </c>
    </row>
    <row r="41" spans="1:3">
      <c r="C41" t="s">
        <v>803</v>
      </c>
    </row>
    <row r="42" spans="1:3">
      <c r="A42" t="s">
        <v>1479</v>
      </c>
    </row>
    <row r="43" spans="1:3">
      <c r="B43" t="s">
        <v>977</v>
      </c>
    </row>
    <row r="44" spans="1:3">
      <c r="C44" t="s">
        <v>1567</v>
      </c>
    </row>
    <row r="45" spans="1:3">
      <c r="B45" t="s">
        <v>978</v>
      </c>
    </row>
    <row r="46" spans="1:3">
      <c r="C46" t="s">
        <v>938</v>
      </c>
    </row>
    <row r="47" spans="1:3">
      <c r="C47" t="s">
        <v>939</v>
      </c>
    </row>
    <row r="48" spans="1:3">
      <c r="A48" t="s">
        <v>1484</v>
      </c>
    </row>
    <row r="49" spans="1:3">
      <c r="B49" t="s">
        <v>977</v>
      </c>
    </row>
    <row r="50" spans="1:3">
      <c r="C50" t="s">
        <v>1568</v>
      </c>
    </row>
    <row r="51" spans="1:3">
      <c r="B51" t="s">
        <v>978</v>
      </c>
    </row>
    <row r="52" spans="1:3">
      <c r="C52" t="s">
        <v>938</v>
      </c>
    </row>
    <row r="53" spans="1:3">
      <c r="C53" t="s">
        <v>939</v>
      </c>
    </row>
    <row r="54" spans="1:3">
      <c r="A54" t="s">
        <v>1494</v>
      </c>
    </row>
    <row r="55" spans="1:3">
      <c r="B55" t="s">
        <v>977</v>
      </c>
    </row>
    <row r="56" spans="1:3">
      <c r="C56" t="s">
        <v>1570</v>
      </c>
    </row>
    <row r="57" spans="1:3">
      <c r="B57" t="s">
        <v>978</v>
      </c>
    </row>
    <row r="58" spans="1:3">
      <c r="C58" t="s">
        <v>938</v>
      </c>
    </row>
    <row r="59" spans="1:3">
      <c r="C59" t="s">
        <v>939</v>
      </c>
    </row>
    <row r="60" spans="1:3">
      <c r="A60" t="s">
        <v>1499</v>
      </c>
    </row>
    <row r="61" spans="1:3">
      <c r="B61" t="s">
        <v>977</v>
      </c>
    </row>
    <row r="62" spans="1:3">
      <c r="C62" t="s">
        <v>1571</v>
      </c>
    </row>
    <row r="63" spans="1:3">
      <c r="B63" t="s">
        <v>978</v>
      </c>
    </row>
    <row r="64" spans="1:3">
      <c r="C64" t="s">
        <v>938</v>
      </c>
    </row>
    <row r="65" spans="1:3">
      <c r="C65" t="s">
        <v>939</v>
      </c>
    </row>
    <row r="66" spans="1:3">
      <c r="A66" t="s">
        <v>1475</v>
      </c>
    </row>
    <row r="67" spans="1:3">
      <c r="B67" t="s">
        <v>977</v>
      </c>
    </row>
    <row r="68" spans="1:3">
      <c r="C68" t="s">
        <v>1572</v>
      </c>
    </row>
    <row r="69" spans="1:3">
      <c r="B69" t="s">
        <v>978</v>
      </c>
    </row>
    <row r="70" spans="1:3">
      <c r="C70" t="s">
        <v>937</v>
      </c>
    </row>
    <row r="71" spans="1:3">
      <c r="C71" t="s">
        <v>938</v>
      </c>
    </row>
    <row r="72" spans="1:3">
      <c r="C72" t="s">
        <v>939</v>
      </c>
    </row>
    <row r="73" spans="1:3">
      <c r="C73" t="s">
        <v>940</v>
      </c>
    </row>
    <row r="74" spans="1:3">
      <c r="C74" t="s">
        <v>941</v>
      </c>
    </row>
    <row r="75" spans="1:3">
      <c r="A75" t="s">
        <v>1480</v>
      </c>
    </row>
    <row r="76" spans="1:3">
      <c r="B76" t="s">
        <v>977</v>
      </c>
    </row>
    <row r="77" spans="1:3">
      <c r="C77" t="s">
        <v>1567</v>
      </c>
    </row>
    <row r="78" spans="1:3">
      <c r="B78" t="s">
        <v>978</v>
      </c>
    </row>
    <row r="79" spans="1:3">
      <c r="C79" t="s">
        <v>937</v>
      </c>
    </row>
    <row r="80" spans="1:3">
      <c r="C80" t="s">
        <v>938</v>
      </c>
    </row>
    <row r="81" spans="1:3">
      <c r="C81" t="s">
        <v>939</v>
      </c>
    </row>
    <row r="82" spans="1:3">
      <c r="C82" t="s">
        <v>941</v>
      </c>
    </row>
    <row r="83" spans="1:3">
      <c r="A83" t="s">
        <v>1485</v>
      </c>
    </row>
    <row r="84" spans="1:3">
      <c r="B84" t="s">
        <v>977</v>
      </c>
    </row>
    <row r="85" spans="1:3">
      <c r="C85" t="s">
        <v>1568</v>
      </c>
    </row>
    <row r="86" spans="1:3">
      <c r="B86" t="s">
        <v>978</v>
      </c>
    </row>
    <row r="87" spans="1:3">
      <c r="C87" t="s">
        <v>937</v>
      </c>
    </row>
    <row r="88" spans="1:3">
      <c r="C88" t="s">
        <v>938</v>
      </c>
    </row>
    <row r="89" spans="1:3">
      <c r="C89" t="s">
        <v>939</v>
      </c>
    </row>
    <row r="90" spans="1:3">
      <c r="C90" t="s">
        <v>941</v>
      </c>
    </row>
    <row r="91" spans="1:3">
      <c r="A91" t="s">
        <v>1490</v>
      </c>
    </row>
    <row r="92" spans="1:3">
      <c r="B92" t="s">
        <v>977</v>
      </c>
    </row>
    <row r="93" spans="1:3">
      <c r="C93" t="s">
        <v>1569</v>
      </c>
    </row>
    <row r="94" spans="1:3">
      <c r="B94" t="s">
        <v>978</v>
      </c>
    </row>
    <row r="95" spans="1:3">
      <c r="C95" t="s">
        <v>937</v>
      </c>
    </row>
    <row r="96" spans="1:3">
      <c r="C96" t="s">
        <v>938</v>
      </c>
    </row>
    <row r="97" spans="1:3">
      <c r="C97" t="s">
        <v>939</v>
      </c>
    </row>
    <row r="98" spans="1:3">
      <c r="C98" t="s">
        <v>941</v>
      </c>
    </row>
    <row r="99" spans="1:3">
      <c r="A99" t="s">
        <v>1495</v>
      </c>
    </row>
    <row r="100" spans="1:3">
      <c r="B100" t="s">
        <v>977</v>
      </c>
    </row>
    <row r="101" spans="1:3">
      <c r="C101" t="s">
        <v>1570</v>
      </c>
    </row>
    <row r="102" spans="1:3">
      <c r="B102" t="s">
        <v>978</v>
      </c>
    </row>
    <row r="103" spans="1:3">
      <c r="C103" t="s">
        <v>937</v>
      </c>
    </row>
    <row r="104" spans="1:3">
      <c r="C104" t="s">
        <v>938</v>
      </c>
    </row>
    <row r="105" spans="1:3">
      <c r="C105" t="s">
        <v>939</v>
      </c>
    </row>
    <row r="106" spans="1:3">
      <c r="C106" t="s">
        <v>941</v>
      </c>
    </row>
    <row r="107" spans="1:3">
      <c r="A107" t="s">
        <v>1500</v>
      </c>
    </row>
    <row r="108" spans="1:3">
      <c r="B108" t="s">
        <v>977</v>
      </c>
    </row>
    <row r="109" spans="1:3">
      <c r="C109" t="s">
        <v>1571</v>
      </c>
    </row>
    <row r="110" spans="1:3">
      <c r="B110" t="s">
        <v>978</v>
      </c>
    </row>
    <row r="111" spans="1:3">
      <c r="C111" t="s">
        <v>937</v>
      </c>
    </row>
    <row r="112" spans="1:3">
      <c r="C112" t="s">
        <v>938</v>
      </c>
    </row>
    <row r="113" spans="1:3">
      <c r="C113" t="s">
        <v>939</v>
      </c>
    </row>
    <row r="114" spans="1:3">
      <c r="C114" t="s">
        <v>941</v>
      </c>
    </row>
    <row r="115" spans="1:3">
      <c r="A115" t="s">
        <v>1507</v>
      </c>
    </row>
    <row r="116" spans="1:3">
      <c r="B116" t="s">
        <v>977</v>
      </c>
    </row>
    <row r="117" spans="1:3">
      <c r="C117" t="s">
        <v>1283</v>
      </c>
    </row>
    <row r="118" spans="1:3">
      <c r="B118" t="s">
        <v>978</v>
      </c>
    </row>
    <row r="119" spans="1:3">
      <c r="C119" t="s">
        <v>889</v>
      </c>
    </row>
    <row r="120" spans="1:3">
      <c r="A120" t="s">
        <v>1505</v>
      </c>
    </row>
    <row r="121" spans="1:3">
      <c r="B121" t="s">
        <v>977</v>
      </c>
    </row>
    <row r="122" spans="1:3">
      <c r="C122" t="s">
        <v>1284</v>
      </c>
    </row>
    <row r="123" spans="1:3">
      <c r="B123" t="s">
        <v>978</v>
      </c>
    </row>
    <row r="124" spans="1:3">
      <c r="C124" t="s">
        <v>942</v>
      </c>
    </row>
    <row r="125" spans="1:3">
      <c r="C125" t="s">
        <v>943</v>
      </c>
    </row>
    <row r="126" spans="1:3">
      <c r="C126" t="s">
        <v>944</v>
      </c>
    </row>
    <row r="127" spans="1:3">
      <c r="C127" t="s">
        <v>949</v>
      </c>
    </row>
    <row r="128" spans="1:3">
      <c r="C128" t="s">
        <v>950</v>
      </c>
    </row>
    <row r="129" spans="1:3">
      <c r="A129" t="s">
        <v>1504</v>
      </c>
    </row>
    <row r="130" spans="1:3">
      <c r="B130" t="s">
        <v>977</v>
      </c>
    </row>
    <row r="131" spans="1:3">
      <c r="C131" t="s">
        <v>1284</v>
      </c>
    </row>
    <row r="132" spans="1:3">
      <c r="B132" t="s">
        <v>978</v>
      </c>
    </row>
    <row r="133" spans="1:3">
      <c r="C133" t="s">
        <v>942</v>
      </c>
    </row>
    <row r="134" spans="1:3">
      <c r="C134" t="s">
        <v>943</v>
      </c>
    </row>
    <row r="135" spans="1:3">
      <c r="C135" t="s">
        <v>944</v>
      </c>
    </row>
    <row r="136" spans="1:3">
      <c r="C136" t="s">
        <v>949</v>
      </c>
    </row>
    <row r="137" spans="1:3">
      <c r="C137" t="s">
        <v>950</v>
      </c>
    </row>
    <row r="138" spans="1:3">
      <c r="A138" t="s">
        <v>1476</v>
      </c>
    </row>
    <row r="139" spans="1:3">
      <c r="B139" t="s">
        <v>977</v>
      </c>
    </row>
    <row r="140" spans="1:3">
      <c r="C140" t="s">
        <v>1572</v>
      </c>
    </row>
    <row r="141" spans="1:3">
      <c r="B141" t="s">
        <v>978</v>
      </c>
    </row>
    <row r="142" spans="1:3">
      <c r="C142" t="s">
        <v>939</v>
      </c>
    </row>
    <row r="143" spans="1:3">
      <c r="C143" t="s">
        <v>945</v>
      </c>
    </row>
    <row r="144" spans="1:3">
      <c r="C144" t="s">
        <v>946</v>
      </c>
    </row>
    <row r="145" spans="1:3">
      <c r="C145" t="s">
        <v>947</v>
      </c>
    </row>
    <row r="146" spans="1:3">
      <c r="C146" t="s">
        <v>948</v>
      </c>
    </row>
    <row r="147" spans="1:3">
      <c r="C147" t="s">
        <v>949</v>
      </c>
    </row>
    <row r="148" spans="1:3">
      <c r="C148" t="s">
        <v>950</v>
      </c>
    </row>
    <row r="149" spans="1:3">
      <c r="A149" t="s">
        <v>1481</v>
      </c>
    </row>
    <row r="150" spans="1:3">
      <c r="B150" t="s">
        <v>977</v>
      </c>
    </row>
    <row r="151" spans="1:3">
      <c r="C151" t="s">
        <v>1567</v>
      </c>
    </row>
    <row r="152" spans="1:3">
      <c r="B152" t="s">
        <v>978</v>
      </c>
    </row>
    <row r="153" spans="1:3">
      <c r="C153" t="s">
        <v>939</v>
      </c>
    </row>
    <row r="154" spans="1:3">
      <c r="C154" t="s">
        <v>945</v>
      </c>
    </row>
    <row r="155" spans="1:3">
      <c r="C155" t="s">
        <v>946</v>
      </c>
    </row>
    <row r="156" spans="1:3">
      <c r="C156" t="s">
        <v>947</v>
      </c>
    </row>
    <row r="157" spans="1:3">
      <c r="C157" t="s">
        <v>948</v>
      </c>
    </row>
    <row r="158" spans="1:3">
      <c r="C158" t="s">
        <v>949</v>
      </c>
    </row>
    <row r="159" spans="1:3">
      <c r="C159" t="s">
        <v>950</v>
      </c>
    </row>
    <row r="160" spans="1:3">
      <c r="A160" t="s">
        <v>1486</v>
      </c>
    </row>
    <row r="161" spans="1:3">
      <c r="B161" t="s">
        <v>977</v>
      </c>
    </row>
    <row r="162" spans="1:3">
      <c r="C162" t="s">
        <v>1568</v>
      </c>
    </row>
    <row r="163" spans="1:3">
      <c r="B163" t="s">
        <v>978</v>
      </c>
    </row>
    <row r="164" spans="1:3">
      <c r="C164" t="s">
        <v>939</v>
      </c>
    </row>
    <row r="165" spans="1:3">
      <c r="C165" t="s">
        <v>945</v>
      </c>
    </row>
    <row r="166" spans="1:3">
      <c r="C166" t="s">
        <v>946</v>
      </c>
    </row>
    <row r="167" spans="1:3">
      <c r="C167" t="s">
        <v>947</v>
      </c>
    </row>
    <row r="168" spans="1:3">
      <c r="C168" t="s">
        <v>948</v>
      </c>
    </row>
    <row r="169" spans="1:3">
      <c r="C169" t="s">
        <v>949</v>
      </c>
    </row>
    <row r="170" spans="1:3">
      <c r="C170" t="s">
        <v>950</v>
      </c>
    </row>
    <row r="171" spans="1:3">
      <c r="A171" t="s">
        <v>1491</v>
      </c>
    </row>
    <row r="172" spans="1:3">
      <c r="B172" t="s">
        <v>977</v>
      </c>
    </row>
    <row r="173" spans="1:3">
      <c r="C173" t="s">
        <v>1569</v>
      </c>
    </row>
    <row r="174" spans="1:3">
      <c r="B174" t="s">
        <v>978</v>
      </c>
    </row>
    <row r="175" spans="1:3">
      <c r="C175" t="s">
        <v>939</v>
      </c>
    </row>
    <row r="176" spans="1:3">
      <c r="C176" t="s">
        <v>945</v>
      </c>
    </row>
    <row r="177" spans="1:3">
      <c r="C177" t="s">
        <v>946</v>
      </c>
    </row>
    <row r="178" spans="1:3">
      <c r="C178" t="s">
        <v>947</v>
      </c>
    </row>
    <row r="179" spans="1:3">
      <c r="C179" t="s">
        <v>948</v>
      </c>
    </row>
    <row r="180" spans="1:3">
      <c r="C180" t="s">
        <v>949</v>
      </c>
    </row>
    <row r="181" spans="1:3">
      <c r="C181" t="s">
        <v>950</v>
      </c>
    </row>
    <row r="182" spans="1:3">
      <c r="A182" t="s">
        <v>1496</v>
      </c>
    </row>
    <row r="183" spans="1:3">
      <c r="B183" t="s">
        <v>977</v>
      </c>
    </row>
    <row r="184" spans="1:3">
      <c r="C184" t="s">
        <v>1570</v>
      </c>
    </row>
    <row r="185" spans="1:3">
      <c r="B185" t="s">
        <v>978</v>
      </c>
    </row>
    <row r="186" spans="1:3">
      <c r="C186" t="s">
        <v>939</v>
      </c>
    </row>
    <row r="187" spans="1:3">
      <c r="C187" t="s">
        <v>945</v>
      </c>
    </row>
    <row r="188" spans="1:3">
      <c r="C188" t="s">
        <v>946</v>
      </c>
    </row>
    <row r="189" spans="1:3">
      <c r="C189" t="s">
        <v>947</v>
      </c>
    </row>
    <row r="190" spans="1:3">
      <c r="C190" t="s">
        <v>948</v>
      </c>
    </row>
    <row r="191" spans="1:3">
      <c r="C191" t="s">
        <v>949</v>
      </c>
    </row>
    <row r="192" spans="1:3">
      <c r="C192" t="s">
        <v>950</v>
      </c>
    </row>
    <row r="193" spans="1:3">
      <c r="A193" t="s">
        <v>1501</v>
      </c>
    </row>
    <row r="194" spans="1:3">
      <c r="B194" t="s">
        <v>977</v>
      </c>
    </row>
    <row r="195" spans="1:3">
      <c r="C195" t="s">
        <v>1571</v>
      </c>
    </row>
    <row r="196" spans="1:3">
      <c r="B196" t="s">
        <v>978</v>
      </c>
    </row>
    <row r="197" spans="1:3">
      <c r="C197" t="s">
        <v>939</v>
      </c>
    </row>
    <row r="198" spans="1:3">
      <c r="C198" t="s">
        <v>945</v>
      </c>
    </row>
    <row r="199" spans="1:3">
      <c r="C199" t="s">
        <v>946</v>
      </c>
    </row>
    <row r="200" spans="1:3">
      <c r="C200" t="s">
        <v>947</v>
      </c>
    </row>
    <row r="201" spans="1:3">
      <c r="C201" t="s">
        <v>948</v>
      </c>
    </row>
    <row r="202" spans="1:3">
      <c r="C202" t="s">
        <v>949</v>
      </c>
    </row>
    <row r="203" spans="1:3">
      <c r="C203" t="s">
        <v>950</v>
      </c>
    </row>
    <row r="204" spans="1:3">
      <c r="A204" t="s">
        <v>1477</v>
      </c>
    </row>
    <row r="205" spans="1:3">
      <c r="B205" t="s">
        <v>977</v>
      </c>
    </row>
    <row r="206" spans="1:3">
      <c r="C206" t="s">
        <v>1572</v>
      </c>
    </row>
    <row r="207" spans="1:3">
      <c r="B207" t="s">
        <v>978</v>
      </c>
    </row>
    <row r="208" spans="1:3">
      <c r="C208" t="s">
        <v>939</v>
      </c>
    </row>
    <row r="209" spans="1:3">
      <c r="C209" t="s">
        <v>941</v>
      </c>
    </row>
    <row r="210" spans="1:3">
      <c r="A210" t="s">
        <v>1482</v>
      </c>
    </row>
    <row r="211" spans="1:3">
      <c r="B211" t="s">
        <v>977</v>
      </c>
    </row>
    <row r="212" spans="1:3">
      <c r="C212" t="s">
        <v>1567</v>
      </c>
    </row>
    <row r="213" spans="1:3">
      <c r="B213" t="s">
        <v>978</v>
      </c>
    </row>
    <row r="214" spans="1:3">
      <c r="C214" t="s">
        <v>939</v>
      </c>
    </row>
    <row r="215" spans="1:3">
      <c r="C215" t="s">
        <v>941</v>
      </c>
    </row>
    <row r="216" spans="1:3">
      <c r="A216" t="s">
        <v>1487</v>
      </c>
    </row>
    <row r="217" spans="1:3">
      <c r="B217" t="s">
        <v>977</v>
      </c>
    </row>
    <row r="218" spans="1:3">
      <c r="C218" t="s">
        <v>1568</v>
      </c>
    </row>
    <row r="219" spans="1:3">
      <c r="B219" t="s">
        <v>978</v>
      </c>
    </row>
    <row r="220" spans="1:3">
      <c r="C220" t="s">
        <v>939</v>
      </c>
    </row>
    <row r="221" spans="1:3">
      <c r="C221" t="s">
        <v>941</v>
      </c>
    </row>
    <row r="222" spans="1:3">
      <c r="A222" t="s">
        <v>1492</v>
      </c>
    </row>
    <row r="223" spans="1:3">
      <c r="B223" t="s">
        <v>977</v>
      </c>
    </row>
    <row r="224" spans="1:3">
      <c r="C224" t="s">
        <v>1569</v>
      </c>
    </row>
    <row r="225" spans="1:3">
      <c r="B225" t="s">
        <v>978</v>
      </c>
    </row>
    <row r="226" spans="1:3">
      <c r="C226" t="s">
        <v>939</v>
      </c>
    </row>
    <row r="227" spans="1:3">
      <c r="C227" t="s">
        <v>941</v>
      </c>
    </row>
    <row r="228" spans="1:3">
      <c r="A228" t="s">
        <v>1497</v>
      </c>
    </row>
    <row r="229" spans="1:3">
      <c r="B229" t="s">
        <v>977</v>
      </c>
    </row>
    <row r="230" spans="1:3">
      <c r="C230" t="s">
        <v>1570</v>
      </c>
    </row>
    <row r="231" spans="1:3">
      <c r="B231" t="s">
        <v>978</v>
      </c>
    </row>
    <row r="232" spans="1:3">
      <c r="C232" t="s">
        <v>939</v>
      </c>
    </row>
    <row r="233" spans="1:3">
      <c r="C233" t="s">
        <v>941</v>
      </c>
    </row>
    <row r="234" spans="1:3">
      <c r="A234" t="s">
        <v>1502</v>
      </c>
    </row>
    <row r="235" spans="1:3">
      <c r="B235" t="s">
        <v>977</v>
      </c>
    </row>
    <row r="236" spans="1:3">
      <c r="C236" t="s">
        <v>1571</v>
      </c>
    </row>
    <row r="237" spans="1:3">
      <c r="B237" t="s">
        <v>978</v>
      </c>
    </row>
    <row r="238" spans="1:3">
      <c r="C238" t="s">
        <v>939</v>
      </c>
    </row>
    <row r="239" spans="1:3">
      <c r="C239" t="s">
        <v>941</v>
      </c>
    </row>
    <row r="240" spans="1:3">
      <c r="A240" t="s">
        <v>1506</v>
      </c>
    </row>
    <row r="241" spans="1:3">
      <c r="B241" t="s">
        <v>977</v>
      </c>
    </row>
    <row r="242" spans="1:3">
      <c r="C242" t="s">
        <v>1282</v>
      </c>
    </row>
    <row r="243" spans="1:3">
      <c r="B243" t="s">
        <v>978</v>
      </c>
    </row>
    <row r="244" spans="1:3">
      <c r="C244" t="s">
        <v>805</v>
      </c>
    </row>
    <row r="245" spans="1:3">
      <c r="A245" t="s">
        <v>1489</v>
      </c>
    </row>
    <row r="246" spans="1:3">
      <c r="B246" t="s">
        <v>977</v>
      </c>
    </row>
    <row r="247" spans="1:3">
      <c r="C247" t="s">
        <v>1569</v>
      </c>
    </row>
    <row r="248" spans="1:3">
      <c r="B248" t="s">
        <v>978</v>
      </c>
    </row>
    <row r="249" spans="1:3">
      <c r="C249" t="s">
        <v>938</v>
      </c>
    </row>
    <row r="250" spans="1:3">
      <c r="C250" t="s">
        <v>939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88" zoomScale="85" zoomScaleNormal="85" workbookViewId="0">
      <selection activeCell="B97" sqref="B97"/>
    </sheetView>
  </sheetViews>
  <sheetFormatPr defaultColWidth="8.7265625" defaultRowHeight="14.5"/>
  <cols>
    <col min="1" max="1" width="40.54296875" style="12" customWidth="1"/>
    <col min="2" max="2" width="64.54296875" style="12" customWidth="1"/>
    <col min="3" max="7" width="25.81640625" style="136" customWidth="1"/>
    <col min="8" max="8" width="12.81640625" style="136" customWidth="1"/>
    <col min="9" max="9" width="36" style="136" customWidth="1"/>
    <col min="10" max="10" width="13.54296875" style="136" customWidth="1"/>
    <col min="11" max="12" width="8.7265625" style="136"/>
    <col min="13" max="13" width="14.81640625" style="136" customWidth="1"/>
    <col min="14" max="21" width="8.7265625" style="136"/>
    <col min="22" max="23" width="12.1796875" style="136" customWidth="1"/>
    <col min="24" max="24" width="20" style="12" customWidth="1"/>
    <col min="25" max="16384" width="8.7265625" style="12"/>
  </cols>
  <sheetData>
    <row r="1" spans="1:3">
      <c r="A1" s="16" t="s">
        <v>815</v>
      </c>
      <c r="B1" s="18"/>
    </row>
    <row r="2" spans="1:3">
      <c r="A2" s="33" t="s">
        <v>816</v>
      </c>
      <c r="B2" s="34"/>
      <c r="C2" s="35" t="str">
        <f>HYPERLINK(_xlfn.CONCAT("https://cmmiinstitute.com/appraisals-sys/appraisals/",Planning!$B$16,"/name-and-type"))</f>
        <v>https://cmmiinstitute.com/appraisals-sys/appraisals/54321/name-and-type</v>
      </c>
    </row>
    <row r="3" spans="1:3">
      <c r="A3" s="12" t="s">
        <v>760</v>
      </c>
      <c r="B3" s="110" t="str">
        <f>Planning!B15</f>
        <v>D5406 (A5) ShortName - Shenzhen (Q1) 2021</v>
      </c>
      <c r="C3" s="136" t="s">
        <v>1024</v>
      </c>
    </row>
    <row r="4" spans="1:3">
      <c r="A4" s="12" t="s">
        <v>444</v>
      </c>
      <c r="B4" s="110" t="str">
        <f>Planning!B9</f>
        <v>(UTC+08:00) Beijing, Chongqing, Hong Kong, Urumqi</v>
      </c>
      <c r="C4" s="136" t="s">
        <v>1024</v>
      </c>
    </row>
    <row r="5" spans="1:3">
      <c r="A5" s="12" t="s">
        <v>445</v>
      </c>
      <c r="B5" s="21" t="str">
        <f>'Agreement 3'!B45</f>
        <v>Demix (Pty) Ltd</v>
      </c>
      <c r="C5" s="136" t="s">
        <v>1075</v>
      </c>
    </row>
    <row r="6" spans="1:3" ht="90.65" customHeight="1">
      <c r="A6" s="12" t="s">
        <v>446</v>
      </c>
      <c r="B6" s="109" t="str">
        <f>_xlfn.CONCAT(Planning!B41,CHAR(13),CHAR(10),Planning!B53)</f>
        <v>Sales of 138 million, software revenue increased by 5%. Profit increased by 3%, product market share reached 25%, and productivity increased by 5%_x000D_
[A1]: In support of the business objectives, understand the current strength and weaknesses of the CMMI maturity level 5 practices within the organisation [B1].</v>
      </c>
      <c r="C6" s="136" t="s">
        <v>1024</v>
      </c>
    </row>
    <row r="7" spans="1:3">
      <c r="A7" s="12" t="s">
        <v>447</v>
      </c>
      <c r="B7" s="12" t="s">
        <v>394</v>
      </c>
    </row>
    <row r="8" spans="1:3">
      <c r="A8" s="12" t="s">
        <v>448</v>
      </c>
      <c r="B8" s="12" t="s">
        <v>640</v>
      </c>
    </row>
    <row r="9" spans="1:3" ht="29">
      <c r="A9" s="12" t="s">
        <v>776</v>
      </c>
      <c r="B9" s="12" t="s">
        <v>640</v>
      </c>
    </row>
    <row r="10" spans="1:3" ht="29">
      <c r="A10" s="12" t="s">
        <v>875</v>
      </c>
      <c r="B10" s="12" t="s">
        <v>640</v>
      </c>
    </row>
    <row r="11" spans="1:3">
      <c r="A11" s="12" t="s">
        <v>876</v>
      </c>
      <c r="B11" s="12" t="s">
        <v>640</v>
      </c>
    </row>
    <row r="12" spans="1:3" ht="43.5">
      <c r="A12" s="12" t="s">
        <v>874</v>
      </c>
      <c r="B12" s="12" t="s">
        <v>1356</v>
      </c>
    </row>
    <row r="14" spans="1:3">
      <c r="A14" s="16" t="s">
        <v>395</v>
      </c>
      <c r="B14" s="18"/>
    </row>
    <row r="15" spans="1:3">
      <c r="A15" s="33" t="s">
        <v>818</v>
      </c>
      <c r="B15" s="34"/>
      <c r="C15" s="35" t="str">
        <f>HYPERLINK(_xlfn.CONCAT("https://cmmiinstitute.com/appraisals-sys/appraisals/",Planning!$B$16,"/organizations"))</f>
        <v>https://cmmiinstitute.com/appraisals-sys/appraisals/54321/organizations</v>
      </c>
    </row>
    <row r="16" spans="1:3">
      <c r="A16" s="12" t="s">
        <v>19</v>
      </c>
      <c r="B16" s="86" t="str">
        <f>'Agreement 3'!B34</f>
        <v>Company Full Name Ltd.</v>
      </c>
      <c r="C16" s="136" t="s">
        <v>1075</v>
      </c>
    </row>
    <row r="17" spans="1:23">
      <c r="A17" s="12" t="s">
        <v>36</v>
      </c>
      <c r="B17" s="86" t="str">
        <f>StartupInfo!B4</f>
        <v>公司名</v>
      </c>
      <c r="C17" s="136" t="s">
        <v>1012</v>
      </c>
    </row>
    <row r="18" spans="1:23">
      <c r="A18" s="12" t="s">
        <v>37</v>
      </c>
      <c r="B18" s="85" t="str">
        <f>StartupInfo!B5</f>
        <v>Room 1, West Block, High-Tech Plaza</v>
      </c>
      <c r="C18" s="136" t="s">
        <v>1012</v>
      </c>
      <c r="D18" s="136" t="s">
        <v>1022</v>
      </c>
    </row>
    <row r="19" spans="1:23">
      <c r="A19" s="12" t="s">
        <v>38</v>
      </c>
      <c r="B19" s="85" t="str">
        <f>StartupInfo!B6</f>
        <v>Some Street, Some District</v>
      </c>
      <c r="C19" s="136" t="s">
        <v>1012</v>
      </c>
    </row>
    <row r="20" spans="1:23">
      <c r="A20" s="12" t="s">
        <v>39</v>
      </c>
      <c r="B20" s="85" t="str">
        <f>StartupInfo!B7</f>
        <v>Shenzhen</v>
      </c>
      <c r="C20" s="136" t="s">
        <v>1012</v>
      </c>
    </row>
    <row r="21" spans="1:23">
      <c r="A21" s="12" t="s">
        <v>40</v>
      </c>
      <c r="B21" s="86" t="str">
        <f>StartupInfo!B8</f>
        <v>Guangdong</v>
      </c>
      <c r="C21" s="136" t="s">
        <v>1012</v>
      </c>
    </row>
    <row r="22" spans="1:23">
      <c r="A22" s="12" t="s">
        <v>41</v>
      </c>
      <c r="B22" s="85">
        <f>StartupInfo!B9</f>
        <v>200080</v>
      </c>
      <c r="C22" s="136" t="s">
        <v>1012</v>
      </c>
    </row>
    <row r="23" spans="1:23">
      <c r="A23" s="12" t="s">
        <v>23</v>
      </c>
      <c r="B23" s="85" t="str">
        <f>StartupInfo!B10</f>
        <v>China</v>
      </c>
      <c r="C23" s="136" t="s">
        <v>1012</v>
      </c>
    </row>
    <row r="24" spans="1:23">
      <c r="A24" s="12" t="s">
        <v>296</v>
      </c>
      <c r="B24" s="87" t="str">
        <f>StartupInfo!B12</f>
        <v>http://www.companyWebSite.com</v>
      </c>
      <c r="C24" s="136" t="s">
        <v>1012</v>
      </c>
    </row>
    <row r="25" spans="1:23">
      <c r="A25" s="12" t="s">
        <v>297</v>
      </c>
      <c r="B25" s="12" t="s">
        <v>766</v>
      </c>
    </row>
    <row r="26" spans="1:23">
      <c r="A26" s="12" t="s">
        <v>298</v>
      </c>
      <c r="B26" s="85" t="str">
        <f>StartupInfo!B23</f>
        <v>(O-84) Public administration and defence; compulsory social security</v>
      </c>
      <c r="C26" s="136" t="s">
        <v>1012</v>
      </c>
    </row>
    <row r="28" spans="1:23" customFormat="1">
      <c r="A28" s="19" t="s">
        <v>621</v>
      </c>
      <c r="C28" s="136"/>
      <c r="D28" s="136"/>
      <c r="E28" s="136"/>
      <c r="F28" s="136"/>
      <c r="G28" s="136"/>
      <c r="H28" s="136"/>
      <c r="I28" s="136"/>
      <c r="J28" s="136"/>
      <c r="K28" s="136"/>
      <c r="L28" s="136"/>
      <c r="M28" s="136"/>
      <c r="N28" s="136"/>
      <c r="O28" s="136"/>
      <c r="P28" s="136"/>
      <c r="Q28" s="136"/>
      <c r="R28" s="136"/>
      <c r="S28" s="136"/>
      <c r="T28" s="136"/>
      <c r="U28" s="136"/>
      <c r="V28" s="136"/>
      <c r="W28" s="136"/>
    </row>
    <row r="29" spans="1:23" customFormat="1">
      <c r="C29" s="136"/>
      <c r="D29" s="136"/>
      <c r="E29" s="136"/>
      <c r="F29" s="136"/>
      <c r="G29" s="136"/>
      <c r="H29" s="136"/>
      <c r="I29" s="136"/>
      <c r="J29" s="136"/>
      <c r="K29" s="136"/>
      <c r="L29" s="136"/>
      <c r="M29" s="136"/>
      <c r="N29" s="136"/>
      <c r="O29" s="136"/>
      <c r="P29" s="136"/>
      <c r="Q29" s="136"/>
      <c r="R29" s="136"/>
      <c r="S29" s="136"/>
      <c r="T29" s="136"/>
      <c r="U29" s="136"/>
      <c r="V29" s="136"/>
      <c r="W29" s="136"/>
    </row>
    <row r="30" spans="1:23">
      <c r="A30" s="33" t="s">
        <v>819</v>
      </c>
      <c r="B30" s="34"/>
      <c r="C30" s="35" t="str">
        <f>HYPERLINK(_xlfn.CONCAT("https://cmmiinstitute.com/appraisals-sys/appraisals/",Planning!$B$16,"/org-units"))</f>
        <v>https://cmmiinstitute.com/appraisals-sys/appraisals/54321/org-units</v>
      </c>
    </row>
    <row r="31" spans="1:23">
      <c r="A31" s="12" t="s">
        <v>19</v>
      </c>
      <c r="B31" s="110" t="str">
        <f>IF(StartupInfo!B19="","",StartupInfo!B19)</f>
        <v>R&amp;D Center</v>
      </c>
      <c r="C31" s="136" t="s">
        <v>1012</v>
      </c>
    </row>
    <row r="32" spans="1:23">
      <c r="A32" s="12" t="s">
        <v>36</v>
      </c>
      <c r="B32" s="110" t="str">
        <f>IF(StartupInfo!B20="","",StartupInfo!B20)</f>
        <v>研发中心</v>
      </c>
      <c r="C32" s="136" t="s">
        <v>1012</v>
      </c>
    </row>
    <row r="33" spans="1:23" ht="29">
      <c r="A33" s="12" t="s">
        <v>388</v>
      </c>
      <c r="B33" s="110" t="str">
        <f>IF(StartupInfo!B21="","",StartupInfo!B21)</f>
        <v>The R&amp;D Centre is responsible for the overall research and development of the companies strategic software products.</v>
      </c>
      <c r="C33" s="136" t="s">
        <v>1012</v>
      </c>
    </row>
    <row r="34" spans="1:23" ht="101.5">
      <c r="A34" s="12" t="s">
        <v>387</v>
      </c>
      <c r="B34" s="110" t="str">
        <f>IF(StartupInfo!B22="","",StartupInfo!B22)</f>
        <v>1 Board of directors
2  President
3 R&amp;D Center
3.1 Quality Management Department
3.2 Development Department
3.3 Project Management Department
3.4 Human Resources Department</v>
      </c>
      <c r="C34" s="295" t="s">
        <v>1012</v>
      </c>
    </row>
    <row r="35" spans="1:23">
      <c r="A35" s="12" t="s">
        <v>389</v>
      </c>
      <c r="B35" s="110" t="str">
        <f>IF(StartupInfo!B4="",StartupInfo!B3,_xlfn.CONCAT(StartupInfo!B3,"(",StartupInfo!B4,")"))</f>
        <v>Company Full Name Ltd.(公司名)</v>
      </c>
      <c r="C35" s="136" t="s">
        <v>1012</v>
      </c>
    </row>
    <row r="36" spans="1:23">
      <c r="A36" s="12" t="s">
        <v>391</v>
      </c>
      <c r="B36" s="27">
        <v>1</v>
      </c>
    </row>
    <row r="37" spans="1:23">
      <c r="A37" s="12" t="s">
        <v>392</v>
      </c>
      <c r="B37" s="27">
        <v>1</v>
      </c>
    </row>
    <row r="38" spans="1:23" ht="29">
      <c r="A38" s="12" t="s">
        <v>393</v>
      </c>
      <c r="B38" s="110" t="str">
        <f>IF(StartupInfo!B24="","No","Yes")</f>
        <v>Yes</v>
      </c>
      <c r="C38" s="136" t="s">
        <v>1012</v>
      </c>
    </row>
    <row r="39" spans="1:23">
      <c r="A39" s="12" t="s">
        <v>767</v>
      </c>
      <c r="B39" s="110">
        <v>31589</v>
      </c>
      <c r="C39" s="136" t="s">
        <v>1012</v>
      </c>
    </row>
    <row r="41" spans="1:23" customFormat="1">
      <c r="A41" s="19" t="s">
        <v>621</v>
      </c>
      <c r="C41" s="136"/>
      <c r="D41" s="136"/>
      <c r="E41" s="136"/>
      <c r="F41" s="136"/>
      <c r="G41" s="136"/>
      <c r="H41" s="136"/>
      <c r="I41" s="136"/>
      <c r="J41" s="136"/>
      <c r="K41" s="136"/>
      <c r="L41" s="136"/>
      <c r="M41" s="136"/>
      <c r="N41" s="136"/>
      <c r="O41" s="136"/>
      <c r="P41" s="136"/>
      <c r="Q41" s="136"/>
      <c r="R41" s="136"/>
      <c r="S41" s="136"/>
      <c r="T41" s="136"/>
      <c r="U41" s="136"/>
      <c r="V41" s="136"/>
      <c r="W41" s="136"/>
    </row>
    <row r="42" spans="1:23" customFormat="1">
      <c r="C42" s="136"/>
      <c r="D42" s="136"/>
      <c r="E42" s="136"/>
      <c r="F42" s="136"/>
      <c r="G42" s="136"/>
      <c r="H42" s="136"/>
      <c r="I42" s="136"/>
      <c r="J42" s="136"/>
      <c r="K42" s="136"/>
      <c r="L42" s="136"/>
      <c r="M42" s="136"/>
      <c r="N42" s="136"/>
      <c r="O42" s="136"/>
      <c r="P42" s="136"/>
      <c r="Q42" s="136"/>
      <c r="R42" s="136"/>
      <c r="S42" s="136"/>
      <c r="T42" s="136"/>
      <c r="U42" s="136"/>
      <c r="V42" s="136"/>
      <c r="W42" s="136"/>
    </row>
    <row r="43" spans="1:23">
      <c r="A43" s="16" t="s">
        <v>820</v>
      </c>
      <c r="B43" s="18"/>
    </row>
    <row r="44" spans="1:23">
      <c r="A44" s="33" t="s">
        <v>821</v>
      </c>
      <c r="B44" s="34"/>
      <c r="C44" s="35" t="str">
        <f>HYPERLINK(_xlfn.CONCAT("https://cmmiinstitute.com/appraisals-sys/appraisals/",Planning!$B$16,"/timeline"))</f>
        <v>https://cmmiinstitute.com/appraisals-sys/appraisals/54321/timeline</v>
      </c>
    </row>
    <row r="46" spans="1:23">
      <c r="A46" s="15" t="s">
        <v>396</v>
      </c>
    </row>
    <row r="47" spans="1:23">
      <c r="A47" s="12" t="s">
        <v>397</v>
      </c>
      <c r="B47" s="43">
        <f>'Agreement 3'!B22</f>
        <v>44060</v>
      </c>
      <c r="C47" s="136" t="s">
        <v>1075</v>
      </c>
    </row>
    <row r="48" spans="1:23">
      <c r="A48" s="12" t="s">
        <v>398</v>
      </c>
      <c r="B48" s="43">
        <f>B63-1</f>
        <v>44246</v>
      </c>
      <c r="C48" s="136" t="s">
        <v>1076</v>
      </c>
    </row>
    <row r="50" spans="1:23">
      <c r="A50" s="37" t="s">
        <v>399</v>
      </c>
      <c r="B50" s="38"/>
      <c r="C50" s="213"/>
      <c r="D50" s="36" t="s">
        <v>877</v>
      </c>
    </row>
    <row r="51" spans="1:23">
      <c r="A51" s="38" t="s">
        <v>400</v>
      </c>
      <c r="B51" s="38" t="s">
        <v>764</v>
      </c>
      <c r="C51" s="213"/>
    </row>
    <row r="52" spans="1:23">
      <c r="A52" s="38" t="s">
        <v>401</v>
      </c>
      <c r="B52" s="39">
        <f>Planning!B21</f>
        <v>44219</v>
      </c>
      <c r="C52" s="213" t="s">
        <v>1024</v>
      </c>
    </row>
    <row r="53" spans="1:23">
      <c r="A53" s="38" t="s">
        <v>402</v>
      </c>
      <c r="B53" s="39">
        <f>B52</f>
        <v>44219</v>
      </c>
      <c r="C53" s="213" t="s">
        <v>1076</v>
      </c>
    </row>
    <row r="54" spans="1:23">
      <c r="A54" s="38"/>
      <c r="B54" s="38"/>
      <c r="C54" s="213"/>
    </row>
    <row r="55" spans="1:23">
      <c r="A55" s="38" t="s">
        <v>400</v>
      </c>
      <c r="B55" s="38" t="s">
        <v>765</v>
      </c>
      <c r="C55" s="213"/>
    </row>
    <row r="56" spans="1:23">
      <c r="A56" s="38" t="s">
        <v>401</v>
      </c>
      <c r="B56" s="39">
        <f>Planning!B24</f>
        <v>44233</v>
      </c>
      <c r="C56" s="213" t="s">
        <v>1024</v>
      </c>
    </row>
    <row r="57" spans="1:23">
      <c r="A57" s="38" t="s">
        <v>402</v>
      </c>
      <c r="B57" s="39">
        <f>B56</f>
        <v>44233</v>
      </c>
      <c r="C57" s="213" t="s">
        <v>1076</v>
      </c>
    </row>
    <row r="58" spans="1:23" customFormat="1">
      <c r="C58" s="136"/>
      <c r="D58" s="136"/>
      <c r="E58" s="136"/>
      <c r="F58" s="136"/>
      <c r="G58" s="136"/>
      <c r="H58" s="136"/>
      <c r="I58" s="136"/>
      <c r="J58" s="136"/>
      <c r="K58" s="136"/>
      <c r="L58" s="136"/>
      <c r="M58" s="136"/>
      <c r="N58" s="136"/>
      <c r="O58" s="136"/>
      <c r="P58" s="136"/>
      <c r="Q58" s="136"/>
      <c r="R58" s="136"/>
      <c r="S58" s="136"/>
      <c r="T58" s="136"/>
      <c r="U58" s="136"/>
      <c r="V58" s="136"/>
      <c r="W58" s="136"/>
    </row>
    <row r="59" spans="1:23" customFormat="1">
      <c r="A59" s="19" t="s">
        <v>621</v>
      </c>
      <c r="C59" s="136"/>
      <c r="D59" s="136"/>
      <c r="E59" s="136"/>
      <c r="F59" s="136"/>
      <c r="G59" s="136"/>
      <c r="H59" s="136"/>
      <c r="I59" s="136"/>
      <c r="J59" s="136"/>
      <c r="K59" s="136"/>
      <c r="L59" s="136"/>
      <c r="M59" s="136"/>
      <c r="N59" s="136"/>
      <c r="O59" s="136"/>
      <c r="P59" s="136"/>
      <c r="Q59" s="136"/>
      <c r="R59" s="136"/>
      <c r="S59" s="136"/>
      <c r="T59" s="136"/>
      <c r="U59" s="136"/>
      <c r="V59" s="136"/>
      <c r="W59" s="136"/>
    </row>
    <row r="60" spans="1:23" customFormat="1">
      <c r="C60" s="136"/>
      <c r="D60" s="136"/>
      <c r="E60" s="136"/>
      <c r="F60" s="136"/>
      <c r="G60" s="136"/>
      <c r="H60" s="136"/>
      <c r="I60" s="136"/>
      <c r="J60" s="136"/>
      <c r="K60" s="136"/>
      <c r="L60" s="136"/>
      <c r="M60" s="136"/>
      <c r="N60" s="136"/>
      <c r="O60" s="136"/>
      <c r="P60" s="136"/>
      <c r="Q60" s="136"/>
      <c r="R60" s="136"/>
      <c r="S60" s="136"/>
      <c r="T60" s="136"/>
      <c r="U60" s="136"/>
      <c r="V60" s="136"/>
      <c r="W60" s="136"/>
    </row>
    <row r="62" spans="1:23">
      <c r="A62" s="15" t="s">
        <v>403</v>
      </c>
    </row>
    <row r="63" spans="1:23">
      <c r="A63" s="12" t="s">
        <v>404</v>
      </c>
      <c r="B63" s="43">
        <f>Planning!B27</f>
        <v>44247</v>
      </c>
      <c r="C63" s="136" t="s">
        <v>1024</v>
      </c>
    </row>
    <row r="64" spans="1:23">
      <c r="A64" s="22" t="s">
        <v>763</v>
      </c>
      <c r="B64" s="43">
        <f>'Agreement 3'!B25</f>
        <v>44249</v>
      </c>
      <c r="C64" s="136" t="s">
        <v>1075</v>
      </c>
    </row>
    <row r="65" spans="1:25">
      <c r="A65" s="12" t="s">
        <v>405</v>
      </c>
      <c r="B65" s="43">
        <f>Planning!B33</f>
        <v>44253</v>
      </c>
      <c r="C65" s="136" t="s">
        <v>1024</v>
      </c>
    </row>
    <row r="66" spans="1:25">
      <c r="A66" s="12" t="s">
        <v>406</v>
      </c>
      <c r="B66" s="44">
        <f>Planning!B34</f>
        <v>7</v>
      </c>
      <c r="C66" s="136" t="s">
        <v>1024</v>
      </c>
    </row>
    <row r="68" spans="1:25">
      <c r="A68" s="15" t="s">
        <v>407</v>
      </c>
    </row>
    <row r="69" spans="1:25">
      <c r="A69" s="12" t="s">
        <v>408</v>
      </c>
      <c r="B69" s="43">
        <f>Planning!B36</f>
        <v>44253</v>
      </c>
      <c r="C69" s="136" t="s">
        <v>1024</v>
      </c>
    </row>
    <row r="70" spans="1:25">
      <c r="A70" s="12" t="s">
        <v>409</v>
      </c>
      <c r="B70" s="43">
        <f>Planning!B37</f>
        <v>44260</v>
      </c>
      <c r="C70" s="136" t="s">
        <v>1024</v>
      </c>
    </row>
    <row r="72" spans="1:25">
      <c r="A72" s="16" t="s">
        <v>822</v>
      </c>
      <c r="B72" s="18"/>
    </row>
    <row r="73" spans="1:25">
      <c r="A73" s="33" t="s">
        <v>823</v>
      </c>
      <c r="B73" s="34"/>
      <c r="C73" s="35" t="str">
        <f>HYPERLINK(_xlfn.CONCAT("https://cmmiinstitute.com/appraisals-sys/appraisals/",Planning!$B$16,"/org-unit-targets"))</f>
        <v>https://cmmiinstitute.com/appraisals-sys/appraisals/54321/org-unit-targets</v>
      </c>
    </row>
    <row r="75" spans="1:25">
      <c r="A75" s="12" t="s">
        <v>418</v>
      </c>
      <c r="B75" s="110" t="str">
        <f>Planning!B10</f>
        <v>Maturity Level 5</v>
      </c>
      <c r="C75" s="136" t="s">
        <v>1024</v>
      </c>
    </row>
    <row r="76" spans="1:25">
      <c r="A76" s="12" t="s">
        <v>419</v>
      </c>
      <c r="B76" s="110" t="str">
        <f>Planning!B11</f>
        <v>CMMI Development V2.0 (CMMI-DEV) without SAM</v>
      </c>
      <c r="C76" s="136" t="s">
        <v>1024</v>
      </c>
    </row>
    <row r="77" spans="1:25" ht="43.5">
      <c r="A77" s="12" t="s">
        <v>425</v>
      </c>
      <c r="B77" s="110" t="str">
        <f>IF(Planning!B12="","",Planning!B12)</f>
        <v>SAM since all software is developed inhouse.</v>
      </c>
      <c r="C77" s="136" t="s">
        <v>1024</v>
      </c>
    </row>
    <row r="78" spans="1:25">
      <c r="V78" s="35" t="s">
        <v>1317</v>
      </c>
      <c r="X78" s="12" t="s">
        <v>1288</v>
      </c>
      <c r="Y78" s="12" t="s">
        <v>1373</v>
      </c>
    </row>
    <row r="79" spans="1:25">
      <c r="A79" s="33" t="s">
        <v>824</v>
      </c>
      <c r="B79" s="34"/>
      <c r="C79" s="35"/>
      <c r="V79" s="136" t="s">
        <v>1318</v>
      </c>
    </row>
    <row r="80" spans="1:25">
      <c r="A80" s="41" t="s">
        <v>825</v>
      </c>
      <c r="B80" s="40"/>
      <c r="V80" s="136" t="s">
        <v>1319</v>
      </c>
    </row>
    <row r="82" spans="1:36">
      <c r="A82" s="16" t="s">
        <v>826</v>
      </c>
      <c r="B82" s="18"/>
    </row>
    <row r="83" spans="1:36">
      <c r="A83" s="33" t="s">
        <v>827</v>
      </c>
      <c r="B83" s="34"/>
      <c r="C83" s="35" t="str">
        <f>HYPERLINK(_xlfn.CONCAT("https://cmmiinstitute.com/appraisals-sys/appraisals/",Planning!$B$16,"/appraisal-sponsor"))</f>
        <v>https://cmmiinstitute.com/appraisals-sys/appraisals/54321/appraisal-sponsor</v>
      </c>
    </row>
    <row r="84" spans="1:36" s="136" customFormat="1">
      <c r="A84" s="218" t="s">
        <v>1156</v>
      </c>
      <c r="B84" s="218" t="s">
        <v>426</v>
      </c>
      <c r="C84" s="218" t="s">
        <v>1172</v>
      </c>
      <c r="D84" s="218" t="s">
        <v>1087</v>
      </c>
      <c r="E84" s="218" t="s">
        <v>1088</v>
      </c>
      <c r="F84" s="218" t="s">
        <v>1157</v>
      </c>
      <c r="G84" s="218" t="s">
        <v>1158</v>
      </c>
      <c r="H84" s="218" t="s">
        <v>1159</v>
      </c>
      <c r="I84" s="218" t="s">
        <v>1160</v>
      </c>
      <c r="J84" s="218" t="s">
        <v>1161</v>
      </c>
      <c r="K84" s="218" t="s">
        <v>1162</v>
      </c>
      <c r="L84" s="218" t="s">
        <v>1163</v>
      </c>
      <c r="M84" s="218" t="s">
        <v>1164</v>
      </c>
      <c r="N84" s="218"/>
      <c r="O84" s="218" t="s">
        <v>1165</v>
      </c>
      <c r="P84" s="218" t="s">
        <v>1166</v>
      </c>
      <c r="Q84" s="218" t="s">
        <v>1167</v>
      </c>
      <c r="R84" s="218" t="s">
        <v>1168</v>
      </c>
      <c r="S84" s="218" t="s">
        <v>1169</v>
      </c>
      <c r="T84" s="218" t="s">
        <v>1170</v>
      </c>
      <c r="U84" s="218" t="s">
        <v>1171</v>
      </c>
      <c r="V84" s="218" t="s">
        <v>14</v>
      </c>
      <c r="W84" s="217"/>
      <c r="X84" s="291" t="s">
        <v>1289</v>
      </c>
      <c r="Y84" s="148"/>
      <c r="Z84" s="148"/>
      <c r="AA84" s="214"/>
    </row>
    <row r="85" spans="1:36" s="17" customFormat="1">
      <c r="A85" s="17" t="s">
        <v>599</v>
      </c>
      <c r="B85" s="103" t="str">
        <f>IF('Agreement 3'!B28="","",'Agreement 3'!B28)</f>
        <v>SponseSurname, A</v>
      </c>
      <c r="C85" s="136" t="s">
        <v>1078</v>
      </c>
      <c r="D85" s="92" t="str">
        <f>IF('Agreement 3'!B16="","",'Agreement 3'!B16)</f>
        <v>Company Full Name Ltd.</v>
      </c>
      <c r="E85" s="103" t="s">
        <v>777</v>
      </c>
      <c r="F85" s="136"/>
      <c r="G85" s="136" t="s">
        <v>772</v>
      </c>
      <c r="H85" s="136" t="s">
        <v>1287</v>
      </c>
      <c r="I85" s="219" t="str">
        <f>'Agreement 3'!B30</f>
        <v>0000-1111-22222</v>
      </c>
      <c r="J85" s="136"/>
      <c r="K85" s="136"/>
      <c r="L85" s="136"/>
      <c r="M85" s="136"/>
      <c r="N85" s="136"/>
      <c r="O85" s="136"/>
      <c r="P85" s="136"/>
      <c r="Q85" s="136"/>
      <c r="R85" s="136"/>
      <c r="S85" s="136"/>
      <c r="T85" s="136"/>
      <c r="U85" s="136"/>
      <c r="V85" s="102" t="str">
        <f>IF('Agreement 3'!B31="","",'Agreement 3'!B31)</f>
        <v>sponsor@gmail.com</v>
      </c>
      <c r="W85" s="136"/>
      <c r="X85" s="58" t="s">
        <v>1288</v>
      </c>
      <c r="Y85" s="292" t="str">
        <f>IF(TRIM(X85)&lt;&gt;TRIM(V85),"CAS email different","ok")</f>
        <v>CAS email different</v>
      </c>
      <c r="Z85" s="12"/>
      <c r="AA85" s="12"/>
      <c r="AB85" s="12"/>
      <c r="AC85" s="12"/>
      <c r="AD85" s="12"/>
      <c r="AE85" s="12"/>
      <c r="AF85" s="12"/>
      <c r="AG85" s="12"/>
      <c r="AH85" s="12"/>
      <c r="AI85" s="12"/>
      <c r="AJ85" s="12"/>
    </row>
    <row r="86" spans="1:36">
      <c r="A86" s="12" t="s">
        <v>431</v>
      </c>
      <c r="B86" s="109" t="str">
        <f>IF('Agreement 3'!B33="","",'Agreement 3'!B33)</f>
        <v>SiteCoordinator, A</v>
      </c>
      <c r="C86" s="103" t="s">
        <v>1078</v>
      </c>
      <c r="D86" s="92" t="str">
        <f>IF('Agreement 3'!B34="","",'Agreement 3'!B34)</f>
        <v>Company Full Name Ltd.</v>
      </c>
      <c r="E86" s="216" t="s">
        <v>777</v>
      </c>
      <c r="F86" s="92"/>
      <c r="G86" s="92" t="s">
        <v>772</v>
      </c>
      <c r="H86" s="92"/>
      <c r="I86" s="92"/>
      <c r="J86" s="92"/>
      <c r="K86" s="92"/>
      <c r="L86" s="92"/>
      <c r="M86" s="92"/>
      <c r="N86" s="92"/>
      <c r="O86" s="92"/>
      <c r="P86" s="92"/>
      <c r="Q86" s="92"/>
      <c r="R86" s="92"/>
      <c r="S86" s="92"/>
      <c r="T86" s="92"/>
      <c r="U86" s="92"/>
      <c r="V86" s="101" t="str">
        <f>IF('Agreement 3'!B36="","",'Agreement 3'!B36)</f>
        <v>siteCoridnator@gmail.com</v>
      </c>
      <c r="W86" s="92"/>
    </row>
    <row r="87" spans="1:36">
      <c r="A87" s="12" t="s">
        <v>430</v>
      </c>
      <c r="B87" s="109" t="str">
        <f>StartupInfo!B43</f>
        <v>TranslatorSurname, A</v>
      </c>
      <c r="C87" s="103" t="s">
        <v>1075</v>
      </c>
      <c r="D87" s="103" t="str">
        <f>StartupInfo!B44</f>
        <v>tbd</v>
      </c>
      <c r="E87" s="103" t="str">
        <f>StartupInfo!B45</f>
        <v>External</v>
      </c>
      <c r="F87" s="92" t="str">
        <f>StartupInfo!B46</f>
        <v>Other</v>
      </c>
      <c r="G87" s="92" t="str">
        <f>StartupInfo!B47</f>
        <v>Reports directly to the ATL</v>
      </c>
      <c r="H87" s="136" t="s">
        <v>1377</v>
      </c>
      <c r="I87" s="103" t="str">
        <f>StartupInfo!B48</f>
        <v>tbd</v>
      </c>
      <c r="J87" s="103"/>
      <c r="K87" s="103"/>
      <c r="L87" s="103"/>
      <c r="M87" s="103"/>
      <c r="N87" s="103"/>
      <c r="O87" s="103"/>
      <c r="P87" s="103"/>
      <c r="Q87" s="103"/>
      <c r="R87" s="103"/>
      <c r="S87" s="103"/>
      <c r="T87" s="103"/>
      <c r="U87" s="103"/>
      <c r="V87" s="102" t="str">
        <f>'Agreement 3'!B42</f>
        <v>tbd</v>
      </c>
      <c r="W87" s="12"/>
      <c r="X87" s="362"/>
      <c r="Y87" s="362"/>
      <c r="Z87" s="362"/>
      <c r="AA87" s="362"/>
    </row>
    <row r="88" spans="1:36">
      <c r="Y88" s="17"/>
    </row>
    <row r="89" spans="1:36">
      <c r="A89" s="33" t="s">
        <v>828</v>
      </c>
      <c r="B89" s="34"/>
      <c r="C89" s="35" t="str">
        <f>HYPERLINK(_xlfn.CONCAT("https://cmmiinstitute.com/appraisals-sys/appraisals/",Planning!$B$16,"/appraisal-sponsor"))</f>
        <v>https://cmmiinstitute.com/appraisals-sys/appraisals/54321/appraisal-sponsor</v>
      </c>
      <c r="Y89" s="17"/>
    </row>
    <row r="90" spans="1:36" s="136" customFormat="1">
      <c r="A90" s="218" t="s">
        <v>1156</v>
      </c>
      <c r="B90" s="218" t="s">
        <v>426</v>
      </c>
      <c r="C90" s="218" t="s">
        <v>1172</v>
      </c>
      <c r="D90" s="218" t="s">
        <v>1087</v>
      </c>
      <c r="E90" s="218" t="s">
        <v>1088</v>
      </c>
      <c r="F90" s="218" t="s">
        <v>1157</v>
      </c>
      <c r="G90" s="218" t="s">
        <v>1158</v>
      </c>
      <c r="H90" s="218" t="s">
        <v>1159</v>
      </c>
      <c r="I90" s="218" t="s">
        <v>1160</v>
      </c>
      <c r="J90" s="218" t="s">
        <v>1161</v>
      </c>
      <c r="K90" s="218" t="s">
        <v>1162</v>
      </c>
      <c r="L90" s="218" t="s">
        <v>1163</v>
      </c>
      <c r="M90" s="218" t="s">
        <v>1164</v>
      </c>
      <c r="N90" s="218"/>
      <c r="O90" s="218" t="s">
        <v>1165</v>
      </c>
      <c r="P90" s="218" t="s">
        <v>1166</v>
      </c>
      <c r="Q90" s="218" t="s">
        <v>1167</v>
      </c>
      <c r="R90" s="218" t="s">
        <v>1168</v>
      </c>
      <c r="S90" s="218" t="s">
        <v>1169</v>
      </c>
      <c r="T90" s="218" t="s">
        <v>1170</v>
      </c>
      <c r="U90" s="218" t="s">
        <v>1171</v>
      </c>
      <c r="V90" s="218" t="s">
        <v>14</v>
      </c>
      <c r="W90" s="217"/>
      <c r="X90" s="148"/>
      <c r="Y90" s="148"/>
      <c r="Z90" s="148"/>
      <c r="AA90" s="214"/>
    </row>
    <row r="91" spans="1:36" s="126" customFormat="1">
      <c r="A91" s="126" t="s">
        <v>1210</v>
      </c>
      <c r="B91" s="283" t="s">
        <v>1509</v>
      </c>
      <c r="C91" s="136" t="s">
        <v>1286</v>
      </c>
      <c r="D91" s="136" t="s">
        <v>8</v>
      </c>
      <c r="E91" s="136" t="s">
        <v>1086</v>
      </c>
      <c r="F91" s="136" t="s">
        <v>1256</v>
      </c>
      <c r="G91" s="136"/>
      <c r="H91" s="136" t="s">
        <v>1042</v>
      </c>
      <c r="I91" s="136" t="s">
        <v>1510</v>
      </c>
      <c r="J91" s="136" t="s">
        <v>1173</v>
      </c>
      <c r="K91" s="136" t="s">
        <v>1174</v>
      </c>
      <c r="L91" s="136">
        <v>8</v>
      </c>
      <c r="M91" s="219">
        <v>44137</v>
      </c>
      <c r="N91" s="136"/>
      <c r="O91" s="136">
        <v>17</v>
      </c>
      <c r="P91" s="136" t="s">
        <v>432</v>
      </c>
      <c r="Q91" s="136" t="s">
        <v>1153</v>
      </c>
      <c r="R91" s="136">
        <v>13</v>
      </c>
      <c r="S91" s="136">
        <v>9</v>
      </c>
      <c r="T91" s="136" t="s">
        <v>1154</v>
      </c>
      <c r="U91" s="136" t="s">
        <v>1155</v>
      </c>
      <c r="V91" s="35" t="s">
        <v>1511</v>
      </c>
      <c r="W91" s="136"/>
      <c r="AA91" s="356"/>
    </row>
    <row r="92" spans="1:36" s="126" customFormat="1">
      <c r="A92" s="126" t="s">
        <v>1210</v>
      </c>
      <c r="B92" s="283" t="s">
        <v>1512</v>
      </c>
      <c r="C92" s="136" t="s">
        <v>1286</v>
      </c>
      <c r="D92" s="136" t="s">
        <v>8</v>
      </c>
      <c r="E92" s="136" t="s">
        <v>1086</v>
      </c>
      <c r="F92" s="136" t="s">
        <v>1256</v>
      </c>
      <c r="G92" s="136"/>
      <c r="H92" s="136" t="s">
        <v>1042</v>
      </c>
      <c r="I92" s="136" t="s">
        <v>1513</v>
      </c>
      <c r="J92" s="136" t="s">
        <v>1173</v>
      </c>
      <c r="K92" s="136"/>
      <c r="L92" s="136">
        <v>8</v>
      </c>
      <c r="M92" s="219">
        <v>44202</v>
      </c>
      <c r="N92" s="136"/>
      <c r="O92" s="136">
        <v>17</v>
      </c>
      <c r="P92" s="136" t="s">
        <v>432</v>
      </c>
      <c r="Q92" s="136" t="s">
        <v>1153</v>
      </c>
      <c r="R92" s="136">
        <v>13</v>
      </c>
      <c r="S92" s="136">
        <v>1</v>
      </c>
      <c r="T92" s="136" t="s">
        <v>1154</v>
      </c>
      <c r="U92" s="136" t="s">
        <v>1155</v>
      </c>
      <c r="V92" s="35" t="s">
        <v>1514</v>
      </c>
      <c r="W92" s="136"/>
      <c r="AA92" s="356"/>
    </row>
    <row r="93" spans="1:36" s="126" customFormat="1">
      <c r="A93" s="126" t="s">
        <v>1210</v>
      </c>
      <c r="B93" s="283" t="s">
        <v>1515</v>
      </c>
      <c r="C93" s="136" t="s">
        <v>1286</v>
      </c>
      <c r="D93" s="136" t="s">
        <v>8</v>
      </c>
      <c r="E93" s="136" t="s">
        <v>1086</v>
      </c>
      <c r="F93" s="136" t="s">
        <v>1256</v>
      </c>
      <c r="G93" s="136"/>
      <c r="H93" s="136" t="s">
        <v>1042</v>
      </c>
      <c r="I93" s="136" t="s">
        <v>1516</v>
      </c>
      <c r="J93" s="136" t="s">
        <v>1152</v>
      </c>
      <c r="K93" s="136"/>
      <c r="L93" s="136">
        <v>8</v>
      </c>
      <c r="M93" s="219">
        <v>44202</v>
      </c>
      <c r="N93" s="136"/>
      <c r="O93" s="136">
        <v>15</v>
      </c>
      <c r="P93" s="136" t="s">
        <v>432</v>
      </c>
      <c r="Q93" s="136" t="s">
        <v>1153</v>
      </c>
      <c r="R93" s="136">
        <v>16</v>
      </c>
      <c r="S93" s="136">
        <v>4</v>
      </c>
      <c r="T93" s="136" t="s">
        <v>1154</v>
      </c>
      <c r="U93" s="136" t="s">
        <v>1155</v>
      </c>
      <c r="V93" s="35" t="s">
        <v>1517</v>
      </c>
      <c r="W93" s="136"/>
      <c r="AA93" s="356"/>
    </row>
    <row r="94" spans="1:36" s="126" customFormat="1">
      <c r="A94" s="126" t="s">
        <v>1210</v>
      </c>
      <c r="B94" s="283" t="s">
        <v>1518</v>
      </c>
      <c r="C94" s="136" t="s">
        <v>1286</v>
      </c>
      <c r="D94" s="136" t="s">
        <v>8</v>
      </c>
      <c r="E94" s="136" t="s">
        <v>1086</v>
      </c>
      <c r="F94" s="136" t="s">
        <v>1256</v>
      </c>
      <c r="G94" s="136"/>
      <c r="H94" s="136" t="s">
        <v>1042</v>
      </c>
      <c r="I94" s="136" t="s">
        <v>1519</v>
      </c>
      <c r="J94" s="136" t="s">
        <v>1152</v>
      </c>
      <c r="K94" s="136"/>
      <c r="L94" s="136">
        <v>8</v>
      </c>
      <c r="M94" s="219">
        <v>44148</v>
      </c>
      <c r="N94" s="136"/>
      <c r="O94" s="136">
        <v>12</v>
      </c>
      <c r="P94" s="136" t="s">
        <v>432</v>
      </c>
      <c r="Q94" s="136" t="s">
        <v>1153</v>
      </c>
      <c r="R94" s="136">
        <v>19</v>
      </c>
      <c r="S94" s="136">
        <v>5</v>
      </c>
      <c r="T94" s="136" t="s">
        <v>1154</v>
      </c>
      <c r="U94" s="136" t="s">
        <v>1155</v>
      </c>
      <c r="V94" s="35" t="s">
        <v>1520</v>
      </c>
      <c r="W94" s="136"/>
      <c r="AA94" s="356"/>
    </row>
    <row r="95" spans="1:36" s="126" customFormat="1">
      <c r="A95" s="126" t="s">
        <v>1210</v>
      </c>
      <c r="B95" s="283" t="s">
        <v>1521</v>
      </c>
      <c r="C95" s="136" t="s">
        <v>1286</v>
      </c>
      <c r="D95" s="136" t="s">
        <v>8</v>
      </c>
      <c r="E95" s="136" t="s">
        <v>1086</v>
      </c>
      <c r="F95" s="136" t="s">
        <v>1256</v>
      </c>
      <c r="G95" s="136"/>
      <c r="H95" s="136" t="s">
        <v>1042</v>
      </c>
      <c r="I95" s="136" t="s">
        <v>1522</v>
      </c>
      <c r="J95" s="136" t="s">
        <v>1173</v>
      </c>
      <c r="K95" s="136" t="s">
        <v>1174</v>
      </c>
      <c r="L95" s="136">
        <v>8</v>
      </c>
      <c r="M95" s="219">
        <v>44137</v>
      </c>
      <c r="N95" s="136"/>
      <c r="O95" s="136">
        <v>16</v>
      </c>
      <c r="P95" s="136" t="s">
        <v>432</v>
      </c>
      <c r="Q95" s="136" t="s">
        <v>1153</v>
      </c>
      <c r="R95" s="136">
        <v>17</v>
      </c>
      <c r="S95" s="136">
        <v>2</v>
      </c>
      <c r="T95" s="136" t="s">
        <v>1154</v>
      </c>
      <c r="U95" s="136" t="s">
        <v>1155</v>
      </c>
      <c r="V95" s="35" t="s">
        <v>1523</v>
      </c>
      <c r="W95" s="136"/>
      <c r="AA95" s="356"/>
    </row>
    <row r="96" spans="1:36" s="126" customFormat="1">
      <c r="A96" s="126" t="s">
        <v>1210</v>
      </c>
      <c r="B96" s="283" t="s">
        <v>1524</v>
      </c>
      <c r="C96" s="136" t="s">
        <v>1286</v>
      </c>
      <c r="D96" s="136" t="s">
        <v>8</v>
      </c>
      <c r="E96" s="136" t="s">
        <v>1086</v>
      </c>
      <c r="F96" s="136" t="s">
        <v>1256</v>
      </c>
      <c r="G96" s="136"/>
      <c r="H96" s="136" t="s">
        <v>1042</v>
      </c>
      <c r="I96" s="136" t="s">
        <v>1525</v>
      </c>
      <c r="J96" s="136" t="s">
        <v>1173</v>
      </c>
      <c r="K96" s="136"/>
      <c r="L96" s="136">
        <v>8</v>
      </c>
      <c r="M96" s="219">
        <v>44202</v>
      </c>
      <c r="N96" s="136"/>
      <c r="O96" s="136">
        <v>18</v>
      </c>
      <c r="P96" s="136" t="s">
        <v>432</v>
      </c>
      <c r="Q96" s="136" t="s">
        <v>1153</v>
      </c>
      <c r="R96" s="136">
        <v>15</v>
      </c>
      <c r="S96" s="136">
        <v>1</v>
      </c>
      <c r="T96" s="136" t="s">
        <v>1154</v>
      </c>
      <c r="U96" s="136" t="s">
        <v>1155</v>
      </c>
      <c r="V96" s="35" t="s">
        <v>1526</v>
      </c>
      <c r="W96" s="136"/>
      <c r="AA96" s="356"/>
    </row>
    <row r="97" spans="1:27" s="126" customFormat="1">
      <c r="A97" s="126" t="s">
        <v>1210</v>
      </c>
      <c r="B97" s="283" t="s">
        <v>1527</v>
      </c>
      <c r="C97" s="136" t="s">
        <v>1286</v>
      </c>
      <c r="D97" s="136" t="s">
        <v>8</v>
      </c>
      <c r="E97" s="136" t="s">
        <v>777</v>
      </c>
      <c r="F97" s="136" t="s">
        <v>772</v>
      </c>
      <c r="G97" s="136"/>
      <c r="H97" s="136" t="s">
        <v>1445</v>
      </c>
      <c r="I97" s="136" t="s">
        <v>1528</v>
      </c>
      <c r="J97" s="136" t="s">
        <v>1152</v>
      </c>
      <c r="K97" s="136" t="s">
        <v>1174</v>
      </c>
      <c r="L97" s="136">
        <v>8</v>
      </c>
      <c r="M97" s="219">
        <v>44144</v>
      </c>
      <c r="N97" s="136"/>
      <c r="O97" s="136">
        <v>20</v>
      </c>
      <c r="P97" s="136" t="s">
        <v>432</v>
      </c>
      <c r="Q97" s="136" t="s">
        <v>1153</v>
      </c>
      <c r="R97" s="136">
        <v>14</v>
      </c>
      <c r="S97" s="136">
        <v>2</v>
      </c>
      <c r="T97" s="136" t="s">
        <v>1154</v>
      </c>
      <c r="U97" s="136" t="s">
        <v>1155</v>
      </c>
      <c r="V97" s="35" t="s">
        <v>1529</v>
      </c>
      <c r="W97" s="136"/>
      <c r="AA97" s="356"/>
    </row>
    <row r="98" spans="1:27" s="126" customFormat="1">
      <c r="A98" s="126" t="s">
        <v>1210</v>
      </c>
      <c r="B98" s="283" t="s">
        <v>1530</v>
      </c>
      <c r="C98" s="136" t="s">
        <v>1286</v>
      </c>
      <c r="D98" s="136" t="s">
        <v>8</v>
      </c>
      <c r="E98" s="136" t="s">
        <v>777</v>
      </c>
      <c r="F98" s="136" t="s">
        <v>772</v>
      </c>
      <c r="G98" s="136"/>
      <c r="H98" s="136" t="s">
        <v>1445</v>
      </c>
      <c r="I98" s="136" t="s">
        <v>1531</v>
      </c>
      <c r="J98" s="136" t="s">
        <v>1173</v>
      </c>
      <c r="K98" s="136" t="s">
        <v>1174</v>
      </c>
      <c r="L98" s="136">
        <v>8</v>
      </c>
      <c r="M98" s="219">
        <v>44144</v>
      </c>
      <c r="N98" s="136"/>
      <c r="O98" s="136">
        <v>5</v>
      </c>
      <c r="P98" s="136" t="s">
        <v>432</v>
      </c>
      <c r="Q98" s="136" t="s">
        <v>1153</v>
      </c>
      <c r="R98" s="136">
        <v>14</v>
      </c>
      <c r="S98" s="136">
        <v>3</v>
      </c>
      <c r="T98" s="136" t="s">
        <v>1154</v>
      </c>
      <c r="U98" s="136" t="s">
        <v>1155</v>
      </c>
      <c r="V98" s="35" t="s">
        <v>1532</v>
      </c>
      <c r="W98" s="136"/>
      <c r="AA98" s="356"/>
    </row>
    <row r="99" spans="1:27" s="126" customFormat="1">
      <c r="A99" s="126" t="s">
        <v>1210</v>
      </c>
      <c r="B99" s="283" t="s">
        <v>1533</v>
      </c>
      <c r="C99" s="136" t="s">
        <v>1286</v>
      </c>
      <c r="D99" s="136" t="s">
        <v>8</v>
      </c>
      <c r="E99" s="136" t="s">
        <v>1086</v>
      </c>
      <c r="F99" s="136" t="s">
        <v>1256</v>
      </c>
      <c r="G99" s="136"/>
      <c r="H99" s="136" t="s">
        <v>1042</v>
      </c>
      <c r="I99" s="136" t="s">
        <v>1534</v>
      </c>
      <c r="J99" s="136" t="s">
        <v>1173</v>
      </c>
      <c r="K99" s="136" t="s">
        <v>1174</v>
      </c>
      <c r="L99" s="136">
        <v>8</v>
      </c>
      <c r="M99" s="219">
        <v>44202</v>
      </c>
      <c r="N99" s="136"/>
      <c r="O99" s="136">
        <v>17</v>
      </c>
      <c r="P99" s="136" t="s">
        <v>432</v>
      </c>
      <c r="Q99" s="136" t="s">
        <v>1153</v>
      </c>
      <c r="R99" s="136">
        <v>17</v>
      </c>
      <c r="S99" s="136">
        <v>1</v>
      </c>
      <c r="T99" s="136" t="s">
        <v>1154</v>
      </c>
      <c r="U99" s="136" t="s">
        <v>1155</v>
      </c>
      <c r="V99" s="35" t="s">
        <v>1535</v>
      </c>
      <c r="W99" s="136"/>
      <c r="AA99" s="356"/>
    </row>
    <row r="100" spans="1:27" s="126" customFormat="1">
      <c r="B100" s="283"/>
      <c r="C100" s="136"/>
      <c r="D100" s="136"/>
      <c r="E100" s="136"/>
      <c r="F100" s="136"/>
      <c r="G100" s="136"/>
      <c r="H100" s="136"/>
      <c r="I100" s="136"/>
      <c r="J100" s="136"/>
      <c r="K100" s="136"/>
      <c r="L100" s="136"/>
      <c r="M100" s="136"/>
      <c r="N100" s="136"/>
      <c r="O100" s="136"/>
      <c r="P100" s="136"/>
      <c r="Q100" s="136"/>
      <c r="R100" s="136"/>
      <c r="S100" s="136"/>
      <c r="T100" s="136"/>
      <c r="U100" s="136"/>
      <c r="V100" s="35"/>
      <c r="W100" s="136"/>
      <c r="AA100" s="356"/>
    </row>
    <row r="101" spans="1:27" s="126" customFormat="1">
      <c r="A101" s="283" t="s">
        <v>1043</v>
      </c>
      <c r="B101" s="283" t="s">
        <v>1536</v>
      </c>
      <c r="C101" s="136" t="s">
        <v>1286</v>
      </c>
      <c r="D101" s="136"/>
      <c r="E101" s="136"/>
      <c r="F101" s="136"/>
      <c r="G101" s="136"/>
      <c r="H101" s="136"/>
      <c r="I101" s="136"/>
      <c r="J101" s="136"/>
      <c r="K101" s="136"/>
      <c r="L101" s="136"/>
      <c r="M101" s="136"/>
      <c r="N101" s="136"/>
      <c r="O101" s="136"/>
      <c r="P101" s="136"/>
      <c r="Q101" s="136"/>
      <c r="R101" s="136"/>
      <c r="S101" s="136"/>
      <c r="T101" s="136"/>
      <c r="U101" s="136"/>
      <c r="V101" s="35"/>
      <c r="W101" s="136"/>
      <c r="AA101" s="356"/>
    </row>
    <row r="102" spans="1:27" s="126" customFormat="1">
      <c r="A102" s="126" t="s">
        <v>1042</v>
      </c>
      <c r="B102" s="283"/>
      <c r="C102" s="136" t="s">
        <v>1286</v>
      </c>
      <c r="D102" s="136"/>
      <c r="E102" s="136"/>
      <c r="F102" s="136"/>
      <c r="G102" s="136"/>
      <c r="H102" s="136"/>
      <c r="I102" s="136"/>
      <c r="J102" s="136"/>
      <c r="K102" s="136"/>
      <c r="L102" s="136"/>
      <c r="M102" s="136"/>
      <c r="N102" s="136"/>
      <c r="O102" s="136"/>
      <c r="P102" s="136"/>
      <c r="Q102" s="136"/>
      <c r="R102" s="136"/>
      <c r="S102" s="136"/>
      <c r="T102" s="136"/>
      <c r="U102" s="136"/>
      <c r="V102" s="35"/>
      <c r="W102" s="136"/>
      <c r="AA102" s="356"/>
    </row>
    <row r="103" spans="1:27" s="126" customFormat="1">
      <c r="A103" s="126" t="s">
        <v>1013</v>
      </c>
      <c r="B103" s="283"/>
      <c r="C103" s="136" t="s">
        <v>1286</v>
      </c>
      <c r="D103" s="136"/>
      <c r="E103" s="136"/>
      <c r="F103" s="136"/>
      <c r="G103" s="136"/>
      <c r="H103" s="136"/>
      <c r="I103" s="136"/>
      <c r="J103" s="136"/>
      <c r="K103" s="136"/>
      <c r="L103" s="136"/>
      <c r="M103" s="136"/>
      <c r="N103" s="136"/>
      <c r="O103" s="136"/>
      <c r="P103" s="136"/>
      <c r="Q103" s="136"/>
      <c r="R103" s="136"/>
      <c r="S103" s="136"/>
      <c r="T103" s="136"/>
      <c r="U103" s="136"/>
      <c r="V103" s="35"/>
      <c r="W103" s="136"/>
      <c r="AA103" s="356"/>
    </row>
    <row r="105" spans="1:27">
      <c r="A105" s="33" t="s">
        <v>829</v>
      </c>
      <c r="B105" s="34"/>
      <c r="C105" s="35" t="str">
        <f>HYPERLINK(_xlfn.CONCAT("https://cmmiinstitute.com/appraisals-sys/appraisals/",Planning!$B$16,"/training-schedule"))</f>
        <v>https://cmmiinstitute.com/appraisals-sys/appraisals/54321/training-schedule</v>
      </c>
    </row>
    <row r="106" spans="1:27">
      <c r="A106" s="45" t="s">
        <v>831</v>
      </c>
      <c r="B106" s="46"/>
    </row>
    <row r="108" spans="1:27">
      <c r="A108" s="33" t="s">
        <v>830</v>
      </c>
      <c r="B108" s="34"/>
      <c r="C108" s="35" t="str">
        <f>HYPERLINK(_xlfn.CONCAT("https://cmmiinstitute.com/appraisals-sys/appraisals/",Planning!$B$16,"/team-member-experience"))</f>
        <v>https://cmmiinstitute.com/appraisals-sys/appraisals/54321/team-member-experience</v>
      </c>
    </row>
    <row r="109" spans="1:27">
      <c r="A109" s="45" t="s">
        <v>831</v>
      </c>
      <c r="B109" s="46"/>
    </row>
    <row r="111" spans="1:27">
      <c r="A111" s="33" t="s">
        <v>832</v>
      </c>
      <c r="B111" s="34"/>
      <c r="C111" s="35" t="str">
        <f>HYPERLINK(_xlfn.CONCAT("https://cmmiinstitute.com/appraisals-sys/appraisals/",Planning!$B$16,"/roles-responsibilities"))</f>
        <v>https://cmmiinstitute.com/appraisals-sys/appraisals/54321/roles-responsibilities</v>
      </c>
    </row>
    <row r="112" spans="1:27" s="126" customFormat="1">
      <c r="A112" s="45" t="s">
        <v>1365</v>
      </c>
      <c r="B112" s="116"/>
      <c r="C112" s="136"/>
      <c r="D112" s="136"/>
      <c r="E112" s="136"/>
      <c r="F112" s="136"/>
      <c r="G112" s="136"/>
      <c r="H112" s="136"/>
      <c r="I112" s="136"/>
      <c r="J112" s="136"/>
      <c r="K112" s="136"/>
      <c r="L112" s="136"/>
      <c r="M112" s="136"/>
      <c r="N112" s="136"/>
      <c r="O112" s="136"/>
      <c r="P112" s="136"/>
      <c r="Q112" s="136"/>
      <c r="R112" s="136"/>
      <c r="S112" s="136"/>
      <c r="T112" s="136"/>
      <c r="U112" s="136"/>
      <c r="V112" s="136"/>
      <c r="W112" s="136"/>
    </row>
    <row r="114" spans="1:23">
      <c r="A114" s="33" t="s">
        <v>833</v>
      </c>
      <c r="B114" s="34"/>
      <c r="C114" s="35" t="str">
        <f>HYPERLINK(_xlfn.CONCAT("https://cmmiinstitute.com/appraisals-sys/appraisals/",Planning!$B$16,"/appraisal-participants"))</f>
        <v>https://cmmiinstitute.com/appraisals-sys/appraisals/54321/appraisal-participants</v>
      </c>
    </row>
    <row r="115" spans="1:23" s="131" customFormat="1">
      <c r="A115" s="132" t="s">
        <v>1366</v>
      </c>
      <c r="B115" s="125"/>
      <c r="C115" s="220" t="s">
        <v>1179</v>
      </c>
      <c r="D115" s="149"/>
      <c r="E115" s="149"/>
      <c r="F115" s="149"/>
      <c r="G115" s="136"/>
      <c r="H115" s="149"/>
      <c r="I115" s="149"/>
      <c r="J115" s="149"/>
      <c r="K115" s="149"/>
      <c r="L115" s="149"/>
      <c r="M115" s="149"/>
      <c r="N115" s="149"/>
      <c r="O115" s="149"/>
      <c r="P115" s="149"/>
      <c r="Q115" s="149"/>
      <c r="R115" s="149"/>
      <c r="S115" s="149"/>
      <c r="T115" s="149"/>
      <c r="U115" s="149"/>
      <c r="V115" s="149"/>
      <c r="W115" s="149"/>
    </row>
    <row r="117" spans="1:23">
      <c r="A117" s="33" t="s">
        <v>834</v>
      </c>
      <c r="B117" s="34"/>
      <c r="C117" s="35" t="str">
        <f>HYPERLINK(_xlfn.CONCAT("https://cmmiinstitute.com/appraisals-sys/appraisals/",Planning!$B$16,"/participants-responsibilities"))</f>
        <v>https://cmmiinstitute.com/appraisals-sys/appraisals/54321/participants-responsibilities</v>
      </c>
    </row>
    <row r="118" spans="1:23" s="131" customFormat="1">
      <c r="A118" s="132" t="s">
        <v>1030</v>
      </c>
      <c r="B118" s="125"/>
      <c r="C118" s="215"/>
      <c r="D118" s="149"/>
      <c r="E118" s="149"/>
      <c r="F118" s="149"/>
      <c r="G118" s="136"/>
      <c r="H118" s="149"/>
      <c r="I118" s="149"/>
      <c r="J118" s="149"/>
      <c r="K118" s="149"/>
      <c r="L118" s="149"/>
      <c r="M118" s="149"/>
      <c r="N118" s="149"/>
      <c r="O118" s="149"/>
      <c r="P118" s="149"/>
      <c r="Q118" s="149"/>
      <c r="R118" s="149"/>
      <c r="S118" s="149"/>
      <c r="T118" s="149"/>
      <c r="U118" s="149"/>
      <c r="V118" s="149"/>
      <c r="W118" s="149"/>
    </row>
    <row r="120" spans="1:23">
      <c r="A120" s="16" t="s">
        <v>835</v>
      </c>
      <c r="B120" s="18"/>
    </row>
    <row r="121" spans="1:23">
      <c r="A121" s="33" t="s">
        <v>433</v>
      </c>
      <c r="B121" s="34"/>
      <c r="C121" s="35"/>
    </row>
    <row r="122" spans="1:23" s="131" customFormat="1">
      <c r="A122" s="132" t="s">
        <v>1031</v>
      </c>
      <c r="B122" s="125"/>
      <c r="C122" s="220" t="s">
        <v>1178</v>
      </c>
      <c r="D122" s="149"/>
      <c r="E122" s="149"/>
      <c r="F122" s="149"/>
      <c r="G122" s="136"/>
      <c r="H122" s="149"/>
      <c r="I122" s="149"/>
      <c r="J122" s="149"/>
      <c r="K122" s="149"/>
      <c r="L122" s="149"/>
      <c r="M122" s="149"/>
      <c r="N122" s="149"/>
      <c r="O122" s="149"/>
      <c r="P122" s="149"/>
      <c r="Q122" s="149"/>
      <c r="R122" s="149"/>
      <c r="S122" s="149"/>
      <c r="T122" s="149"/>
      <c r="U122" s="149"/>
      <c r="V122" s="149"/>
      <c r="W122" s="149"/>
    </row>
    <row r="124" spans="1:23">
      <c r="A124" s="33" t="s">
        <v>836</v>
      </c>
      <c r="B124" s="34"/>
      <c r="C124" s="35"/>
    </row>
    <row r="125" spans="1:23">
      <c r="A125" s="363" t="s">
        <v>1032</v>
      </c>
      <c r="B125" s="363"/>
    </row>
    <row r="127" spans="1:23">
      <c r="A127" s="33" t="s">
        <v>837</v>
      </c>
      <c r="B127" s="34"/>
      <c r="C127" s="35"/>
    </row>
    <row r="128" spans="1:23">
      <c r="A128" s="12" t="s">
        <v>441</v>
      </c>
      <c r="B128" s="14" t="s">
        <v>439</v>
      </c>
      <c r="C128" s="136" t="s">
        <v>390</v>
      </c>
    </row>
    <row r="129" spans="1:3">
      <c r="A129" s="12" t="s">
        <v>442</v>
      </c>
    </row>
    <row r="130" spans="1:3">
      <c r="A130" s="12" t="s">
        <v>443</v>
      </c>
      <c r="B130" s="12" t="s">
        <v>878</v>
      </c>
    </row>
    <row r="132" spans="1:3">
      <c r="A132" s="33" t="s">
        <v>759</v>
      </c>
      <c r="B132" s="34"/>
      <c r="C132" s="35"/>
    </row>
    <row r="133" spans="1:3">
      <c r="A133" s="12" t="s">
        <v>434</v>
      </c>
      <c r="B133" s="13" t="str">
        <f>B128</f>
        <v>Type of Work</v>
      </c>
    </row>
    <row r="134" spans="1:3">
      <c r="A134" s="12" t="s">
        <v>879</v>
      </c>
      <c r="B134" s="12" t="s">
        <v>880</v>
      </c>
    </row>
    <row r="135" spans="1:3">
      <c r="A135" s="12" t="s">
        <v>388</v>
      </c>
      <c r="B135" s="12" t="s">
        <v>878</v>
      </c>
    </row>
    <row r="137" spans="1:3">
      <c r="A137" s="33" t="s">
        <v>838</v>
      </c>
      <c r="B137" s="34"/>
      <c r="C137" s="35"/>
    </row>
    <row r="138" spans="1:3">
      <c r="A138" s="12" t="s">
        <v>19</v>
      </c>
      <c r="B138" s="12" t="s">
        <v>880</v>
      </c>
    </row>
    <row r="139" spans="1:3">
      <c r="A139" s="12" t="s">
        <v>881</v>
      </c>
      <c r="B139" s="12" t="s">
        <v>882</v>
      </c>
    </row>
    <row r="140" spans="1:3">
      <c r="A140" s="12" t="s">
        <v>883</v>
      </c>
      <c r="B140" s="12" t="s">
        <v>884</v>
      </c>
    </row>
    <row r="142" spans="1:3">
      <c r="A142" s="33" t="s">
        <v>839</v>
      </c>
      <c r="B142" s="34"/>
      <c r="C142" s="35"/>
    </row>
    <row r="143" spans="1:3">
      <c r="A143" s="364" t="s">
        <v>885</v>
      </c>
      <c r="B143" s="364"/>
    </row>
    <row r="145" spans="1:3">
      <c r="A145" s="296" t="s">
        <v>840</v>
      </c>
      <c r="B145" s="297"/>
      <c r="C145" s="298"/>
    </row>
    <row r="146" spans="1:3">
      <c r="A146" s="365" t="s">
        <v>841</v>
      </c>
      <c r="B146" s="367"/>
      <c r="C146" s="299" t="s">
        <v>1294</v>
      </c>
    </row>
    <row r="147" spans="1:3" ht="15" thickBot="1">
      <c r="A147" s="366"/>
      <c r="B147" s="368"/>
      <c r="C147" s="299" t="s">
        <v>1297</v>
      </c>
    </row>
    <row r="148" spans="1:3">
      <c r="A148" s="300" t="s">
        <v>803</v>
      </c>
      <c r="B148" s="300" t="s">
        <v>1295</v>
      </c>
      <c r="C148" s="298"/>
    </row>
    <row r="149" spans="1:3" ht="15" thickBot="1">
      <c r="A149" s="301" t="s">
        <v>886</v>
      </c>
      <c r="B149" s="301" t="s">
        <v>887</v>
      </c>
      <c r="C149" s="298"/>
    </row>
    <row r="150" spans="1:3">
      <c r="A150" s="302" t="s">
        <v>802</v>
      </c>
      <c r="B150" s="302" t="s">
        <v>1298</v>
      </c>
      <c r="C150" s="298"/>
    </row>
    <row r="151" spans="1:3" ht="15" thickBot="1">
      <c r="A151" s="301" t="s">
        <v>886</v>
      </c>
      <c r="B151" s="301" t="s">
        <v>887</v>
      </c>
      <c r="C151" s="298"/>
    </row>
    <row r="152" spans="1:3">
      <c r="A152" s="302" t="s">
        <v>888</v>
      </c>
      <c r="B152" s="302" t="s">
        <v>1299</v>
      </c>
      <c r="C152" s="298"/>
    </row>
    <row r="153" spans="1:3" ht="15" thickBot="1">
      <c r="A153" s="301" t="s">
        <v>886</v>
      </c>
      <c r="B153" s="301" t="s">
        <v>887</v>
      </c>
      <c r="C153" s="298"/>
    </row>
    <row r="154" spans="1:3">
      <c r="A154" s="302" t="s">
        <v>804</v>
      </c>
      <c r="B154" s="302" t="s">
        <v>1296</v>
      </c>
      <c r="C154" s="303" t="s">
        <v>1293</v>
      </c>
    </row>
    <row r="156" spans="1:3">
      <c r="A156" s="33" t="s">
        <v>842</v>
      </c>
      <c r="B156" s="34"/>
      <c r="C156" s="35"/>
    </row>
    <row r="157" spans="1:3">
      <c r="A157" s="12" t="s">
        <v>890</v>
      </c>
      <c r="B157" s="12" t="s">
        <v>1290</v>
      </c>
    </row>
    <row r="158" spans="1:3">
      <c r="A158" s="47" t="s">
        <v>886</v>
      </c>
      <c r="B158" s="47" t="s">
        <v>887</v>
      </c>
    </row>
    <row r="160" spans="1:3">
      <c r="A160" s="33" t="s">
        <v>843</v>
      </c>
      <c r="B160" s="34"/>
      <c r="C160" s="35"/>
    </row>
    <row r="161" spans="1:2">
      <c r="A161" s="12" t="s">
        <v>891</v>
      </c>
      <c r="B161" s="12" t="s">
        <v>1301</v>
      </c>
    </row>
  </sheetData>
  <mergeCells count="5">
    <mergeCell ref="X87:AA87"/>
    <mergeCell ref="A125:B125"/>
    <mergeCell ref="A143:B143"/>
    <mergeCell ref="A146:A147"/>
    <mergeCell ref="B146:B147"/>
  </mergeCells>
  <conditionalFormatting sqref="Y85">
    <cfRule type="cellIs" dxfId="99"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 r:id="rId7" xr:uid="{219E0151-7C99-47E6-ACA5-546B0110B5C8}"/>
    <hyperlink ref="V92:V99" r:id="rId8" display="atm1.email@gmail.com" xr:uid="{365F5D48-5CFE-4164-8198-D65B94D1F627}"/>
    <hyperlink ref="V92" r:id="rId9" xr:uid="{ECC727DA-8AA6-4AA9-BA94-D4A3D0D497D3}"/>
    <hyperlink ref="V93" r:id="rId10" xr:uid="{140E774E-0E9E-4D54-A115-D263332B5DD9}"/>
    <hyperlink ref="V94" r:id="rId11" xr:uid="{5AC2DDA5-73E7-40B2-B468-5B2D75170A57}"/>
    <hyperlink ref="V95" r:id="rId12" xr:uid="{35992308-DCA6-4B9C-994E-AC7EC9EEC67F}"/>
    <hyperlink ref="V96" r:id="rId13" xr:uid="{792DF3B7-6B41-4202-9968-89C3DB64A1D6}"/>
    <hyperlink ref="V97" r:id="rId14" xr:uid="{103DD34A-96EE-4B88-BDFC-F660045EC52E}"/>
    <hyperlink ref="V98" r:id="rId15" xr:uid="{42B238E5-62F6-4E94-BE79-FFF4CB433D8C}"/>
    <hyperlink ref="V99" r:id="rId16" xr:uid="{93DAE6BB-3DE8-484F-B792-AD6FD6A551C7}"/>
  </hyperlinks>
  <pageMargins left="0.7" right="0.7" top="0.75" bottom="0.75" header="0.3" footer="0.3"/>
  <pageSetup orientation="portrait" r:id="rId17"/>
  <legacyDrawing r:id="rId1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4.5"/>
  <cols>
    <col min="1" max="2" width="32.54296875" customWidth="1"/>
  </cols>
  <sheetData>
    <row r="1" spans="1:3" s="105" customFormat="1">
      <c r="A1" s="107" t="s">
        <v>592</v>
      </c>
      <c r="B1" s="108"/>
    </row>
    <row r="2" spans="1:3" s="12" customFormat="1">
      <c r="A2" s="33" t="s">
        <v>892</v>
      </c>
      <c r="B2" s="34"/>
      <c r="C2" s="35"/>
    </row>
    <row r="3" spans="1:3">
      <c r="A3" t="s">
        <v>893</v>
      </c>
    </row>
    <row r="5" spans="1:3" s="12" customFormat="1">
      <c r="A5" s="33" t="s">
        <v>894</v>
      </c>
      <c r="B5" s="34"/>
      <c r="C5" s="35"/>
    </row>
    <row r="6" spans="1:3">
      <c r="A6" t="s">
        <v>893</v>
      </c>
    </row>
    <row r="8" spans="1:3" s="12" customFormat="1">
      <c r="A8" s="33" t="s">
        <v>895</v>
      </c>
      <c r="B8" s="34"/>
      <c r="C8" s="35"/>
    </row>
    <row r="11" spans="1:3" s="12" customFormat="1">
      <c r="A11" s="33" t="s">
        <v>896</v>
      </c>
      <c r="B11" s="34"/>
      <c r="C11" s="35"/>
    </row>
    <row r="14" spans="1:3" s="12" customFormat="1">
      <c r="A14" s="33" t="s">
        <v>897</v>
      </c>
      <c r="B14" s="34"/>
      <c r="C14" s="35"/>
    </row>
    <row r="17" spans="1:3" s="12" customFormat="1">
      <c r="A17" s="33" t="s">
        <v>898</v>
      </c>
      <c r="B17" s="34"/>
      <c r="C17" s="3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6"/>
  <sheetViews>
    <sheetView topLeftCell="A200" workbookViewId="0">
      <selection activeCell="A23" sqref="A23"/>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844</v>
      </c>
      <c r="B1" s="108"/>
    </row>
    <row r="2" spans="1:3">
      <c r="A2" s="33" t="s">
        <v>845</v>
      </c>
      <c r="B2" s="34"/>
      <c r="C2" s="35"/>
    </row>
    <row r="3" spans="1:3" s="136" customFormat="1">
      <c r="A3" s="25" t="s">
        <v>847</v>
      </c>
      <c r="B3" s="126"/>
    </row>
    <row r="4" spans="1:3" s="136" customFormat="1">
      <c r="A4" s="136" t="s">
        <v>594</v>
      </c>
      <c r="B4" s="126" t="s">
        <v>778</v>
      </c>
    </row>
    <row r="5" spans="1:3" s="136" customFormat="1">
      <c r="A5" s="136" t="s">
        <v>595</v>
      </c>
      <c r="B5" s="126" t="s">
        <v>596</v>
      </c>
    </row>
    <row r="6" spans="1:3" s="136" customFormat="1">
      <c r="A6" s="136" t="s">
        <v>597</v>
      </c>
      <c r="B6" s="126" t="s">
        <v>596</v>
      </c>
    </row>
    <row r="7" spans="1:3" s="136" customFormat="1">
      <c r="B7" s="126"/>
    </row>
    <row r="8" spans="1:3" s="136" customFormat="1">
      <c r="A8" s="25" t="s">
        <v>848</v>
      </c>
      <c r="B8" s="126"/>
    </row>
    <row r="9" spans="1:3" s="136" customFormat="1" ht="29">
      <c r="A9" s="136" t="s">
        <v>594</v>
      </c>
      <c r="B9" s="126" t="s">
        <v>780</v>
      </c>
    </row>
    <row r="10" spans="1:3" s="136" customFormat="1" ht="29">
      <c r="A10" s="136" t="s">
        <v>595</v>
      </c>
      <c r="B10" s="126" t="s">
        <v>781</v>
      </c>
    </row>
    <row r="11" spans="1:3" s="136" customFormat="1">
      <c r="A11" s="136" t="s">
        <v>597</v>
      </c>
      <c r="B11" s="126" t="s">
        <v>598</v>
      </c>
    </row>
    <row r="12" spans="1:3" s="136" customFormat="1">
      <c r="B12" s="126"/>
    </row>
    <row r="13" spans="1:3" s="136" customFormat="1">
      <c r="A13" s="25" t="s">
        <v>849</v>
      </c>
      <c r="B13" s="126"/>
    </row>
    <row r="14" spans="1:3" s="136" customFormat="1" ht="29">
      <c r="A14" s="136" t="s">
        <v>594</v>
      </c>
      <c r="B14" s="126" t="s">
        <v>779</v>
      </c>
    </row>
    <row r="15" spans="1:3" s="136" customFormat="1">
      <c r="A15" s="136" t="s">
        <v>595</v>
      </c>
      <c r="B15" s="126" t="s">
        <v>782</v>
      </c>
    </row>
    <row r="16" spans="1:3" s="136" customFormat="1">
      <c r="A16" s="136" t="s">
        <v>597</v>
      </c>
      <c r="B16" s="126" t="s">
        <v>598</v>
      </c>
    </row>
    <row r="17" spans="1:23" s="136" customFormat="1">
      <c r="B17" s="126"/>
    </row>
    <row r="18" spans="1:23" s="136" customFormat="1">
      <c r="A18" s="25" t="s">
        <v>709</v>
      </c>
      <c r="B18" s="126"/>
    </row>
    <row r="19" spans="1:23" s="136" customFormat="1">
      <c r="A19" s="136" t="s">
        <v>594</v>
      </c>
      <c r="B19" s="126" t="s">
        <v>784</v>
      </c>
    </row>
    <row r="20" spans="1:23" s="136" customFormat="1">
      <c r="A20" s="136" t="s">
        <v>595</v>
      </c>
      <c r="B20" s="126" t="s">
        <v>599</v>
      </c>
    </row>
    <row r="21" spans="1:23" s="136" customFormat="1">
      <c r="A21" s="136" t="s">
        <v>597</v>
      </c>
      <c r="B21" s="126" t="s">
        <v>783</v>
      </c>
    </row>
    <row r="22" spans="1:23" s="136" customFormat="1">
      <c r="B22" s="126"/>
    </row>
    <row r="23" spans="1:23">
      <c r="A23" s="33" t="s">
        <v>846</v>
      </c>
      <c r="B23" s="34"/>
      <c r="C23" s="222"/>
    </row>
    <row r="24" spans="1:23">
      <c r="A24" s="45" t="s">
        <v>1303</v>
      </c>
      <c r="B24" s="304"/>
      <c r="C24" s="136"/>
      <c r="D24" s="136"/>
      <c r="E24" s="136"/>
      <c r="F24" s="136"/>
      <c r="G24" s="136"/>
      <c r="H24" s="136"/>
      <c r="I24" s="136"/>
      <c r="J24" s="136"/>
      <c r="K24" s="136"/>
      <c r="L24" s="136"/>
      <c r="M24" s="219"/>
      <c r="N24" s="136"/>
      <c r="O24" s="136"/>
      <c r="P24" s="136"/>
      <c r="Q24" s="136"/>
      <c r="R24" s="136"/>
      <c r="S24" s="136"/>
      <c r="T24" s="136"/>
      <c r="U24" s="136"/>
      <c r="V24" s="136"/>
      <c r="W24" s="136"/>
    </row>
    <row r="25" spans="1:23" s="129" customFormat="1" hidden="1">
      <c r="A25" s="129" t="s">
        <v>785</v>
      </c>
      <c r="B25" s="126" t="s">
        <v>640</v>
      </c>
    </row>
    <row r="26" spans="1:23" s="129" customFormat="1" hidden="1">
      <c r="A26" s="129" t="s">
        <v>786</v>
      </c>
      <c r="B26" s="126" t="s">
        <v>787</v>
      </c>
    </row>
    <row r="27" spans="1:23" s="129" customFormat="1" hidden="1">
      <c r="B27" s="126"/>
    </row>
    <row r="28" spans="1:23" s="129" customFormat="1" hidden="1">
      <c r="A28" s="133" t="s">
        <v>600</v>
      </c>
      <c r="B28" s="126"/>
    </row>
    <row r="29" spans="1:23" s="129" customFormat="1" hidden="1">
      <c r="A29" s="129" t="s">
        <v>601</v>
      </c>
      <c r="B29" s="85" t="str">
        <f>IF(Planning!B42="","",Planning!B42)</f>
        <v>Grow sales revenue and profit</v>
      </c>
      <c r="C29" s="129" t="s">
        <v>1024</v>
      </c>
    </row>
    <row r="30" spans="1:23" s="129" customFormat="1" ht="43.5" hidden="1">
      <c r="A30" s="129" t="s">
        <v>602</v>
      </c>
      <c r="B30" s="85" t="str">
        <f>IF(Planning!B43="","",Planning!B43)</f>
        <v>Sales of 138 million, software revenue increased by 5%. Profit increased by 3%, product market share reached 25%, and productivity increased by 5%</v>
      </c>
      <c r="C30" s="129" t="s">
        <v>1024</v>
      </c>
    </row>
    <row r="31" spans="1:23" s="129" customFormat="1" hidden="1">
      <c r="A31" s="129" t="s">
        <v>603</v>
      </c>
      <c r="B31" s="85" t="str">
        <f>IF(Planning!B44="","",Planning!B44)</f>
        <v>Software development</v>
      </c>
      <c r="C31" s="129" t="s">
        <v>1024</v>
      </c>
    </row>
    <row r="32" spans="1:23" s="129" customFormat="1" hidden="1">
      <c r="A32" s="129" t="s">
        <v>604</v>
      </c>
      <c r="B32" s="126" t="s">
        <v>35</v>
      </c>
    </row>
    <row r="33" spans="1:3" s="129" customFormat="1" hidden="1">
      <c r="A33" s="129" t="s">
        <v>605</v>
      </c>
      <c r="B33" s="126" t="s">
        <v>432</v>
      </c>
    </row>
    <row r="34" spans="1:3" s="129" customFormat="1" hidden="1">
      <c r="B34" s="126"/>
    </row>
    <row r="35" spans="1:3" s="129" customFormat="1" hidden="1">
      <c r="A35" s="133" t="s">
        <v>606</v>
      </c>
      <c r="B35" s="126"/>
    </row>
    <row r="36" spans="1:3" s="129" customFormat="1" hidden="1">
      <c r="A36" s="129" t="s">
        <v>607</v>
      </c>
      <c r="B36" s="85" t="str">
        <f>Planning!B46</f>
        <v>Post release defect density: UCL:2.424, CL:2.103, LCL:1.783</v>
      </c>
      <c r="C36" s="129" t="s">
        <v>1024</v>
      </c>
    </row>
    <row r="37" spans="1:3" s="129" customFormat="1" hidden="1">
      <c r="A37" s="129" t="s">
        <v>608</v>
      </c>
      <c r="B37" s="85" t="str">
        <f>Planning!B47</f>
        <v>Post release defect density: UCL:1.8726,CL:1.607,LCL:1.3407</v>
      </c>
      <c r="C37" s="129" t="s">
        <v>1024</v>
      </c>
    </row>
    <row r="38" spans="1:3" s="129" customFormat="1" hidden="1">
      <c r="A38" s="129" t="s">
        <v>609</v>
      </c>
      <c r="B38" s="85" t="str">
        <f>Planning!B48</f>
        <v>Quarterly</v>
      </c>
      <c r="C38" s="129" t="s">
        <v>1024</v>
      </c>
    </row>
    <row r="39" spans="1:3" s="129" customFormat="1" hidden="1">
      <c r="A39" s="129" t="s">
        <v>610</v>
      </c>
      <c r="B39" s="85" t="str">
        <f>Planning!B49</f>
        <v>Yes</v>
      </c>
      <c r="C39" s="129" t="s">
        <v>1024</v>
      </c>
    </row>
    <row r="40" spans="1:3" s="129" customFormat="1" hidden="1">
      <c r="A40" s="129" t="s">
        <v>611</v>
      </c>
      <c r="B40" s="85" t="str">
        <f>Planning!B50</f>
        <v>Post release defect density</v>
      </c>
      <c r="C40" s="129" t="s">
        <v>1024</v>
      </c>
    </row>
    <row r="41" spans="1:3" s="129" customFormat="1" hidden="1">
      <c r="A41" s="129" t="s">
        <v>620</v>
      </c>
      <c r="B41" s="85" t="str">
        <f>Planning!B51</f>
        <v>Regression analysis of post release defect density</v>
      </c>
      <c r="C41" s="129" t="s">
        <v>1024</v>
      </c>
    </row>
    <row r="42" spans="1:3" s="129" customFormat="1" hidden="1">
      <c r="B42" s="126"/>
    </row>
    <row r="43" spans="1:3" s="129" customFormat="1" hidden="1">
      <c r="A43" s="134" t="s">
        <v>612</v>
      </c>
      <c r="B43" s="126"/>
    </row>
    <row r="44" spans="1:3" s="129" customFormat="1" hidden="1">
      <c r="A44" s="129" t="s">
        <v>613</v>
      </c>
      <c r="B44" s="126" t="s">
        <v>35</v>
      </c>
    </row>
    <row r="45" spans="1:3" s="129" customFormat="1" hidden="1">
      <c r="A45" s="129" t="s">
        <v>614</v>
      </c>
      <c r="B45" s="126" t="s">
        <v>35</v>
      </c>
    </row>
    <row r="46" spans="1:3" s="129" customFormat="1" hidden="1">
      <c r="A46" s="129" t="s">
        <v>615</v>
      </c>
      <c r="B46" s="85" t="str">
        <f>B29</f>
        <v>Grow sales revenue and profit</v>
      </c>
      <c r="C46" s="129" t="s">
        <v>1076</v>
      </c>
    </row>
    <row r="47" spans="1:3" s="129" customFormat="1" hidden="1">
      <c r="A47" s="129" t="s">
        <v>616</v>
      </c>
      <c r="B47" s="126" t="s">
        <v>640</v>
      </c>
    </row>
    <row r="48" spans="1:3" s="129" customFormat="1" hidden="1">
      <c r="B48" s="126"/>
    </row>
    <row r="49" spans="1:3" s="129" customFormat="1" hidden="1">
      <c r="A49" s="133" t="s">
        <v>617</v>
      </c>
      <c r="B49" s="126"/>
    </row>
    <row r="50" spans="1:3" s="129" customFormat="1" hidden="1">
      <c r="A50" s="129" t="s">
        <v>618</v>
      </c>
      <c r="B50" s="126" t="s">
        <v>1083</v>
      </c>
    </row>
    <row r="51" spans="1:3" s="129" customFormat="1" hidden="1">
      <c r="B51" s="126"/>
    </row>
    <row r="52" spans="1:3" s="129" customFormat="1" hidden="1">
      <c r="A52" s="133" t="s">
        <v>619</v>
      </c>
      <c r="B52" s="126"/>
    </row>
    <row r="53" spans="1:3" s="129" customFormat="1" hidden="1">
      <c r="A53" s="129" t="s">
        <v>619</v>
      </c>
      <c r="B53" s="126" t="s">
        <v>35</v>
      </c>
    </row>
    <row r="54" spans="1:3" s="129" customFormat="1" hidden="1">
      <c r="B54" s="126"/>
    </row>
    <row r="55" spans="1:3" s="129" customFormat="1" hidden="1">
      <c r="A55" s="135" t="s">
        <v>621</v>
      </c>
      <c r="B55" s="126"/>
    </row>
    <row r="56" spans="1:3" s="129" customFormat="1">
      <c r="B56" s="126"/>
    </row>
    <row r="57" spans="1:3">
      <c r="A57" s="33" t="s">
        <v>852</v>
      </c>
      <c r="B57" s="34"/>
      <c r="C57" s="35"/>
    </row>
    <row r="58" spans="1:3" s="129" customFormat="1">
      <c r="A58" s="129" t="s">
        <v>622</v>
      </c>
      <c r="B58" s="130" t="s">
        <v>440</v>
      </c>
      <c r="C58" s="129" t="s">
        <v>390</v>
      </c>
    </row>
    <row r="59" spans="1:3" s="129" customFormat="1">
      <c r="A59" s="129" t="s">
        <v>623</v>
      </c>
      <c r="B59" s="126" t="s">
        <v>850</v>
      </c>
    </row>
    <row r="60" spans="1:3" s="129" customFormat="1">
      <c r="A60" s="129" t="s">
        <v>594</v>
      </c>
      <c r="B60" s="126" t="s">
        <v>851</v>
      </c>
    </row>
    <row r="61" spans="1:3" s="129" customFormat="1">
      <c r="A61" s="129" t="s">
        <v>595</v>
      </c>
      <c r="B61" s="126" t="s">
        <v>599</v>
      </c>
    </row>
    <row r="62" spans="1:3" s="129" customFormat="1">
      <c r="A62" s="129" t="s">
        <v>597</v>
      </c>
      <c r="B62" s="126" t="s">
        <v>598</v>
      </c>
    </row>
    <row r="63" spans="1:3" s="129" customFormat="1">
      <c r="B63" s="126"/>
    </row>
    <row r="64" spans="1:3" s="129" customFormat="1">
      <c r="B64" s="126"/>
    </row>
    <row r="65" spans="1:3" s="129" customFormat="1">
      <c r="A65" s="135" t="s">
        <v>621</v>
      </c>
      <c r="B65" s="126"/>
    </row>
    <row r="66" spans="1:3">
      <c r="A66" s="15"/>
    </row>
    <row r="67" spans="1:3">
      <c r="A67" s="127" t="s">
        <v>853</v>
      </c>
      <c r="B67" s="108"/>
    </row>
    <row r="68" spans="1:3">
      <c r="A68" s="33" t="s">
        <v>854</v>
      </c>
      <c r="B68" s="34"/>
      <c r="C68" s="35"/>
    </row>
    <row r="69" spans="1:3">
      <c r="A69" s="126" t="s">
        <v>624</v>
      </c>
      <c r="B69" s="130" t="s">
        <v>626</v>
      </c>
      <c r="C69" s="126" t="s">
        <v>390</v>
      </c>
    </row>
    <row r="70" spans="1:3" ht="43.5">
      <c r="A70" s="126" t="s">
        <v>388</v>
      </c>
      <c r="B70" s="126" t="s">
        <v>855</v>
      </c>
    </row>
    <row r="72" spans="1:3">
      <c r="A72" s="33" t="s">
        <v>856</v>
      </c>
      <c r="B72" s="34"/>
      <c r="C72" s="35"/>
    </row>
    <row r="73" spans="1:3">
      <c r="A73" s="126" t="s">
        <v>628</v>
      </c>
      <c r="B73" s="130" t="s">
        <v>631</v>
      </c>
      <c r="C73" s="126" t="s">
        <v>390</v>
      </c>
    </row>
    <row r="74" spans="1:3">
      <c r="A74" s="126" t="s">
        <v>629</v>
      </c>
    </row>
    <row r="75" spans="1:3">
      <c r="A75" s="126" t="s">
        <v>636</v>
      </c>
      <c r="B75" s="126" t="s">
        <v>637</v>
      </c>
    </row>
    <row r="76" spans="1:3" ht="43.5">
      <c r="A76" s="126" t="s">
        <v>388</v>
      </c>
      <c r="B76" s="126" t="s">
        <v>638</v>
      </c>
    </row>
    <row r="77" spans="1:3" ht="29">
      <c r="A77" s="30" t="s">
        <v>639</v>
      </c>
      <c r="B77" s="30" t="s">
        <v>640</v>
      </c>
      <c r="C77" s="30" t="s">
        <v>390</v>
      </c>
    </row>
    <row r="78" spans="1:3">
      <c r="A78" s="30" t="s">
        <v>641</v>
      </c>
      <c r="B78" s="30" t="s">
        <v>642</v>
      </c>
      <c r="C78" s="30"/>
    </row>
    <row r="80" spans="1:3" s="129" customFormat="1">
      <c r="A80" s="135" t="s">
        <v>621</v>
      </c>
      <c r="B80" s="126"/>
    </row>
    <row r="82" spans="1:3">
      <c r="A82" s="33" t="s">
        <v>857</v>
      </c>
      <c r="B82" s="34"/>
      <c r="C82" s="35"/>
    </row>
    <row r="83" spans="1:3">
      <c r="A83" s="126" t="s">
        <v>643</v>
      </c>
      <c r="B83" s="130" t="s">
        <v>440</v>
      </c>
      <c r="C83" s="126" t="s">
        <v>390</v>
      </c>
    </row>
    <row r="84" spans="1:3">
      <c r="A84" s="126" t="s">
        <v>648</v>
      </c>
      <c r="B84" s="126" t="s">
        <v>649</v>
      </c>
    </row>
    <row r="85" spans="1:3">
      <c r="A85" s="126" t="s">
        <v>388</v>
      </c>
      <c r="B85" s="126" t="s">
        <v>788</v>
      </c>
    </row>
    <row r="87" spans="1:3">
      <c r="A87" s="33" t="s">
        <v>858</v>
      </c>
      <c r="B87" s="34"/>
    </row>
    <row r="88" spans="1:3">
      <c r="A88" s="126" t="s">
        <v>624</v>
      </c>
      <c r="B88" s="130" t="s">
        <v>646</v>
      </c>
      <c r="C88" s="126" t="s">
        <v>390</v>
      </c>
    </row>
    <row r="89" spans="1:3">
      <c r="A89" s="126" t="s">
        <v>650</v>
      </c>
      <c r="B89" s="126" t="s">
        <v>432</v>
      </c>
    </row>
    <row r="90" spans="1:3">
      <c r="A90" s="126" t="s">
        <v>388</v>
      </c>
      <c r="B90" s="126" t="s">
        <v>1367</v>
      </c>
    </row>
    <row r="92" spans="1:3">
      <c r="A92" s="33" t="s">
        <v>859</v>
      </c>
      <c r="B92" s="34"/>
      <c r="C92" s="35"/>
    </row>
    <row r="93" spans="1:3">
      <c r="A93" s="126" t="s">
        <v>651</v>
      </c>
      <c r="B93" s="126" t="s">
        <v>35</v>
      </c>
    </row>
    <row r="95" spans="1:3">
      <c r="A95" s="33" t="s">
        <v>860</v>
      </c>
      <c r="B95" s="34"/>
      <c r="C95" s="35"/>
    </row>
    <row r="96" spans="1:3">
      <c r="A96" s="126" t="s">
        <v>652</v>
      </c>
      <c r="B96" s="126" t="s">
        <v>789</v>
      </c>
    </row>
    <row r="97" spans="1:3">
      <c r="A97" s="126" t="s">
        <v>653</v>
      </c>
      <c r="B97" s="42">
        <f>Planning!B20</f>
        <v>44218</v>
      </c>
      <c r="C97" s="126" t="s">
        <v>1024</v>
      </c>
    </row>
    <row r="98" spans="1:3">
      <c r="A98" s="126" t="s">
        <v>654</v>
      </c>
      <c r="B98" s="126" t="s">
        <v>790</v>
      </c>
    </row>
    <row r="100" spans="1:3">
      <c r="A100" s="126" t="s">
        <v>652</v>
      </c>
      <c r="B100" s="126" t="s">
        <v>791</v>
      </c>
    </row>
    <row r="101" spans="1:3">
      <c r="A101" s="126" t="s">
        <v>653</v>
      </c>
      <c r="B101" s="42">
        <f>Planning!B23</f>
        <v>44232</v>
      </c>
      <c r="C101" s="126" t="s">
        <v>1024</v>
      </c>
    </row>
    <row r="102" spans="1:3" ht="29">
      <c r="A102" s="126" t="s">
        <v>654</v>
      </c>
      <c r="B102" s="126" t="s">
        <v>1040</v>
      </c>
    </row>
    <row r="104" spans="1:3" s="129" customFormat="1">
      <c r="A104" s="135" t="s">
        <v>621</v>
      </c>
      <c r="B104" s="126"/>
    </row>
    <row r="106" spans="1:3">
      <c r="A106" s="33" t="s">
        <v>593</v>
      </c>
      <c r="B106" s="34"/>
      <c r="C106" s="35"/>
    </row>
    <row r="107" spans="1:3">
      <c r="A107" s="126" t="s">
        <v>593</v>
      </c>
      <c r="B107" s="126" t="s">
        <v>792</v>
      </c>
    </row>
    <row r="109" spans="1:3">
      <c r="A109" s="108" t="s">
        <v>862</v>
      </c>
      <c r="B109" s="108"/>
    </row>
    <row r="110" spans="1:3">
      <c r="A110" s="33" t="s">
        <v>862</v>
      </c>
      <c r="B110" s="34"/>
      <c r="C110" s="35"/>
    </row>
    <row r="111" spans="1:3">
      <c r="A111" s="126" t="s">
        <v>400</v>
      </c>
      <c r="B111" s="110" t="str">
        <f>_xlfn.CONCAT("Readiness review for ",B96)</f>
        <v>Readiness review for Version 1 of OE database</v>
      </c>
      <c r="C111" s="126" t="s">
        <v>1076</v>
      </c>
    </row>
    <row r="112" spans="1:3">
      <c r="A112" s="126" t="s">
        <v>401</v>
      </c>
      <c r="B112" s="42">
        <f>Planning!B21</f>
        <v>44219</v>
      </c>
      <c r="C112" s="126" t="s">
        <v>1024</v>
      </c>
    </row>
    <row r="113" spans="1:3">
      <c r="A113" s="126" t="s">
        <v>402</v>
      </c>
      <c r="B113" s="42">
        <f>B112</f>
        <v>44219</v>
      </c>
      <c r="C113" s="126" t="s">
        <v>1076</v>
      </c>
    </row>
    <row r="114" spans="1:3" ht="29">
      <c r="A114" s="126" t="s">
        <v>793</v>
      </c>
      <c r="B114" s="126" t="s">
        <v>799</v>
      </c>
    </row>
    <row r="115" spans="1:3">
      <c r="A115" s="126" t="s">
        <v>794</v>
      </c>
      <c r="B115" s="126" t="s">
        <v>861</v>
      </c>
    </row>
    <row r="116" spans="1:3">
      <c r="A116" s="126" t="s">
        <v>795</v>
      </c>
      <c r="B116" s="126" t="s">
        <v>801</v>
      </c>
    </row>
    <row r="117" spans="1:3">
      <c r="A117" s="126" t="s">
        <v>796</v>
      </c>
      <c r="B117" s="126" t="s">
        <v>1368</v>
      </c>
    </row>
    <row r="118" spans="1:3">
      <c r="A118" s="126" t="s">
        <v>797</v>
      </c>
      <c r="B118" s="126" t="s">
        <v>800</v>
      </c>
    </row>
    <row r="119" spans="1:3">
      <c r="A119" s="126" t="s">
        <v>798</v>
      </c>
      <c r="B119" s="126" t="s">
        <v>394</v>
      </c>
    </row>
    <row r="121" spans="1:3">
      <c r="A121" s="126" t="s">
        <v>400</v>
      </c>
      <c r="B121" s="110" t="str">
        <f>_xlfn.CONCAT("Readiness review for ",B100)</f>
        <v>Readiness review for Version 2 of OE database</v>
      </c>
      <c r="C121" s="126" t="s">
        <v>1076</v>
      </c>
    </row>
    <row r="122" spans="1:3">
      <c r="A122" s="126" t="s">
        <v>401</v>
      </c>
      <c r="B122" s="42">
        <f>Planning!B24</f>
        <v>44233</v>
      </c>
      <c r="C122" s="126" t="s">
        <v>1024</v>
      </c>
    </row>
    <row r="123" spans="1:3">
      <c r="A123" s="126" t="s">
        <v>402</v>
      </c>
      <c r="B123" s="42">
        <f>B122</f>
        <v>44233</v>
      </c>
      <c r="C123" s="126" t="s">
        <v>1076</v>
      </c>
    </row>
    <row r="124" spans="1:3" ht="29">
      <c r="A124" s="126" t="s">
        <v>793</v>
      </c>
      <c r="B124" s="126" t="str">
        <f>B114</f>
        <v>Determine how much of the OE is linked and available in the sampled database.</v>
      </c>
    </row>
    <row r="125" spans="1:3" ht="58">
      <c r="A125" s="126" t="s">
        <v>794</v>
      </c>
      <c r="B125" s="128" t="s">
        <v>1041</v>
      </c>
    </row>
    <row r="126" spans="1:3">
      <c r="A126" s="126" t="s">
        <v>795</v>
      </c>
      <c r="B126" s="126" t="str">
        <f>B116</f>
        <v>LA and one or more ATMs.</v>
      </c>
    </row>
    <row r="127" spans="1:3" ht="87">
      <c r="A127" s="126" t="s">
        <v>796</v>
      </c>
      <c r="B127" s="126" t="s">
        <v>1257</v>
      </c>
    </row>
    <row r="128" spans="1:3">
      <c r="A128" s="126" t="s">
        <v>797</v>
      </c>
      <c r="B128" s="126" t="str">
        <f>B118</f>
        <v>Not applicable.</v>
      </c>
    </row>
    <row r="129" spans="1:4">
      <c r="A129" s="126" t="s">
        <v>798</v>
      </c>
      <c r="B129" s="126" t="s">
        <v>394</v>
      </c>
    </row>
    <row r="131" spans="1:4" s="129" customFormat="1">
      <c r="A131" s="135" t="s">
        <v>621</v>
      </c>
      <c r="B131" s="126"/>
    </row>
    <row r="133" spans="1:4">
      <c r="A133" s="108" t="s">
        <v>863</v>
      </c>
      <c r="B133" s="108"/>
    </row>
    <row r="134" spans="1:4">
      <c r="A134" s="33" t="s">
        <v>864</v>
      </c>
      <c r="B134" s="34"/>
      <c r="C134" s="35"/>
    </row>
    <row r="135" spans="1:4">
      <c r="A135" s="363" t="s">
        <v>1175</v>
      </c>
      <c r="B135" s="363"/>
    </row>
    <row r="137" spans="1:4" s="129" customFormat="1">
      <c r="A137" s="31" t="s">
        <v>655</v>
      </c>
      <c r="B137" s="32"/>
      <c r="C137" s="31"/>
      <c r="D137" s="31"/>
    </row>
    <row r="138" spans="1:4" ht="58">
      <c r="A138" s="32" t="s">
        <v>656</v>
      </c>
      <c r="B138" s="32" t="s">
        <v>658</v>
      </c>
      <c r="C138" s="32" t="s">
        <v>659</v>
      </c>
      <c r="D138" s="32" t="s">
        <v>660</v>
      </c>
    </row>
    <row r="139" spans="1:4">
      <c r="A139" s="32" t="s">
        <v>665</v>
      </c>
      <c r="B139" s="32" t="s">
        <v>666</v>
      </c>
      <c r="C139" s="32" t="s">
        <v>667</v>
      </c>
      <c r="D139" s="32">
        <v>1</v>
      </c>
    </row>
    <row r="140" spans="1:4">
      <c r="A140" s="32" t="s">
        <v>657</v>
      </c>
      <c r="B140" s="32" t="s">
        <v>661</v>
      </c>
      <c r="C140" s="32" t="s">
        <v>633</v>
      </c>
      <c r="D140" s="32">
        <v>2</v>
      </c>
    </row>
    <row r="141" spans="1:4">
      <c r="A141" s="32" t="s">
        <v>410</v>
      </c>
      <c r="B141" s="32" t="s">
        <v>662</v>
      </c>
      <c r="C141" s="32" t="s">
        <v>633</v>
      </c>
      <c r="D141" s="32">
        <v>4</v>
      </c>
    </row>
    <row r="142" spans="1:4">
      <c r="A142" s="32" t="s">
        <v>663</v>
      </c>
      <c r="B142" s="32" t="s">
        <v>664</v>
      </c>
      <c r="C142" s="32" t="s">
        <v>633</v>
      </c>
      <c r="D142" s="32">
        <v>1</v>
      </c>
    </row>
    <row r="143" spans="1:4" ht="29">
      <c r="A143" s="32" t="s">
        <v>668</v>
      </c>
      <c r="B143" s="32" t="s">
        <v>669</v>
      </c>
      <c r="C143" s="32" t="s">
        <v>670</v>
      </c>
      <c r="D143" s="32">
        <v>1</v>
      </c>
    </row>
    <row r="144" spans="1:4">
      <c r="A144" s="32"/>
      <c r="B144" s="32"/>
      <c r="C144" s="32"/>
      <c r="D144" s="32"/>
    </row>
    <row r="145" spans="1:4">
      <c r="A145" s="32" t="s">
        <v>621</v>
      </c>
      <c r="B145" s="32"/>
      <c r="C145" s="32"/>
      <c r="D145" s="32"/>
    </row>
    <row r="147" spans="1:4">
      <c r="A147" s="33" t="s">
        <v>865</v>
      </c>
      <c r="B147" s="34"/>
      <c r="C147" s="35"/>
    </row>
    <row r="148" spans="1:4" ht="29">
      <c r="A148" s="126" t="s">
        <v>671</v>
      </c>
      <c r="B148" s="130" t="s">
        <v>672</v>
      </c>
      <c r="C148" s="126" t="s">
        <v>390</v>
      </c>
    </row>
    <row r="149" spans="1:4" ht="29">
      <c r="A149" s="126" t="s">
        <v>676</v>
      </c>
      <c r="B149" s="130" t="s">
        <v>681</v>
      </c>
      <c r="C149" s="126" t="s">
        <v>390</v>
      </c>
    </row>
    <row r="150" spans="1:4">
      <c r="A150" s="126" t="s">
        <v>690</v>
      </c>
    </row>
    <row r="151" spans="1:4" ht="43.5">
      <c r="A151" s="126" t="s">
        <v>691</v>
      </c>
      <c r="B151" s="126" t="s">
        <v>809</v>
      </c>
    </row>
    <row r="152" spans="1:4">
      <c r="A152" s="126" t="s">
        <v>692</v>
      </c>
      <c r="B152" s="126" t="s">
        <v>810</v>
      </c>
    </row>
    <row r="154" spans="1:4">
      <c r="A154" s="126" t="s">
        <v>671</v>
      </c>
      <c r="B154" s="130" t="s">
        <v>673</v>
      </c>
      <c r="C154" s="126" t="s">
        <v>390</v>
      </c>
    </row>
    <row r="155" spans="1:4">
      <c r="A155" s="126" t="s">
        <v>676</v>
      </c>
      <c r="B155" s="130"/>
      <c r="C155" s="126" t="s">
        <v>390</v>
      </c>
    </row>
    <row r="156" spans="1:4">
      <c r="A156" s="126" t="s">
        <v>690</v>
      </c>
    </row>
    <row r="157" spans="1:4" ht="29">
      <c r="A157" s="126" t="s">
        <v>691</v>
      </c>
      <c r="B157" s="126" t="s">
        <v>693</v>
      </c>
    </row>
    <row r="158" spans="1:4">
      <c r="A158" s="126" t="s">
        <v>692</v>
      </c>
      <c r="B158" s="126" t="s">
        <v>810</v>
      </c>
    </row>
    <row r="160" spans="1:4">
      <c r="A160" s="126" t="s">
        <v>671</v>
      </c>
      <c r="B160" s="130" t="s">
        <v>674</v>
      </c>
      <c r="C160" s="126" t="s">
        <v>390</v>
      </c>
    </row>
    <row r="161" spans="1:3">
      <c r="A161" s="126" t="s">
        <v>676</v>
      </c>
      <c r="B161" s="130"/>
      <c r="C161" s="126" t="s">
        <v>390</v>
      </c>
    </row>
    <row r="162" spans="1:3">
      <c r="A162" s="126" t="s">
        <v>690</v>
      </c>
    </row>
    <row r="163" spans="1:3" ht="29">
      <c r="A163" s="126" t="s">
        <v>691</v>
      </c>
      <c r="B163" s="126" t="s">
        <v>694</v>
      </c>
    </row>
    <row r="164" spans="1:3">
      <c r="A164" s="126" t="s">
        <v>692</v>
      </c>
      <c r="B164" s="126" t="s">
        <v>810</v>
      </c>
    </row>
    <row r="166" spans="1:3">
      <c r="A166" s="126" t="s">
        <v>671</v>
      </c>
      <c r="B166" s="130" t="s">
        <v>675</v>
      </c>
      <c r="C166" s="126" t="s">
        <v>390</v>
      </c>
    </row>
    <row r="167" spans="1:3" ht="29">
      <c r="A167" s="126" t="s">
        <v>676</v>
      </c>
      <c r="B167" s="130" t="s">
        <v>678</v>
      </c>
      <c r="C167" s="126" t="s">
        <v>390</v>
      </c>
    </row>
    <row r="168" spans="1:3">
      <c r="A168" s="126" t="s">
        <v>690</v>
      </c>
    </row>
    <row r="169" spans="1:3">
      <c r="A169" s="126" t="s">
        <v>691</v>
      </c>
      <c r="B169" s="126" t="s">
        <v>811</v>
      </c>
    </row>
    <row r="170" spans="1:3">
      <c r="A170" s="126" t="s">
        <v>692</v>
      </c>
      <c r="B170" s="126" t="s">
        <v>812</v>
      </c>
    </row>
    <row r="172" spans="1:3">
      <c r="A172" s="20" t="s">
        <v>621</v>
      </c>
    </row>
    <row r="174" spans="1:3">
      <c r="A174" s="33" t="s">
        <v>866</v>
      </c>
      <c r="B174" s="34"/>
      <c r="C174" s="35"/>
    </row>
    <row r="175" spans="1:3">
      <c r="A175" s="126" t="s">
        <v>695</v>
      </c>
      <c r="B175" s="130" t="s">
        <v>698</v>
      </c>
      <c r="C175" s="126" t="s">
        <v>390</v>
      </c>
    </row>
    <row r="176" spans="1:3">
      <c r="A176" s="126" t="s">
        <v>703</v>
      </c>
      <c r="B176" s="130"/>
      <c r="C176" s="126" t="s">
        <v>390</v>
      </c>
    </row>
    <row r="177" spans="1:3">
      <c r="A177" s="126" t="s">
        <v>704</v>
      </c>
      <c r="B177" s="126" t="s">
        <v>813</v>
      </c>
    </row>
    <row r="179" spans="1:3">
      <c r="A179" s="20" t="s">
        <v>621</v>
      </c>
    </row>
    <row r="181" spans="1:3">
      <c r="A181" s="33" t="s">
        <v>867</v>
      </c>
      <c r="B181" s="34"/>
      <c r="C181" s="35"/>
    </row>
    <row r="182" spans="1:3">
      <c r="A182" s="126" t="s">
        <v>705</v>
      </c>
      <c r="B182" s="126" t="s">
        <v>717</v>
      </c>
    </row>
    <row r="183" spans="1:3">
      <c r="A183" s="126" t="s">
        <v>706</v>
      </c>
      <c r="B183" s="130" t="s">
        <v>426</v>
      </c>
      <c r="C183" s="126" t="s">
        <v>390</v>
      </c>
    </row>
    <row r="184" spans="1:3">
      <c r="A184" s="126" t="s">
        <v>712</v>
      </c>
    </row>
    <row r="185" spans="1:3" ht="29">
      <c r="A185" s="126" t="s">
        <v>713</v>
      </c>
      <c r="B185" s="126" t="s">
        <v>718</v>
      </c>
    </row>
    <row r="186" spans="1:3">
      <c r="A186" s="126" t="s">
        <v>714</v>
      </c>
      <c r="B186" s="130" t="s">
        <v>719</v>
      </c>
      <c r="C186" s="126" t="s">
        <v>390</v>
      </c>
    </row>
    <row r="187" spans="1:3" ht="58">
      <c r="A187" s="126" t="s">
        <v>715</v>
      </c>
      <c r="B187" s="126" t="s">
        <v>720</v>
      </c>
    </row>
    <row r="188" spans="1:3">
      <c r="A188" s="126" t="s">
        <v>716</v>
      </c>
      <c r="B188" s="130" t="s">
        <v>721</v>
      </c>
      <c r="C188" s="126" t="s">
        <v>390</v>
      </c>
    </row>
    <row r="190" spans="1:3">
      <c r="A190" s="126" t="s">
        <v>705</v>
      </c>
      <c r="B190" s="126" t="s">
        <v>722</v>
      </c>
    </row>
    <row r="191" spans="1:3">
      <c r="A191" s="126" t="s">
        <v>706</v>
      </c>
      <c r="B191" s="130" t="s">
        <v>440</v>
      </c>
      <c r="C191" s="126" t="s">
        <v>390</v>
      </c>
    </row>
    <row r="192" spans="1:3">
      <c r="A192" s="126" t="s">
        <v>712</v>
      </c>
      <c r="B192" s="126" t="s">
        <v>723</v>
      </c>
    </row>
    <row r="193" spans="1:3" ht="29">
      <c r="A193" s="126" t="s">
        <v>713</v>
      </c>
      <c r="B193" s="126" t="s">
        <v>724</v>
      </c>
    </row>
    <row r="194" spans="1:3">
      <c r="A194" s="126" t="s">
        <v>714</v>
      </c>
      <c r="B194" s="130" t="s">
        <v>725</v>
      </c>
      <c r="C194" s="126" t="s">
        <v>390</v>
      </c>
    </row>
    <row r="195" spans="1:3" ht="58">
      <c r="A195" s="126" t="s">
        <v>715</v>
      </c>
      <c r="B195" s="126" t="s">
        <v>726</v>
      </c>
    </row>
    <row r="196" spans="1:3">
      <c r="A196" s="126" t="s">
        <v>716</v>
      </c>
      <c r="B196" s="130" t="s">
        <v>721</v>
      </c>
      <c r="C196" s="126" t="s">
        <v>390</v>
      </c>
    </row>
    <row r="199" spans="1:3">
      <c r="A199" s="20" t="s">
        <v>621</v>
      </c>
    </row>
    <row r="201" spans="1:3">
      <c r="A201" s="33" t="s">
        <v>868</v>
      </c>
      <c r="B201" s="34"/>
      <c r="C201" s="35"/>
    </row>
    <row r="202" spans="1:3">
      <c r="A202" s="126" t="s">
        <v>727</v>
      </c>
      <c r="B202" s="130" t="s">
        <v>440</v>
      </c>
      <c r="C202" s="126" t="s">
        <v>390</v>
      </c>
    </row>
    <row r="203" spans="1:3">
      <c r="A203" s="126" t="s">
        <v>743</v>
      </c>
      <c r="B203" s="126" t="s">
        <v>35</v>
      </c>
    </row>
    <row r="204" spans="1:3">
      <c r="A204" s="126" t="s">
        <v>388</v>
      </c>
      <c r="B204" s="126" t="s">
        <v>1258</v>
      </c>
    </row>
    <row r="205" spans="1:3">
      <c r="A205" s="126" t="s">
        <v>744</v>
      </c>
      <c r="B205" s="130" t="s">
        <v>719</v>
      </c>
      <c r="C205" s="126" t="s">
        <v>390</v>
      </c>
    </row>
    <row r="206" spans="1:3">
      <c r="A206" s="126" t="s">
        <v>745</v>
      </c>
      <c r="B206" s="126" t="s">
        <v>1259</v>
      </c>
    </row>
    <row r="207" spans="1:3">
      <c r="A207" s="126" t="s">
        <v>746</v>
      </c>
      <c r="B207" s="130" t="s">
        <v>721</v>
      </c>
      <c r="C207" s="126" t="s">
        <v>390</v>
      </c>
    </row>
    <row r="209" spans="1:3">
      <c r="A209" s="20" t="s">
        <v>621</v>
      </c>
    </row>
    <row r="211" spans="1:3">
      <c r="A211" s="33" t="s">
        <v>869</v>
      </c>
      <c r="B211" s="34"/>
      <c r="C211" s="35"/>
    </row>
    <row r="212" spans="1:3">
      <c r="A212" s="126" t="s">
        <v>747</v>
      </c>
      <c r="B212" s="130" t="s">
        <v>749</v>
      </c>
      <c r="C212" s="126" t="s">
        <v>390</v>
      </c>
    </row>
    <row r="213" spans="1:3">
      <c r="A213" s="126" t="s">
        <v>752</v>
      </c>
    </row>
    <row r="214" spans="1:3" ht="29">
      <c r="A214" s="126" t="s">
        <v>753</v>
      </c>
      <c r="B214" s="126" t="s">
        <v>754</v>
      </c>
    </row>
    <row r="216" spans="1:3">
      <c r="A216" s="20" t="s">
        <v>621</v>
      </c>
    </row>
    <row r="218" spans="1:3">
      <c r="A218" s="33" t="s">
        <v>870</v>
      </c>
      <c r="B218" s="34"/>
      <c r="C218" s="35"/>
    </row>
    <row r="219" spans="1:3" ht="58">
      <c r="A219" s="305" t="s">
        <v>1315</v>
      </c>
      <c r="B219" s="130" t="s">
        <v>1314</v>
      </c>
      <c r="C219" s="126" t="s">
        <v>390</v>
      </c>
    </row>
    <row r="221" spans="1:3">
      <c r="A221" s="108" t="s">
        <v>871</v>
      </c>
      <c r="B221" s="108"/>
    </row>
    <row r="222" spans="1:3">
      <c r="A222" s="33" t="s">
        <v>872</v>
      </c>
      <c r="B222" s="34"/>
      <c r="C222" s="35"/>
    </row>
    <row r="223" spans="1:3" ht="87">
      <c r="A223" s="305" t="s">
        <v>1369</v>
      </c>
      <c r="B223" s="130" t="s">
        <v>1314</v>
      </c>
      <c r="C223" s="126" t="s">
        <v>390</v>
      </c>
    </row>
    <row r="226" spans="1:3">
      <c r="A226" s="33" t="s">
        <v>873</v>
      </c>
      <c r="B226" s="34"/>
      <c r="C226" s="35"/>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B223"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election activeCell="B34" sqref="B34"/>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1421</v>
      </c>
      <c r="B1" s="108"/>
    </row>
    <row r="2" spans="1:3">
      <c r="A2" s="33" t="s">
        <v>1422</v>
      </c>
      <c r="B2" s="34"/>
      <c r="C2" s="35"/>
    </row>
    <row r="3" spans="1:3" s="136" customFormat="1">
      <c r="A3" s="135" t="s">
        <v>1424</v>
      </c>
      <c r="B3" s="126"/>
    </row>
    <row r="4" spans="1:3" s="136" customFormat="1">
      <c r="B4" s="126"/>
    </row>
    <row r="5" spans="1:3">
      <c r="A5" s="33" t="s">
        <v>1423</v>
      </c>
      <c r="B5" s="34"/>
      <c r="C5" s="35"/>
    </row>
    <row r="6" spans="1:3" s="136" customFormat="1">
      <c r="A6" s="135" t="s">
        <v>1425</v>
      </c>
      <c r="B6" s="126"/>
    </row>
    <row r="7" spans="1:3" s="136" customFormat="1">
      <c r="B7" s="126"/>
    </row>
  </sheetData>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election activeCell="B10" sqref="B10"/>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1306</v>
      </c>
      <c r="B1" s="108"/>
    </row>
    <row r="2" spans="1:3">
      <c r="A2" s="33" t="s">
        <v>1307</v>
      </c>
      <c r="B2" s="34"/>
      <c r="C2" s="35"/>
    </row>
    <row r="3" spans="1:3" s="136" customFormat="1">
      <c r="A3" s="135" t="s">
        <v>1308</v>
      </c>
      <c r="B3" s="126"/>
    </row>
    <row r="4" spans="1:3" s="136" customFormat="1">
      <c r="B4" s="126"/>
    </row>
    <row r="5" spans="1:3">
      <c r="A5" s="33" t="s">
        <v>1304</v>
      </c>
      <c r="B5" s="34"/>
      <c r="C5" s="35"/>
    </row>
    <row r="6" spans="1:3" s="136" customFormat="1">
      <c r="A6" s="135" t="s">
        <v>1309</v>
      </c>
      <c r="B6" s="130" t="s">
        <v>847</v>
      </c>
    </row>
    <row r="7" spans="1:3" s="136" customFormat="1">
      <c r="A7" s="135" t="s">
        <v>1310</v>
      </c>
      <c r="B7" s="130" t="s">
        <v>848</v>
      </c>
    </row>
    <row r="8" spans="1:3" s="136" customFormat="1">
      <c r="A8" s="135" t="s">
        <v>1311</v>
      </c>
      <c r="B8" s="130" t="s">
        <v>849</v>
      </c>
    </row>
    <row r="9" spans="1:3" s="136" customFormat="1">
      <c r="A9" s="135" t="s">
        <v>1312</v>
      </c>
      <c r="B9" s="130" t="s">
        <v>709</v>
      </c>
    </row>
    <row r="10" spans="1:3" s="136" customFormat="1">
      <c r="A10" s="135" t="s">
        <v>1426</v>
      </c>
      <c r="B10" s="130" t="s">
        <v>440</v>
      </c>
    </row>
    <row r="11" spans="1:3" s="136" customFormat="1">
      <c r="A11" s="135" t="s">
        <v>1313</v>
      </c>
      <c r="B11" s="130" t="s">
        <v>1305</v>
      </c>
    </row>
    <row r="12" spans="1:3" s="136" customFormat="1">
      <c r="B12" s="126"/>
    </row>
  </sheetData>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H41"/>
  <sheetViews>
    <sheetView tabSelected="1" workbookViewId="0">
      <selection activeCell="H2" sqref="H2:H11"/>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8">
      <c r="A1" t="s">
        <v>935</v>
      </c>
      <c r="B1" t="s">
        <v>962</v>
      </c>
      <c r="C1" t="s">
        <v>979</v>
      </c>
      <c r="D1" t="s">
        <v>980</v>
      </c>
      <c r="E1" t="s">
        <v>963</v>
      </c>
      <c r="F1" t="s">
        <v>981</v>
      </c>
      <c r="G1" t="s">
        <v>982</v>
      </c>
    </row>
    <row r="2" spans="1:8">
      <c r="A2" t="s">
        <v>952</v>
      </c>
      <c r="B2" t="s">
        <v>1460</v>
      </c>
      <c r="C2" t="s">
        <v>937</v>
      </c>
      <c r="D2" t="s">
        <v>1475</v>
      </c>
      <c r="E2" t="s">
        <v>1277</v>
      </c>
      <c r="F2" t="s">
        <v>952</v>
      </c>
    </row>
    <row r="3" spans="1:8">
      <c r="A3" t="s">
        <v>952</v>
      </c>
      <c r="B3" t="s">
        <v>1460</v>
      </c>
      <c r="C3" t="s">
        <v>938</v>
      </c>
      <c r="D3" t="s">
        <v>1475</v>
      </c>
      <c r="E3" t="s">
        <v>1277</v>
      </c>
      <c r="F3" t="s">
        <v>952</v>
      </c>
      <c r="H3" s="141"/>
    </row>
    <row r="4" spans="1:8">
      <c r="A4" t="s">
        <v>952</v>
      </c>
      <c r="B4" t="s">
        <v>1460</v>
      </c>
      <c r="C4" t="s">
        <v>939</v>
      </c>
      <c r="D4" t="s">
        <v>1475</v>
      </c>
      <c r="E4" t="s">
        <v>1277</v>
      </c>
      <c r="F4" t="s">
        <v>952</v>
      </c>
      <c r="H4" s="141"/>
    </row>
    <row r="5" spans="1:8">
      <c r="A5" t="s">
        <v>952</v>
      </c>
      <c r="B5" t="s">
        <v>1460</v>
      </c>
      <c r="C5" t="s">
        <v>939</v>
      </c>
      <c r="D5" t="s">
        <v>1476</v>
      </c>
      <c r="E5" t="s">
        <v>1276</v>
      </c>
      <c r="F5" t="s">
        <v>952</v>
      </c>
      <c r="H5" s="141"/>
    </row>
    <row r="6" spans="1:8">
      <c r="A6" t="s">
        <v>952</v>
      </c>
      <c r="B6" t="s">
        <v>1460</v>
      </c>
      <c r="C6" t="s">
        <v>939</v>
      </c>
      <c r="D6" t="s">
        <v>1477</v>
      </c>
      <c r="E6" t="s">
        <v>1278</v>
      </c>
      <c r="F6" t="s">
        <v>952</v>
      </c>
      <c r="H6" s="141"/>
    </row>
    <row r="7" spans="1:8">
      <c r="A7" t="s">
        <v>952</v>
      </c>
      <c r="B7" t="s">
        <v>1460</v>
      </c>
      <c r="C7" t="s">
        <v>940</v>
      </c>
      <c r="D7" t="s">
        <v>1475</v>
      </c>
      <c r="E7" t="s">
        <v>1277</v>
      </c>
      <c r="F7" t="s">
        <v>952</v>
      </c>
      <c r="H7" s="141"/>
    </row>
    <row r="8" spans="1:8">
      <c r="A8" t="s">
        <v>952</v>
      </c>
      <c r="B8" t="s">
        <v>1460</v>
      </c>
      <c r="C8" t="s">
        <v>941</v>
      </c>
      <c r="D8" t="s">
        <v>1475</v>
      </c>
      <c r="E8" t="s">
        <v>1277</v>
      </c>
      <c r="F8" t="s">
        <v>952</v>
      </c>
      <c r="H8" s="141"/>
    </row>
    <row r="9" spans="1:8">
      <c r="A9" t="s">
        <v>952</v>
      </c>
      <c r="B9" t="s">
        <v>1460</v>
      </c>
      <c r="C9" t="s">
        <v>941</v>
      </c>
      <c r="D9" t="s">
        <v>1477</v>
      </c>
      <c r="E9" t="s">
        <v>1278</v>
      </c>
      <c r="F9" t="s">
        <v>952</v>
      </c>
      <c r="H9" s="141"/>
    </row>
    <row r="10" spans="1:8">
      <c r="A10" t="s">
        <v>952</v>
      </c>
      <c r="B10" t="s">
        <v>1460</v>
      </c>
      <c r="C10" t="s">
        <v>946</v>
      </c>
      <c r="D10" t="s">
        <v>1476</v>
      </c>
      <c r="E10" t="s">
        <v>1276</v>
      </c>
      <c r="F10" t="s">
        <v>952</v>
      </c>
      <c r="H10" s="141"/>
    </row>
    <row r="11" spans="1:8">
      <c r="A11" t="s">
        <v>952</v>
      </c>
      <c r="B11" t="s">
        <v>1460</v>
      </c>
      <c r="C11" t="s">
        <v>947</v>
      </c>
      <c r="D11" t="s">
        <v>1476</v>
      </c>
      <c r="E11" t="s">
        <v>1276</v>
      </c>
      <c r="F11" t="s">
        <v>952</v>
      </c>
      <c r="H11" s="141"/>
    </row>
    <row r="12" spans="1:8">
      <c r="A12" t="s">
        <v>952</v>
      </c>
      <c r="B12" t="s">
        <v>1460</v>
      </c>
      <c r="C12" t="s">
        <v>948</v>
      </c>
      <c r="D12" t="s">
        <v>1476</v>
      </c>
      <c r="E12" t="s">
        <v>1276</v>
      </c>
      <c r="F12" t="s">
        <v>952</v>
      </c>
      <c r="H12" s="141"/>
    </row>
    <row r="13" spans="1:8">
      <c r="A13" t="s">
        <v>953</v>
      </c>
      <c r="B13" t="s">
        <v>1463</v>
      </c>
      <c r="C13" t="s">
        <v>945</v>
      </c>
      <c r="D13" t="s">
        <v>1481</v>
      </c>
      <c r="E13" t="s">
        <v>1276</v>
      </c>
      <c r="F13" t="s">
        <v>953</v>
      </c>
      <c r="H13" s="141"/>
    </row>
    <row r="14" spans="1:8">
      <c r="A14" t="s">
        <v>954</v>
      </c>
      <c r="B14" t="s">
        <v>1465</v>
      </c>
      <c r="C14" t="s">
        <v>937</v>
      </c>
      <c r="D14" t="s">
        <v>1485</v>
      </c>
      <c r="E14" t="s">
        <v>1277</v>
      </c>
      <c r="F14" t="s">
        <v>954</v>
      </c>
      <c r="H14" s="141"/>
    </row>
    <row r="15" spans="1:8">
      <c r="A15" t="s">
        <v>954</v>
      </c>
      <c r="B15" t="s">
        <v>1465</v>
      </c>
      <c r="C15" t="s">
        <v>938</v>
      </c>
      <c r="D15" t="s">
        <v>1484</v>
      </c>
      <c r="E15" t="s">
        <v>969</v>
      </c>
      <c r="F15" t="s">
        <v>954</v>
      </c>
      <c r="H15" s="141"/>
    </row>
    <row r="16" spans="1:8">
      <c r="A16" t="s">
        <v>954</v>
      </c>
      <c r="B16" t="s">
        <v>1465</v>
      </c>
      <c r="C16" t="s">
        <v>938</v>
      </c>
      <c r="D16" t="s">
        <v>1485</v>
      </c>
      <c r="E16" t="s">
        <v>1277</v>
      </c>
      <c r="F16" t="s">
        <v>954</v>
      </c>
      <c r="H16" s="141"/>
    </row>
    <row r="17" spans="1:8">
      <c r="A17" t="s">
        <v>955</v>
      </c>
      <c r="B17" t="s">
        <v>1467</v>
      </c>
      <c r="C17" t="s">
        <v>939</v>
      </c>
      <c r="D17" t="s">
        <v>1488</v>
      </c>
      <c r="E17" t="s">
        <v>967</v>
      </c>
      <c r="F17" t="s">
        <v>955</v>
      </c>
      <c r="H17" s="141"/>
    </row>
    <row r="18" spans="1:8">
      <c r="A18" t="s">
        <v>955</v>
      </c>
      <c r="B18" t="s">
        <v>1467</v>
      </c>
      <c r="C18" t="s">
        <v>939</v>
      </c>
      <c r="D18" t="s">
        <v>1489</v>
      </c>
      <c r="E18" t="s">
        <v>969</v>
      </c>
      <c r="F18" t="s">
        <v>955</v>
      </c>
      <c r="H18" s="141"/>
    </row>
    <row r="19" spans="1:8">
      <c r="A19" t="s">
        <v>955</v>
      </c>
      <c r="B19" t="s">
        <v>1467</v>
      </c>
      <c r="C19" t="s">
        <v>939</v>
      </c>
      <c r="D19" t="s">
        <v>1490</v>
      </c>
      <c r="E19" t="s">
        <v>1277</v>
      </c>
      <c r="F19" t="s">
        <v>955</v>
      </c>
      <c r="H19" s="141"/>
    </row>
    <row r="20" spans="1:8">
      <c r="A20" t="s">
        <v>955</v>
      </c>
      <c r="B20" t="s">
        <v>1467</v>
      </c>
      <c r="C20" t="s">
        <v>939</v>
      </c>
      <c r="D20" t="s">
        <v>1491</v>
      </c>
      <c r="E20" t="s">
        <v>1276</v>
      </c>
      <c r="F20" t="s">
        <v>955</v>
      </c>
      <c r="H20" s="141"/>
    </row>
    <row r="21" spans="1:8">
      <c r="A21" t="s">
        <v>955</v>
      </c>
      <c r="B21" t="s">
        <v>1467</v>
      </c>
      <c r="C21" t="s">
        <v>939</v>
      </c>
      <c r="D21" t="s">
        <v>1492</v>
      </c>
      <c r="E21" t="s">
        <v>1278</v>
      </c>
      <c r="F21" t="s">
        <v>955</v>
      </c>
      <c r="H21" s="141"/>
    </row>
    <row r="22" spans="1:8">
      <c r="A22" t="s">
        <v>955</v>
      </c>
      <c r="B22" t="s">
        <v>1467</v>
      </c>
      <c r="C22" t="s">
        <v>940</v>
      </c>
      <c r="D22" t="s">
        <v>1488</v>
      </c>
      <c r="E22" t="s">
        <v>967</v>
      </c>
      <c r="F22" t="s">
        <v>955</v>
      </c>
      <c r="H22" s="141"/>
    </row>
    <row r="23" spans="1:8">
      <c r="A23" t="s">
        <v>955</v>
      </c>
      <c r="B23" t="s">
        <v>1467</v>
      </c>
      <c r="C23" t="s">
        <v>941</v>
      </c>
      <c r="D23" t="s">
        <v>1490</v>
      </c>
      <c r="E23" t="s">
        <v>1277</v>
      </c>
      <c r="F23" t="s">
        <v>955</v>
      </c>
      <c r="H23" s="141"/>
    </row>
    <row r="24" spans="1:8">
      <c r="A24" t="s">
        <v>955</v>
      </c>
      <c r="B24" t="s">
        <v>1467</v>
      </c>
      <c r="C24" t="s">
        <v>941</v>
      </c>
      <c r="D24" t="s">
        <v>1492</v>
      </c>
      <c r="E24" t="s">
        <v>1278</v>
      </c>
      <c r="F24" t="s">
        <v>955</v>
      </c>
      <c r="H24" s="141"/>
    </row>
    <row r="25" spans="1:8">
      <c r="A25" t="s">
        <v>955</v>
      </c>
      <c r="B25" t="s">
        <v>1467</v>
      </c>
      <c r="C25" t="s">
        <v>945</v>
      </c>
      <c r="D25" t="s">
        <v>1491</v>
      </c>
      <c r="E25" t="s">
        <v>1276</v>
      </c>
      <c r="F25" t="s">
        <v>955</v>
      </c>
      <c r="H25" s="141"/>
    </row>
    <row r="26" spans="1:8">
      <c r="A26" t="s">
        <v>955</v>
      </c>
      <c r="B26" t="s">
        <v>1467</v>
      </c>
      <c r="C26" t="s">
        <v>946</v>
      </c>
      <c r="D26" t="s">
        <v>1491</v>
      </c>
      <c r="E26" t="s">
        <v>1276</v>
      </c>
      <c r="F26" t="s">
        <v>955</v>
      </c>
      <c r="H26" s="141"/>
    </row>
    <row r="27" spans="1:8">
      <c r="A27" t="s">
        <v>955</v>
      </c>
      <c r="B27" t="s">
        <v>1467</v>
      </c>
      <c r="C27" t="s">
        <v>947</v>
      </c>
      <c r="D27" t="s">
        <v>1491</v>
      </c>
      <c r="E27" t="s">
        <v>1276</v>
      </c>
      <c r="F27" t="s">
        <v>955</v>
      </c>
      <c r="H27" s="141"/>
    </row>
    <row r="28" spans="1:8">
      <c r="A28" t="s">
        <v>955</v>
      </c>
      <c r="B28" t="s">
        <v>1467</v>
      </c>
      <c r="C28" t="s">
        <v>948</v>
      </c>
      <c r="D28" t="s">
        <v>1491</v>
      </c>
      <c r="E28" t="s">
        <v>1276</v>
      </c>
      <c r="F28" t="s">
        <v>955</v>
      </c>
      <c r="H28" s="141"/>
    </row>
    <row r="29" spans="1:8">
      <c r="A29" t="s">
        <v>958</v>
      </c>
      <c r="B29" t="s">
        <v>1034</v>
      </c>
      <c r="C29" t="s">
        <v>803</v>
      </c>
      <c r="D29" t="s">
        <v>1503</v>
      </c>
      <c r="E29" t="s">
        <v>1275</v>
      </c>
      <c r="F29" t="s">
        <v>958</v>
      </c>
      <c r="H29" s="141"/>
    </row>
    <row r="30" spans="1:8">
      <c r="A30" t="s">
        <v>959</v>
      </c>
      <c r="B30" t="s">
        <v>1035</v>
      </c>
      <c r="C30" t="s">
        <v>942</v>
      </c>
      <c r="D30" t="s">
        <v>1504</v>
      </c>
      <c r="E30" t="s">
        <v>1279</v>
      </c>
      <c r="F30" t="s">
        <v>959</v>
      </c>
    </row>
    <row r="31" spans="1:8">
      <c r="A31" t="s">
        <v>959</v>
      </c>
      <c r="B31" t="s">
        <v>1035</v>
      </c>
      <c r="C31" t="s">
        <v>942</v>
      </c>
      <c r="D31" t="s">
        <v>1505</v>
      </c>
      <c r="E31" t="s">
        <v>1279</v>
      </c>
      <c r="F31" t="s">
        <v>959</v>
      </c>
    </row>
    <row r="32" spans="1:8">
      <c r="A32" t="s">
        <v>959</v>
      </c>
      <c r="B32" t="s">
        <v>1035</v>
      </c>
      <c r="C32" t="s">
        <v>943</v>
      </c>
      <c r="D32" t="s">
        <v>1504</v>
      </c>
      <c r="E32" t="s">
        <v>1279</v>
      </c>
      <c r="F32" t="s">
        <v>959</v>
      </c>
    </row>
    <row r="33" spans="1:6">
      <c r="A33" t="s">
        <v>959</v>
      </c>
      <c r="B33" t="s">
        <v>1035</v>
      </c>
      <c r="C33" t="s">
        <v>943</v>
      </c>
      <c r="D33" t="s">
        <v>1505</v>
      </c>
      <c r="E33" t="s">
        <v>1279</v>
      </c>
      <c r="F33" t="s">
        <v>959</v>
      </c>
    </row>
    <row r="34" spans="1:6">
      <c r="A34" t="s">
        <v>959</v>
      </c>
      <c r="B34" t="s">
        <v>1035</v>
      </c>
      <c r="C34" t="s">
        <v>944</v>
      </c>
      <c r="D34" t="s">
        <v>1504</v>
      </c>
      <c r="E34" t="s">
        <v>1279</v>
      </c>
      <c r="F34" t="s">
        <v>959</v>
      </c>
    </row>
    <row r="35" spans="1:6">
      <c r="A35" t="s">
        <v>959</v>
      </c>
      <c r="B35" t="s">
        <v>1035</v>
      </c>
      <c r="C35" t="s">
        <v>944</v>
      </c>
      <c r="D35" t="s">
        <v>1505</v>
      </c>
      <c r="E35" t="s">
        <v>1279</v>
      </c>
      <c r="F35" t="s">
        <v>959</v>
      </c>
    </row>
    <row r="36" spans="1:6">
      <c r="A36" t="s">
        <v>959</v>
      </c>
      <c r="B36" t="s">
        <v>1035</v>
      </c>
      <c r="C36" t="s">
        <v>949</v>
      </c>
      <c r="D36" t="s">
        <v>1504</v>
      </c>
      <c r="E36" t="s">
        <v>1279</v>
      </c>
      <c r="F36" t="s">
        <v>959</v>
      </c>
    </row>
    <row r="37" spans="1:6">
      <c r="A37" t="s">
        <v>959</v>
      </c>
      <c r="B37" t="s">
        <v>1035</v>
      </c>
      <c r="C37" t="s">
        <v>949</v>
      </c>
      <c r="D37" t="s">
        <v>1505</v>
      </c>
      <c r="E37" t="s">
        <v>1279</v>
      </c>
      <c r="F37" t="s">
        <v>959</v>
      </c>
    </row>
    <row r="38" spans="1:6">
      <c r="A38" t="s">
        <v>959</v>
      </c>
      <c r="B38" t="s">
        <v>1035</v>
      </c>
      <c r="C38" t="s">
        <v>950</v>
      </c>
      <c r="D38" t="s">
        <v>1504</v>
      </c>
      <c r="E38" t="s">
        <v>1279</v>
      </c>
      <c r="F38" t="s">
        <v>959</v>
      </c>
    </row>
    <row r="39" spans="1:6">
      <c r="A39" t="s">
        <v>959</v>
      </c>
      <c r="B39" t="s">
        <v>1035</v>
      </c>
      <c r="C39" t="s">
        <v>950</v>
      </c>
      <c r="D39" t="s">
        <v>1505</v>
      </c>
      <c r="E39" t="s">
        <v>1279</v>
      </c>
      <c r="F39" t="s">
        <v>959</v>
      </c>
    </row>
    <row r="40" spans="1:6">
      <c r="A40" t="s">
        <v>960</v>
      </c>
      <c r="B40" t="s">
        <v>1036</v>
      </c>
      <c r="C40" t="s">
        <v>805</v>
      </c>
      <c r="D40" t="s">
        <v>1506</v>
      </c>
      <c r="E40" t="s">
        <v>1274</v>
      </c>
      <c r="F40" t="s">
        <v>960</v>
      </c>
    </row>
    <row r="41" spans="1:6">
      <c r="A41" t="s">
        <v>961</v>
      </c>
      <c r="B41" t="s">
        <v>1037</v>
      </c>
      <c r="C41" t="s">
        <v>889</v>
      </c>
      <c r="D41" t="s">
        <v>1507</v>
      </c>
      <c r="E41" t="s">
        <v>1508</v>
      </c>
      <c r="F41" t="s">
        <v>961</v>
      </c>
    </row>
  </sheetData>
  <sortState xmlns:xlrd2="http://schemas.microsoft.com/office/spreadsheetml/2017/richdata2" ref="A2:G57">
    <sortCondition ref="A2:A57"/>
    <sortCondition ref="C2:C57"/>
    <sortCondition ref="D2:D57"/>
  </sortState>
  <conditionalFormatting sqref="H1:H1048576">
    <cfRule type="duplicateValues" dxfId="0" priority="1"/>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workbookViewId="0">
      <selection activeCell="A9" sqref="A9"/>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143" t="s">
        <v>972</v>
      </c>
      <c r="B3" s="143" t="s">
        <v>973</v>
      </c>
    </row>
    <row r="4" spans="1:13">
      <c r="A4" s="143" t="s">
        <v>974</v>
      </c>
      <c r="B4" s="141" t="s">
        <v>952</v>
      </c>
      <c r="C4" s="141" t="s">
        <v>953</v>
      </c>
      <c r="D4" s="141" t="s">
        <v>955</v>
      </c>
      <c r="E4" s="141" t="s">
        <v>958</v>
      </c>
      <c r="F4" s="141" t="s">
        <v>959</v>
      </c>
      <c r="G4" s="141" t="s">
        <v>975</v>
      </c>
      <c r="H4" s="141" t="s">
        <v>954</v>
      </c>
      <c r="I4" s="141" t="s">
        <v>960</v>
      </c>
      <c r="J4" s="141" t="s">
        <v>961</v>
      </c>
      <c r="K4" s="141" t="s">
        <v>976</v>
      </c>
    </row>
    <row r="5" spans="1:13">
      <c r="A5" s="142" t="s">
        <v>949</v>
      </c>
      <c r="B5" s="144"/>
      <c r="C5" s="144"/>
      <c r="D5" s="144"/>
      <c r="E5" s="144"/>
      <c r="F5" s="144">
        <v>1</v>
      </c>
      <c r="G5" s="144"/>
      <c r="H5" s="144"/>
      <c r="I5" s="144"/>
      <c r="J5" s="144"/>
      <c r="K5" s="144">
        <v>1</v>
      </c>
      <c r="M5" t="s">
        <v>949</v>
      </c>
    </row>
    <row r="6" spans="1:13">
      <c r="A6" s="142" t="s">
        <v>803</v>
      </c>
      <c r="B6" s="144"/>
      <c r="C6" s="144"/>
      <c r="D6" s="144"/>
      <c r="E6" s="144">
        <v>1</v>
      </c>
      <c r="F6" s="144"/>
      <c r="G6" s="144"/>
      <c r="H6" s="144"/>
      <c r="I6" s="144"/>
      <c r="J6" s="144"/>
      <c r="K6" s="144">
        <v>1</v>
      </c>
      <c r="M6" t="s">
        <v>803</v>
      </c>
    </row>
    <row r="7" spans="1:13">
      <c r="A7" s="142" t="s">
        <v>946</v>
      </c>
      <c r="B7" s="144">
        <v>1</v>
      </c>
      <c r="C7" s="144"/>
      <c r="D7" s="144">
        <v>1</v>
      </c>
      <c r="E7" s="144"/>
      <c r="F7" s="144"/>
      <c r="G7" s="144"/>
      <c r="H7" s="144"/>
      <c r="I7" s="144"/>
      <c r="J7" s="144"/>
      <c r="K7" s="144">
        <v>2</v>
      </c>
      <c r="M7" t="s">
        <v>946</v>
      </c>
    </row>
    <row r="8" spans="1:13">
      <c r="A8" s="142" t="s">
        <v>947</v>
      </c>
      <c r="B8" s="144">
        <v>1</v>
      </c>
      <c r="C8" s="144"/>
      <c r="D8" s="144">
        <v>1</v>
      </c>
      <c r="E8" s="144"/>
      <c r="F8" s="144"/>
      <c r="G8" s="144"/>
      <c r="H8" s="144"/>
      <c r="I8" s="144"/>
      <c r="J8" s="144"/>
      <c r="K8" s="144">
        <v>2</v>
      </c>
      <c r="M8" t="s">
        <v>947</v>
      </c>
    </row>
    <row r="9" spans="1:13">
      <c r="A9" s="142" t="s">
        <v>937</v>
      </c>
      <c r="B9" s="144">
        <v>3</v>
      </c>
      <c r="C9" s="144"/>
      <c r="D9" s="144"/>
      <c r="E9" s="144"/>
      <c r="F9" s="144"/>
      <c r="G9" s="144"/>
      <c r="H9" s="144">
        <v>3</v>
      </c>
      <c r="I9" s="144"/>
      <c r="J9" s="144"/>
      <c r="K9" s="144">
        <v>6</v>
      </c>
      <c r="M9" t="s">
        <v>937</v>
      </c>
    </row>
    <row r="10" spans="1:13">
      <c r="A10" s="142" t="s">
        <v>948</v>
      </c>
      <c r="B10" s="144">
        <v>1</v>
      </c>
      <c r="C10" s="144"/>
      <c r="D10" s="144">
        <v>1</v>
      </c>
      <c r="E10" s="144"/>
      <c r="F10" s="144"/>
      <c r="G10" s="144"/>
      <c r="H10" s="144"/>
      <c r="I10" s="144"/>
      <c r="J10" s="144"/>
      <c r="K10" s="144">
        <v>2</v>
      </c>
      <c r="M10" t="s">
        <v>948</v>
      </c>
    </row>
    <row r="11" spans="1:13">
      <c r="A11" s="142" t="s">
        <v>939</v>
      </c>
      <c r="B11" s="144">
        <v>8</v>
      </c>
      <c r="C11" s="144"/>
      <c r="D11" s="144">
        <v>7</v>
      </c>
      <c r="E11" s="144"/>
      <c r="F11" s="144"/>
      <c r="G11" s="144"/>
      <c r="H11" s="144"/>
      <c r="I11" s="144"/>
      <c r="J11" s="144"/>
      <c r="K11" s="144">
        <v>15</v>
      </c>
      <c r="M11" t="s">
        <v>939</v>
      </c>
    </row>
    <row r="12" spans="1:13">
      <c r="A12" s="142" t="s">
        <v>940</v>
      </c>
      <c r="B12" s="144">
        <v>2</v>
      </c>
      <c r="C12" s="144"/>
      <c r="D12" s="144">
        <v>1</v>
      </c>
      <c r="E12" s="144"/>
      <c r="F12" s="144"/>
      <c r="G12" s="144"/>
      <c r="H12" s="144"/>
      <c r="I12" s="144"/>
      <c r="J12" s="144"/>
      <c r="K12" s="144">
        <v>3</v>
      </c>
      <c r="M12" t="s">
        <v>940</v>
      </c>
    </row>
    <row r="13" spans="1:13">
      <c r="A13" s="142" t="s">
        <v>945</v>
      </c>
      <c r="B13" s="144"/>
      <c r="C13" s="144">
        <v>1</v>
      </c>
      <c r="D13" s="144">
        <v>1</v>
      </c>
      <c r="E13" s="144"/>
      <c r="F13" s="144"/>
      <c r="G13" s="144"/>
      <c r="H13" s="144"/>
      <c r="I13" s="144"/>
      <c r="J13" s="144"/>
      <c r="K13" s="144">
        <v>2</v>
      </c>
      <c r="M13" t="s">
        <v>945</v>
      </c>
    </row>
    <row r="14" spans="1:13">
      <c r="A14" s="142" t="s">
        <v>938</v>
      </c>
      <c r="B14" s="144">
        <v>4</v>
      </c>
      <c r="C14" s="144"/>
      <c r="D14" s="144"/>
      <c r="E14" s="144"/>
      <c r="F14" s="144"/>
      <c r="G14" s="144"/>
      <c r="H14" s="144">
        <v>4</v>
      </c>
      <c r="I14" s="144"/>
      <c r="J14" s="144"/>
      <c r="K14" s="144">
        <v>8</v>
      </c>
      <c r="M14" t="s">
        <v>938</v>
      </c>
    </row>
    <row r="15" spans="1:13">
      <c r="A15" s="142" t="s">
        <v>941</v>
      </c>
      <c r="B15" s="144">
        <v>4</v>
      </c>
      <c r="C15" s="144"/>
      <c r="D15" s="144">
        <v>4</v>
      </c>
      <c r="E15" s="144"/>
      <c r="F15" s="144"/>
      <c r="G15" s="144"/>
      <c r="H15" s="144"/>
      <c r="I15" s="144"/>
      <c r="J15" s="144"/>
      <c r="K15" s="144">
        <v>8</v>
      </c>
      <c r="M15" t="s">
        <v>941</v>
      </c>
    </row>
    <row r="16" spans="1:13">
      <c r="A16" s="142" t="s">
        <v>975</v>
      </c>
      <c r="B16" s="144"/>
      <c r="C16" s="144"/>
      <c r="D16" s="144"/>
      <c r="E16" s="144"/>
      <c r="F16" s="144"/>
      <c r="G16" s="144"/>
      <c r="H16" s="144"/>
      <c r="I16" s="144"/>
      <c r="J16" s="144"/>
      <c r="K16" s="144"/>
    </row>
    <row r="17" spans="1:14">
      <c r="A17" s="142" t="s">
        <v>942</v>
      </c>
      <c r="B17" s="144"/>
      <c r="C17" s="144"/>
      <c r="D17" s="144"/>
      <c r="E17" s="144"/>
      <c r="F17" s="144">
        <v>1</v>
      </c>
      <c r="G17" s="144"/>
      <c r="H17" s="144"/>
      <c r="I17" s="144"/>
      <c r="J17" s="144"/>
      <c r="K17" s="144">
        <v>1</v>
      </c>
      <c r="M17" t="s">
        <v>942</v>
      </c>
    </row>
    <row r="18" spans="1:14">
      <c r="A18" s="142" t="s">
        <v>943</v>
      </c>
      <c r="B18" s="144"/>
      <c r="C18" s="144"/>
      <c r="D18" s="144"/>
      <c r="E18" s="144"/>
      <c r="F18" s="144">
        <v>1</v>
      </c>
      <c r="G18" s="144"/>
      <c r="H18" s="144"/>
      <c r="I18" s="144"/>
      <c r="J18" s="144"/>
      <c r="K18" s="144">
        <v>1</v>
      </c>
      <c r="M18" t="s">
        <v>943</v>
      </c>
    </row>
    <row r="19" spans="1:14">
      <c r="A19" s="142" t="s">
        <v>944</v>
      </c>
      <c r="B19" s="144"/>
      <c r="C19" s="144"/>
      <c r="D19" s="144"/>
      <c r="E19" s="144"/>
      <c r="F19" s="144">
        <v>1</v>
      </c>
      <c r="G19" s="144"/>
      <c r="H19" s="144"/>
      <c r="I19" s="144"/>
      <c r="J19" s="144"/>
      <c r="K19" s="144">
        <v>1</v>
      </c>
      <c r="M19" t="s">
        <v>944</v>
      </c>
    </row>
    <row r="20" spans="1:14">
      <c r="A20" s="142" t="s">
        <v>805</v>
      </c>
      <c r="B20" s="144"/>
      <c r="C20" s="144"/>
      <c r="D20" s="144"/>
      <c r="E20" s="144"/>
      <c r="F20" s="144"/>
      <c r="G20" s="144"/>
      <c r="H20" s="144"/>
      <c r="I20" s="144">
        <v>1</v>
      </c>
      <c r="J20" s="144"/>
      <c r="K20" s="144">
        <v>1</v>
      </c>
      <c r="M20" t="s">
        <v>805</v>
      </c>
    </row>
    <row r="21" spans="1:14">
      <c r="A21" s="142" t="s">
        <v>889</v>
      </c>
      <c r="B21" s="144"/>
      <c r="C21" s="144"/>
      <c r="D21" s="144"/>
      <c r="E21" s="144"/>
      <c r="F21" s="144"/>
      <c r="G21" s="144"/>
      <c r="H21" s="144"/>
      <c r="I21" s="144"/>
      <c r="J21" s="144">
        <v>1</v>
      </c>
      <c r="K21" s="144">
        <v>1</v>
      </c>
      <c r="M21" t="s">
        <v>889</v>
      </c>
      <c r="N21" t="s">
        <v>950</v>
      </c>
    </row>
    <row r="22" spans="1:14">
      <c r="A22" s="142" t="s">
        <v>950</v>
      </c>
      <c r="B22" s="144"/>
      <c r="C22" s="144"/>
      <c r="D22" s="144"/>
      <c r="E22" s="144"/>
      <c r="F22" s="144">
        <v>1</v>
      </c>
      <c r="G22" s="144"/>
      <c r="H22" s="144"/>
      <c r="I22" s="144"/>
      <c r="J22" s="144"/>
      <c r="K22" s="144">
        <v>1</v>
      </c>
      <c r="N22" t="s">
        <v>951</v>
      </c>
    </row>
    <row r="23" spans="1:14">
      <c r="A23" s="142" t="s">
        <v>976</v>
      </c>
      <c r="B23" s="144">
        <v>24</v>
      </c>
      <c r="C23" s="144">
        <v>1</v>
      </c>
      <c r="D23" s="144">
        <v>16</v>
      </c>
      <c r="E23" s="144">
        <v>1</v>
      </c>
      <c r="F23" s="144">
        <v>5</v>
      </c>
      <c r="G23" s="144"/>
      <c r="H23" s="144">
        <v>7</v>
      </c>
      <c r="I23" s="144">
        <v>1</v>
      </c>
      <c r="J23" s="144">
        <v>1</v>
      </c>
      <c r="K23" s="144">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dimension ref="A3:D23"/>
  <sheetViews>
    <sheetView workbookViewId="0">
      <selection activeCell="A14" sqref="A14"/>
    </sheetView>
  </sheetViews>
  <sheetFormatPr defaultRowHeight="14.5"/>
  <cols>
    <col min="1" max="1" width="15.08984375" bestFit="1" customWidth="1"/>
    <col min="2" max="2" width="15.6328125" bestFit="1" customWidth="1"/>
    <col min="3" max="3" width="6.90625" bestFit="1" customWidth="1"/>
    <col min="4" max="4" width="10.7265625" bestFit="1" customWidth="1"/>
    <col min="5" max="12" width="15.26953125" bestFit="1" customWidth="1"/>
    <col min="13" max="13" width="10.7265625" bestFit="1" customWidth="1"/>
  </cols>
  <sheetData>
    <row r="3" spans="1:4">
      <c r="A3" s="143" t="s">
        <v>972</v>
      </c>
      <c r="B3" s="143" t="s">
        <v>973</v>
      </c>
    </row>
    <row r="4" spans="1:4">
      <c r="A4" s="143" t="s">
        <v>974</v>
      </c>
      <c r="B4" s="141" t="s">
        <v>417</v>
      </c>
      <c r="C4" s="141" t="s">
        <v>975</v>
      </c>
      <c r="D4" s="141" t="s">
        <v>976</v>
      </c>
    </row>
    <row r="5" spans="1:4">
      <c r="A5" s="142" t="s">
        <v>949</v>
      </c>
      <c r="B5" s="144">
        <v>1</v>
      </c>
      <c r="C5" s="144"/>
      <c r="D5" s="144">
        <v>1</v>
      </c>
    </row>
    <row r="6" spans="1:4">
      <c r="A6" s="142" t="s">
        <v>803</v>
      </c>
      <c r="B6" s="144">
        <v>1</v>
      </c>
      <c r="C6" s="144"/>
      <c r="D6" s="144">
        <v>1</v>
      </c>
    </row>
    <row r="7" spans="1:4">
      <c r="A7" s="142" t="s">
        <v>946</v>
      </c>
      <c r="B7" s="144">
        <v>2</v>
      </c>
      <c r="C7" s="144"/>
      <c r="D7" s="144">
        <v>2</v>
      </c>
    </row>
    <row r="8" spans="1:4">
      <c r="A8" s="142" t="s">
        <v>947</v>
      </c>
      <c r="B8" s="144">
        <v>2</v>
      </c>
      <c r="C8" s="144"/>
      <c r="D8" s="144">
        <v>2</v>
      </c>
    </row>
    <row r="9" spans="1:4">
      <c r="A9" s="142" t="s">
        <v>937</v>
      </c>
      <c r="B9" s="144">
        <v>2</v>
      </c>
      <c r="C9" s="144">
        <v>4</v>
      </c>
      <c r="D9" s="144">
        <v>6</v>
      </c>
    </row>
    <row r="10" spans="1:4">
      <c r="A10" s="142" t="s">
        <v>948</v>
      </c>
      <c r="B10" s="144">
        <v>2</v>
      </c>
      <c r="C10" s="144"/>
      <c r="D10" s="144">
        <v>2</v>
      </c>
    </row>
    <row r="11" spans="1:4">
      <c r="A11" s="142" t="s">
        <v>939</v>
      </c>
      <c r="B11" s="144">
        <v>2</v>
      </c>
      <c r="C11" s="144">
        <v>13</v>
      </c>
      <c r="D11" s="144">
        <v>15</v>
      </c>
    </row>
    <row r="12" spans="1:4">
      <c r="A12" s="142" t="s">
        <v>940</v>
      </c>
      <c r="B12" s="144">
        <v>2</v>
      </c>
      <c r="C12" s="144">
        <v>1</v>
      </c>
      <c r="D12" s="144">
        <v>3</v>
      </c>
    </row>
    <row r="13" spans="1:4">
      <c r="A13" s="142" t="s">
        <v>945</v>
      </c>
      <c r="B13" s="144">
        <v>2</v>
      </c>
      <c r="C13" s="144"/>
      <c r="D13" s="144">
        <v>2</v>
      </c>
    </row>
    <row r="14" spans="1:4">
      <c r="A14" s="142" t="s">
        <v>938</v>
      </c>
      <c r="B14" s="144">
        <v>2</v>
      </c>
      <c r="C14" s="144">
        <v>6</v>
      </c>
      <c r="D14" s="144">
        <v>8</v>
      </c>
    </row>
    <row r="15" spans="1:4">
      <c r="A15" s="142" t="s">
        <v>941</v>
      </c>
      <c r="B15" s="144">
        <v>2</v>
      </c>
      <c r="C15" s="144">
        <v>6</v>
      </c>
      <c r="D15" s="144">
        <v>8</v>
      </c>
    </row>
    <row r="16" spans="1:4">
      <c r="A16" s="142" t="s">
        <v>975</v>
      </c>
      <c r="B16" s="144"/>
      <c r="C16" s="144"/>
      <c r="D16" s="144"/>
    </row>
    <row r="17" spans="1:4">
      <c r="A17" s="142" t="s">
        <v>942</v>
      </c>
      <c r="B17" s="144">
        <v>1</v>
      </c>
      <c r="C17" s="144"/>
      <c r="D17" s="144">
        <v>1</v>
      </c>
    </row>
    <row r="18" spans="1:4">
      <c r="A18" s="142" t="s">
        <v>943</v>
      </c>
      <c r="B18" s="144">
        <v>1</v>
      </c>
      <c r="C18" s="144"/>
      <c r="D18" s="144">
        <v>1</v>
      </c>
    </row>
    <row r="19" spans="1:4">
      <c r="A19" s="142" t="s">
        <v>944</v>
      </c>
      <c r="B19" s="144">
        <v>1</v>
      </c>
      <c r="C19" s="144"/>
      <c r="D19" s="144">
        <v>1</v>
      </c>
    </row>
    <row r="20" spans="1:4">
      <c r="A20" s="142" t="s">
        <v>805</v>
      </c>
      <c r="B20" s="144">
        <v>1</v>
      </c>
      <c r="C20" s="144"/>
      <c r="D20" s="144">
        <v>1</v>
      </c>
    </row>
    <row r="21" spans="1:4">
      <c r="A21" s="142" t="s">
        <v>889</v>
      </c>
      <c r="B21" s="144">
        <v>1</v>
      </c>
      <c r="C21" s="144"/>
      <c r="D21" s="144">
        <v>1</v>
      </c>
    </row>
    <row r="22" spans="1:4">
      <c r="A22" s="142" t="s">
        <v>950</v>
      </c>
      <c r="B22" s="144">
        <v>1</v>
      </c>
      <c r="C22" s="144"/>
      <c r="D22" s="144">
        <v>1</v>
      </c>
    </row>
    <row r="23" spans="1:4">
      <c r="A23" s="142" t="s">
        <v>976</v>
      </c>
      <c r="B23" s="144">
        <v>26</v>
      </c>
      <c r="C23" s="144">
        <v>30</v>
      </c>
      <c r="D23" s="144">
        <v>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N27"/>
  <sheetViews>
    <sheetView workbookViewId="0">
      <selection activeCell="B2" sqref="B2:H11"/>
    </sheetView>
  </sheetViews>
  <sheetFormatPr defaultColWidth="8.7265625" defaultRowHeight="14.5"/>
  <cols>
    <col min="1" max="1" width="7.1796875" style="136" customWidth="1"/>
    <col min="2" max="2" width="37" style="136" customWidth="1"/>
    <col min="3" max="3" width="5.453125" style="140" bestFit="1" customWidth="1"/>
    <col min="4" max="4" width="14.26953125" style="136" bestFit="1" customWidth="1"/>
    <col min="5" max="5" width="11.453125" style="136" customWidth="1"/>
    <col min="6" max="6" width="8.7265625" style="140"/>
    <col min="7" max="7" width="8.26953125" style="69" bestFit="1" customWidth="1"/>
    <col min="8" max="8" width="34.1796875" style="136" bestFit="1" customWidth="1"/>
    <col min="9" max="10" width="9.81640625" style="136" customWidth="1"/>
    <col min="11" max="11" width="10.453125" style="136" bestFit="1" customWidth="1"/>
    <col min="12" max="12" width="8.54296875" style="136" bestFit="1" customWidth="1"/>
    <col min="13" max="13" width="11.81640625" style="136" bestFit="1" customWidth="1"/>
    <col min="14" max="14" width="9.453125" style="140" customWidth="1"/>
    <col min="15" max="15" width="1.81640625" style="17" bestFit="1" customWidth="1"/>
    <col min="16" max="16384" width="8.7265625" style="17"/>
  </cols>
  <sheetData>
    <row r="1" spans="1:14" s="12" customFormat="1" ht="29">
      <c r="A1" s="118" t="s">
        <v>935</v>
      </c>
      <c r="B1" s="163" t="s">
        <v>962</v>
      </c>
      <c r="C1" s="119" t="s">
        <v>979</v>
      </c>
      <c r="D1" s="118" t="s">
        <v>980</v>
      </c>
      <c r="E1" s="118" t="s">
        <v>963</v>
      </c>
      <c r="F1" s="119" t="s">
        <v>981</v>
      </c>
      <c r="G1" s="117" t="s">
        <v>982</v>
      </c>
      <c r="H1" s="118" t="s">
        <v>633</v>
      </c>
      <c r="I1" s="118" t="s">
        <v>984</v>
      </c>
      <c r="J1" s="118" t="s">
        <v>966</v>
      </c>
      <c r="K1" s="118" t="s">
        <v>985</v>
      </c>
      <c r="L1" s="118" t="s">
        <v>986</v>
      </c>
      <c r="M1" s="118" t="s">
        <v>987</v>
      </c>
      <c r="N1" s="119" t="s">
        <v>660</v>
      </c>
    </row>
    <row r="2" spans="1:14">
      <c r="A2" s="120" t="s">
        <v>952</v>
      </c>
      <c r="B2" s="120" t="s">
        <v>1323</v>
      </c>
      <c r="C2" s="167" t="s">
        <v>946</v>
      </c>
      <c r="D2" s="120" t="s">
        <v>1336</v>
      </c>
      <c r="E2" s="120" t="s">
        <v>1276</v>
      </c>
      <c r="F2" s="167" t="s">
        <v>952</v>
      </c>
      <c r="G2" s="121" t="s">
        <v>417</v>
      </c>
      <c r="H2" s="120" t="s">
        <v>1060</v>
      </c>
      <c r="I2" s="145">
        <f>VLOOKUP(C2,tbl_PAcount,6,FALSE)</f>
        <v>6</v>
      </c>
      <c r="J2" s="145">
        <v>11</v>
      </c>
      <c r="K2" s="145">
        <f>SUM(I2:J11)</f>
        <v>56</v>
      </c>
      <c r="L2" s="145">
        <f>K2*4</f>
        <v>224</v>
      </c>
      <c r="M2" s="145">
        <f>L2/60</f>
        <v>3.7333333333333334</v>
      </c>
      <c r="N2" s="162">
        <v>4</v>
      </c>
    </row>
    <row r="3" spans="1:14" s="136" customFormat="1">
      <c r="A3" s="120" t="s">
        <v>952</v>
      </c>
      <c r="B3" s="120" t="s">
        <v>1323</v>
      </c>
      <c r="C3" s="167" t="s">
        <v>947</v>
      </c>
      <c r="D3" s="120" t="s">
        <v>1336</v>
      </c>
      <c r="E3" s="120" t="s">
        <v>1276</v>
      </c>
      <c r="F3" s="167" t="s">
        <v>952</v>
      </c>
      <c r="G3" s="121" t="s">
        <v>417</v>
      </c>
      <c r="H3" s="120" t="s">
        <v>1060</v>
      </c>
      <c r="I3" s="145">
        <f>VLOOKUP(C3,tbl_PAcount,6,FALSE)</f>
        <v>10</v>
      </c>
      <c r="J3" s="145"/>
      <c r="K3" s="145"/>
      <c r="L3" s="145"/>
      <c r="M3" s="145"/>
      <c r="N3" s="145"/>
    </row>
    <row r="4" spans="1:14" s="136" customFormat="1">
      <c r="A4" s="120" t="s">
        <v>952</v>
      </c>
      <c r="B4" s="120" t="s">
        <v>1323</v>
      </c>
      <c r="C4" s="167" t="s">
        <v>948</v>
      </c>
      <c r="D4" s="120" t="s">
        <v>1336</v>
      </c>
      <c r="E4" s="120" t="s">
        <v>1276</v>
      </c>
      <c r="F4" s="167" t="s">
        <v>952</v>
      </c>
      <c r="G4" s="121" t="s">
        <v>417</v>
      </c>
      <c r="H4" s="120" t="s">
        <v>1060</v>
      </c>
      <c r="I4" s="145">
        <f>VLOOKUP(C4,tbl_PAcount,6,FALSE)</f>
        <v>15</v>
      </c>
      <c r="J4" s="145"/>
      <c r="K4" s="145"/>
      <c r="L4" s="145"/>
      <c r="M4" s="145"/>
      <c r="N4" s="145"/>
    </row>
    <row r="5" spans="1:14" s="136" customFormat="1">
      <c r="A5" s="120" t="s">
        <v>952</v>
      </c>
      <c r="B5" s="120" t="s">
        <v>1323</v>
      </c>
      <c r="C5" s="167" t="s">
        <v>939</v>
      </c>
      <c r="D5" s="120" t="s">
        <v>1336</v>
      </c>
      <c r="E5" s="120" t="s">
        <v>1276</v>
      </c>
      <c r="F5" s="167" t="s">
        <v>952</v>
      </c>
      <c r="G5" s="121" t="s">
        <v>417</v>
      </c>
      <c r="H5" s="120" t="s">
        <v>1060</v>
      </c>
      <c r="I5" s="145">
        <f>VLOOKUP(C5,tbl_PAcount,6,FALSE)</f>
        <v>6</v>
      </c>
      <c r="J5" s="145"/>
      <c r="K5" s="145"/>
      <c r="L5" s="145"/>
      <c r="M5" s="145"/>
      <c r="N5" s="145"/>
    </row>
    <row r="6" spans="1:14" s="136" customFormat="1">
      <c r="A6" s="120" t="s">
        <v>953</v>
      </c>
      <c r="B6" s="120" t="s">
        <v>1324</v>
      </c>
      <c r="C6" s="167" t="s">
        <v>945</v>
      </c>
      <c r="D6" s="120" t="s">
        <v>1337</v>
      </c>
      <c r="E6" s="120" t="s">
        <v>1276</v>
      </c>
      <c r="F6" s="167" t="s">
        <v>953</v>
      </c>
      <c r="G6" s="121" t="s">
        <v>417</v>
      </c>
      <c r="H6" s="120" t="s">
        <v>1060</v>
      </c>
      <c r="I6" s="145">
        <f>VLOOKUP(C6,tbl_PAcount,6,FALSE)</f>
        <v>8</v>
      </c>
      <c r="J6" s="145"/>
      <c r="K6" s="145"/>
      <c r="L6" s="145"/>
      <c r="M6" s="145"/>
      <c r="N6" s="145"/>
    </row>
    <row r="7" spans="1:14" s="136" customFormat="1">
      <c r="A7" s="120" t="s">
        <v>955</v>
      </c>
      <c r="B7" s="120" t="s">
        <v>1326</v>
      </c>
      <c r="C7" s="167" t="s">
        <v>946</v>
      </c>
      <c r="D7" s="120" t="s">
        <v>1338</v>
      </c>
      <c r="E7" s="120" t="s">
        <v>1276</v>
      </c>
      <c r="F7" s="167" t="s">
        <v>955</v>
      </c>
      <c r="G7" s="121" t="s">
        <v>417</v>
      </c>
      <c r="H7" s="120" t="s">
        <v>1060</v>
      </c>
      <c r="I7" s="145"/>
      <c r="J7" s="145"/>
      <c r="K7" s="145"/>
      <c r="L7" s="145"/>
      <c r="M7" s="145"/>
      <c r="N7" s="145"/>
    </row>
    <row r="8" spans="1:14" s="136" customFormat="1">
      <c r="A8" s="120" t="s">
        <v>955</v>
      </c>
      <c r="B8" s="120" t="s">
        <v>1326</v>
      </c>
      <c r="C8" s="167" t="s">
        <v>947</v>
      </c>
      <c r="D8" s="120" t="s">
        <v>1338</v>
      </c>
      <c r="E8" s="120" t="s">
        <v>1276</v>
      </c>
      <c r="F8" s="167" t="s">
        <v>955</v>
      </c>
      <c r="G8" s="121" t="s">
        <v>417</v>
      </c>
      <c r="H8" s="120" t="s">
        <v>1060</v>
      </c>
      <c r="I8" s="145"/>
      <c r="J8" s="145"/>
      <c r="K8" s="145"/>
      <c r="L8" s="145"/>
      <c r="M8" s="145"/>
      <c r="N8" s="145"/>
    </row>
    <row r="9" spans="1:14" s="136" customFormat="1">
      <c r="A9" s="120" t="s">
        <v>955</v>
      </c>
      <c r="B9" s="120" t="s">
        <v>1326</v>
      </c>
      <c r="C9" s="167" t="s">
        <v>948</v>
      </c>
      <c r="D9" s="120" t="s">
        <v>1338</v>
      </c>
      <c r="E9" s="120" t="s">
        <v>1276</v>
      </c>
      <c r="F9" s="167" t="s">
        <v>955</v>
      </c>
      <c r="G9" s="121" t="s">
        <v>417</v>
      </c>
      <c r="H9" s="120" t="s">
        <v>1060</v>
      </c>
      <c r="I9" s="145"/>
      <c r="J9" s="145"/>
      <c r="K9" s="145"/>
      <c r="L9" s="145"/>
      <c r="M9" s="145"/>
      <c r="N9" s="145"/>
    </row>
    <row r="10" spans="1:14" s="136" customFormat="1">
      <c r="A10" s="120" t="s">
        <v>955</v>
      </c>
      <c r="B10" s="120" t="s">
        <v>1326</v>
      </c>
      <c r="C10" s="167" t="s">
        <v>939</v>
      </c>
      <c r="D10" s="120" t="s">
        <v>1338</v>
      </c>
      <c r="E10" s="120" t="s">
        <v>1276</v>
      </c>
      <c r="F10" s="167" t="s">
        <v>955</v>
      </c>
      <c r="G10" s="121" t="s">
        <v>417</v>
      </c>
      <c r="H10" s="120" t="s">
        <v>1060</v>
      </c>
      <c r="I10" s="145"/>
      <c r="J10" s="145"/>
      <c r="K10" s="145"/>
      <c r="L10" s="145"/>
      <c r="M10" s="145"/>
      <c r="N10" s="145"/>
    </row>
    <row r="11" spans="1:14" s="136" customFormat="1">
      <c r="A11" s="120" t="s">
        <v>955</v>
      </c>
      <c r="B11" s="120" t="s">
        <v>1326</v>
      </c>
      <c r="C11" s="167" t="s">
        <v>945</v>
      </c>
      <c r="D11" s="120" t="s">
        <v>1338</v>
      </c>
      <c r="E11" s="120" t="s">
        <v>1276</v>
      </c>
      <c r="F11" s="167" t="s">
        <v>955</v>
      </c>
      <c r="G11" s="121" t="s">
        <v>417</v>
      </c>
      <c r="H11" s="120" t="s">
        <v>1060</v>
      </c>
      <c r="I11" s="145"/>
      <c r="J11" s="145"/>
      <c r="K11" s="145"/>
      <c r="L11" s="145"/>
      <c r="M11" s="145"/>
      <c r="N11" s="145"/>
    </row>
    <row r="12" spans="1:14" s="136" customFormat="1">
      <c r="A12" s="120" t="s">
        <v>952</v>
      </c>
      <c r="B12" s="120" t="s">
        <v>1323</v>
      </c>
      <c r="C12" s="167" t="s">
        <v>940</v>
      </c>
      <c r="D12" s="120" t="s">
        <v>1328</v>
      </c>
      <c r="E12" s="120" t="s">
        <v>967</v>
      </c>
      <c r="F12" s="167" t="s">
        <v>952</v>
      </c>
      <c r="G12" s="121" t="s">
        <v>417</v>
      </c>
      <c r="H12" s="120" t="s">
        <v>1061</v>
      </c>
      <c r="I12" s="145">
        <f>VLOOKUP(C12,tbl_PAcount,6,FALSE)</f>
        <v>14</v>
      </c>
      <c r="J12" s="145">
        <v>11</v>
      </c>
      <c r="K12" s="145">
        <f>SUM(I12:J19)</f>
        <v>52</v>
      </c>
      <c r="L12" s="145">
        <f>K12*4</f>
        <v>208</v>
      </c>
      <c r="M12" s="145">
        <f>L12/60</f>
        <v>3.4666666666666668</v>
      </c>
      <c r="N12" s="162">
        <v>4</v>
      </c>
    </row>
    <row r="13" spans="1:14" s="136" customFormat="1">
      <c r="A13" s="120" t="s">
        <v>952</v>
      </c>
      <c r="B13" s="120" t="s">
        <v>1323</v>
      </c>
      <c r="C13" s="167" t="s">
        <v>938</v>
      </c>
      <c r="D13" s="120" t="s">
        <v>1331</v>
      </c>
      <c r="E13" s="120" t="s">
        <v>969</v>
      </c>
      <c r="F13" s="167" t="s">
        <v>952</v>
      </c>
      <c r="G13" s="121" t="s">
        <v>417</v>
      </c>
      <c r="H13" s="120" t="s">
        <v>1061</v>
      </c>
      <c r="I13" s="145">
        <f>VLOOKUP(C13,tbl_PAcount,6,FALSE)</f>
        <v>10</v>
      </c>
      <c r="J13" s="145"/>
      <c r="K13" s="145"/>
      <c r="L13" s="145"/>
      <c r="M13" s="145"/>
      <c r="N13" s="162"/>
    </row>
    <row r="14" spans="1:14" s="136" customFormat="1">
      <c r="A14" s="120" t="s">
        <v>952</v>
      </c>
      <c r="B14" s="120" t="s">
        <v>1323</v>
      </c>
      <c r="C14" s="167" t="s">
        <v>937</v>
      </c>
      <c r="D14" s="120" t="s">
        <v>1332</v>
      </c>
      <c r="E14" s="120" t="s">
        <v>1277</v>
      </c>
      <c r="F14" s="167" t="s">
        <v>952</v>
      </c>
      <c r="G14" s="121" t="s">
        <v>417</v>
      </c>
      <c r="H14" s="120" t="s">
        <v>1061</v>
      </c>
      <c r="I14" s="145">
        <f>VLOOKUP(C14,tbl_PAcount,6,FALSE)</f>
        <v>10</v>
      </c>
      <c r="J14" s="145"/>
      <c r="K14" s="145"/>
      <c r="L14" s="145"/>
      <c r="M14" s="145"/>
      <c r="N14" s="162"/>
    </row>
    <row r="15" spans="1:14" s="136" customFormat="1">
      <c r="A15" s="120" t="s">
        <v>952</v>
      </c>
      <c r="B15" s="120" t="s">
        <v>1323</v>
      </c>
      <c r="C15" s="167" t="s">
        <v>941</v>
      </c>
      <c r="D15" s="120" t="s">
        <v>1341</v>
      </c>
      <c r="E15" s="120" t="s">
        <v>1278</v>
      </c>
      <c r="F15" s="167" t="s">
        <v>952</v>
      </c>
      <c r="G15" s="121" t="s">
        <v>417</v>
      </c>
      <c r="H15" s="120" t="s">
        <v>1061</v>
      </c>
      <c r="I15" s="145">
        <f>VLOOKUP(C15,tbl_PAcount,6,FALSE)</f>
        <v>7</v>
      </c>
      <c r="J15" s="145"/>
      <c r="K15" s="145"/>
      <c r="L15" s="145"/>
      <c r="M15" s="145"/>
      <c r="N15" s="162"/>
    </row>
    <row r="16" spans="1:14" s="136" customFormat="1">
      <c r="A16" s="120" t="s">
        <v>954</v>
      </c>
      <c r="B16" s="120" t="s">
        <v>1325</v>
      </c>
      <c r="C16" s="167" t="s">
        <v>937</v>
      </c>
      <c r="D16" s="120" t="s">
        <v>1333</v>
      </c>
      <c r="E16" s="120" t="s">
        <v>1277</v>
      </c>
      <c r="F16" s="167" t="s">
        <v>954</v>
      </c>
      <c r="G16" s="121" t="s">
        <v>417</v>
      </c>
      <c r="H16" s="120" t="s">
        <v>1061</v>
      </c>
      <c r="I16" s="145"/>
      <c r="J16" s="145"/>
      <c r="K16" s="145"/>
      <c r="L16" s="145"/>
      <c r="M16" s="145"/>
      <c r="N16" s="145"/>
    </row>
    <row r="17" spans="1:14" s="136" customFormat="1">
      <c r="A17" s="120" t="s">
        <v>954</v>
      </c>
      <c r="B17" s="120" t="s">
        <v>1325</v>
      </c>
      <c r="C17" s="167" t="s">
        <v>938</v>
      </c>
      <c r="D17" s="120" t="s">
        <v>1333</v>
      </c>
      <c r="E17" s="120" t="s">
        <v>1277</v>
      </c>
      <c r="F17" s="167" t="s">
        <v>954</v>
      </c>
      <c r="G17" s="121" t="s">
        <v>417</v>
      </c>
      <c r="H17" s="120" t="s">
        <v>1061</v>
      </c>
      <c r="I17" s="145"/>
      <c r="J17" s="145"/>
      <c r="K17" s="145"/>
      <c r="L17" s="145"/>
      <c r="M17" s="145"/>
      <c r="N17" s="145"/>
    </row>
    <row r="18" spans="1:14" s="136" customFormat="1">
      <c r="A18" s="120" t="s">
        <v>955</v>
      </c>
      <c r="B18" s="120" t="s">
        <v>1326</v>
      </c>
      <c r="C18" s="167" t="s">
        <v>940</v>
      </c>
      <c r="D18" s="120" t="s">
        <v>1329</v>
      </c>
      <c r="E18" s="120" t="s">
        <v>967</v>
      </c>
      <c r="F18" s="167" t="s">
        <v>955</v>
      </c>
      <c r="G18" s="121" t="s">
        <v>417</v>
      </c>
      <c r="H18" s="120" t="s">
        <v>1061</v>
      </c>
      <c r="I18" s="145"/>
      <c r="J18" s="145"/>
      <c r="K18" s="145"/>
      <c r="L18" s="145"/>
      <c r="M18" s="145"/>
      <c r="N18" s="145"/>
    </row>
    <row r="19" spans="1:14" s="141" customFormat="1">
      <c r="A19" s="141" t="s">
        <v>955</v>
      </c>
      <c r="B19" s="141" t="s">
        <v>1326</v>
      </c>
      <c r="C19" s="141" t="s">
        <v>941</v>
      </c>
      <c r="D19" s="141" t="s">
        <v>1342</v>
      </c>
      <c r="E19" s="141" t="s">
        <v>1278</v>
      </c>
      <c r="F19" s="140" t="s">
        <v>955</v>
      </c>
      <c r="G19" s="121" t="s">
        <v>417</v>
      </c>
      <c r="H19" s="120" t="s">
        <v>1061</v>
      </c>
      <c r="I19" s="145"/>
      <c r="J19" s="145"/>
    </row>
    <row r="20" spans="1:14" s="136" customFormat="1">
      <c r="A20" s="120" t="s">
        <v>958</v>
      </c>
      <c r="B20" s="120" t="s">
        <v>1034</v>
      </c>
      <c r="C20" s="167" t="s">
        <v>803</v>
      </c>
      <c r="D20" s="120" t="s">
        <v>1330</v>
      </c>
      <c r="E20" s="120" t="s">
        <v>1275</v>
      </c>
      <c r="F20" s="167" t="s">
        <v>958</v>
      </c>
      <c r="G20" s="121" t="s">
        <v>417</v>
      </c>
      <c r="H20" s="120" t="s">
        <v>1062</v>
      </c>
      <c r="I20" s="145">
        <f t="shared" ref="I20:I27" si="0">VLOOKUP(C20,tbl_PAcount,6,FALSE)</f>
        <v>7</v>
      </c>
      <c r="J20" s="145">
        <v>11</v>
      </c>
      <c r="K20" s="145">
        <f>I20</f>
        <v>7</v>
      </c>
      <c r="L20" s="145">
        <f t="shared" ref="L20:L21" si="1">K20*4</f>
        <v>28</v>
      </c>
      <c r="M20" s="145">
        <f t="shared" ref="M20:M21" si="2">L20/60</f>
        <v>0.46666666666666667</v>
      </c>
      <c r="N20" s="162">
        <v>1</v>
      </c>
    </row>
    <row r="21" spans="1:14" s="136" customFormat="1">
      <c r="A21" s="120" t="s">
        <v>959</v>
      </c>
      <c r="B21" s="120" t="s">
        <v>1035</v>
      </c>
      <c r="C21" s="167" t="s">
        <v>949</v>
      </c>
      <c r="D21" s="120" t="s">
        <v>1335</v>
      </c>
      <c r="E21" s="120" t="s">
        <v>1279</v>
      </c>
      <c r="F21" s="167" t="s">
        <v>959</v>
      </c>
      <c r="G21" s="121" t="s">
        <v>417</v>
      </c>
      <c r="H21" s="120" t="s">
        <v>1063</v>
      </c>
      <c r="I21" s="145">
        <f t="shared" si="0"/>
        <v>11</v>
      </c>
      <c r="J21" s="145">
        <v>11</v>
      </c>
      <c r="K21" s="145">
        <f>SUM(I21:J25)</f>
        <v>74</v>
      </c>
      <c r="L21" s="145">
        <f t="shared" si="1"/>
        <v>296</v>
      </c>
      <c r="M21" s="145">
        <f t="shared" si="2"/>
        <v>4.9333333333333336</v>
      </c>
      <c r="N21" s="162">
        <v>5</v>
      </c>
    </row>
    <row r="22" spans="1:14">
      <c r="A22" s="306" t="s">
        <v>959</v>
      </c>
      <c r="B22" s="306" t="s">
        <v>1035</v>
      </c>
      <c r="C22" s="307" t="s">
        <v>950</v>
      </c>
      <c r="D22" s="306" t="s">
        <v>1335</v>
      </c>
      <c r="E22" s="306" t="s">
        <v>1279</v>
      </c>
      <c r="F22" s="307" t="s">
        <v>959</v>
      </c>
      <c r="G22" s="121" t="s">
        <v>417</v>
      </c>
      <c r="H22" s="120" t="s">
        <v>1063</v>
      </c>
      <c r="I22" s="145">
        <f t="shared" si="0"/>
        <v>8</v>
      </c>
      <c r="J22" s="145"/>
      <c r="K22" s="306"/>
      <c r="L22" s="306"/>
      <c r="M22" s="306"/>
      <c r="N22" s="306"/>
    </row>
    <row r="23" spans="1:14">
      <c r="A23" s="306" t="s">
        <v>959</v>
      </c>
      <c r="B23" s="306" t="s">
        <v>1035</v>
      </c>
      <c r="C23" s="307" t="s">
        <v>942</v>
      </c>
      <c r="D23" s="306" t="s">
        <v>1335</v>
      </c>
      <c r="E23" s="306" t="s">
        <v>1279</v>
      </c>
      <c r="F23" s="307" t="s">
        <v>959</v>
      </c>
      <c r="G23" s="121" t="s">
        <v>417</v>
      </c>
      <c r="H23" s="120" t="s">
        <v>1063</v>
      </c>
      <c r="I23" s="145">
        <f t="shared" si="0"/>
        <v>22</v>
      </c>
      <c r="J23" s="145"/>
      <c r="K23" s="306"/>
      <c r="L23" s="306"/>
      <c r="M23" s="306"/>
      <c r="N23" s="306"/>
    </row>
    <row r="24" spans="1:14">
      <c r="A24" s="306" t="s">
        <v>959</v>
      </c>
      <c r="B24" s="306" t="s">
        <v>1035</v>
      </c>
      <c r="C24" s="307" t="s">
        <v>943</v>
      </c>
      <c r="D24" s="306" t="s">
        <v>1335</v>
      </c>
      <c r="E24" s="306" t="s">
        <v>1279</v>
      </c>
      <c r="F24" s="307" t="s">
        <v>959</v>
      </c>
      <c r="G24" s="121" t="s">
        <v>417</v>
      </c>
      <c r="H24" s="120" t="s">
        <v>1063</v>
      </c>
      <c r="I24" s="145">
        <f t="shared" si="0"/>
        <v>11</v>
      </c>
      <c r="J24" s="145"/>
      <c r="K24" s="306"/>
      <c r="L24" s="306"/>
      <c r="M24" s="306"/>
      <c r="N24" s="306"/>
    </row>
    <row r="25" spans="1:14">
      <c r="A25" s="306" t="s">
        <v>959</v>
      </c>
      <c r="B25" s="306" t="s">
        <v>1035</v>
      </c>
      <c r="C25" s="307" t="s">
        <v>944</v>
      </c>
      <c r="D25" s="306" t="s">
        <v>1335</v>
      </c>
      <c r="E25" s="306" t="s">
        <v>1279</v>
      </c>
      <c r="F25" s="307" t="s">
        <v>959</v>
      </c>
      <c r="G25" s="121" t="s">
        <v>417</v>
      </c>
      <c r="H25" s="120" t="s">
        <v>1063</v>
      </c>
      <c r="I25" s="145">
        <f t="shared" si="0"/>
        <v>11</v>
      </c>
      <c r="J25" s="145"/>
      <c r="K25" s="306"/>
      <c r="L25" s="306"/>
      <c r="M25" s="306"/>
      <c r="N25" s="306"/>
    </row>
    <row r="26" spans="1:14">
      <c r="A26" s="306" t="s">
        <v>960</v>
      </c>
      <c r="B26" s="306" t="s">
        <v>1036</v>
      </c>
      <c r="C26" s="307" t="s">
        <v>805</v>
      </c>
      <c r="D26" s="306" t="s">
        <v>1334</v>
      </c>
      <c r="E26" s="306" t="s">
        <v>1274</v>
      </c>
      <c r="F26" s="307" t="s">
        <v>960</v>
      </c>
      <c r="G26" s="121" t="s">
        <v>417</v>
      </c>
      <c r="H26" s="120" t="s">
        <v>1064</v>
      </c>
      <c r="I26" s="145">
        <f t="shared" si="0"/>
        <v>9</v>
      </c>
      <c r="J26" s="145">
        <v>11</v>
      </c>
      <c r="K26" s="145">
        <f>J26+I26</f>
        <v>20</v>
      </c>
      <c r="L26" s="145">
        <f t="shared" ref="L26:L27" si="3">K26*4</f>
        <v>80</v>
      </c>
      <c r="M26" s="145">
        <f t="shared" ref="M26:M27" si="4">L26/60</f>
        <v>1.3333333333333333</v>
      </c>
      <c r="N26" s="162">
        <v>1</v>
      </c>
    </row>
    <row r="27" spans="1:14">
      <c r="A27" s="136" t="s">
        <v>961</v>
      </c>
      <c r="B27" s="136" t="s">
        <v>1037</v>
      </c>
      <c r="C27" s="140" t="s">
        <v>889</v>
      </c>
      <c r="D27" s="136" t="s">
        <v>1339</v>
      </c>
      <c r="E27" s="136" t="s">
        <v>1340</v>
      </c>
      <c r="F27" s="140" t="s">
        <v>961</v>
      </c>
      <c r="G27" s="121" t="s">
        <v>417</v>
      </c>
      <c r="H27" s="120" t="s">
        <v>1070</v>
      </c>
      <c r="I27" s="145">
        <f t="shared" si="0"/>
        <v>6</v>
      </c>
      <c r="J27" s="145">
        <v>11</v>
      </c>
      <c r="K27" s="145">
        <f>J27+I27</f>
        <v>17</v>
      </c>
      <c r="L27" s="145">
        <f t="shared" si="3"/>
        <v>68</v>
      </c>
      <c r="M27" s="145">
        <f t="shared" si="4"/>
        <v>1.1333333333333333</v>
      </c>
      <c r="N27" s="162">
        <v>1</v>
      </c>
    </row>
  </sheetData>
  <sortState xmlns:xlrd2="http://schemas.microsoft.com/office/spreadsheetml/2017/richdata2" ref="A2:N50">
    <sortCondition ref="H2:H50"/>
    <sortCondition ref="B2:B50"/>
    <sortCondition ref="A2:A50"/>
  </sortState>
  <pageMargins left="0.7" right="0.7" top="0.75" bottom="0.75" header="0.3" footer="0.3"/>
  <pageSetup paperSize="9" scale="70"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31"/>
  <sheetViews>
    <sheetView workbookViewId="0">
      <selection activeCell="A9" sqref="A9"/>
    </sheetView>
  </sheetViews>
  <sheetFormatPr defaultRowHeight="14.5"/>
  <cols>
    <col min="1" max="1" width="25.1796875" bestFit="1" customWidth="1"/>
    <col min="2" max="2" width="15.08984375" bestFit="1" customWidth="1"/>
    <col min="3" max="3" width="20.7265625" bestFit="1" customWidth="1"/>
    <col min="4" max="4" width="8.453125" bestFit="1" customWidth="1"/>
    <col min="5" max="5" width="9.81640625" bestFit="1" customWidth="1"/>
    <col min="6" max="6" width="14.5429687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54296875" bestFit="1" customWidth="1"/>
    <col min="16" max="16" width="20.7265625" bestFit="1" customWidth="1"/>
    <col min="17" max="17" width="7.453125" bestFit="1" customWidth="1"/>
    <col min="18" max="18" width="18.1796875" bestFit="1" customWidth="1"/>
    <col min="19" max="19" width="7.453125" bestFit="1" customWidth="1"/>
    <col min="20" max="20" width="14.54296875" bestFit="1" customWidth="1"/>
    <col min="21" max="21" width="7.453125" bestFit="1" customWidth="1"/>
    <col min="22" max="22" width="20.81640625" bestFit="1" customWidth="1"/>
    <col min="23" max="23" width="7.453125" bestFit="1" customWidth="1"/>
    <col min="24" max="24" width="8.54296875" bestFit="1" customWidth="1"/>
    <col min="25" max="25" width="11.54296875" bestFit="1" customWidth="1"/>
    <col min="26" max="26" width="10.7265625" bestFit="1" customWidth="1"/>
  </cols>
  <sheetData>
    <row r="3" spans="1:2">
      <c r="A3" s="143" t="s">
        <v>974</v>
      </c>
      <c r="B3" t="s">
        <v>972</v>
      </c>
    </row>
    <row r="4" spans="1:2">
      <c r="A4" s="142" t="s">
        <v>417</v>
      </c>
      <c r="B4" s="144">
        <v>26</v>
      </c>
    </row>
    <row r="5" spans="1:2">
      <c r="A5" s="137" t="s">
        <v>967</v>
      </c>
      <c r="B5" s="144">
        <v>2</v>
      </c>
    </row>
    <row r="6" spans="1:2">
      <c r="A6" s="332" t="s">
        <v>1328</v>
      </c>
      <c r="B6" s="144">
        <v>1</v>
      </c>
    </row>
    <row r="7" spans="1:2">
      <c r="A7" s="332" t="s">
        <v>1329</v>
      </c>
      <c r="B7" s="144">
        <v>1</v>
      </c>
    </row>
    <row r="8" spans="1:2">
      <c r="A8" s="137" t="s">
        <v>1275</v>
      </c>
      <c r="B8" s="144">
        <v>1</v>
      </c>
    </row>
    <row r="9" spans="1:2">
      <c r="A9" s="332" t="s">
        <v>1330</v>
      </c>
      <c r="B9" s="144">
        <v>1</v>
      </c>
    </row>
    <row r="10" spans="1:2">
      <c r="A10" s="137" t="s">
        <v>969</v>
      </c>
      <c r="B10" s="144">
        <v>1</v>
      </c>
    </row>
    <row r="11" spans="1:2">
      <c r="A11" s="332" t="s">
        <v>1331</v>
      </c>
      <c r="B11" s="144">
        <v>1</v>
      </c>
    </row>
    <row r="12" spans="1:2">
      <c r="A12" s="137" t="s">
        <v>1277</v>
      </c>
      <c r="B12" s="144">
        <v>3</v>
      </c>
    </row>
    <row r="13" spans="1:2">
      <c r="A13" s="332" t="s">
        <v>1332</v>
      </c>
      <c r="B13" s="144">
        <v>1</v>
      </c>
    </row>
    <row r="14" spans="1:2">
      <c r="A14" s="332" t="s">
        <v>1333</v>
      </c>
      <c r="B14" s="144">
        <v>2</v>
      </c>
    </row>
    <row r="15" spans="1:2">
      <c r="A15" s="137" t="s">
        <v>1274</v>
      </c>
      <c r="B15" s="144">
        <v>1</v>
      </c>
    </row>
    <row r="16" spans="1:2">
      <c r="A16" s="332" t="s">
        <v>1334</v>
      </c>
      <c r="B16" s="144">
        <v>1</v>
      </c>
    </row>
    <row r="17" spans="1:2">
      <c r="A17" s="137" t="s">
        <v>1279</v>
      </c>
      <c r="B17" s="144">
        <v>5</v>
      </c>
    </row>
    <row r="18" spans="1:2">
      <c r="A18" s="332" t="s">
        <v>1335</v>
      </c>
      <c r="B18" s="144">
        <v>5</v>
      </c>
    </row>
    <row r="19" spans="1:2">
      <c r="A19" s="137" t="s">
        <v>1276</v>
      </c>
      <c r="B19" s="144">
        <v>10</v>
      </c>
    </row>
    <row r="20" spans="1:2">
      <c r="A20" s="332" t="s">
        <v>1337</v>
      </c>
      <c r="B20" s="144">
        <v>1</v>
      </c>
    </row>
    <row r="21" spans="1:2">
      <c r="A21" s="332" t="s">
        <v>1338</v>
      </c>
      <c r="B21" s="144">
        <v>5</v>
      </c>
    </row>
    <row r="22" spans="1:2">
      <c r="A22" s="332" t="s">
        <v>1336</v>
      </c>
      <c r="B22" s="144">
        <v>4</v>
      </c>
    </row>
    <row r="23" spans="1:2">
      <c r="A23" s="137" t="s">
        <v>1340</v>
      </c>
      <c r="B23" s="144">
        <v>1</v>
      </c>
    </row>
    <row r="24" spans="1:2">
      <c r="A24" s="332" t="s">
        <v>1339</v>
      </c>
      <c r="B24" s="144">
        <v>1</v>
      </c>
    </row>
    <row r="25" spans="1:2">
      <c r="A25" s="137" t="s">
        <v>1278</v>
      </c>
      <c r="B25" s="144">
        <v>2</v>
      </c>
    </row>
    <row r="26" spans="1:2">
      <c r="A26" s="332" t="s">
        <v>1342</v>
      </c>
      <c r="B26" s="144">
        <v>1</v>
      </c>
    </row>
    <row r="27" spans="1:2">
      <c r="A27" s="332" t="s">
        <v>1341</v>
      </c>
      <c r="B27" s="144">
        <v>1</v>
      </c>
    </row>
    <row r="28" spans="1:2">
      <c r="A28" s="142" t="s">
        <v>975</v>
      </c>
      <c r="B28" s="144"/>
    </row>
    <row r="29" spans="1:2">
      <c r="A29" s="137" t="s">
        <v>975</v>
      </c>
      <c r="B29" s="144"/>
    </row>
    <row r="30" spans="1:2">
      <c r="A30" s="332" t="s">
        <v>975</v>
      </c>
      <c r="B30" s="144"/>
    </row>
    <row r="31" spans="1:2">
      <c r="A31" s="142" t="s">
        <v>976</v>
      </c>
      <c r="B31" s="144">
        <v>26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46"/>
  <sheetViews>
    <sheetView workbookViewId="0">
      <selection activeCell="A5" sqref="A5:A45"/>
    </sheetView>
  </sheetViews>
  <sheetFormatPr defaultRowHeight="14.5"/>
  <cols>
    <col min="1" max="1" width="16.453125" bestFit="1" customWidth="1"/>
    <col min="2" max="2" width="10.81640625" bestFit="1" customWidth="1"/>
    <col min="3" max="3" width="3.81640625" bestFit="1" customWidth="1"/>
    <col min="4" max="4" width="4.453125" bestFit="1" customWidth="1"/>
    <col min="5" max="6" width="3.81640625" bestFit="1" customWidth="1"/>
    <col min="7" max="7" width="5.54296875" bestFit="1" customWidth="1"/>
    <col min="8" max="8" width="3.26953125" bestFit="1" customWidth="1"/>
    <col min="9" max="9" width="4.453125" bestFit="1" customWidth="1"/>
    <col min="10" max="10" width="4.81640625" bestFit="1" customWidth="1"/>
    <col min="11" max="11" width="2.54296875" bestFit="1" customWidth="1"/>
    <col min="12" max="12" width="5.453125" bestFit="1" customWidth="1"/>
    <col min="13" max="13" width="4.5429687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5" customFormat="1" ht="18.5">
      <c r="A1" s="122" t="s">
        <v>1082</v>
      </c>
      <c r="B1" s="126"/>
      <c r="C1" s="126"/>
      <c r="D1" s="126"/>
      <c r="E1" s="126"/>
      <c r="F1" s="126"/>
    </row>
    <row r="3" spans="1:6">
      <c r="A3" s="143" t="s">
        <v>974</v>
      </c>
    </row>
    <row r="4" spans="1:6">
      <c r="A4" s="142" t="s">
        <v>1337</v>
      </c>
    </row>
    <row r="5" spans="1:6">
      <c r="A5" s="137" t="s">
        <v>945</v>
      </c>
    </row>
    <row r="6" spans="1:6">
      <c r="A6" s="142" t="s">
        <v>1328</v>
      </c>
    </row>
    <row r="7" spans="1:6">
      <c r="A7" s="137" t="s">
        <v>940</v>
      </c>
    </row>
    <row r="8" spans="1:6">
      <c r="A8" s="142" t="s">
        <v>1331</v>
      </c>
    </row>
    <row r="9" spans="1:6">
      <c r="A9" s="137" t="s">
        <v>938</v>
      </c>
    </row>
    <row r="10" spans="1:6">
      <c r="A10" s="142" t="s">
        <v>1334</v>
      </c>
    </row>
    <row r="11" spans="1:6">
      <c r="A11" s="137" t="s">
        <v>805</v>
      </c>
    </row>
    <row r="12" spans="1:6">
      <c r="A12" s="142" t="s">
        <v>1339</v>
      </c>
    </row>
    <row r="13" spans="1:6">
      <c r="A13" s="137" t="s">
        <v>889</v>
      </c>
    </row>
    <row r="14" spans="1:6">
      <c r="A14" s="142" t="s">
        <v>1335</v>
      </c>
    </row>
    <row r="15" spans="1:6">
      <c r="A15" s="137" t="s">
        <v>949</v>
      </c>
    </row>
    <row r="16" spans="1:6">
      <c r="A16" s="137" t="s">
        <v>950</v>
      </c>
    </row>
    <row r="17" spans="1:1">
      <c r="A17" s="137" t="s">
        <v>942</v>
      </c>
    </row>
    <row r="18" spans="1:1">
      <c r="A18" s="137" t="s">
        <v>943</v>
      </c>
    </row>
    <row r="19" spans="1:1">
      <c r="A19" s="137" t="s">
        <v>944</v>
      </c>
    </row>
    <row r="20" spans="1:1">
      <c r="A20" s="142" t="s">
        <v>1338</v>
      </c>
    </row>
    <row r="21" spans="1:1">
      <c r="A21" s="137" t="s">
        <v>946</v>
      </c>
    </row>
    <row r="22" spans="1:1">
      <c r="A22" s="137" t="s">
        <v>947</v>
      </c>
    </row>
    <row r="23" spans="1:1">
      <c r="A23" s="137" t="s">
        <v>948</v>
      </c>
    </row>
    <row r="24" spans="1:1">
      <c r="A24" s="137" t="s">
        <v>939</v>
      </c>
    </row>
    <row r="25" spans="1:1">
      <c r="A25" s="137" t="s">
        <v>945</v>
      </c>
    </row>
    <row r="26" spans="1:1">
      <c r="A26" s="142" t="s">
        <v>1329</v>
      </c>
    </row>
    <row r="27" spans="1:1">
      <c r="A27" s="137" t="s">
        <v>940</v>
      </c>
    </row>
    <row r="28" spans="1:1">
      <c r="A28" s="142" t="s">
        <v>1342</v>
      </c>
    </row>
    <row r="29" spans="1:1">
      <c r="A29" s="137" t="s">
        <v>941</v>
      </c>
    </row>
    <row r="30" spans="1:1">
      <c r="A30" s="142" t="s">
        <v>1330</v>
      </c>
    </row>
    <row r="31" spans="1:1">
      <c r="A31" s="137" t="s">
        <v>803</v>
      </c>
    </row>
    <row r="32" spans="1:1">
      <c r="A32" s="142" t="s">
        <v>1341</v>
      </c>
    </row>
    <row r="33" spans="1:1">
      <c r="A33" s="137" t="s">
        <v>941</v>
      </c>
    </row>
    <row r="34" spans="1:1">
      <c r="A34" s="142" t="s">
        <v>1332</v>
      </c>
    </row>
    <row r="35" spans="1:1">
      <c r="A35" s="137" t="s">
        <v>937</v>
      </c>
    </row>
    <row r="36" spans="1:1">
      <c r="A36" s="142" t="s">
        <v>1333</v>
      </c>
    </row>
    <row r="37" spans="1:1">
      <c r="A37" s="137" t="s">
        <v>937</v>
      </c>
    </row>
    <row r="38" spans="1:1">
      <c r="A38" s="137" t="s">
        <v>938</v>
      </c>
    </row>
    <row r="39" spans="1:1">
      <c r="A39" s="142" t="s">
        <v>1336</v>
      </c>
    </row>
    <row r="40" spans="1:1">
      <c r="A40" s="137" t="s">
        <v>946</v>
      </c>
    </row>
    <row r="41" spans="1:1">
      <c r="A41" s="137" t="s">
        <v>947</v>
      </c>
    </row>
    <row r="42" spans="1:1">
      <c r="A42" s="137" t="s">
        <v>948</v>
      </c>
    </row>
    <row r="43" spans="1:1">
      <c r="A43" s="137" t="s">
        <v>939</v>
      </c>
    </row>
    <row r="44" spans="1:1">
      <c r="A44" s="142" t="s">
        <v>975</v>
      </c>
    </row>
    <row r="45" spans="1:1">
      <c r="A45" s="137" t="s">
        <v>975</v>
      </c>
    </row>
    <row r="46" spans="1:1">
      <c r="A46" s="142" t="s">
        <v>976</v>
      </c>
    </row>
  </sheetData>
  <pageMargins left="0.7" right="0.7" top="0.75" bottom="0.75" header="0.3" footer="0.3"/>
  <pageSetup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8"/>
  <sheetViews>
    <sheetView workbookViewId="0">
      <selection activeCell="A4" sqref="A4:A27"/>
    </sheetView>
  </sheetViews>
  <sheetFormatPr defaultRowHeight="14.5"/>
  <cols>
    <col min="1" max="1" width="19.1796875" bestFit="1" customWidth="1"/>
    <col min="2" max="2" width="15.1796875" bestFit="1" customWidth="1"/>
  </cols>
  <sheetData>
    <row r="1" spans="1:6" s="55" customFormat="1" ht="18.5">
      <c r="A1" s="122" t="s">
        <v>1081</v>
      </c>
      <c r="B1" s="126"/>
      <c r="C1" s="126"/>
      <c r="D1" s="126"/>
      <c r="E1" s="126"/>
      <c r="F1" s="126"/>
    </row>
    <row r="3" spans="1:6">
      <c r="A3" s="143" t="s">
        <v>974</v>
      </c>
    </row>
    <row r="4" spans="1:6">
      <c r="A4" s="142" t="s">
        <v>1034</v>
      </c>
    </row>
    <row r="5" spans="1:6">
      <c r="A5" s="137" t="s">
        <v>1330</v>
      </c>
    </row>
    <row r="6" spans="1:6">
      <c r="A6" s="142" t="s">
        <v>1035</v>
      </c>
    </row>
    <row r="7" spans="1:6">
      <c r="A7" s="137" t="s">
        <v>1335</v>
      </c>
    </row>
    <row r="8" spans="1:6">
      <c r="A8" s="142" t="s">
        <v>1036</v>
      </c>
    </row>
    <row r="9" spans="1:6">
      <c r="A9" s="137" t="s">
        <v>1334</v>
      </c>
    </row>
    <row r="10" spans="1:6">
      <c r="A10" s="142" t="s">
        <v>1037</v>
      </c>
    </row>
    <row r="11" spans="1:6">
      <c r="A11" s="137" t="s">
        <v>1339</v>
      </c>
    </row>
    <row r="12" spans="1:6">
      <c r="A12" s="142" t="s">
        <v>975</v>
      </c>
    </row>
    <row r="13" spans="1:6">
      <c r="A13" s="137" t="s">
        <v>975</v>
      </c>
    </row>
    <row r="14" spans="1:6">
      <c r="A14" s="142" t="s">
        <v>1323</v>
      </c>
    </row>
    <row r="15" spans="1:6">
      <c r="A15" s="137" t="s">
        <v>1336</v>
      </c>
    </row>
    <row r="16" spans="1:6">
      <c r="A16" s="137" t="s">
        <v>1328</v>
      </c>
    </row>
    <row r="17" spans="1:1">
      <c r="A17" s="137" t="s">
        <v>1331</v>
      </c>
    </row>
    <row r="18" spans="1:1">
      <c r="A18" s="137" t="s">
        <v>1332</v>
      </c>
    </row>
    <row r="19" spans="1:1">
      <c r="A19" s="137" t="s">
        <v>1341</v>
      </c>
    </row>
    <row r="20" spans="1:1">
      <c r="A20" s="142" t="s">
        <v>1324</v>
      </c>
    </row>
    <row r="21" spans="1:1">
      <c r="A21" s="137" t="s">
        <v>1337</v>
      </c>
    </row>
    <row r="22" spans="1:1">
      <c r="A22" s="142" t="s">
        <v>1326</v>
      </c>
    </row>
    <row r="23" spans="1:1">
      <c r="A23" s="137" t="s">
        <v>1338</v>
      </c>
    </row>
    <row r="24" spans="1:1">
      <c r="A24" s="137" t="s">
        <v>1329</v>
      </c>
    </row>
    <row r="25" spans="1:1">
      <c r="A25" s="137" t="s">
        <v>1342</v>
      </c>
    </row>
    <row r="26" spans="1:1">
      <c r="A26" s="142" t="s">
        <v>1325</v>
      </c>
    </row>
    <row r="27" spans="1:1">
      <c r="A27" s="137" t="s">
        <v>1333</v>
      </c>
    </row>
    <row r="28" spans="1:1">
      <c r="A28" s="142" t="s">
        <v>976</v>
      </c>
    </row>
  </sheetData>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6"/>
  <sheetViews>
    <sheetView workbookViewId="0">
      <selection activeCell="A13" sqref="A13"/>
    </sheetView>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0" width="7.453125" bestFit="1" customWidth="1"/>
    <col min="11" max="11" width="7.54296875" bestFit="1" customWidth="1"/>
    <col min="12" max="12" width="9.453125" bestFit="1" customWidth="1"/>
    <col min="13" max="13" width="9.54296875" bestFit="1" customWidth="1"/>
    <col min="14" max="14" width="6.7265625" bestFit="1" customWidth="1"/>
    <col min="15" max="15" width="10.7265625" bestFit="1" customWidth="1"/>
  </cols>
  <sheetData>
    <row r="3" spans="1:1">
      <c r="A3" s="143" t="s">
        <v>974</v>
      </c>
    </row>
    <row r="4" spans="1:1">
      <c r="A4" s="142" t="s">
        <v>975</v>
      </c>
    </row>
    <row r="5" spans="1:1">
      <c r="A5" s="137" t="s">
        <v>975</v>
      </c>
    </row>
    <row r="6" spans="1:1">
      <c r="A6" s="142" t="s">
        <v>1060</v>
      </c>
    </row>
    <row r="7" spans="1:1">
      <c r="A7" s="137" t="s">
        <v>1336</v>
      </c>
    </row>
    <row r="8" spans="1:1">
      <c r="A8" s="137" t="s">
        <v>1337</v>
      </c>
    </row>
    <row r="9" spans="1:1">
      <c r="A9" s="137" t="s">
        <v>1338</v>
      </c>
    </row>
    <row r="10" spans="1:1">
      <c r="A10" s="142" t="s">
        <v>1061</v>
      </c>
    </row>
    <row r="11" spans="1:1">
      <c r="A11" s="137" t="s">
        <v>1328</v>
      </c>
    </row>
    <row r="12" spans="1:1">
      <c r="A12" s="137" t="s">
        <v>1331</v>
      </c>
    </row>
    <row r="13" spans="1:1">
      <c r="A13" s="137" t="s">
        <v>1332</v>
      </c>
    </row>
    <row r="14" spans="1:1">
      <c r="A14" s="137" t="s">
        <v>1341</v>
      </c>
    </row>
    <row r="15" spans="1:1">
      <c r="A15" s="137" t="s">
        <v>1333</v>
      </c>
    </row>
    <row r="16" spans="1:1">
      <c r="A16" s="137" t="s">
        <v>1329</v>
      </c>
    </row>
    <row r="17" spans="1:1">
      <c r="A17" s="137" t="s">
        <v>1342</v>
      </c>
    </row>
    <row r="18" spans="1:1">
      <c r="A18" s="142" t="s">
        <v>1062</v>
      </c>
    </row>
    <row r="19" spans="1:1">
      <c r="A19" s="137" t="s">
        <v>1330</v>
      </c>
    </row>
    <row r="20" spans="1:1">
      <c r="A20" s="142" t="s">
        <v>1063</v>
      </c>
    </row>
    <row r="21" spans="1:1">
      <c r="A21" s="137" t="s">
        <v>1335</v>
      </c>
    </row>
    <row r="22" spans="1:1">
      <c r="A22" s="142" t="s">
        <v>1064</v>
      </c>
    </row>
    <row r="23" spans="1:1">
      <c r="A23" s="137" t="s">
        <v>1334</v>
      </c>
    </row>
    <row r="24" spans="1:1">
      <c r="A24" s="142" t="s">
        <v>1070</v>
      </c>
    </row>
    <row r="25" spans="1:1">
      <c r="A25" s="137" t="s">
        <v>1339</v>
      </c>
    </row>
    <row r="26" spans="1:1">
      <c r="A26" s="142" t="s">
        <v>976</v>
      </c>
    </row>
  </sheetData>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B19B7-A919-4AD7-8A4D-352F0A47255F}">
  <sheetPr codeName="Sheet27">
    <tabColor theme="5" tint="0.79998168889431442"/>
    <pageSetUpPr fitToPage="1"/>
  </sheetPr>
  <dimension ref="A1:F77"/>
  <sheetViews>
    <sheetView workbookViewId="0"/>
  </sheetViews>
  <sheetFormatPr defaultRowHeight="14.5"/>
  <cols>
    <col min="1" max="1" width="43.1796875" customWidth="1"/>
  </cols>
  <sheetData>
    <row r="1" spans="1:6" s="55" customFormat="1" ht="18.5">
      <c r="A1" s="122" t="s">
        <v>1072</v>
      </c>
      <c r="B1" s="126"/>
      <c r="C1" s="126"/>
      <c r="D1" s="126"/>
      <c r="E1" s="126"/>
      <c r="F1" s="126"/>
    </row>
    <row r="2" spans="1:6" s="126" customFormat="1">
      <c r="A2" s="33" t="s">
        <v>1058</v>
      </c>
    </row>
    <row r="3" spans="1:6">
      <c r="A3" s="146" t="str">
        <f>'Agreement 3'!B28</f>
        <v>SponseSurname, A</v>
      </c>
      <c r="B3" t="s">
        <v>1075</v>
      </c>
    </row>
    <row r="5" spans="1:6" s="141" customFormat="1">
      <c r="A5" s="33" t="s">
        <v>1059</v>
      </c>
    </row>
    <row r="6" spans="1:6" s="141" customFormat="1">
      <c r="A6" s="146" t="str">
        <f>A3</f>
        <v>SponseSurname, A</v>
      </c>
      <c r="B6" s="141" t="s">
        <v>1076</v>
      </c>
    </row>
    <row r="7" spans="1:6" s="141" customFormat="1">
      <c r="A7" s="146" t="str">
        <f>'Agreement 3'!B33</f>
        <v>SiteCoordinator, A</v>
      </c>
      <c r="B7" s="141" t="s">
        <v>1075</v>
      </c>
    </row>
    <row r="8" spans="1:6" s="141" customFormat="1">
      <c r="A8" s="141" t="str">
        <f>A23</f>
        <v>Huang Jianyong</v>
      </c>
    </row>
    <row r="9" spans="1:6" s="141" customFormat="1">
      <c r="A9" s="141" t="str">
        <f t="shared" ref="A9:A10" si="0">A24</f>
        <v>Huang Xinghao</v>
      </c>
    </row>
    <row r="10" spans="1:6">
      <c r="A10" s="141" t="str">
        <f t="shared" si="0"/>
        <v>Zhao Lisha</v>
      </c>
    </row>
    <row r="11" spans="1:6" s="141" customFormat="1">
      <c r="A11" s="141" t="str">
        <f>A28</f>
        <v>Dan Runping</v>
      </c>
    </row>
    <row r="12" spans="1:6" s="141" customFormat="1">
      <c r="A12" s="141" t="str">
        <f>A29</f>
        <v>Lin Jianping</v>
      </c>
    </row>
    <row r="13" spans="1:6" s="141" customFormat="1">
      <c r="A13" s="141" t="str">
        <f>A30</f>
        <v>Lin Zhenqun</v>
      </c>
    </row>
    <row r="14" spans="1:6" s="141" customFormat="1">
      <c r="A14" s="141" t="str">
        <f>A31</f>
        <v>Song Tong</v>
      </c>
    </row>
    <row r="15" spans="1:6" s="141" customFormat="1">
      <c r="A15" s="141" t="str">
        <f>A34</f>
        <v>Xu Xiaowen</v>
      </c>
    </row>
    <row r="16" spans="1:6" s="141" customFormat="1">
      <c r="A16" s="141" t="str">
        <f>A37</f>
        <v>Xu yong</v>
      </c>
    </row>
    <row r="17" spans="1:1" s="141" customFormat="1">
      <c r="A17" s="141" t="str">
        <f>A38</f>
        <v>Ye Yunwei</v>
      </c>
    </row>
    <row r="18" spans="1:1" s="141" customFormat="1">
      <c r="A18" s="141" t="str">
        <f>A41</f>
        <v>Lin Qinyi</v>
      </c>
    </row>
    <row r="19" spans="1:1" s="141" customFormat="1">
      <c r="A19" s="141" t="str">
        <f>A44</f>
        <v xml:space="preserve">Wei Linpei </v>
      </c>
    </row>
    <row r="20" spans="1:1" s="141" customFormat="1">
      <c r="A20" s="141" t="s">
        <v>1071</v>
      </c>
    </row>
    <row r="21" spans="1:1" s="141" customFormat="1"/>
    <row r="22" spans="1:1">
      <c r="A22" s="33" t="s">
        <v>1060</v>
      </c>
    </row>
    <row r="23" spans="1:1">
      <c r="A23" t="s">
        <v>1099</v>
      </c>
    </row>
    <row r="24" spans="1:1">
      <c r="A24" t="s">
        <v>1101</v>
      </c>
    </row>
    <row r="25" spans="1:1" s="141" customFormat="1">
      <c r="A25" s="141" t="s">
        <v>1098</v>
      </c>
    </row>
    <row r="26" spans="1:1" s="141" customFormat="1"/>
    <row r="27" spans="1:1">
      <c r="A27" s="33" t="s">
        <v>1061</v>
      </c>
    </row>
    <row r="28" spans="1:1">
      <c r="A28" t="s">
        <v>1100</v>
      </c>
    </row>
    <row r="29" spans="1:1">
      <c r="A29" t="s">
        <v>1096</v>
      </c>
    </row>
    <row r="30" spans="1:1">
      <c r="A30" t="s">
        <v>1102</v>
      </c>
    </row>
    <row r="31" spans="1:1">
      <c r="A31" t="s">
        <v>1097</v>
      </c>
    </row>
    <row r="32" spans="1:1" s="141" customFormat="1"/>
    <row r="33" spans="1:6">
      <c r="A33" s="33" t="s">
        <v>1062</v>
      </c>
    </row>
    <row r="34" spans="1:6">
      <c r="A34" t="s">
        <v>968</v>
      </c>
    </row>
    <row r="35" spans="1:6" s="141" customFormat="1"/>
    <row r="36" spans="1:6">
      <c r="A36" s="33" t="s">
        <v>1063</v>
      </c>
    </row>
    <row r="37" spans="1:6" s="141" customFormat="1">
      <c r="A37" s="141" t="s">
        <v>1094</v>
      </c>
    </row>
    <row r="38" spans="1:6" s="141" customFormat="1">
      <c r="A38" s="141" t="s">
        <v>1095</v>
      </c>
    </row>
    <row r="39" spans="1:6" s="141" customFormat="1"/>
    <row r="40" spans="1:6">
      <c r="A40" s="33" t="s">
        <v>1064</v>
      </c>
    </row>
    <row r="41" spans="1:6">
      <c r="A41" t="s">
        <v>1104</v>
      </c>
    </row>
    <row r="42" spans="1:6" s="141" customFormat="1"/>
    <row r="43" spans="1:6">
      <c r="A43" s="33" t="s">
        <v>1070</v>
      </c>
    </row>
    <row r="44" spans="1:6">
      <c r="A44" t="s">
        <v>1103</v>
      </c>
    </row>
    <row r="45" spans="1:6">
      <c r="C45" s="369" t="s">
        <v>1066</v>
      </c>
      <c r="D45" s="369"/>
      <c r="E45" s="369"/>
      <c r="F45" s="146" t="s">
        <v>1093</v>
      </c>
    </row>
    <row r="46" spans="1:6">
      <c r="A46" s="33" t="s">
        <v>1067</v>
      </c>
      <c r="C46" s="369"/>
      <c r="D46" s="369"/>
      <c r="E46" s="369"/>
    </row>
    <row r="47" spans="1:6" s="141" customFormat="1">
      <c r="A47" s="141" t="str">
        <f>A28</f>
        <v>Dan Runping</v>
      </c>
    </row>
    <row r="48" spans="1:6" s="141" customFormat="1">
      <c r="A48" s="141" t="str">
        <f t="shared" ref="A48:A50" si="1">A29</f>
        <v>Lin Jianping</v>
      </c>
      <c r="E48" s="141" t="str">
        <f>_xlfn.CONCAT(C45," (",F45,")")</f>
        <v>[9] Senior Management (Xiong, Guohui)</v>
      </c>
    </row>
    <row r="49" spans="1:2" s="141" customFormat="1">
      <c r="A49" s="141" t="str">
        <f t="shared" si="1"/>
        <v>Lin Zhenqun</v>
      </c>
    </row>
    <row r="50" spans="1:2" s="141" customFormat="1">
      <c r="A50" s="141" t="str">
        <f t="shared" si="1"/>
        <v>Song Tong</v>
      </c>
    </row>
    <row r="51" spans="1:2" s="141" customFormat="1">
      <c r="A51" s="141" t="str">
        <f>A34</f>
        <v>Xu Xiaowen</v>
      </c>
    </row>
    <row r="52" spans="1:2" s="141" customFormat="1">
      <c r="A52" s="141" t="str">
        <f>A44</f>
        <v xml:space="preserve">Wei Linpei </v>
      </c>
    </row>
    <row r="53" spans="1:2" s="141" customFormat="1"/>
    <row r="54" spans="1:2">
      <c r="A54" s="33" t="s">
        <v>1068</v>
      </c>
    </row>
    <row r="55" spans="1:2">
      <c r="A55" t="str">
        <f>A23</f>
        <v>Huang Jianyong</v>
      </c>
    </row>
    <row r="56" spans="1:2">
      <c r="A56" s="141" t="str">
        <f t="shared" ref="A56:A57" si="2">A24</f>
        <v>Huang Xinghao</v>
      </c>
    </row>
    <row r="57" spans="1:2">
      <c r="A57" s="141" t="str">
        <f t="shared" si="2"/>
        <v>Zhao Lisha</v>
      </c>
    </row>
    <row r="58" spans="1:2">
      <c r="A58" s="141" t="str">
        <f>A37</f>
        <v>Xu yong</v>
      </c>
    </row>
    <row r="59" spans="1:2">
      <c r="A59" s="141" t="str">
        <f>A38</f>
        <v>Ye Yunwei</v>
      </c>
    </row>
    <row r="60" spans="1:2" s="141" customFormat="1">
      <c r="A60" s="141" t="str">
        <f>A41</f>
        <v>Lin Qinyi</v>
      </c>
    </row>
    <row r="62" spans="1:2">
      <c r="A62" s="33" t="s">
        <v>1069</v>
      </c>
    </row>
    <row r="63" spans="1:2">
      <c r="A63" s="146" t="str">
        <f>A6</f>
        <v>SponseSurname, A</v>
      </c>
      <c r="B63" t="s">
        <v>1076</v>
      </c>
    </row>
    <row r="64" spans="1:2">
      <c r="A64" s="146" t="str">
        <f t="shared" ref="A64:A77" si="3">A7</f>
        <v>SiteCoordinator, A</v>
      </c>
    </row>
    <row r="65" spans="1:1">
      <c r="A65" s="146" t="str">
        <f t="shared" si="3"/>
        <v>Huang Jianyong</v>
      </c>
    </row>
    <row r="66" spans="1:1">
      <c r="A66" s="146" t="str">
        <f t="shared" si="3"/>
        <v>Huang Xinghao</v>
      </c>
    </row>
    <row r="67" spans="1:1">
      <c r="A67" s="146" t="str">
        <f t="shared" si="3"/>
        <v>Zhao Lisha</v>
      </c>
    </row>
    <row r="68" spans="1:1">
      <c r="A68" s="146" t="str">
        <f t="shared" si="3"/>
        <v>Dan Runping</v>
      </c>
    </row>
    <row r="69" spans="1:1">
      <c r="A69" s="146" t="str">
        <f t="shared" si="3"/>
        <v>Lin Jianping</v>
      </c>
    </row>
    <row r="70" spans="1:1">
      <c r="A70" s="146" t="str">
        <f t="shared" si="3"/>
        <v>Lin Zhenqun</v>
      </c>
    </row>
    <row r="71" spans="1:1">
      <c r="A71" s="146" t="str">
        <f t="shared" si="3"/>
        <v>Song Tong</v>
      </c>
    </row>
    <row r="72" spans="1:1">
      <c r="A72" s="146" t="str">
        <f t="shared" si="3"/>
        <v>Xu Xiaowen</v>
      </c>
    </row>
    <row r="73" spans="1:1">
      <c r="A73" s="146" t="str">
        <f t="shared" si="3"/>
        <v>Xu yong</v>
      </c>
    </row>
    <row r="74" spans="1:1">
      <c r="A74" s="146" t="str">
        <f t="shared" si="3"/>
        <v>Ye Yunwei</v>
      </c>
    </row>
    <row r="75" spans="1:1" s="141" customFormat="1">
      <c r="A75" s="146" t="str">
        <f t="shared" si="3"/>
        <v>Lin Qinyi</v>
      </c>
    </row>
    <row r="76" spans="1:1" s="141" customFormat="1">
      <c r="A76" s="146" t="str">
        <f t="shared" si="3"/>
        <v xml:space="preserve">Wei Linpei </v>
      </c>
    </row>
    <row r="77" spans="1:1" s="141" customFormat="1">
      <c r="A77" s="146" t="str">
        <f t="shared" si="3"/>
        <v>Other - Sponsor can decide</v>
      </c>
    </row>
  </sheetData>
  <mergeCells count="1">
    <mergeCell ref="C45:E46"/>
  </mergeCells>
  <pageMargins left="0.7" right="0.7" top="0.75" bottom="0.75" header="0.3" footer="0.3"/>
  <pageSetup paperSize="9" scale="65" fitToWidth="0"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zoomScale="85" zoomScaleNormal="85" workbookViewId="0">
      <selection activeCell="P10" sqref="P10"/>
    </sheetView>
  </sheetViews>
  <sheetFormatPr defaultRowHeight="14.5"/>
  <cols>
    <col min="1" max="1" width="26.7265625" customWidth="1"/>
    <col min="2" max="2" width="19.1796875" style="141" customWidth="1"/>
    <col min="3" max="3" width="29.1796875" customWidth="1"/>
    <col min="4" max="4" width="4.54296875" style="140" customWidth="1"/>
    <col min="5" max="24" width="4.1796875" style="140" customWidth="1"/>
  </cols>
  <sheetData>
    <row r="1" spans="1:24" ht="50.5" customHeight="1">
      <c r="A1" t="s">
        <v>1106</v>
      </c>
      <c r="C1" t="s">
        <v>1107</v>
      </c>
      <c r="E1" s="164" t="s">
        <v>937</v>
      </c>
      <c r="F1" s="164" t="s">
        <v>938</v>
      </c>
      <c r="G1" s="164" t="s">
        <v>889</v>
      </c>
      <c r="H1" s="164" t="s">
        <v>939</v>
      </c>
      <c r="I1" s="164" t="s">
        <v>940</v>
      </c>
      <c r="J1" s="164" t="s">
        <v>941</v>
      </c>
      <c r="K1" s="164" t="s">
        <v>942</v>
      </c>
      <c r="L1" s="164" t="s">
        <v>943</v>
      </c>
      <c r="M1" s="164" t="s">
        <v>944</v>
      </c>
      <c r="N1" s="164" t="s">
        <v>945</v>
      </c>
      <c r="O1" s="164" t="s">
        <v>805</v>
      </c>
      <c r="P1" s="164" t="s">
        <v>946</v>
      </c>
      <c r="Q1" s="164" t="s">
        <v>947</v>
      </c>
      <c r="R1" s="164" t="s">
        <v>948</v>
      </c>
      <c r="S1" s="164" t="s">
        <v>949</v>
      </c>
      <c r="T1" s="164" t="s">
        <v>803</v>
      </c>
      <c r="U1" s="164" t="s">
        <v>950</v>
      </c>
      <c r="V1" s="164" t="s">
        <v>951</v>
      </c>
      <c r="W1" s="164" t="s">
        <v>965</v>
      </c>
      <c r="X1" s="164" t="s">
        <v>966</v>
      </c>
    </row>
    <row r="2" spans="1:24">
      <c r="A2" t="str">
        <f>'P1PA-SS'!A86</f>
        <v>OU Coordinator</v>
      </c>
      <c r="B2" s="146" t="str">
        <f>'P1PA-SS'!B86</f>
        <v>SiteCoordinator, A</v>
      </c>
      <c r="C2" s="141" t="str">
        <f>'P1PA-SS'!V86</f>
        <v>siteCoridnator@gmail.com</v>
      </c>
      <c r="D2" s="140">
        <f>COUNTA(E2:X2)</f>
        <v>0</v>
      </c>
      <c r="E2" s="212"/>
      <c r="F2" s="212"/>
      <c r="G2" s="212"/>
      <c r="H2" s="212"/>
      <c r="I2" s="212"/>
      <c r="J2" s="212"/>
      <c r="K2" s="212"/>
      <c r="L2" s="212"/>
      <c r="M2" s="212"/>
      <c r="N2" s="212"/>
      <c r="O2" s="212"/>
      <c r="P2" s="212"/>
      <c r="Q2" s="212"/>
      <c r="R2" s="212"/>
      <c r="S2" s="212"/>
      <c r="T2" s="212"/>
      <c r="U2" s="212"/>
      <c r="V2" s="212"/>
      <c r="W2" s="212"/>
      <c r="X2" s="212"/>
    </row>
    <row r="3" spans="1:24">
      <c r="A3" s="141" t="str">
        <f>'P1PA-SS'!A87</f>
        <v>Registered Interpreter</v>
      </c>
      <c r="B3" s="146" t="str">
        <f>'P1PA-SS'!B87</f>
        <v>TranslatorSurname, A</v>
      </c>
      <c r="C3" s="141" t="str">
        <f>'P1PA-SS'!V87</f>
        <v>tbd</v>
      </c>
      <c r="D3" s="140">
        <f t="shared" ref="D3:D17" si="0">COUNTA(E3:X3)</f>
        <v>0</v>
      </c>
      <c r="E3" s="212"/>
      <c r="F3" s="212"/>
      <c r="G3" s="212"/>
      <c r="H3" s="212"/>
      <c r="I3" s="212"/>
      <c r="J3" s="212"/>
      <c r="K3" s="212"/>
      <c r="L3" s="212"/>
      <c r="M3" s="212"/>
      <c r="N3" s="212"/>
      <c r="O3" s="212"/>
      <c r="P3" s="212"/>
      <c r="Q3" s="212"/>
      <c r="R3" s="212"/>
      <c r="S3" s="212"/>
      <c r="T3" s="212"/>
      <c r="U3" s="212"/>
      <c r="V3" s="212"/>
      <c r="W3" s="212"/>
      <c r="X3" s="212"/>
    </row>
    <row r="4" spans="1:24" s="141" customFormat="1">
      <c r="B4" s="146"/>
      <c r="D4" s="140"/>
      <c r="E4" s="212"/>
      <c r="F4" s="212"/>
      <c r="G4" s="212"/>
      <c r="H4" s="212"/>
      <c r="I4" s="212"/>
      <c r="J4" s="212"/>
      <c r="K4" s="212"/>
      <c r="L4" s="212"/>
      <c r="M4" s="212"/>
      <c r="N4" s="212"/>
      <c r="O4" s="212"/>
      <c r="P4" s="212"/>
      <c r="Q4" s="212"/>
      <c r="R4" s="212"/>
      <c r="S4" s="212"/>
      <c r="T4" s="212"/>
      <c r="U4" s="212"/>
      <c r="V4" s="212"/>
      <c r="W4" s="212"/>
      <c r="X4" s="212"/>
    </row>
    <row r="5" spans="1:24">
      <c r="A5" s="141" t="str">
        <f>'P1PA-SS'!A91</f>
        <v>Appraisal team member</v>
      </c>
      <c r="B5" s="146" t="str">
        <f>'P1PA-SS'!B91</f>
        <v>ATM-1</v>
      </c>
      <c r="C5" s="141" t="str">
        <f>'P1PA-SS'!V91</f>
        <v>atm1.email@gmail.com</v>
      </c>
      <c r="D5" s="140">
        <f>COUNTA(E5:X5)</f>
        <v>4</v>
      </c>
      <c r="E5" s="333"/>
      <c r="F5" s="333"/>
      <c r="G5" s="333"/>
      <c r="H5" s="333"/>
      <c r="I5" s="333"/>
      <c r="J5" s="333"/>
      <c r="K5" s="339" t="s">
        <v>417</v>
      </c>
      <c r="L5" s="333"/>
      <c r="M5" s="333"/>
      <c r="N5" s="333"/>
      <c r="O5" s="333"/>
      <c r="P5" s="333"/>
      <c r="Q5" s="333"/>
      <c r="R5" s="333"/>
      <c r="S5" s="339" t="s">
        <v>417</v>
      </c>
      <c r="T5" s="333"/>
      <c r="U5" s="333"/>
      <c r="V5" s="333"/>
      <c r="W5" s="340" t="s">
        <v>417</v>
      </c>
      <c r="X5" s="339" t="s">
        <v>417</v>
      </c>
    </row>
    <row r="6" spans="1:24">
      <c r="A6" s="141" t="str">
        <f>'P1PA-SS'!A92</f>
        <v>Appraisal team member</v>
      </c>
      <c r="B6" s="146" t="str">
        <f>'P1PA-SS'!B92</f>
        <v>ATM-2</v>
      </c>
      <c r="C6" s="141" t="str">
        <f>'P1PA-SS'!V92</f>
        <v>atm2.email@gmail.com</v>
      </c>
      <c r="D6" s="140">
        <f t="shared" si="0"/>
        <v>5</v>
      </c>
      <c r="E6" s="212"/>
      <c r="F6" s="212"/>
      <c r="G6" s="212"/>
      <c r="H6" s="212"/>
      <c r="I6" s="212"/>
      <c r="J6" s="212"/>
      <c r="K6" s="212"/>
      <c r="L6" s="212"/>
      <c r="M6" s="212"/>
      <c r="N6" s="212"/>
      <c r="O6" s="212"/>
      <c r="P6" s="334" t="s">
        <v>417</v>
      </c>
      <c r="Q6" s="334" t="s">
        <v>417</v>
      </c>
      <c r="R6" s="334" t="s">
        <v>417</v>
      </c>
      <c r="S6" s="339" t="s">
        <v>417</v>
      </c>
      <c r="T6" s="212"/>
      <c r="U6" s="339" t="s">
        <v>417</v>
      </c>
      <c r="V6" s="212"/>
      <c r="W6" s="212"/>
      <c r="X6" s="212"/>
    </row>
    <row r="7" spans="1:24">
      <c r="A7" s="141" t="str">
        <f>'P1PA-SS'!A93</f>
        <v>Appraisal team member</v>
      </c>
      <c r="B7" s="146" t="str">
        <f>'P1PA-SS'!B93</f>
        <v>ATM-3</v>
      </c>
      <c r="C7" s="141" t="str">
        <f>'P1PA-SS'!V93</f>
        <v>atm3.email@gmail.com</v>
      </c>
      <c r="D7" s="140">
        <f t="shared" si="0"/>
        <v>8</v>
      </c>
      <c r="E7" s="212">
        <v>3</v>
      </c>
      <c r="F7" s="327">
        <v>2</v>
      </c>
      <c r="G7" s="212"/>
      <c r="H7" s="212"/>
      <c r="I7" s="327">
        <v>1</v>
      </c>
      <c r="J7" s="327"/>
      <c r="K7" s="212"/>
      <c r="L7" s="212"/>
      <c r="M7" s="212"/>
      <c r="N7" s="212"/>
      <c r="O7" s="212"/>
      <c r="P7" s="334" t="s">
        <v>417</v>
      </c>
      <c r="Q7" s="334" t="s">
        <v>417</v>
      </c>
      <c r="R7" s="334" t="s">
        <v>417</v>
      </c>
      <c r="S7" s="339" t="s">
        <v>417</v>
      </c>
      <c r="T7" s="212"/>
      <c r="U7" s="339" t="s">
        <v>417</v>
      </c>
      <c r="V7" s="212"/>
      <c r="W7" s="212"/>
      <c r="X7" s="212"/>
    </row>
    <row r="8" spans="1:24" s="141" customFormat="1">
      <c r="A8" s="141" t="str">
        <f>'P1PA-SS'!A94</f>
        <v>Appraisal team member</v>
      </c>
      <c r="B8" s="146" t="str">
        <f>'P1PA-SS'!B94</f>
        <v>ATM-4</v>
      </c>
      <c r="C8" s="141" t="str">
        <f>'P1PA-SS'!V94</f>
        <v>atm4.email@gmail.com</v>
      </c>
      <c r="D8" s="140">
        <f>COUNTA(E8:X8)</f>
        <v>5</v>
      </c>
      <c r="E8" s="333"/>
      <c r="F8" s="333"/>
      <c r="G8" s="333"/>
      <c r="H8" s="333"/>
      <c r="I8" s="333"/>
      <c r="J8" s="333"/>
      <c r="K8" s="333"/>
      <c r="L8" s="333"/>
      <c r="M8" s="333"/>
      <c r="N8" s="334" t="s">
        <v>417</v>
      </c>
      <c r="O8" s="333"/>
      <c r="P8" s="334" t="s">
        <v>417</v>
      </c>
      <c r="Q8" s="334" t="s">
        <v>417</v>
      </c>
      <c r="R8" s="334" t="s">
        <v>417</v>
      </c>
      <c r="S8" s="333"/>
      <c r="T8" s="333"/>
      <c r="U8" s="339" t="s">
        <v>417</v>
      </c>
      <c r="V8" s="333"/>
      <c r="W8" s="333"/>
      <c r="X8" s="333"/>
    </row>
    <row r="9" spans="1:24" s="141" customFormat="1">
      <c r="A9" s="141" t="str">
        <f>'P1PA-SS'!A95</f>
        <v>Appraisal team member</v>
      </c>
      <c r="B9" s="146" t="str">
        <f>'P1PA-SS'!B95</f>
        <v>ATM-5</v>
      </c>
      <c r="C9" s="141" t="str">
        <f>'P1PA-SS'!V95</f>
        <v>atm5.email@gmail.com</v>
      </c>
      <c r="D9" s="140">
        <f>COUNTA(E9:X9)</f>
        <v>5</v>
      </c>
      <c r="E9" s="334" t="s">
        <v>417</v>
      </c>
      <c r="F9" s="334" t="s">
        <v>417</v>
      </c>
      <c r="G9" s="333"/>
      <c r="H9" s="334" t="s">
        <v>417</v>
      </c>
      <c r="I9" s="334" t="s">
        <v>417</v>
      </c>
      <c r="J9" s="334" t="s">
        <v>417</v>
      </c>
      <c r="K9" s="333"/>
      <c r="L9" s="333"/>
      <c r="M9" s="333"/>
      <c r="N9" s="333"/>
      <c r="O9" s="333"/>
      <c r="P9" s="333"/>
      <c r="Q9" s="333"/>
      <c r="R9" s="333"/>
      <c r="S9" s="333"/>
      <c r="T9" s="333"/>
      <c r="U9" s="333"/>
      <c r="V9" s="333"/>
      <c r="W9" s="333"/>
      <c r="X9" s="333"/>
    </row>
    <row r="10" spans="1:24" s="141" customFormat="1">
      <c r="A10" s="141" t="str">
        <f>'P1PA-SS'!A96</f>
        <v>Appraisal team member</v>
      </c>
      <c r="B10" s="146" t="str">
        <f>'P1PA-SS'!B96</f>
        <v>ATM-6</v>
      </c>
      <c r="C10" s="141" t="str">
        <f>'P1PA-SS'!V96</f>
        <v>atm6.email@gmail.com</v>
      </c>
      <c r="D10" s="140">
        <f>COUNTA(E10:X10)</f>
        <v>5</v>
      </c>
      <c r="E10" s="333"/>
      <c r="F10" s="333"/>
      <c r="G10" s="340" t="s">
        <v>417</v>
      </c>
      <c r="H10" s="333"/>
      <c r="I10" s="333"/>
      <c r="J10" s="333"/>
      <c r="K10" s="333"/>
      <c r="L10" s="339" t="s">
        <v>417</v>
      </c>
      <c r="M10" s="339" t="s">
        <v>417</v>
      </c>
      <c r="N10" s="333"/>
      <c r="O10" s="339" t="s">
        <v>417</v>
      </c>
      <c r="P10" s="333"/>
      <c r="Q10" s="333"/>
      <c r="R10" s="333"/>
      <c r="S10" s="333"/>
      <c r="T10" s="339" t="s">
        <v>417</v>
      </c>
      <c r="U10" s="333"/>
      <c r="V10" s="333"/>
      <c r="W10" s="333"/>
      <c r="X10" s="333"/>
    </row>
    <row r="11" spans="1:24" s="141" customFormat="1">
      <c r="A11" s="141" t="str">
        <f>'P1PA-SS'!A97</f>
        <v>Appraisal team member</v>
      </c>
      <c r="B11" s="146" t="str">
        <f>'P1PA-SS'!B97</f>
        <v>ATM-7</v>
      </c>
      <c r="C11" s="141" t="str">
        <f>'P1PA-SS'!V97</f>
        <v>atm7.email@gmail.com</v>
      </c>
      <c r="D11" s="140">
        <f t="shared" si="0"/>
        <v>5</v>
      </c>
      <c r="E11" s="212"/>
      <c r="F11" s="212"/>
      <c r="G11" s="212"/>
      <c r="H11" s="327"/>
      <c r="I11" s="212"/>
      <c r="J11" s="212"/>
      <c r="K11" s="212"/>
      <c r="L11" s="212"/>
      <c r="M11" s="212"/>
      <c r="N11" s="327"/>
      <c r="O11" s="212"/>
      <c r="P11" s="212" t="s">
        <v>417</v>
      </c>
      <c r="Q11" s="212" t="s">
        <v>417</v>
      </c>
      <c r="R11" s="212" t="s">
        <v>417</v>
      </c>
      <c r="S11" s="212" t="s">
        <v>417</v>
      </c>
      <c r="T11" s="212"/>
      <c r="U11" s="327" t="s">
        <v>417</v>
      </c>
      <c r="V11" s="212"/>
      <c r="W11" s="212"/>
      <c r="X11" s="212"/>
    </row>
    <row r="12" spans="1:24" s="141" customFormat="1">
      <c r="B12" s="146"/>
      <c r="D12" s="140"/>
      <c r="E12" s="212">
        <v>3</v>
      </c>
      <c r="F12" s="212">
        <v>2</v>
      </c>
      <c r="G12" s="212"/>
      <c r="H12" s="327"/>
      <c r="I12" s="212">
        <v>1</v>
      </c>
      <c r="J12" s="212">
        <v>4</v>
      </c>
      <c r="K12" s="212"/>
      <c r="L12" s="212"/>
      <c r="M12" s="212"/>
      <c r="N12" s="327"/>
      <c r="O12" s="212"/>
      <c r="P12" s="212"/>
      <c r="Q12" s="212"/>
      <c r="R12" s="212"/>
      <c r="S12" s="212"/>
      <c r="T12" s="212">
        <v>5</v>
      </c>
      <c r="U12" s="327"/>
      <c r="V12" s="212"/>
      <c r="W12" s="212"/>
      <c r="X12" s="212">
        <v>6</v>
      </c>
    </row>
    <row r="13" spans="1:24" s="141" customFormat="1">
      <c r="B13" s="146"/>
      <c r="C13" s="141" t="s">
        <v>1388</v>
      </c>
      <c r="D13" s="140"/>
      <c r="E13" s="212"/>
      <c r="F13" s="212"/>
      <c r="G13" s="212"/>
      <c r="H13" s="327"/>
      <c r="I13" s="212" t="s">
        <v>1387</v>
      </c>
      <c r="J13" s="212"/>
      <c r="K13" s="212"/>
      <c r="L13" s="212"/>
      <c r="M13" s="212"/>
      <c r="N13" s="327"/>
      <c r="O13" s="212"/>
      <c r="P13" s="212"/>
      <c r="Q13" s="212"/>
      <c r="R13" s="212"/>
      <c r="S13" s="212"/>
      <c r="T13" s="212" t="s">
        <v>1389</v>
      </c>
      <c r="U13" s="327"/>
      <c r="V13" s="212"/>
      <c r="W13" s="212"/>
      <c r="X13" s="212"/>
    </row>
    <row r="14" spans="1:24" s="335" customFormat="1" ht="43.5">
      <c r="B14" s="336"/>
      <c r="C14" s="335" t="s">
        <v>1385</v>
      </c>
      <c r="D14" s="112"/>
      <c r="E14" s="337" t="s">
        <v>1380</v>
      </c>
      <c r="F14" s="337" t="s">
        <v>1380</v>
      </c>
      <c r="G14" s="337"/>
      <c r="H14" s="338"/>
      <c r="I14" s="337" t="s">
        <v>1381</v>
      </c>
      <c r="J14" s="337" t="s">
        <v>1382</v>
      </c>
      <c r="K14" s="337"/>
      <c r="L14" s="337"/>
      <c r="M14" s="337"/>
      <c r="N14" s="338"/>
      <c r="O14" s="337"/>
      <c r="P14" s="337"/>
      <c r="Q14" s="337"/>
      <c r="R14" s="337"/>
      <c r="S14" s="337"/>
      <c r="T14" s="337" t="s">
        <v>1386</v>
      </c>
      <c r="U14" s="338"/>
      <c r="V14" s="337"/>
      <c r="W14" s="337"/>
      <c r="X14" s="337" t="s">
        <v>1387</v>
      </c>
    </row>
    <row r="15" spans="1:24" s="335" customFormat="1" ht="29">
      <c r="B15" s="336"/>
      <c r="C15" s="335" t="s">
        <v>1383</v>
      </c>
      <c r="D15" s="112"/>
      <c r="E15" s="337" t="s">
        <v>1384</v>
      </c>
      <c r="F15" s="337" t="s">
        <v>1381</v>
      </c>
      <c r="G15" s="337"/>
      <c r="H15" s="338"/>
      <c r="I15" s="337" t="s">
        <v>1384</v>
      </c>
      <c r="J15" s="337" t="s">
        <v>1381</v>
      </c>
      <c r="K15" s="337"/>
      <c r="L15" s="337"/>
      <c r="M15" s="337"/>
      <c r="N15" s="338"/>
      <c r="O15" s="337"/>
      <c r="P15" s="337"/>
      <c r="Q15" s="337"/>
      <c r="R15" s="337"/>
      <c r="S15" s="337"/>
      <c r="T15" s="337" t="s">
        <v>1384</v>
      </c>
      <c r="U15" s="338"/>
      <c r="V15" s="337"/>
      <c r="W15" s="337"/>
      <c r="X15" s="337" t="s">
        <v>1384</v>
      </c>
    </row>
    <row r="16" spans="1:24" s="141" customFormat="1" hidden="1">
      <c r="A16" s="141" t="str">
        <f>'P1PA-SS'!A99</f>
        <v>Appraisal team member</v>
      </c>
      <c r="B16" s="146" t="str">
        <f>'P1PA-SS'!B99</f>
        <v>ATM-9</v>
      </c>
      <c r="C16" s="141" t="str">
        <f>'P1PA-SS'!V99</f>
        <v>atm9.email@gmail.com</v>
      </c>
      <c r="D16" s="140">
        <f t="shared" si="0"/>
        <v>0</v>
      </c>
      <c r="E16" s="212"/>
      <c r="F16" s="212"/>
      <c r="G16" s="212"/>
      <c r="H16" s="212"/>
      <c r="I16" s="212"/>
      <c r="J16" s="212"/>
      <c r="K16" s="212"/>
      <c r="L16" s="212"/>
      <c r="M16" s="212"/>
      <c r="N16" s="212"/>
      <c r="O16" s="212"/>
      <c r="P16" s="212"/>
      <c r="Q16" s="212"/>
      <c r="R16" s="212"/>
      <c r="S16" s="212"/>
      <c r="T16" s="212"/>
      <c r="U16" s="212"/>
      <c r="V16" s="212"/>
      <c r="W16" s="212"/>
      <c r="X16" s="212"/>
    </row>
    <row r="17" spans="1:24" s="141" customFormat="1" hidden="1">
      <c r="A17" s="141">
        <f>'P1PA-SS'!A100</f>
        <v>0</v>
      </c>
      <c r="B17" s="146">
        <f>'P1PA-SS'!B100</f>
        <v>0</v>
      </c>
      <c r="C17" s="141">
        <f>'P1PA-SS'!V100</f>
        <v>0</v>
      </c>
      <c r="D17" s="140">
        <f t="shared" si="0"/>
        <v>0</v>
      </c>
      <c r="E17" s="212"/>
      <c r="F17" s="212"/>
      <c r="G17" s="212"/>
      <c r="H17" s="212"/>
      <c r="I17" s="212"/>
      <c r="J17" s="212"/>
      <c r="K17" s="212"/>
      <c r="L17" s="212"/>
      <c r="M17" s="212"/>
      <c r="N17" s="212"/>
      <c r="O17" s="212"/>
      <c r="P17" s="212"/>
      <c r="Q17" s="212"/>
      <c r="R17" s="212"/>
      <c r="S17" s="212"/>
      <c r="T17" s="212"/>
      <c r="U17" s="212"/>
      <c r="V17" s="212"/>
      <c r="W17" s="212"/>
      <c r="X17" s="212"/>
    </row>
    <row r="18" spans="1:24" s="141" customFormat="1" hidden="1">
      <c r="D18" s="140"/>
      <c r="E18" s="212"/>
      <c r="F18" s="212"/>
      <c r="G18" s="212"/>
      <c r="H18" s="212"/>
      <c r="I18" s="212"/>
      <c r="J18" s="212"/>
      <c r="K18" s="212"/>
      <c r="L18" s="212"/>
      <c r="M18" s="212"/>
      <c r="N18" s="212"/>
      <c r="O18" s="212"/>
      <c r="P18" s="212"/>
      <c r="Q18" s="212"/>
      <c r="R18" s="212"/>
      <c r="S18" s="212"/>
      <c r="T18" s="212"/>
      <c r="U18" s="212"/>
      <c r="V18" s="212"/>
      <c r="W18" s="212"/>
      <c r="X18" s="212"/>
    </row>
    <row r="19" spans="1:24" s="141" customFormat="1" hidden="1">
      <c r="D19" s="140"/>
      <c r="E19" s="212"/>
      <c r="F19" s="212"/>
      <c r="G19" s="212"/>
      <c r="H19" s="212"/>
      <c r="I19" s="212"/>
      <c r="J19" s="212"/>
      <c r="K19" s="212"/>
      <c r="L19" s="212"/>
      <c r="M19" s="212"/>
      <c r="N19" s="212"/>
      <c r="O19" s="212"/>
      <c r="P19" s="212"/>
      <c r="Q19" s="212"/>
      <c r="R19" s="212"/>
      <c r="S19" s="212"/>
      <c r="T19" s="212"/>
      <c r="U19" s="212"/>
      <c r="V19" s="212"/>
      <c r="W19" s="212"/>
      <c r="X19" s="212"/>
    </row>
    <row r="20" spans="1:24" hidden="1">
      <c r="A20" s="146" t="str">
        <f>'P1PA-SS'!B87</f>
        <v>TranslatorSurname, A</v>
      </c>
      <c r="B20" s="146"/>
      <c r="C20" s="146" t="str">
        <f>'P1PA-SS'!V87</f>
        <v>tbd</v>
      </c>
      <c r="E20" s="212"/>
      <c r="F20" s="212"/>
      <c r="G20" s="212"/>
      <c r="H20" s="212"/>
      <c r="I20" s="212"/>
      <c r="J20" s="212"/>
      <c r="K20" s="212"/>
      <c r="L20" s="212"/>
      <c r="M20" s="212"/>
      <c r="N20" s="212"/>
      <c r="O20" s="212"/>
      <c r="P20" s="212"/>
      <c r="Q20" s="212"/>
      <c r="R20" s="212"/>
      <c r="S20" s="212"/>
      <c r="T20" s="212"/>
      <c r="U20" s="212"/>
      <c r="V20" s="212"/>
      <c r="W20" s="212"/>
      <c r="X20" s="212"/>
    </row>
    <row r="21" spans="1:24">
      <c r="E21" s="212"/>
      <c r="F21" s="212"/>
      <c r="G21" s="212"/>
      <c r="H21" s="212"/>
      <c r="I21" s="212"/>
      <c r="J21" s="212"/>
      <c r="K21" s="212"/>
      <c r="L21" s="212"/>
      <c r="M21" s="212"/>
      <c r="N21" s="212"/>
      <c r="O21" s="212"/>
      <c r="P21" s="212"/>
      <c r="Q21" s="212"/>
      <c r="R21" s="212"/>
      <c r="S21" s="212"/>
      <c r="T21" s="212"/>
      <c r="U21" s="212"/>
      <c r="V21" s="212"/>
      <c r="W21" s="212"/>
      <c r="X21" s="212"/>
    </row>
    <row r="22" spans="1:24">
      <c r="C22" s="166" t="s">
        <v>1374</v>
      </c>
    </row>
    <row r="23" spans="1:24">
      <c r="C23" s="165" t="s">
        <v>1108</v>
      </c>
    </row>
    <row r="24" spans="1:24">
      <c r="C24" s="221" t="s">
        <v>1183</v>
      </c>
    </row>
  </sheetData>
  <pageMargins left="0.7" right="0.7" top="0.75" bottom="0.75" header="0.3" footer="0.3"/>
  <pageSetup scale="66"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6.269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71" t="s">
        <v>1378</v>
      </c>
      <c r="B1" s="371"/>
      <c r="C1" s="371"/>
      <c r="D1" s="371"/>
      <c r="E1" s="371"/>
      <c r="F1" s="371"/>
      <c r="G1" s="371"/>
      <c r="H1" s="70"/>
      <c r="I1" s="155" t="s">
        <v>988</v>
      </c>
      <c r="J1" s="156" t="s">
        <v>989</v>
      </c>
      <c r="K1" s="150" t="s">
        <v>990</v>
      </c>
      <c r="L1" s="150" t="s">
        <v>991</v>
      </c>
      <c r="M1" s="151"/>
      <c r="N1" s="72"/>
      <c r="O1" s="72"/>
      <c r="P1" s="72"/>
    </row>
    <row r="2" spans="1:16" ht="14.5" customHeight="1">
      <c r="A2" s="372" t="str">
        <f>CONCATENATE(TEXT(Planning!B26,"[$-x-sysdate]dddd, mmmm dd, yyyy")," (Technology test)")</f>
        <v>Thursday, 18 February 2021 (Technology test)</v>
      </c>
      <c r="B2" s="372"/>
      <c r="C2" s="372"/>
      <c r="D2" s="372"/>
      <c r="E2" s="372"/>
      <c r="F2" s="372"/>
      <c r="G2" s="372"/>
      <c r="H2" s="70"/>
      <c r="I2" s="150"/>
      <c r="J2" s="150"/>
      <c r="K2" s="150"/>
      <c r="L2" s="151"/>
      <c r="M2" s="151"/>
      <c r="N2" s="72"/>
      <c r="O2" s="72"/>
      <c r="P2" s="72"/>
    </row>
    <row r="3" spans="1:16">
      <c r="A3" s="370" t="str">
        <f>J3</f>
        <v>Day 1-2</v>
      </c>
      <c r="B3" s="370"/>
      <c r="C3" s="373" t="str">
        <f>CONCATENATE(TEXT(I3,"[$-x-sysdate]dddd, mmmm dd, yyyy")," to ",TEXT(K3,"[$-x-sysdate]dddd, mmmm dd, yyyy"))</f>
        <v>Saturday, 20 February 2021 to Sunday, 21 February 2021</v>
      </c>
      <c r="D3" s="373"/>
      <c r="E3" s="373"/>
      <c r="F3" s="370" t="str">
        <f>A3</f>
        <v>Day 1-2</v>
      </c>
      <c r="G3" s="370"/>
      <c r="H3" s="70"/>
      <c r="I3" s="157">
        <f>Planning!B27</f>
        <v>44247</v>
      </c>
      <c r="J3" s="158" t="str">
        <f>_xlfn.CONCAT("Day 1-",L3)</f>
        <v>Day 1-2</v>
      </c>
      <c r="K3" s="159">
        <f>Planning!B27+Planning!B29-1</f>
        <v>44248</v>
      </c>
      <c r="L3" s="150">
        <f>K3-I3+1</f>
        <v>2</v>
      </c>
      <c r="M3" s="151"/>
      <c r="N3" s="72"/>
      <c r="O3" s="72"/>
      <c r="P3" s="72"/>
    </row>
    <row r="4" spans="1:16" ht="29">
      <c r="A4" s="370" t="s">
        <v>992</v>
      </c>
      <c r="B4" s="370"/>
      <c r="C4" s="73" t="str">
        <f>J11</f>
        <v>Mini team 1:ATM-5 / ATM-6 / ATM-7</v>
      </c>
      <c r="D4" s="73" t="str">
        <f>M11</f>
        <v>Mini team 2: ATM-1 / ATM-2 / ATM-3 / ATM-4</v>
      </c>
      <c r="E4" s="73" t="str">
        <f>CONCATENATE("LA team: ",'Agreement 3'!B7," and ATMs if applicable")</f>
        <v>LA team: van Zyl, Pieter and ATMs if applicable</v>
      </c>
      <c r="F4" s="370" t="s">
        <v>993</v>
      </c>
      <c r="G4" s="370"/>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4" t="s">
        <v>994</v>
      </c>
      <c r="D5" s="374" t="s">
        <v>994</v>
      </c>
      <c r="E5" s="374"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4"/>
      <c r="D6" s="374"/>
      <c r="E6" s="374"/>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4"/>
      <c r="D7" s="374"/>
      <c r="E7" s="374"/>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4"/>
      <c r="D8" s="374"/>
      <c r="E8" s="374"/>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4"/>
      <c r="D9" s="374"/>
      <c r="E9" s="374"/>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4"/>
      <c r="D10" s="374"/>
      <c r="E10" s="374"/>
      <c r="F10" s="75">
        <v>0.375</v>
      </c>
      <c r="G10" s="75">
        <v>0.41666666666666669</v>
      </c>
      <c r="H10" s="70"/>
      <c r="I10" s="159"/>
      <c r="J10" s="151"/>
      <c r="K10" s="151"/>
      <c r="L10" s="151"/>
      <c r="M10" s="151"/>
      <c r="N10" s="72"/>
      <c r="O10" s="72"/>
      <c r="P10" s="72"/>
    </row>
    <row r="11" spans="1:16" ht="18" customHeight="1">
      <c r="A11" s="75">
        <v>0.66666666666666696</v>
      </c>
      <c r="B11" s="75">
        <v>0.70833333333333337</v>
      </c>
      <c r="C11" s="374"/>
      <c r="D11" s="374"/>
      <c r="E11" s="374"/>
      <c r="F11" s="75">
        <v>0.41666666666666669</v>
      </c>
      <c r="G11" s="75">
        <v>0.45833333333333337</v>
      </c>
      <c r="H11" s="70"/>
      <c r="I11" s="150" t="s">
        <v>996</v>
      </c>
      <c r="J11" s="153" t="str">
        <f>_xlfn.CONCAT("Mini team 1:",I12," / ",I13," / ",I14)</f>
        <v>Mini team 1:ATM-5 / ATM-6 / ATM-7</v>
      </c>
      <c r="K11" s="154"/>
      <c r="L11" s="150" t="str">
        <f>'P1PA-SS'!B91</f>
        <v>ATM-1</v>
      </c>
      <c r="M11" s="153" t="str">
        <f>_xlfn.CONCAT("Mini team 2: ",L11," / ",L12, " / ",L13," / ",L14)</f>
        <v>Mini team 2: ATM-1 / ATM-2 / ATM-3 / ATM-4</v>
      </c>
      <c r="N11" s="72"/>
      <c r="O11" s="72"/>
      <c r="P11" s="72"/>
    </row>
    <row r="12" spans="1:16" ht="18" customHeight="1">
      <c r="A12" s="75">
        <v>0.70833333333333337</v>
      </c>
      <c r="B12" s="75">
        <v>0.75</v>
      </c>
      <c r="C12" s="374"/>
      <c r="D12" s="374"/>
      <c r="E12" s="374"/>
      <c r="F12" s="75">
        <v>0.45833333333333331</v>
      </c>
      <c r="G12" s="75">
        <v>0.5</v>
      </c>
      <c r="H12" s="70"/>
      <c r="I12" s="150" t="str">
        <f>'P1PA-SS'!B95</f>
        <v>ATM-5</v>
      </c>
      <c r="J12" s="154"/>
      <c r="K12" s="154"/>
      <c r="L12" s="150" t="str">
        <f>'P1PA-SS'!B92</f>
        <v>ATM-2</v>
      </c>
      <c r="M12" s="154"/>
      <c r="N12" s="72"/>
      <c r="O12" s="72"/>
      <c r="P12" s="72"/>
    </row>
    <row r="13" spans="1:16" ht="18" customHeight="1">
      <c r="A13" s="75">
        <v>0.75</v>
      </c>
      <c r="B13" s="75">
        <v>0.79166666666666663</v>
      </c>
      <c r="C13" s="374"/>
      <c r="D13" s="374"/>
      <c r="E13" s="374"/>
      <c r="F13" s="75">
        <v>0.5</v>
      </c>
      <c r="G13" s="75">
        <v>0.54166666666666663</v>
      </c>
      <c r="H13" s="70"/>
      <c r="I13" s="150" t="str">
        <f>'P1PA-SS'!B96</f>
        <v>ATM-6</v>
      </c>
      <c r="K13" s="153"/>
      <c r="L13" s="150" t="str">
        <f>'P1PA-SS'!B93</f>
        <v>ATM-3</v>
      </c>
      <c r="M13" s="154"/>
      <c r="N13" s="72"/>
      <c r="O13" s="72"/>
      <c r="P13" s="72"/>
    </row>
    <row r="14" spans="1:16">
      <c r="I14" s="150" t="str">
        <f>'P1PA-SS'!B97</f>
        <v>ATM-7</v>
      </c>
      <c r="K14" s="48"/>
      <c r="L14" s="150" t="str">
        <f>'P1PA-SS'!B94</f>
        <v>ATM-4</v>
      </c>
      <c r="M14" s="154"/>
    </row>
    <row r="15" spans="1:16">
      <c r="A15" s="375" t="str">
        <f>CONCATENATE("Schedule above includes ",Planning!B28," non-working day(s).")</f>
        <v>Schedule above includes 0 non-working day(s).</v>
      </c>
      <c r="B15" s="375"/>
      <c r="C15" s="375"/>
      <c r="D15" s="375"/>
      <c r="E15" s="375"/>
      <c r="F15" s="375"/>
      <c r="G15" s="375"/>
      <c r="H15" s="70"/>
      <c r="I15" s="150"/>
      <c r="K15" s="154"/>
      <c r="L15" s="150"/>
      <c r="M15" s="151"/>
      <c r="N15" s="72"/>
      <c r="O15" s="72"/>
      <c r="P15" s="72"/>
    </row>
    <row r="16" spans="1:16">
      <c r="A16" s="376" t="str">
        <f>J4</f>
        <v>Day 3</v>
      </c>
      <c r="B16" s="376"/>
      <c r="C16" s="377">
        <f>I4</f>
        <v>44249</v>
      </c>
      <c r="D16" s="377"/>
      <c r="E16" s="377"/>
      <c r="F16" s="376" t="str">
        <f>A16</f>
        <v>Day 3</v>
      </c>
      <c r="G16" s="376"/>
      <c r="H16" s="70"/>
      <c r="I16" s="150"/>
      <c r="K16" s="154"/>
      <c r="L16" s="151"/>
      <c r="M16" s="151"/>
      <c r="N16" s="72"/>
      <c r="O16" s="72"/>
      <c r="P16" s="72"/>
    </row>
    <row r="17" spans="1:18" ht="29">
      <c r="A17" s="376" t="s">
        <v>992</v>
      </c>
      <c r="B17" s="376"/>
      <c r="C17" s="76" t="str">
        <f>C4</f>
        <v>Mini team 1:ATM-5 / ATM-6 / ATM-7</v>
      </c>
      <c r="D17" s="76" t="str">
        <f>D4</f>
        <v>Mini team 2: ATM-1 / ATM-2 / ATM-3 / ATM-4</v>
      </c>
      <c r="E17" s="76" t="str">
        <f>E4</f>
        <v>LA team: van Zyl, Pieter and ATMs if applicable</v>
      </c>
      <c r="F17" s="376" t="s">
        <v>993</v>
      </c>
      <c r="G17" s="376"/>
      <c r="H17" s="70"/>
      <c r="K17" s="154"/>
      <c r="L17" s="150"/>
      <c r="M17" s="150"/>
      <c r="N17" s="72"/>
      <c r="O17" s="71"/>
      <c r="P17" s="72"/>
    </row>
    <row r="18" spans="1:18" ht="18.649999999999999" customHeight="1">
      <c r="A18" s="75">
        <v>0.41666666666666669</v>
      </c>
      <c r="B18" s="75">
        <v>0.4375</v>
      </c>
      <c r="C18" s="77" t="s">
        <v>997</v>
      </c>
      <c r="D18" s="77" t="s">
        <v>997</v>
      </c>
      <c r="E18" s="77"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78" t="s">
        <v>1058</v>
      </c>
      <c r="D19" s="379"/>
      <c r="E19" s="380"/>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81" t="s">
        <v>1059</v>
      </c>
      <c r="D20" s="381"/>
      <c r="E20" s="381"/>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81"/>
      <c r="D21" s="381"/>
      <c r="E21" s="381"/>
      <c r="F21" s="75">
        <v>0.22916666666666666</v>
      </c>
      <c r="G21" s="75">
        <v>0.25</v>
      </c>
      <c r="H21" s="70"/>
      <c r="I21" s="151"/>
      <c r="J21" s="151"/>
      <c r="K21" s="151"/>
      <c r="L21" s="151"/>
      <c r="M21" s="151"/>
      <c r="N21" s="72"/>
      <c r="O21" s="72"/>
      <c r="P21" s="72"/>
    </row>
    <row r="22" spans="1:18" ht="18.649999999999999" customHeight="1">
      <c r="A22" s="75">
        <v>0.5</v>
      </c>
      <c r="B22" s="75">
        <v>0.52083333333333337</v>
      </c>
      <c r="C22" s="374" t="s">
        <v>999</v>
      </c>
      <c r="D22" s="374"/>
      <c r="E22" s="374"/>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4"/>
      <c r="D23" s="374"/>
      <c r="E23" s="374"/>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69" t="s">
        <v>1060</v>
      </c>
      <c r="D24" s="369"/>
      <c r="E24" s="369"/>
      <c r="F24" s="75">
        <v>0.29166666666666669</v>
      </c>
      <c r="G24" s="75">
        <v>0.3125</v>
      </c>
      <c r="H24" s="70"/>
      <c r="I24" s="151"/>
      <c r="J24" s="151"/>
      <c r="K24" s="160"/>
      <c r="L24" s="160"/>
      <c r="M24" s="160"/>
      <c r="N24" s="72"/>
      <c r="O24" s="72"/>
      <c r="P24" s="72"/>
    </row>
    <row r="25" spans="1:18" ht="18.649999999999999" customHeight="1">
      <c r="A25" s="75">
        <v>0.5625</v>
      </c>
      <c r="B25" s="75">
        <v>0.58333333333333337</v>
      </c>
      <c r="C25" s="369"/>
      <c r="D25" s="369"/>
      <c r="E25" s="369"/>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69"/>
      <c r="D26" s="369"/>
      <c r="E26" s="369"/>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69"/>
      <c r="D27" s="369"/>
      <c r="E27" s="369"/>
      <c r="F27" s="75">
        <v>0.35416666666666669</v>
      </c>
      <c r="G27" s="75">
        <v>0.375</v>
      </c>
      <c r="H27" s="70"/>
      <c r="I27" s="151"/>
      <c r="J27" s="151"/>
      <c r="K27" s="151"/>
      <c r="L27" s="151"/>
      <c r="M27" s="151"/>
      <c r="N27" s="72"/>
      <c r="O27" s="72"/>
      <c r="P27" s="72"/>
    </row>
    <row r="28" spans="1:18" ht="18.649999999999999" customHeight="1">
      <c r="A28" s="75">
        <v>0.625</v>
      </c>
      <c r="B28" s="75">
        <v>0.64583333333333337</v>
      </c>
      <c r="C28" s="374" t="s">
        <v>1000</v>
      </c>
      <c r="D28" s="374"/>
      <c r="E28" s="374"/>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69" t="s">
        <v>1060</v>
      </c>
      <c r="D29" s="369"/>
      <c r="E29" s="369"/>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69"/>
      <c r="D30" s="369"/>
      <c r="E30" s="369"/>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69"/>
      <c r="D31" s="369"/>
      <c r="E31" s="369"/>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69"/>
      <c r="D32" s="369"/>
      <c r="E32" s="369"/>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4" t="s">
        <v>1000</v>
      </c>
      <c r="D33" s="374"/>
      <c r="E33" s="374"/>
      <c r="F33" s="75">
        <v>0.47916666666666669</v>
      </c>
      <c r="G33" s="75">
        <v>0.5</v>
      </c>
      <c r="H33" s="70"/>
      <c r="I33" s="151"/>
      <c r="J33" s="151"/>
      <c r="K33" s="151"/>
      <c r="L33" s="151"/>
      <c r="M33" s="151"/>
      <c r="N33" s="72"/>
      <c r="O33" s="72"/>
      <c r="P33" s="72"/>
    </row>
    <row r="34" spans="1:16" ht="18.649999999999999" customHeight="1">
      <c r="A34" s="75">
        <v>0.75</v>
      </c>
      <c r="B34" s="75">
        <v>0.83333333333333337</v>
      </c>
      <c r="C34" s="374" t="s">
        <v>1001</v>
      </c>
      <c r="D34" s="374"/>
      <c r="E34" s="374"/>
      <c r="F34" s="75">
        <v>0.5</v>
      </c>
      <c r="G34" s="75">
        <v>0.58333333333333337</v>
      </c>
      <c r="H34" s="70"/>
      <c r="I34" s="151"/>
      <c r="J34" s="151"/>
      <c r="K34" s="151"/>
      <c r="L34" s="151"/>
      <c r="M34" s="151"/>
      <c r="N34" s="72"/>
      <c r="O34" s="72"/>
      <c r="P34" s="72"/>
    </row>
    <row r="35" spans="1:16">
      <c r="A35" s="376" t="str">
        <f>J5</f>
        <v>Day 4</v>
      </c>
      <c r="B35" s="376"/>
      <c r="C35" s="377">
        <f>I5</f>
        <v>44250</v>
      </c>
      <c r="D35" s="377"/>
      <c r="E35" s="377"/>
      <c r="F35" s="376" t="str">
        <f>A35</f>
        <v>Day 4</v>
      </c>
      <c r="G35" s="376"/>
      <c r="H35" s="79"/>
    </row>
    <row r="36" spans="1:16" ht="29">
      <c r="A36" s="376" t="s">
        <v>992</v>
      </c>
      <c r="B36" s="376"/>
      <c r="C36" s="76" t="str">
        <f>C17</f>
        <v>Mini team 1:ATM-5 / ATM-6 / ATM-7</v>
      </c>
      <c r="D36" s="76" t="str">
        <f>D17</f>
        <v>Mini team 2: ATM-1 / ATM-2 / ATM-3 / ATM-4</v>
      </c>
      <c r="E36" s="76" t="str">
        <f>E17</f>
        <v>LA team: van Zyl, Pieter and ATMs if applicable</v>
      </c>
      <c r="F36" s="376" t="s">
        <v>993</v>
      </c>
      <c r="G36" s="376"/>
      <c r="H36" s="79"/>
    </row>
    <row r="37" spans="1:16" ht="18" customHeight="1">
      <c r="A37" s="75">
        <v>0.41666666666666669</v>
      </c>
      <c r="B37" s="75">
        <v>0.4375</v>
      </c>
      <c r="C37" s="374" t="s">
        <v>1000</v>
      </c>
      <c r="D37" s="374"/>
      <c r="E37" s="77" t="s">
        <v>998</v>
      </c>
      <c r="F37" s="75">
        <v>0.16666666666666666</v>
      </c>
      <c r="G37" s="75">
        <v>0.1875</v>
      </c>
      <c r="H37" s="79"/>
    </row>
    <row r="38" spans="1:16" ht="18" customHeight="1">
      <c r="A38" s="75">
        <v>0.4375</v>
      </c>
      <c r="B38" s="75">
        <v>0.45833333333333331</v>
      </c>
      <c r="C38" s="369" t="s">
        <v>1061</v>
      </c>
      <c r="D38" s="369"/>
      <c r="E38" s="369"/>
      <c r="F38" s="75">
        <v>0.1875</v>
      </c>
      <c r="G38" s="75">
        <v>0.20833333333333334</v>
      </c>
      <c r="H38" s="79"/>
    </row>
    <row r="39" spans="1:16" ht="18" customHeight="1">
      <c r="A39" s="75">
        <v>0.45833333333333331</v>
      </c>
      <c r="B39" s="75">
        <v>0.47916666666666669</v>
      </c>
      <c r="C39" s="369"/>
      <c r="D39" s="369"/>
      <c r="E39" s="369"/>
      <c r="F39" s="75">
        <v>0.20833333333333334</v>
      </c>
      <c r="G39" s="75">
        <v>0.22916666666666666</v>
      </c>
      <c r="H39" s="79"/>
    </row>
    <row r="40" spans="1:16" ht="18" customHeight="1">
      <c r="A40" s="75">
        <v>0.47916666666666669</v>
      </c>
      <c r="B40" s="75">
        <v>0.5</v>
      </c>
      <c r="C40" s="369"/>
      <c r="D40" s="369"/>
      <c r="E40" s="369"/>
      <c r="F40" s="75">
        <v>0.22916666666666666</v>
      </c>
      <c r="G40" s="75">
        <v>0.25</v>
      </c>
      <c r="H40" s="79"/>
    </row>
    <row r="41" spans="1:16" ht="18" customHeight="1">
      <c r="A41" s="75">
        <v>0.5</v>
      </c>
      <c r="B41" s="75">
        <v>0.52083333333333337</v>
      </c>
      <c r="C41" s="374" t="s">
        <v>999</v>
      </c>
      <c r="D41" s="374"/>
      <c r="E41" s="374"/>
      <c r="F41" s="75">
        <v>0.25</v>
      </c>
      <c r="G41" s="75">
        <v>0.27083333333333331</v>
      </c>
      <c r="H41" s="79"/>
    </row>
    <row r="42" spans="1:16" ht="18" customHeight="1">
      <c r="A42" s="75">
        <v>0.52083333333333337</v>
      </c>
      <c r="B42" s="75">
        <v>0.54166666666666663</v>
      </c>
      <c r="C42" s="374"/>
      <c r="D42" s="374"/>
      <c r="E42" s="374"/>
      <c r="F42" s="75">
        <v>0.27083333333333331</v>
      </c>
      <c r="G42" s="75">
        <v>0.29166666666666669</v>
      </c>
      <c r="H42" s="79"/>
    </row>
    <row r="43" spans="1:16" ht="18" customHeight="1">
      <c r="A43" s="75">
        <v>0.54166666666666663</v>
      </c>
      <c r="B43" s="75">
        <v>0.5625</v>
      </c>
      <c r="C43" s="369" t="s">
        <v>1061</v>
      </c>
      <c r="D43" s="369"/>
      <c r="E43" s="369"/>
      <c r="F43" s="75">
        <v>0.29166666666666669</v>
      </c>
      <c r="G43" s="75">
        <v>0.3125</v>
      </c>
      <c r="H43" s="79"/>
    </row>
    <row r="44" spans="1:16" ht="18" customHeight="1">
      <c r="A44" s="75">
        <v>0.5625</v>
      </c>
      <c r="B44" s="75">
        <v>0.58333333333333337</v>
      </c>
      <c r="C44" s="369"/>
      <c r="D44" s="369"/>
      <c r="E44" s="369"/>
      <c r="F44" s="75">
        <v>0.3125</v>
      </c>
      <c r="G44" s="75">
        <v>0.33333333333333331</v>
      </c>
      <c r="H44" s="79"/>
    </row>
    <row r="45" spans="1:16" ht="18" customHeight="1">
      <c r="A45" s="75">
        <v>0.58333333333333337</v>
      </c>
      <c r="B45" s="75">
        <v>0.60416666666666663</v>
      </c>
      <c r="C45" s="369"/>
      <c r="D45" s="369"/>
      <c r="E45" s="369"/>
      <c r="F45" s="75">
        <v>0.33333333333333331</v>
      </c>
      <c r="G45" s="75">
        <v>0.35416666666666669</v>
      </c>
      <c r="H45" s="79"/>
    </row>
    <row r="46" spans="1:16" ht="18" customHeight="1">
      <c r="A46" s="75">
        <v>0.60416666666666663</v>
      </c>
      <c r="B46" s="75">
        <v>0.625</v>
      </c>
      <c r="C46" s="369"/>
      <c r="D46" s="369"/>
      <c r="E46" s="369"/>
      <c r="F46" s="75">
        <v>0.35416666666666669</v>
      </c>
      <c r="G46" s="75">
        <v>0.375</v>
      </c>
      <c r="H46" s="79"/>
    </row>
    <row r="47" spans="1:16" ht="18" customHeight="1">
      <c r="A47" s="75">
        <v>0.625</v>
      </c>
      <c r="B47" s="75">
        <v>0.64583333333333337</v>
      </c>
      <c r="C47" s="369"/>
      <c r="D47" s="369"/>
      <c r="E47" s="369"/>
      <c r="F47" s="75">
        <v>0.375</v>
      </c>
      <c r="G47" s="75">
        <v>0.39583333333333331</v>
      </c>
      <c r="H47" s="79"/>
    </row>
    <row r="48" spans="1:16" ht="18" customHeight="1">
      <c r="A48" s="75">
        <v>0.64583333333333337</v>
      </c>
      <c r="B48" s="75">
        <v>0.66666666666666663</v>
      </c>
      <c r="C48" s="374" t="s">
        <v>1000</v>
      </c>
      <c r="D48" s="374"/>
      <c r="E48" s="374" t="s">
        <v>998</v>
      </c>
      <c r="F48" s="75">
        <v>0.39583333333333331</v>
      </c>
      <c r="G48" s="75">
        <v>0.41666666666666669</v>
      </c>
      <c r="H48" s="79"/>
    </row>
    <row r="49" spans="1:8" ht="18" customHeight="1">
      <c r="A49" s="75">
        <v>0.66666666666666663</v>
      </c>
      <c r="B49" s="75">
        <v>0.6875</v>
      </c>
      <c r="C49" s="374"/>
      <c r="D49" s="374"/>
      <c r="E49" s="374"/>
      <c r="F49" s="75">
        <v>0.41666666666666669</v>
      </c>
      <c r="G49" s="75">
        <v>0.4375</v>
      </c>
      <c r="H49" s="79"/>
    </row>
    <row r="50" spans="1:8" ht="18" customHeight="1">
      <c r="A50" s="75">
        <v>0.6875</v>
      </c>
      <c r="B50" s="75">
        <v>0.70833333333333337</v>
      </c>
      <c r="C50" s="369" t="s">
        <v>1062</v>
      </c>
      <c r="D50" s="369"/>
      <c r="E50" s="369"/>
      <c r="F50" s="75">
        <v>0.4375</v>
      </c>
      <c r="G50" s="75">
        <v>0.45833333333333331</v>
      </c>
      <c r="H50" s="79"/>
    </row>
    <row r="51" spans="1:8" ht="18" customHeight="1">
      <c r="A51" s="75">
        <v>0.70833333333333337</v>
      </c>
      <c r="B51" s="75">
        <v>0.72916666666666663</v>
      </c>
      <c r="C51" s="369"/>
      <c r="D51" s="369"/>
      <c r="E51" s="369"/>
      <c r="F51" s="75">
        <v>0.45833333333333331</v>
      </c>
      <c r="G51" s="75">
        <v>0.47916666666666669</v>
      </c>
      <c r="H51" s="79"/>
    </row>
    <row r="52" spans="1:8" ht="18" customHeight="1">
      <c r="A52" s="75">
        <v>0.72916666666666663</v>
      </c>
      <c r="B52" s="75">
        <v>0.75</v>
      </c>
      <c r="C52" s="374" t="s">
        <v>1000</v>
      </c>
      <c r="D52" s="374"/>
      <c r="E52" s="374"/>
      <c r="F52" s="75">
        <v>0.47916666666666669</v>
      </c>
      <c r="G52" s="75">
        <v>0.5</v>
      </c>
      <c r="H52" s="79"/>
    </row>
    <row r="53" spans="1:8" ht="18" customHeight="1">
      <c r="A53" s="75">
        <v>0.75</v>
      </c>
      <c r="B53" s="75">
        <v>0.83333333333333337</v>
      </c>
      <c r="C53" s="374" t="s">
        <v>1001</v>
      </c>
      <c r="D53" s="374"/>
      <c r="E53" s="374"/>
      <c r="F53" s="75">
        <v>0.5</v>
      </c>
      <c r="G53" s="75">
        <v>0.58333333333333337</v>
      </c>
      <c r="H53" s="79"/>
    </row>
    <row r="54" spans="1:8">
      <c r="A54" s="370" t="str">
        <f>J6</f>
        <v>Day 5</v>
      </c>
      <c r="B54" s="370"/>
      <c r="C54" s="373">
        <f>I6</f>
        <v>44251</v>
      </c>
      <c r="D54" s="373"/>
      <c r="E54" s="373"/>
      <c r="F54" s="370" t="str">
        <f>A54</f>
        <v>Day 5</v>
      </c>
      <c r="G54" s="370"/>
      <c r="H54" s="79"/>
    </row>
    <row r="55" spans="1:8" ht="29">
      <c r="A55" s="370" t="s">
        <v>992</v>
      </c>
      <c r="B55" s="370"/>
      <c r="C55" s="73" t="str">
        <f>C36</f>
        <v>Mini team 1:ATM-5 / ATM-6 / ATM-7</v>
      </c>
      <c r="D55" s="73" t="str">
        <f>D36</f>
        <v>Mini team 2: ATM-1 / ATM-2 / ATM-3 / ATM-4</v>
      </c>
      <c r="E55" s="73" t="str">
        <f>E36</f>
        <v>LA team: van Zyl, Pieter and ATMs if applicable</v>
      </c>
      <c r="F55" s="370" t="s">
        <v>993</v>
      </c>
      <c r="G55" s="370"/>
      <c r="H55" s="79"/>
    </row>
    <row r="56" spans="1:8" ht="18" customHeight="1">
      <c r="A56" s="75">
        <v>0.41666666666666669</v>
      </c>
      <c r="B56" s="75">
        <v>0.4375</v>
      </c>
      <c r="C56" s="374" t="s">
        <v>1002</v>
      </c>
      <c r="D56" s="374"/>
      <c r="E56" s="77" t="s">
        <v>998</v>
      </c>
      <c r="F56" s="75">
        <v>0.16666666666666666</v>
      </c>
      <c r="G56" s="75">
        <v>0.1875</v>
      </c>
      <c r="H56" s="79"/>
    </row>
    <row r="57" spans="1:8" ht="18" customHeight="1">
      <c r="A57" s="75">
        <v>0.4375</v>
      </c>
      <c r="B57" s="75">
        <v>0.45833333333333331</v>
      </c>
      <c r="C57" s="369" t="s">
        <v>1063</v>
      </c>
      <c r="D57" s="369"/>
      <c r="E57" s="369"/>
      <c r="F57" s="75">
        <v>0.1875</v>
      </c>
      <c r="G57" s="75">
        <v>0.20833333333333334</v>
      </c>
      <c r="H57" s="79"/>
    </row>
    <row r="58" spans="1:8" ht="18" customHeight="1">
      <c r="A58" s="75">
        <v>0.45833333333333331</v>
      </c>
      <c r="B58" s="75">
        <v>0.47916666666666669</v>
      </c>
      <c r="C58" s="369"/>
      <c r="D58" s="369"/>
      <c r="E58" s="369"/>
      <c r="F58" s="75">
        <v>0.20833333333333334</v>
      </c>
      <c r="G58" s="75">
        <v>0.22916666666666666</v>
      </c>
      <c r="H58" s="79"/>
    </row>
    <row r="59" spans="1:8" ht="18" customHeight="1">
      <c r="A59" s="75">
        <v>0.47916666666666669</v>
      </c>
      <c r="B59" s="75">
        <v>0.5</v>
      </c>
      <c r="C59" s="369"/>
      <c r="D59" s="369"/>
      <c r="E59" s="369"/>
      <c r="F59" s="75">
        <v>0.22916666666666666</v>
      </c>
      <c r="G59" s="75">
        <v>0.25</v>
      </c>
      <c r="H59" s="79"/>
    </row>
    <row r="60" spans="1:8" ht="18" customHeight="1">
      <c r="A60" s="75">
        <v>0.5</v>
      </c>
      <c r="B60" s="75">
        <v>0.52083333333333337</v>
      </c>
      <c r="C60" s="374" t="s">
        <v>999</v>
      </c>
      <c r="D60" s="374"/>
      <c r="E60" s="374"/>
      <c r="F60" s="75">
        <v>0.25</v>
      </c>
      <c r="G60" s="75">
        <v>0.27083333333333331</v>
      </c>
      <c r="H60" s="79"/>
    </row>
    <row r="61" spans="1:8" ht="18" customHeight="1">
      <c r="A61" s="75">
        <v>0.52083333333333337</v>
      </c>
      <c r="B61" s="75">
        <v>0.54166666666666663</v>
      </c>
      <c r="C61" s="374"/>
      <c r="D61" s="374"/>
      <c r="E61" s="374"/>
      <c r="F61" s="75">
        <v>0.27083333333333331</v>
      </c>
      <c r="G61" s="75">
        <v>0.29166666666666669</v>
      </c>
      <c r="H61" s="79"/>
    </row>
    <row r="62" spans="1:8" ht="18" customHeight="1">
      <c r="A62" s="75">
        <v>0.54166666666666663</v>
      </c>
      <c r="B62" s="75">
        <v>0.5625</v>
      </c>
      <c r="C62" s="369" t="s">
        <v>1063</v>
      </c>
      <c r="D62" s="369"/>
      <c r="E62" s="369"/>
      <c r="F62" s="75">
        <v>0.29166666666666669</v>
      </c>
      <c r="G62" s="75">
        <v>0.3125</v>
      </c>
      <c r="H62" s="79"/>
    </row>
    <row r="63" spans="1:8" ht="18" customHeight="1">
      <c r="A63" s="75">
        <v>0.5625</v>
      </c>
      <c r="B63" s="75">
        <v>0.58333333333333337</v>
      </c>
      <c r="C63" s="369"/>
      <c r="D63" s="369"/>
      <c r="E63" s="369"/>
      <c r="F63" s="75">
        <v>0.3125</v>
      </c>
      <c r="G63" s="75">
        <v>0.33333333333333331</v>
      </c>
      <c r="H63" s="79"/>
    </row>
    <row r="64" spans="1:8" ht="18" customHeight="1">
      <c r="A64" s="75">
        <v>0.58333333333333337</v>
      </c>
      <c r="B64" s="75">
        <v>0.60416666666666663</v>
      </c>
      <c r="C64" s="369"/>
      <c r="D64" s="369"/>
      <c r="E64" s="369"/>
      <c r="F64" s="75">
        <v>0.33333333333333331</v>
      </c>
      <c r="G64" s="75">
        <v>0.35416666666666669</v>
      </c>
      <c r="H64" s="79"/>
    </row>
    <row r="65" spans="1:8" ht="18" customHeight="1">
      <c r="A65" s="75">
        <v>0.60416666666666663</v>
      </c>
      <c r="B65" s="75">
        <v>0.625</v>
      </c>
      <c r="C65" s="369"/>
      <c r="D65" s="369"/>
      <c r="E65" s="369"/>
      <c r="F65" s="75">
        <v>0.35416666666666669</v>
      </c>
      <c r="G65" s="75">
        <v>0.375</v>
      </c>
      <c r="H65" s="79"/>
    </row>
    <row r="66" spans="1:8" ht="18" customHeight="1">
      <c r="A66" s="75">
        <v>0.625</v>
      </c>
      <c r="B66" s="75">
        <v>0.64583333333333337</v>
      </c>
      <c r="C66" s="369"/>
      <c r="D66" s="369"/>
      <c r="E66" s="369"/>
      <c r="F66" s="75">
        <v>0.375</v>
      </c>
      <c r="G66" s="75">
        <v>0.39583333333333331</v>
      </c>
      <c r="H66" s="79"/>
    </row>
    <row r="67" spans="1:8" ht="18" customHeight="1">
      <c r="A67" s="75">
        <v>0.64583333333333337</v>
      </c>
      <c r="B67" s="75">
        <v>0.66666666666666663</v>
      </c>
      <c r="C67" s="369"/>
      <c r="D67" s="369"/>
      <c r="E67" s="369"/>
      <c r="F67" s="75">
        <v>0.39583333333333331</v>
      </c>
      <c r="G67" s="75">
        <v>0.41666666666666669</v>
      </c>
      <c r="H67" s="79"/>
    </row>
    <row r="68" spans="1:8" ht="18" customHeight="1">
      <c r="A68" s="75">
        <v>0.66666666666666663</v>
      </c>
      <c r="B68" s="75">
        <v>0.6875</v>
      </c>
      <c r="C68" s="374" t="s">
        <v>1000</v>
      </c>
      <c r="D68" s="374"/>
      <c r="E68" s="374"/>
      <c r="F68" s="75">
        <v>0.41666666666666669</v>
      </c>
      <c r="G68" s="75">
        <v>0.4375</v>
      </c>
      <c r="H68" s="79"/>
    </row>
    <row r="69" spans="1:8" ht="18" customHeight="1">
      <c r="A69" s="75">
        <v>0.6875</v>
      </c>
      <c r="B69" s="75">
        <v>0.70833333333333337</v>
      </c>
      <c r="C69" s="369" t="s">
        <v>1064</v>
      </c>
      <c r="D69" s="369"/>
      <c r="E69" s="369"/>
      <c r="F69" s="75">
        <v>0.4375</v>
      </c>
      <c r="G69" s="75">
        <v>0.45833333333333331</v>
      </c>
      <c r="H69" s="79"/>
    </row>
    <row r="70" spans="1:8" ht="18" customHeight="1">
      <c r="A70" s="75">
        <v>0.70833333333333337</v>
      </c>
      <c r="B70" s="75">
        <v>0.72916666666666663</v>
      </c>
      <c r="C70" s="369"/>
      <c r="D70" s="369"/>
      <c r="E70" s="369"/>
      <c r="F70" s="75">
        <v>0.45833333333333331</v>
      </c>
      <c r="G70" s="75">
        <v>0.47916666666666669</v>
      </c>
      <c r="H70" s="79"/>
    </row>
    <row r="71" spans="1:8" ht="18" customHeight="1">
      <c r="A71" s="75">
        <v>0.72916666666666663</v>
      </c>
      <c r="B71" s="75">
        <v>0.75</v>
      </c>
      <c r="C71" s="374" t="s">
        <v>1000</v>
      </c>
      <c r="D71" s="374"/>
      <c r="E71" s="374"/>
      <c r="F71" s="75">
        <v>0.47916666666666669</v>
      </c>
      <c r="G71" s="75">
        <v>0.5</v>
      </c>
      <c r="H71" s="79"/>
    </row>
    <row r="72" spans="1:8" ht="18" customHeight="1">
      <c r="A72" s="75">
        <v>0.75</v>
      </c>
      <c r="B72" s="75">
        <v>0.83333333333333337</v>
      </c>
      <c r="C72" s="374" t="s">
        <v>1001</v>
      </c>
      <c r="D72" s="374"/>
      <c r="E72" s="374"/>
      <c r="F72" s="75">
        <v>0.5</v>
      </c>
      <c r="G72" s="75">
        <v>0.58333333333333337</v>
      </c>
      <c r="H72" s="79"/>
    </row>
    <row r="73" spans="1:8">
      <c r="A73" s="370" t="str">
        <f>J7</f>
        <v>Day 6</v>
      </c>
      <c r="B73" s="370"/>
      <c r="C73" s="373">
        <f>I7</f>
        <v>44252</v>
      </c>
      <c r="D73" s="373"/>
      <c r="E73" s="373"/>
      <c r="F73" s="370" t="str">
        <f>A73</f>
        <v>Day 6</v>
      </c>
      <c r="G73" s="370"/>
      <c r="H73" s="79"/>
    </row>
    <row r="74" spans="1:8" ht="29">
      <c r="A74" s="370" t="s">
        <v>992</v>
      </c>
      <c r="B74" s="370"/>
      <c r="C74" s="73" t="str">
        <f>C55</f>
        <v>Mini team 1:ATM-5 / ATM-6 / ATM-7</v>
      </c>
      <c r="D74" s="73" t="str">
        <f>D55</f>
        <v>Mini team 2: ATM-1 / ATM-2 / ATM-3 / ATM-4</v>
      </c>
      <c r="E74" s="73" t="str">
        <f>E55</f>
        <v>LA team: van Zyl, Pieter and ATMs if applicable</v>
      </c>
      <c r="F74" s="370" t="s">
        <v>993</v>
      </c>
      <c r="G74" s="370"/>
      <c r="H74" s="79"/>
    </row>
    <row r="75" spans="1:8" ht="18" customHeight="1">
      <c r="A75" s="75">
        <v>0.41666666666666669</v>
      </c>
      <c r="B75" s="75">
        <v>0.4375</v>
      </c>
      <c r="C75" s="374" t="s">
        <v>1000</v>
      </c>
      <c r="D75" s="374"/>
      <c r="E75" s="374"/>
      <c r="F75" s="75">
        <v>0.16666666666666666</v>
      </c>
      <c r="G75" s="75">
        <v>0.1875</v>
      </c>
      <c r="H75" s="79"/>
    </row>
    <row r="76" spans="1:8" ht="18" customHeight="1">
      <c r="A76" s="75">
        <v>0.4375</v>
      </c>
      <c r="B76" s="75">
        <v>0.45833333333333331</v>
      </c>
      <c r="C76" s="369" t="s">
        <v>1065</v>
      </c>
      <c r="D76" s="369"/>
      <c r="E76" s="369"/>
      <c r="F76" s="75">
        <v>0.1875</v>
      </c>
      <c r="G76" s="75">
        <v>0.20833333333333334</v>
      </c>
      <c r="H76" s="79"/>
    </row>
    <row r="77" spans="1:8" ht="18" customHeight="1">
      <c r="A77" s="75">
        <v>0.45833333333333331</v>
      </c>
      <c r="B77" s="75">
        <v>0.47916666666666669</v>
      </c>
      <c r="C77" s="369"/>
      <c r="D77" s="369"/>
      <c r="E77" s="369"/>
      <c r="F77" s="75">
        <v>0.20833333333333334</v>
      </c>
      <c r="G77" s="75">
        <v>0.22916666666666666</v>
      </c>
      <c r="H77" s="79"/>
    </row>
    <row r="78" spans="1:8" ht="18" customHeight="1">
      <c r="A78" s="75">
        <v>0.47916666666666669</v>
      </c>
      <c r="B78" s="75">
        <v>0.5</v>
      </c>
      <c r="C78" s="374" t="s">
        <v>1000</v>
      </c>
      <c r="D78" s="374"/>
      <c r="E78" s="374"/>
      <c r="F78" s="75">
        <v>0.22916666666666666</v>
      </c>
      <c r="G78" s="75">
        <v>0.25</v>
      </c>
      <c r="H78" s="79"/>
    </row>
    <row r="79" spans="1:8" ht="18" customHeight="1">
      <c r="A79" s="75">
        <v>0.5</v>
      </c>
      <c r="B79" s="75">
        <v>0.52083333333333337</v>
      </c>
      <c r="C79" s="374" t="s">
        <v>999</v>
      </c>
      <c r="D79" s="374"/>
      <c r="E79" s="374"/>
      <c r="F79" s="75">
        <v>0.25</v>
      </c>
      <c r="G79" s="75">
        <v>0.27083333333333331</v>
      </c>
      <c r="H79" s="79"/>
    </row>
    <row r="80" spans="1:8" ht="18" customHeight="1">
      <c r="A80" s="75">
        <v>0.52083333333333337</v>
      </c>
      <c r="B80" s="75">
        <v>0.54166666666666663</v>
      </c>
      <c r="C80" s="374"/>
      <c r="D80" s="374"/>
      <c r="E80" s="374"/>
      <c r="F80" s="75">
        <v>0.27083333333333331</v>
      </c>
      <c r="G80" s="75">
        <v>0.29166666666666669</v>
      </c>
      <c r="H80" s="79"/>
    </row>
    <row r="81" spans="1:8" ht="18" customHeight="1">
      <c r="A81" s="75">
        <v>0.54166666666666663</v>
      </c>
      <c r="B81" s="75">
        <v>0.5625</v>
      </c>
      <c r="C81" s="382" t="s">
        <v>1003</v>
      </c>
      <c r="D81" s="382"/>
      <c r="E81" s="382"/>
      <c r="F81" s="75">
        <v>0.29166666666666669</v>
      </c>
      <c r="G81" s="75">
        <v>0.3125</v>
      </c>
      <c r="H81" s="79"/>
    </row>
    <row r="82" spans="1:8" ht="18" customHeight="1">
      <c r="A82" s="75">
        <v>0.5625</v>
      </c>
      <c r="B82" s="75">
        <v>0.58333333333333337</v>
      </c>
      <c r="C82" s="382"/>
      <c r="D82" s="382"/>
      <c r="E82" s="382"/>
      <c r="F82" s="75">
        <v>0.3125</v>
      </c>
      <c r="G82" s="75">
        <v>0.33333333333333331</v>
      </c>
      <c r="H82" s="79"/>
    </row>
    <row r="83" spans="1:8" ht="18" customHeight="1">
      <c r="A83" s="75">
        <v>0.58333333333333337</v>
      </c>
      <c r="B83" s="75">
        <v>0.60416666666666663</v>
      </c>
      <c r="C83" s="382"/>
      <c r="D83" s="382"/>
      <c r="E83" s="382"/>
      <c r="F83" s="75">
        <v>0.33333333333333331</v>
      </c>
      <c r="G83" s="75">
        <v>0.35416666666666669</v>
      </c>
      <c r="H83" s="79"/>
    </row>
    <row r="84" spans="1:8" ht="18" customHeight="1">
      <c r="A84" s="75">
        <v>0.60416666666666663</v>
      </c>
      <c r="B84" s="75">
        <v>0.625</v>
      </c>
      <c r="C84" s="382"/>
      <c r="D84" s="382"/>
      <c r="E84" s="382"/>
      <c r="F84" s="75">
        <v>0.35416666666666669</v>
      </c>
      <c r="G84" s="75">
        <v>0.375</v>
      </c>
      <c r="H84" s="79"/>
    </row>
    <row r="85" spans="1:8" ht="18" customHeight="1">
      <c r="A85" s="75">
        <v>0.625</v>
      </c>
      <c r="B85" s="75">
        <v>0.64583333333333337</v>
      </c>
      <c r="C85" s="369" t="s">
        <v>1066</v>
      </c>
      <c r="D85" s="369"/>
      <c r="E85" s="369"/>
      <c r="F85" s="75">
        <v>0.375</v>
      </c>
      <c r="G85" s="75">
        <v>0.39583333333333331</v>
      </c>
      <c r="H85" s="79"/>
    </row>
    <row r="86" spans="1:8" ht="18" customHeight="1">
      <c r="A86" s="75">
        <v>0.64583333333333337</v>
      </c>
      <c r="B86" s="75">
        <v>0.66666666666666663</v>
      </c>
      <c r="C86" s="369"/>
      <c r="D86" s="369"/>
      <c r="E86" s="369"/>
      <c r="F86" s="75">
        <v>0.39583333333333331</v>
      </c>
      <c r="G86" s="75">
        <v>0.41666666666666669</v>
      </c>
      <c r="H86" s="79"/>
    </row>
    <row r="87" spans="1:8" ht="18" customHeight="1">
      <c r="A87" s="75">
        <v>0.66666666666666663</v>
      </c>
      <c r="B87" s="75">
        <v>0.6875</v>
      </c>
      <c r="C87" s="374" t="s">
        <v>1000</v>
      </c>
      <c r="D87" s="374"/>
      <c r="E87" s="374"/>
      <c r="F87" s="75">
        <v>0.41666666666666669</v>
      </c>
      <c r="G87" s="75">
        <v>0.4375</v>
      </c>
      <c r="H87" s="79"/>
    </row>
    <row r="88" spans="1:8" ht="18" customHeight="1">
      <c r="A88" s="75">
        <v>0.6875</v>
      </c>
      <c r="B88" s="75">
        <v>0.70833333333333337</v>
      </c>
      <c r="C88" s="374"/>
      <c r="D88" s="374"/>
      <c r="E88" s="374"/>
      <c r="F88" s="75">
        <v>0.4375</v>
      </c>
      <c r="G88" s="75">
        <v>0.45833333333333331</v>
      </c>
      <c r="H88" s="79"/>
    </row>
    <row r="89" spans="1:8" ht="18" customHeight="1">
      <c r="A89" s="75">
        <v>0.70833333333333337</v>
      </c>
      <c r="B89" s="75">
        <v>0.72916666666666663</v>
      </c>
      <c r="C89" s="374"/>
      <c r="D89" s="374"/>
      <c r="E89" s="374"/>
      <c r="F89" s="75">
        <v>0.45833333333333331</v>
      </c>
      <c r="G89" s="75">
        <v>0.47916666666666669</v>
      </c>
      <c r="H89" s="79"/>
    </row>
    <row r="90" spans="1:8" ht="18" customHeight="1">
      <c r="A90" s="75">
        <v>0.72916666666666663</v>
      </c>
      <c r="B90" s="75">
        <v>0.75</v>
      </c>
      <c r="C90" s="374"/>
      <c r="D90" s="374"/>
      <c r="E90" s="374"/>
      <c r="F90" s="75">
        <v>0.47916666666666669</v>
      </c>
      <c r="G90" s="75">
        <v>0.5</v>
      </c>
      <c r="H90" s="79"/>
    </row>
    <row r="91" spans="1:8" ht="18" customHeight="1">
      <c r="A91" s="75">
        <v>0.75</v>
      </c>
      <c r="B91" s="75">
        <v>0.83333333333333337</v>
      </c>
      <c r="C91" s="374" t="s">
        <v>1001</v>
      </c>
      <c r="D91" s="374"/>
      <c r="E91" s="374"/>
      <c r="F91" s="75">
        <v>0.5</v>
      </c>
      <c r="G91" s="75">
        <v>0.58333333333333337</v>
      </c>
      <c r="H91" s="79"/>
    </row>
    <row r="92" spans="1:8">
      <c r="A92" s="370" t="str">
        <f>J8</f>
        <v>Day 7</v>
      </c>
      <c r="B92" s="370"/>
      <c r="C92" s="373">
        <f>I8</f>
        <v>44253</v>
      </c>
      <c r="D92" s="373"/>
      <c r="E92" s="373"/>
      <c r="F92" s="370" t="str">
        <f>A92</f>
        <v>Day 7</v>
      </c>
      <c r="G92" s="370"/>
      <c r="H92" s="79"/>
    </row>
    <row r="93" spans="1:8" ht="29">
      <c r="A93" s="370" t="s">
        <v>992</v>
      </c>
      <c r="B93" s="370"/>
      <c r="C93" s="73" t="str">
        <f>C74</f>
        <v>Mini team 1:ATM-5 / ATM-6 / ATM-7</v>
      </c>
      <c r="D93" s="73" t="str">
        <f>D74</f>
        <v>Mini team 2: ATM-1 / ATM-2 / ATM-3 / ATM-4</v>
      </c>
      <c r="E93" s="73" t="str">
        <f>E74</f>
        <v>LA team: van Zyl, Pieter and ATMs if applicable</v>
      </c>
      <c r="F93" s="370" t="s">
        <v>993</v>
      </c>
      <c r="G93" s="370"/>
      <c r="H93" s="79"/>
    </row>
    <row r="94" spans="1:8" ht="18" customHeight="1">
      <c r="A94" s="75">
        <v>0.41666666666666669</v>
      </c>
      <c r="B94" s="75">
        <v>0.4375</v>
      </c>
      <c r="C94" s="381" t="s">
        <v>1067</v>
      </c>
      <c r="D94" s="381"/>
      <c r="E94" s="381"/>
      <c r="F94" s="75">
        <v>0.16666666666666666</v>
      </c>
      <c r="G94" s="75">
        <v>0.1875</v>
      </c>
      <c r="H94" s="79"/>
    </row>
    <row r="95" spans="1:8" ht="18" customHeight="1">
      <c r="A95" s="75">
        <v>0.4375</v>
      </c>
      <c r="B95" s="75">
        <v>0.45833333333333331</v>
      </c>
      <c r="C95" s="381"/>
      <c r="D95" s="381"/>
      <c r="E95" s="381"/>
      <c r="F95" s="75">
        <v>0.1875</v>
      </c>
      <c r="G95" s="75">
        <v>0.20833333333333334</v>
      </c>
      <c r="H95" s="79"/>
    </row>
    <row r="96" spans="1:8" ht="18" customHeight="1">
      <c r="A96" s="75">
        <v>0.45833333333333331</v>
      </c>
      <c r="B96" s="75">
        <v>0.47916666666666669</v>
      </c>
      <c r="C96" s="381" t="s">
        <v>1068</v>
      </c>
      <c r="D96" s="381"/>
      <c r="E96" s="381"/>
      <c r="F96" s="75">
        <v>0.20833333333333334</v>
      </c>
      <c r="G96" s="75">
        <v>0.22916666666666666</v>
      </c>
      <c r="H96" s="79"/>
    </row>
    <row r="97" spans="1:8" ht="18" customHeight="1">
      <c r="A97" s="75">
        <v>0.47916666666666669</v>
      </c>
      <c r="B97" s="75">
        <v>0.5</v>
      </c>
      <c r="C97" s="381"/>
      <c r="D97" s="381"/>
      <c r="E97" s="381"/>
      <c r="F97" s="75">
        <v>0.22916666666666666</v>
      </c>
      <c r="G97" s="75">
        <v>0.25</v>
      </c>
      <c r="H97" s="79"/>
    </row>
    <row r="98" spans="1:8" ht="18" customHeight="1">
      <c r="A98" s="75">
        <v>0.5</v>
      </c>
      <c r="B98" s="75">
        <v>0.52083333333333337</v>
      </c>
      <c r="C98" s="374" t="s">
        <v>999</v>
      </c>
      <c r="D98" s="374"/>
      <c r="E98" s="374"/>
      <c r="F98" s="75">
        <v>0.25</v>
      </c>
      <c r="G98" s="75">
        <v>0.27083333333333331</v>
      </c>
      <c r="H98" s="79"/>
    </row>
    <row r="99" spans="1:8" ht="18" customHeight="1">
      <c r="A99" s="75">
        <v>0.52083333333333337</v>
      </c>
      <c r="B99" s="75">
        <v>0.54166666666666663</v>
      </c>
      <c r="C99" s="374"/>
      <c r="D99" s="374"/>
      <c r="E99" s="374"/>
      <c r="F99" s="75">
        <v>0.27083333333333331</v>
      </c>
      <c r="G99" s="75">
        <v>0.29166666666666669</v>
      </c>
      <c r="H99" s="79"/>
    </row>
    <row r="100" spans="1:8" ht="18" customHeight="1">
      <c r="A100" s="75">
        <v>0.54166666666666663</v>
      </c>
      <c r="B100" s="75">
        <v>0.5625</v>
      </c>
      <c r="C100" s="374" t="s">
        <v>1004</v>
      </c>
      <c r="D100" s="374"/>
      <c r="E100" s="374"/>
      <c r="F100" s="75">
        <v>0.29166666666666669</v>
      </c>
      <c r="G100" s="75">
        <v>0.3125</v>
      </c>
      <c r="H100" s="79"/>
    </row>
    <row r="101" spans="1:8" ht="18" customHeight="1">
      <c r="A101" s="75">
        <v>0.5625</v>
      </c>
      <c r="B101" s="75">
        <v>0.58333333333333337</v>
      </c>
      <c r="C101" s="374"/>
      <c r="D101" s="374"/>
      <c r="E101" s="374"/>
      <c r="F101" s="75">
        <v>0.3125</v>
      </c>
      <c r="G101" s="75">
        <v>0.33333333333333331</v>
      </c>
      <c r="H101" s="79"/>
    </row>
    <row r="102" spans="1:8" ht="18" customHeight="1">
      <c r="A102" s="75">
        <v>0.58333333333333337</v>
      </c>
      <c r="B102" s="75">
        <v>0.60416666666666663</v>
      </c>
      <c r="C102" s="374"/>
      <c r="D102" s="374"/>
      <c r="E102" s="374"/>
      <c r="F102" s="75">
        <v>0.33333333333333331</v>
      </c>
      <c r="G102" s="75">
        <v>0.35416666666666669</v>
      </c>
      <c r="H102" s="79"/>
    </row>
    <row r="103" spans="1:8" ht="18" customHeight="1">
      <c r="A103" s="75">
        <v>0.60416666666666663</v>
      </c>
      <c r="B103" s="75">
        <v>0.625</v>
      </c>
      <c r="C103" s="374"/>
      <c r="D103" s="374"/>
      <c r="E103" s="374"/>
      <c r="F103" s="75">
        <v>0.35416666666666669</v>
      </c>
      <c r="G103" s="75">
        <v>0.375</v>
      </c>
      <c r="H103" s="79"/>
    </row>
    <row r="104" spans="1:8" ht="18" customHeight="1">
      <c r="A104" s="75">
        <v>0.625</v>
      </c>
      <c r="B104" s="75">
        <v>0.64583333333333337</v>
      </c>
      <c r="C104" s="381" t="s">
        <v>1069</v>
      </c>
      <c r="D104" s="381"/>
      <c r="E104" s="381"/>
      <c r="F104" s="75">
        <v>0.375</v>
      </c>
      <c r="G104" s="75">
        <v>0.39583333333333331</v>
      </c>
      <c r="H104" s="79"/>
    </row>
    <row r="105" spans="1:8" ht="18" customHeight="1">
      <c r="A105" s="75">
        <v>0.64583333333333337</v>
      </c>
      <c r="B105" s="75">
        <v>0.66666666666666663</v>
      </c>
      <c r="C105" s="381"/>
      <c r="D105" s="381"/>
      <c r="E105" s="381"/>
      <c r="F105" s="75">
        <v>0.39583333333333331</v>
      </c>
      <c r="G105" s="75">
        <v>0.41666666666666669</v>
      </c>
      <c r="H105" s="79"/>
    </row>
    <row r="106" spans="1:8" ht="18" customHeight="1">
      <c r="A106" s="75">
        <v>0.66666666666666663</v>
      </c>
      <c r="B106" s="75">
        <v>0.6875</v>
      </c>
      <c r="C106" s="374" t="s">
        <v>1005</v>
      </c>
      <c r="D106" s="374"/>
      <c r="E106" s="374"/>
      <c r="F106" s="75">
        <v>0.41666666666666669</v>
      </c>
      <c r="G106" s="75">
        <v>0.4375</v>
      </c>
      <c r="H106" s="79"/>
    </row>
    <row r="107" spans="1:8" ht="18" customHeight="1">
      <c r="A107" s="75">
        <v>0.6875</v>
      </c>
      <c r="B107" s="75">
        <v>0.70833333333333337</v>
      </c>
      <c r="C107" s="374"/>
      <c r="D107" s="374"/>
      <c r="E107" s="374"/>
      <c r="F107" s="75">
        <v>0.4375</v>
      </c>
      <c r="G107" s="75">
        <v>0.45833333333333331</v>
      </c>
      <c r="H107" s="79"/>
    </row>
    <row r="108" spans="1:8" ht="18" customHeight="1">
      <c r="A108" s="75">
        <v>0.70833333333333337</v>
      </c>
      <c r="B108" s="75">
        <v>0.72916666666666663</v>
      </c>
      <c r="C108" s="374" t="s">
        <v>1006</v>
      </c>
      <c r="D108" s="374"/>
      <c r="E108" s="374"/>
      <c r="F108" s="75">
        <v>0.45833333333333331</v>
      </c>
      <c r="G108" s="75">
        <v>0.47916666666666669</v>
      </c>
      <c r="H108" s="79"/>
    </row>
    <row r="109" spans="1:8" ht="18" customHeight="1">
      <c r="A109" s="75">
        <v>0.72916666666666663</v>
      </c>
      <c r="B109" s="75">
        <v>0.75</v>
      </c>
      <c r="C109" s="374"/>
      <c r="D109" s="374"/>
      <c r="E109" s="374"/>
      <c r="F109" s="75">
        <v>0.47916666666666669</v>
      </c>
      <c r="G109" s="75">
        <v>0.5</v>
      </c>
      <c r="H109" s="79"/>
    </row>
    <row r="110" spans="1:8" ht="18" customHeight="1">
      <c r="A110" s="75">
        <v>0.75</v>
      </c>
      <c r="B110" s="75">
        <v>0.83333333333333337</v>
      </c>
      <c r="C110" s="374"/>
      <c r="D110" s="374"/>
      <c r="E110" s="374"/>
      <c r="F110" s="75">
        <v>0.5</v>
      </c>
      <c r="G110" s="75">
        <v>0.58333333333333337</v>
      </c>
      <c r="H110" s="79"/>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2.4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71" t="s">
        <v>1379</v>
      </c>
      <c r="B1" s="371"/>
      <c r="C1" s="371"/>
      <c r="D1" s="371"/>
      <c r="E1" s="371"/>
      <c r="F1" s="371"/>
      <c r="G1" s="371"/>
      <c r="H1" s="70"/>
      <c r="I1" s="155" t="s">
        <v>988</v>
      </c>
      <c r="J1" s="156" t="s">
        <v>989</v>
      </c>
      <c r="K1" s="150" t="s">
        <v>990</v>
      </c>
      <c r="L1" s="150" t="s">
        <v>991</v>
      </c>
      <c r="M1" s="151"/>
      <c r="N1" s="72"/>
      <c r="O1" s="72"/>
      <c r="P1" s="72"/>
    </row>
    <row r="2" spans="1:16" ht="14.5" customHeight="1">
      <c r="A2" s="372" t="str">
        <f>CONCATENATE(TEXT(Planning!B26,"[$-x-sysdate]dddd, mmmm dd, yyyy")," (Technology test)")</f>
        <v>Thursday, 18 February 2021 (Technology test)</v>
      </c>
      <c r="B2" s="372"/>
      <c r="C2" s="372"/>
      <c r="D2" s="372"/>
      <c r="E2" s="372"/>
      <c r="F2" s="372"/>
      <c r="G2" s="372"/>
      <c r="H2" s="70"/>
      <c r="I2" s="150"/>
      <c r="J2" s="150"/>
      <c r="K2" s="150"/>
      <c r="L2" s="151"/>
      <c r="M2" s="151"/>
      <c r="N2" s="72"/>
      <c r="O2" s="72"/>
      <c r="P2" s="72"/>
    </row>
    <row r="3" spans="1:16">
      <c r="A3" s="370" t="str">
        <f>J3</f>
        <v>Day 1-2</v>
      </c>
      <c r="B3" s="370"/>
      <c r="C3" s="373" t="str">
        <f>CONCATENATE(TEXT(I3,"[$-x-sysdate]dddd, mmmm dd, yyyy")," to ",TEXT(K3,"[$-x-sysdate]dddd, mmmm dd, yyyy"))</f>
        <v>Saturday, 20 February 2021 to Sunday, 21 February 2021</v>
      </c>
      <c r="D3" s="373"/>
      <c r="E3" s="373"/>
      <c r="F3" s="370" t="str">
        <f>A3</f>
        <v>Day 1-2</v>
      </c>
      <c r="G3" s="370"/>
      <c r="H3" s="70"/>
      <c r="I3" s="157">
        <f>Planning!B27</f>
        <v>44247</v>
      </c>
      <c r="J3" s="158" t="str">
        <f>_xlfn.CONCAT("Day 1-",L3)</f>
        <v>Day 1-2</v>
      </c>
      <c r="K3" s="159">
        <f>Planning!B27+Planning!B29-1</f>
        <v>44248</v>
      </c>
      <c r="L3" s="150">
        <f>K3-I3+1</f>
        <v>2</v>
      </c>
      <c r="M3" s="151"/>
      <c r="N3" s="72"/>
      <c r="O3" s="72"/>
      <c r="P3" s="72"/>
    </row>
    <row r="4" spans="1:16" ht="29">
      <c r="A4" s="370" t="s">
        <v>992</v>
      </c>
      <c r="B4" s="370"/>
      <c r="C4" s="269" t="str">
        <f>Schedule4!C4</f>
        <v>Mini team 1:ATM-5 / ATM-6 / ATM-7</v>
      </c>
      <c r="D4" s="269" t="str">
        <f>Schedule4!D4</f>
        <v>Mini team 2: ATM-1 / ATM-2 / ATM-3 / ATM-4</v>
      </c>
      <c r="E4" s="269" t="str">
        <f>Schedule4!E4</f>
        <v>LA team: van Zyl, Pieter and ATMs if applicable</v>
      </c>
      <c r="F4" s="370" t="s">
        <v>993</v>
      </c>
      <c r="G4" s="370"/>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4" t="s">
        <v>994</v>
      </c>
      <c r="D5" s="374" t="s">
        <v>994</v>
      </c>
      <c r="E5" s="374"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4"/>
      <c r="D6" s="374"/>
      <c r="E6" s="374"/>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4"/>
      <c r="D7" s="374"/>
      <c r="E7" s="374"/>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4"/>
      <c r="D8" s="374"/>
      <c r="E8" s="374"/>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4"/>
      <c r="D9" s="374"/>
      <c r="E9" s="374"/>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4"/>
      <c r="D10" s="374"/>
      <c r="E10" s="374"/>
      <c r="F10" s="75">
        <v>0.375</v>
      </c>
      <c r="G10" s="75">
        <v>0.41666666666666669</v>
      </c>
      <c r="H10" s="70"/>
      <c r="I10" s="159"/>
      <c r="J10" s="151"/>
      <c r="K10" s="151"/>
      <c r="L10" s="151"/>
      <c r="M10" s="151"/>
      <c r="N10" s="72"/>
      <c r="O10" s="72"/>
      <c r="P10" s="72"/>
    </row>
    <row r="11" spans="1:16" ht="18" customHeight="1">
      <c r="A11" s="75">
        <v>0.66666666666666696</v>
      </c>
      <c r="B11" s="75">
        <v>0.70833333333333337</v>
      </c>
      <c r="C11" s="374"/>
      <c r="D11" s="374"/>
      <c r="E11" s="374"/>
      <c r="F11" s="75">
        <v>0.41666666666666669</v>
      </c>
      <c r="G11" s="75">
        <v>0.45833333333333337</v>
      </c>
      <c r="H11" s="70"/>
      <c r="I11" s="150" t="s">
        <v>996</v>
      </c>
      <c r="J11" s="153" t="e">
        <f>_xlfn.CONCAT("Mini team 1:",I12," / ",I13," / ",I14)</f>
        <v>#REF!</v>
      </c>
      <c r="K11" s="154"/>
      <c r="L11" s="150" t="str">
        <f>'P1PA-SS'!B91</f>
        <v>ATM-1</v>
      </c>
      <c r="M11" s="153" t="str">
        <f>_xlfn.CONCAT("Mini team 2: ",L11," / ",L12, " / ",L13)</f>
        <v xml:space="preserve">Mini team 2: ATM-1 / ATM-4 / </v>
      </c>
      <c r="N11" s="72"/>
      <c r="O11" s="72"/>
      <c r="P11" s="72"/>
    </row>
    <row r="12" spans="1:16" ht="18" customHeight="1">
      <c r="A12" s="75">
        <v>0.70833333333333337</v>
      </c>
      <c r="B12" s="75">
        <v>0.75</v>
      </c>
      <c r="C12" s="374"/>
      <c r="D12" s="374"/>
      <c r="E12" s="374"/>
      <c r="F12" s="75">
        <v>0.45833333333333331</v>
      </c>
      <c r="G12" s="75">
        <v>0.5</v>
      </c>
      <c r="H12" s="70"/>
      <c r="I12" s="150" t="e">
        <f>'P1PA-SS'!#REF!</f>
        <v>#REF!</v>
      </c>
      <c r="J12" s="154"/>
      <c r="K12" s="154"/>
      <c r="L12" s="150" t="str">
        <f>'P1PA-SS'!B94</f>
        <v>ATM-4</v>
      </c>
      <c r="M12" s="154"/>
      <c r="N12" s="72"/>
      <c r="O12" s="72"/>
      <c r="P12" s="72"/>
    </row>
    <row r="13" spans="1:16" ht="18" customHeight="1">
      <c r="A13" s="75">
        <v>0.75</v>
      </c>
      <c r="B13" s="75">
        <v>0.79166666666666663</v>
      </c>
      <c r="C13" s="374"/>
      <c r="D13" s="374"/>
      <c r="E13" s="374"/>
      <c r="F13" s="75">
        <v>0.5</v>
      </c>
      <c r="G13" s="75">
        <v>0.54166666666666663</v>
      </c>
      <c r="H13" s="70"/>
      <c r="I13" s="150" t="str">
        <f>'P1PA-SS'!B95</f>
        <v>ATM-5</v>
      </c>
      <c r="K13" s="153"/>
      <c r="L13" s="150"/>
      <c r="M13" s="154"/>
      <c r="N13" s="72"/>
      <c r="O13" s="72"/>
      <c r="P13" s="72"/>
    </row>
    <row r="14" spans="1:16">
      <c r="I14" s="150"/>
      <c r="K14" s="48"/>
      <c r="L14" s="150"/>
      <c r="M14" s="154"/>
    </row>
    <row r="15" spans="1:16">
      <c r="A15" s="375" t="str">
        <f>CONCATENATE("Schedule above includes ",Planning!B28," non-working day(s).")</f>
        <v>Schedule above includes 0 non-working day(s).</v>
      </c>
      <c r="B15" s="375"/>
      <c r="C15" s="375"/>
      <c r="D15" s="375"/>
      <c r="E15" s="375"/>
      <c r="F15" s="375"/>
      <c r="G15" s="375"/>
      <c r="H15" s="70"/>
      <c r="K15" s="154"/>
      <c r="L15" s="151"/>
      <c r="M15" s="151"/>
      <c r="N15" s="72"/>
      <c r="O15" s="72"/>
      <c r="P15" s="72"/>
    </row>
    <row r="16" spans="1:16">
      <c r="A16" s="376" t="str">
        <f>J4</f>
        <v>Day 3</v>
      </c>
      <c r="B16" s="376"/>
      <c r="C16" s="377">
        <f>I4</f>
        <v>44249</v>
      </c>
      <c r="D16" s="377"/>
      <c r="E16" s="377"/>
      <c r="F16" s="376" t="str">
        <f>A16</f>
        <v>Day 3</v>
      </c>
      <c r="G16" s="376"/>
      <c r="H16" s="70"/>
      <c r="K16" s="154"/>
      <c r="L16" s="151"/>
      <c r="M16" s="151"/>
      <c r="N16" s="72"/>
      <c r="O16" s="72"/>
      <c r="P16" s="72"/>
    </row>
    <row r="17" spans="1:18" ht="29">
      <c r="A17" s="376" t="s">
        <v>992</v>
      </c>
      <c r="B17" s="376"/>
      <c r="C17" s="271" t="str">
        <f>C4</f>
        <v>Mini team 1:ATM-5 / ATM-6 / ATM-7</v>
      </c>
      <c r="D17" s="271" t="str">
        <f>D4</f>
        <v>Mini team 2: ATM-1 / ATM-2 / ATM-3 / ATM-4</v>
      </c>
      <c r="E17" s="271" t="str">
        <f>E4</f>
        <v>LA team: van Zyl, Pieter and ATMs if applicable</v>
      </c>
      <c r="F17" s="376" t="s">
        <v>993</v>
      </c>
      <c r="G17" s="376"/>
      <c r="H17" s="70"/>
      <c r="K17" s="154"/>
      <c r="L17" s="150"/>
      <c r="M17" s="150"/>
      <c r="N17" s="72"/>
      <c r="O17" s="71"/>
      <c r="P17" s="72"/>
    </row>
    <row r="18" spans="1:18" ht="18.649999999999999" customHeight="1">
      <c r="A18" s="75">
        <v>0.41666666666666669</v>
      </c>
      <c r="B18" s="75">
        <v>0.4375</v>
      </c>
      <c r="C18" s="270" t="s">
        <v>997</v>
      </c>
      <c r="D18" s="270" t="s">
        <v>997</v>
      </c>
      <c r="E18" s="270"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69" t="s">
        <v>1058</v>
      </c>
      <c r="D19" s="369"/>
      <c r="E19" s="369"/>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81" t="s">
        <v>1059</v>
      </c>
      <c r="D20" s="381"/>
      <c r="E20" s="381"/>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81"/>
      <c r="D21" s="381"/>
      <c r="E21" s="381"/>
      <c r="F21" s="75">
        <v>0.22916666666666666</v>
      </c>
      <c r="G21" s="75">
        <v>0.25</v>
      </c>
      <c r="H21" s="70"/>
      <c r="I21" s="151"/>
      <c r="J21" s="151"/>
      <c r="K21" s="151"/>
      <c r="L21" s="151"/>
      <c r="M21" s="151"/>
      <c r="N21" s="72"/>
      <c r="O21" s="72"/>
      <c r="P21" s="72"/>
    </row>
    <row r="22" spans="1:18" ht="18.649999999999999" customHeight="1">
      <c r="A22" s="75">
        <v>0.5</v>
      </c>
      <c r="B22" s="75">
        <v>0.52083333333333337</v>
      </c>
      <c r="C22" s="374" t="s">
        <v>999</v>
      </c>
      <c r="D22" s="374"/>
      <c r="E22" s="374"/>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4"/>
      <c r="D23" s="374"/>
      <c r="E23" s="374"/>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69" t="s">
        <v>1060</v>
      </c>
      <c r="D24" s="369"/>
      <c r="E24" s="369"/>
      <c r="F24" s="75">
        <v>0.29166666666666669</v>
      </c>
      <c r="G24" s="75">
        <v>0.3125</v>
      </c>
      <c r="H24" s="70"/>
      <c r="I24" s="151"/>
      <c r="J24" s="151"/>
      <c r="K24" s="160"/>
      <c r="L24" s="160"/>
      <c r="M24" s="160"/>
      <c r="N24" s="72"/>
      <c r="O24" s="72"/>
      <c r="P24" s="72"/>
    </row>
    <row r="25" spans="1:18" ht="18.649999999999999" customHeight="1">
      <c r="A25" s="75">
        <v>0.5625</v>
      </c>
      <c r="B25" s="75">
        <v>0.58333333333333337</v>
      </c>
      <c r="C25" s="369"/>
      <c r="D25" s="369"/>
      <c r="E25" s="369"/>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69"/>
      <c r="D26" s="369"/>
      <c r="E26" s="369"/>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69"/>
      <c r="D27" s="369"/>
      <c r="E27" s="369"/>
      <c r="F27" s="75">
        <v>0.35416666666666669</v>
      </c>
      <c r="G27" s="75">
        <v>0.375</v>
      </c>
      <c r="H27" s="70"/>
      <c r="I27" s="151"/>
      <c r="J27" s="151"/>
      <c r="K27" s="151"/>
      <c r="L27" s="151"/>
      <c r="M27" s="151"/>
      <c r="N27" s="72"/>
      <c r="O27" s="72"/>
      <c r="P27" s="72"/>
    </row>
    <row r="28" spans="1:18" ht="18.649999999999999" customHeight="1">
      <c r="A28" s="75">
        <v>0.625</v>
      </c>
      <c r="B28" s="75">
        <v>0.64583333333333337</v>
      </c>
      <c r="C28" s="374" t="s">
        <v>1000</v>
      </c>
      <c r="D28" s="374"/>
      <c r="E28" s="374"/>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69" t="s">
        <v>1060</v>
      </c>
      <c r="D29" s="369"/>
      <c r="E29" s="369"/>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69"/>
      <c r="D30" s="369"/>
      <c r="E30" s="369"/>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69"/>
      <c r="D31" s="369"/>
      <c r="E31" s="369"/>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69"/>
      <c r="D32" s="369"/>
      <c r="E32" s="369"/>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4" t="s">
        <v>1241</v>
      </c>
      <c r="D33" s="374"/>
      <c r="E33" s="374"/>
      <c r="F33" s="75">
        <v>0.47916666666666669</v>
      </c>
      <c r="G33" s="75">
        <v>0.5</v>
      </c>
      <c r="H33" s="70"/>
      <c r="I33" s="151"/>
      <c r="J33" s="151"/>
      <c r="K33" s="151"/>
      <c r="L33" s="151"/>
      <c r="M33" s="151"/>
      <c r="N33" s="72"/>
      <c r="O33" s="72"/>
      <c r="P33" s="72"/>
    </row>
    <row r="34" spans="1:16" ht="18.649999999999999" customHeight="1">
      <c r="A34" s="75">
        <v>0.75</v>
      </c>
      <c r="B34" s="75">
        <v>0.83333333333333337</v>
      </c>
      <c r="C34" s="374" t="s">
        <v>1001</v>
      </c>
      <c r="D34" s="374"/>
      <c r="E34" s="374"/>
      <c r="F34" s="75">
        <v>0.5</v>
      </c>
      <c r="G34" s="75">
        <v>0.58333333333333337</v>
      </c>
      <c r="H34" s="70"/>
      <c r="I34" s="151"/>
      <c r="J34" s="151"/>
      <c r="K34" s="151"/>
      <c r="L34" s="151"/>
      <c r="M34" s="151"/>
      <c r="N34" s="72"/>
      <c r="O34" s="72"/>
      <c r="P34" s="72"/>
    </row>
    <row r="35" spans="1:16">
      <c r="A35" s="376" t="str">
        <f>J5</f>
        <v>Day 4</v>
      </c>
      <c r="B35" s="376"/>
      <c r="C35" s="377">
        <f>I5</f>
        <v>44250</v>
      </c>
      <c r="D35" s="377"/>
      <c r="E35" s="377"/>
      <c r="F35" s="376" t="str">
        <f>A35</f>
        <v>Day 4</v>
      </c>
      <c r="G35" s="376"/>
      <c r="H35" s="79"/>
    </row>
    <row r="36" spans="1:16" ht="29">
      <c r="A36" s="376" t="s">
        <v>992</v>
      </c>
      <c r="B36" s="376"/>
      <c r="C36" s="271" t="str">
        <f>C17</f>
        <v>Mini team 1:ATM-5 / ATM-6 / ATM-7</v>
      </c>
      <c r="D36" s="271" t="str">
        <f>D17</f>
        <v>Mini team 2: ATM-1 / ATM-2 / ATM-3 / ATM-4</v>
      </c>
      <c r="E36" s="271" t="str">
        <f>E17</f>
        <v>LA team: van Zyl, Pieter and ATMs if applicable</v>
      </c>
      <c r="F36" s="376" t="s">
        <v>993</v>
      </c>
      <c r="G36" s="376"/>
      <c r="H36" s="79"/>
    </row>
    <row r="37" spans="1:16" ht="18" customHeight="1">
      <c r="A37" s="75">
        <v>0.41666666666666669</v>
      </c>
      <c r="B37" s="75">
        <v>0.4375</v>
      </c>
      <c r="C37" s="374" t="s">
        <v>1000</v>
      </c>
      <c r="D37" s="374"/>
      <c r="E37" s="270" t="s">
        <v>998</v>
      </c>
      <c r="F37" s="75">
        <v>0.16666666666666666</v>
      </c>
      <c r="G37" s="75">
        <v>0.1875</v>
      </c>
      <c r="H37" s="79"/>
    </row>
    <row r="38" spans="1:16" ht="18" customHeight="1">
      <c r="A38" s="75">
        <v>0.4375</v>
      </c>
      <c r="B38" s="75">
        <v>0.45833333333333331</v>
      </c>
      <c r="C38" s="369" t="s">
        <v>1061</v>
      </c>
      <c r="D38" s="369"/>
      <c r="E38" s="369"/>
      <c r="F38" s="75">
        <v>0.1875</v>
      </c>
      <c r="G38" s="75">
        <v>0.20833333333333334</v>
      </c>
      <c r="H38" s="79"/>
    </row>
    <row r="39" spans="1:16" ht="18" customHeight="1">
      <c r="A39" s="75">
        <v>0.45833333333333331</v>
      </c>
      <c r="B39" s="75">
        <v>0.47916666666666669</v>
      </c>
      <c r="C39" s="369"/>
      <c r="D39" s="369"/>
      <c r="E39" s="369"/>
      <c r="F39" s="75">
        <v>0.20833333333333334</v>
      </c>
      <c r="G39" s="75">
        <v>0.22916666666666666</v>
      </c>
      <c r="H39" s="79"/>
    </row>
    <row r="40" spans="1:16" ht="18" customHeight="1">
      <c r="A40" s="75">
        <v>0.47916666666666669</v>
      </c>
      <c r="B40" s="75">
        <v>0.5</v>
      </c>
      <c r="C40" s="369"/>
      <c r="D40" s="369"/>
      <c r="E40" s="369"/>
      <c r="F40" s="75">
        <v>0.22916666666666666</v>
      </c>
      <c r="G40" s="75">
        <v>0.25</v>
      </c>
      <c r="H40" s="79"/>
    </row>
    <row r="41" spans="1:16" ht="18" customHeight="1">
      <c r="A41" s="75">
        <v>0.5</v>
      </c>
      <c r="B41" s="75">
        <v>0.52083333333333337</v>
      </c>
      <c r="C41" s="374" t="s">
        <v>999</v>
      </c>
      <c r="D41" s="374"/>
      <c r="E41" s="374"/>
      <c r="F41" s="75">
        <v>0.25</v>
      </c>
      <c r="G41" s="75">
        <v>0.27083333333333331</v>
      </c>
      <c r="H41" s="79"/>
    </row>
    <row r="42" spans="1:16" ht="18" customHeight="1">
      <c r="A42" s="75">
        <v>0.52083333333333337</v>
      </c>
      <c r="B42" s="75">
        <v>0.54166666666666663</v>
      </c>
      <c r="C42" s="374"/>
      <c r="D42" s="374"/>
      <c r="E42" s="374"/>
      <c r="F42" s="75">
        <v>0.27083333333333331</v>
      </c>
      <c r="G42" s="75">
        <v>0.29166666666666669</v>
      </c>
      <c r="H42" s="79"/>
    </row>
    <row r="43" spans="1:16" ht="18" customHeight="1">
      <c r="A43" s="75">
        <v>0.54166666666666663</v>
      </c>
      <c r="B43" s="75">
        <v>0.5625</v>
      </c>
      <c r="C43" s="369" t="s">
        <v>1061</v>
      </c>
      <c r="D43" s="369"/>
      <c r="E43" s="369"/>
      <c r="F43" s="75">
        <v>0.29166666666666669</v>
      </c>
      <c r="G43" s="75">
        <v>0.3125</v>
      </c>
      <c r="H43" s="79"/>
    </row>
    <row r="44" spans="1:16" ht="18" customHeight="1">
      <c r="A44" s="75">
        <v>0.5625</v>
      </c>
      <c r="B44" s="75">
        <v>0.58333333333333337</v>
      </c>
      <c r="C44" s="369"/>
      <c r="D44" s="369"/>
      <c r="E44" s="369"/>
      <c r="F44" s="75">
        <v>0.3125</v>
      </c>
      <c r="G44" s="75">
        <v>0.33333333333333331</v>
      </c>
      <c r="H44" s="79"/>
    </row>
    <row r="45" spans="1:16" ht="18" customHeight="1">
      <c r="A45" s="75">
        <v>0.58333333333333337</v>
      </c>
      <c r="B45" s="75">
        <v>0.60416666666666663</v>
      </c>
      <c r="C45" s="369"/>
      <c r="D45" s="369"/>
      <c r="E45" s="369"/>
      <c r="F45" s="75">
        <v>0.33333333333333331</v>
      </c>
      <c r="G45" s="75">
        <v>0.35416666666666669</v>
      </c>
      <c r="H45" s="79"/>
    </row>
    <row r="46" spans="1:16" ht="18" customHeight="1">
      <c r="A46" s="75">
        <v>0.60416666666666663</v>
      </c>
      <c r="B46" s="75">
        <v>0.625</v>
      </c>
      <c r="C46" s="369"/>
      <c r="D46" s="369"/>
      <c r="E46" s="369"/>
      <c r="F46" s="75">
        <v>0.35416666666666669</v>
      </c>
      <c r="G46" s="75">
        <v>0.375</v>
      </c>
      <c r="H46" s="79"/>
    </row>
    <row r="47" spans="1:16" ht="18" customHeight="1">
      <c r="A47" s="75">
        <v>0.625</v>
      </c>
      <c r="B47" s="75">
        <v>0.64583333333333337</v>
      </c>
      <c r="C47" s="369"/>
      <c r="D47" s="369"/>
      <c r="E47" s="369"/>
      <c r="F47" s="75">
        <v>0.375</v>
      </c>
      <c r="G47" s="75">
        <v>0.39583333333333331</v>
      </c>
      <c r="H47" s="79"/>
    </row>
    <row r="48" spans="1:16" ht="18" customHeight="1">
      <c r="A48" s="75">
        <v>0.64583333333333337</v>
      </c>
      <c r="B48" s="75">
        <v>0.66666666666666663</v>
      </c>
      <c r="C48" s="374" t="s">
        <v>1000</v>
      </c>
      <c r="D48" s="374"/>
      <c r="E48" s="374" t="s">
        <v>998</v>
      </c>
      <c r="F48" s="75">
        <v>0.39583333333333331</v>
      </c>
      <c r="G48" s="75">
        <v>0.41666666666666669</v>
      </c>
      <c r="H48" s="79"/>
    </row>
    <row r="49" spans="1:8" ht="18" customHeight="1">
      <c r="A49" s="75">
        <v>0.66666666666666663</v>
      </c>
      <c r="B49" s="75">
        <v>0.6875</v>
      </c>
      <c r="C49" s="374"/>
      <c r="D49" s="374"/>
      <c r="E49" s="374"/>
      <c r="F49" s="75">
        <v>0.41666666666666669</v>
      </c>
      <c r="G49" s="75">
        <v>0.4375</v>
      </c>
      <c r="H49" s="79"/>
    </row>
    <row r="50" spans="1:8" ht="18" customHeight="1">
      <c r="A50" s="75">
        <v>0.6875</v>
      </c>
      <c r="B50" s="75">
        <v>0.70833333333333337</v>
      </c>
      <c r="C50" s="369" t="s">
        <v>1062</v>
      </c>
      <c r="D50" s="369"/>
      <c r="E50" s="369"/>
      <c r="F50" s="75">
        <v>0.4375</v>
      </c>
      <c r="G50" s="75">
        <v>0.45833333333333331</v>
      </c>
      <c r="H50" s="79"/>
    </row>
    <row r="51" spans="1:8" ht="18" customHeight="1">
      <c r="A51" s="75">
        <v>0.70833333333333337</v>
      </c>
      <c r="B51" s="75">
        <v>0.72916666666666663</v>
      </c>
      <c r="C51" s="369"/>
      <c r="D51" s="369"/>
      <c r="E51" s="369"/>
      <c r="F51" s="75">
        <v>0.45833333333333331</v>
      </c>
      <c r="G51" s="75">
        <v>0.47916666666666669</v>
      </c>
      <c r="H51" s="79"/>
    </row>
    <row r="52" spans="1:8" ht="18" customHeight="1">
      <c r="A52" s="75">
        <v>0.72916666666666663</v>
      </c>
      <c r="B52" s="75">
        <v>0.75</v>
      </c>
      <c r="C52" s="374" t="s">
        <v>1241</v>
      </c>
      <c r="D52" s="374"/>
      <c r="E52" s="374"/>
      <c r="F52" s="75">
        <v>0.47916666666666669</v>
      </c>
      <c r="G52" s="75">
        <v>0.5</v>
      </c>
      <c r="H52" s="79"/>
    </row>
    <row r="53" spans="1:8" ht="18" customHeight="1">
      <c r="A53" s="75">
        <v>0.75</v>
      </c>
      <c r="B53" s="75">
        <v>0.83333333333333337</v>
      </c>
      <c r="C53" s="374" t="s">
        <v>1001</v>
      </c>
      <c r="D53" s="374"/>
      <c r="E53" s="374"/>
      <c r="F53" s="75">
        <v>0.5</v>
      </c>
      <c r="G53" s="75">
        <v>0.58333333333333337</v>
      </c>
      <c r="H53" s="79"/>
    </row>
    <row r="54" spans="1:8">
      <c r="A54" s="370" t="str">
        <f>J6</f>
        <v>Day 5</v>
      </c>
      <c r="B54" s="370"/>
      <c r="C54" s="373">
        <f>I6</f>
        <v>44251</v>
      </c>
      <c r="D54" s="373"/>
      <c r="E54" s="373"/>
      <c r="F54" s="370" t="str">
        <f>A54</f>
        <v>Day 5</v>
      </c>
      <c r="G54" s="370"/>
      <c r="H54" s="79"/>
    </row>
    <row r="55" spans="1:8" ht="29">
      <c r="A55" s="370" t="s">
        <v>992</v>
      </c>
      <c r="B55" s="370"/>
      <c r="C55" s="269" t="str">
        <f>C36</f>
        <v>Mini team 1:ATM-5 / ATM-6 / ATM-7</v>
      </c>
      <c r="D55" s="269" t="str">
        <f>D36</f>
        <v>Mini team 2: ATM-1 / ATM-2 / ATM-3 / ATM-4</v>
      </c>
      <c r="E55" s="269" t="str">
        <f>E36</f>
        <v>LA team: van Zyl, Pieter and ATMs if applicable</v>
      </c>
      <c r="F55" s="370" t="s">
        <v>993</v>
      </c>
      <c r="G55" s="370"/>
      <c r="H55" s="79"/>
    </row>
    <row r="56" spans="1:8" ht="18" customHeight="1">
      <c r="A56" s="75">
        <v>0.41666666666666669</v>
      </c>
      <c r="B56" s="75">
        <v>0.4375</v>
      </c>
      <c r="C56" s="374" t="s">
        <v>1002</v>
      </c>
      <c r="D56" s="374"/>
      <c r="E56" s="270" t="s">
        <v>998</v>
      </c>
      <c r="F56" s="75">
        <v>0.16666666666666666</v>
      </c>
      <c r="G56" s="75">
        <v>0.1875</v>
      </c>
      <c r="H56" s="79"/>
    </row>
    <row r="57" spans="1:8" ht="18" customHeight="1">
      <c r="A57" s="75">
        <v>0.4375</v>
      </c>
      <c r="B57" s="75">
        <v>0.45833333333333331</v>
      </c>
      <c r="C57" s="369" t="s">
        <v>1063</v>
      </c>
      <c r="D57" s="369"/>
      <c r="E57" s="369"/>
      <c r="F57" s="75">
        <v>0.1875</v>
      </c>
      <c r="G57" s="75">
        <v>0.20833333333333334</v>
      </c>
      <c r="H57" s="79"/>
    </row>
    <row r="58" spans="1:8" ht="18" customHeight="1">
      <c r="A58" s="75">
        <v>0.45833333333333331</v>
      </c>
      <c r="B58" s="75">
        <v>0.47916666666666669</v>
      </c>
      <c r="C58" s="369"/>
      <c r="D58" s="369"/>
      <c r="E58" s="369"/>
      <c r="F58" s="75">
        <v>0.20833333333333334</v>
      </c>
      <c r="G58" s="75">
        <v>0.22916666666666666</v>
      </c>
      <c r="H58" s="79"/>
    </row>
    <row r="59" spans="1:8" ht="18" customHeight="1">
      <c r="A59" s="75">
        <v>0.47916666666666669</v>
      </c>
      <c r="B59" s="75">
        <v>0.5</v>
      </c>
      <c r="C59" s="369"/>
      <c r="D59" s="369"/>
      <c r="E59" s="369"/>
      <c r="F59" s="75">
        <v>0.22916666666666666</v>
      </c>
      <c r="G59" s="75">
        <v>0.25</v>
      </c>
      <c r="H59" s="79"/>
    </row>
    <row r="60" spans="1:8" ht="18" customHeight="1">
      <c r="A60" s="75">
        <v>0.5</v>
      </c>
      <c r="B60" s="75">
        <v>0.52083333333333337</v>
      </c>
      <c r="C60" s="374" t="s">
        <v>999</v>
      </c>
      <c r="D60" s="374"/>
      <c r="E60" s="374"/>
      <c r="F60" s="75">
        <v>0.25</v>
      </c>
      <c r="G60" s="75">
        <v>0.27083333333333331</v>
      </c>
      <c r="H60" s="79"/>
    </row>
    <row r="61" spans="1:8" ht="18" customHeight="1">
      <c r="A61" s="75">
        <v>0.52083333333333337</v>
      </c>
      <c r="B61" s="75">
        <v>0.54166666666666663</v>
      </c>
      <c r="C61" s="374"/>
      <c r="D61" s="374"/>
      <c r="E61" s="374"/>
      <c r="F61" s="75">
        <v>0.27083333333333331</v>
      </c>
      <c r="G61" s="75">
        <v>0.29166666666666669</v>
      </c>
      <c r="H61" s="79"/>
    </row>
    <row r="62" spans="1:8" ht="18" customHeight="1">
      <c r="A62" s="75">
        <v>0.54166666666666663</v>
      </c>
      <c r="B62" s="75">
        <v>0.5625</v>
      </c>
      <c r="C62" s="369" t="s">
        <v>1063</v>
      </c>
      <c r="D62" s="369"/>
      <c r="E62" s="369"/>
      <c r="F62" s="75">
        <v>0.29166666666666669</v>
      </c>
      <c r="G62" s="75">
        <v>0.3125</v>
      </c>
      <c r="H62" s="79"/>
    </row>
    <row r="63" spans="1:8" ht="18" customHeight="1">
      <c r="A63" s="75">
        <v>0.5625</v>
      </c>
      <c r="B63" s="75">
        <v>0.58333333333333337</v>
      </c>
      <c r="C63" s="369"/>
      <c r="D63" s="369"/>
      <c r="E63" s="369"/>
      <c r="F63" s="75">
        <v>0.3125</v>
      </c>
      <c r="G63" s="75">
        <v>0.33333333333333331</v>
      </c>
      <c r="H63" s="79"/>
    </row>
    <row r="64" spans="1:8" ht="18" customHeight="1">
      <c r="A64" s="75">
        <v>0.58333333333333337</v>
      </c>
      <c r="B64" s="75">
        <v>0.60416666666666663</v>
      </c>
      <c r="C64" s="369"/>
      <c r="D64" s="369"/>
      <c r="E64" s="369"/>
      <c r="F64" s="75">
        <v>0.33333333333333331</v>
      </c>
      <c r="G64" s="75">
        <v>0.35416666666666669</v>
      </c>
      <c r="H64" s="79"/>
    </row>
    <row r="65" spans="1:8" ht="18" customHeight="1">
      <c r="A65" s="75">
        <v>0.60416666666666663</v>
      </c>
      <c r="B65" s="75">
        <v>0.625</v>
      </c>
      <c r="C65" s="369"/>
      <c r="D65" s="369"/>
      <c r="E65" s="369"/>
      <c r="F65" s="75">
        <v>0.35416666666666669</v>
      </c>
      <c r="G65" s="75">
        <v>0.375</v>
      </c>
      <c r="H65" s="79"/>
    </row>
    <row r="66" spans="1:8" ht="18" customHeight="1">
      <c r="A66" s="75">
        <v>0.625</v>
      </c>
      <c r="B66" s="75">
        <v>0.64583333333333337</v>
      </c>
      <c r="C66" s="369"/>
      <c r="D66" s="369"/>
      <c r="E66" s="369"/>
      <c r="F66" s="75">
        <v>0.375</v>
      </c>
      <c r="G66" s="75">
        <v>0.39583333333333331</v>
      </c>
      <c r="H66" s="79"/>
    </row>
    <row r="67" spans="1:8" ht="18" customHeight="1">
      <c r="A67" s="75">
        <v>0.64583333333333337</v>
      </c>
      <c r="B67" s="75">
        <v>0.66666666666666663</v>
      </c>
      <c r="C67" s="369"/>
      <c r="D67" s="369"/>
      <c r="E67" s="369"/>
      <c r="F67" s="75">
        <v>0.39583333333333331</v>
      </c>
      <c r="G67" s="75">
        <v>0.41666666666666669</v>
      </c>
      <c r="H67" s="79"/>
    </row>
    <row r="68" spans="1:8" ht="18" customHeight="1">
      <c r="A68" s="75">
        <v>0.66666666666666663</v>
      </c>
      <c r="B68" s="75">
        <v>0.6875</v>
      </c>
      <c r="C68" s="374" t="s">
        <v>1000</v>
      </c>
      <c r="D68" s="374"/>
      <c r="E68" s="374"/>
      <c r="F68" s="75">
        <v>0.41666666666666669</v>
      </c>
      <c r="G68" s="75">
        <v>0.4375</v>
      </c>
      <c r="H68" s="79"/>
    </row>
    <row r="69" spans="1:8" ht="18" customHeight="1">
      <c r="A69" s="75">
        <v>0.6875</v>
      </c>
      <c r="B69" s="75">
        <v>0.70833333333333337</v>
      </c>
      <c r="C69" s="369" t="s">
        <v>1064</v>
      </c>
      <c r="D69" s="369"/>
      <c r="E69" s="369"/>
      <c r="F69" s="75">
        <v>0.4375</v>
      </c>
      <c r="G69" s="75">
        <v>0.45833333333333331</v>
      </c>
      <c r="H69" s="79"/>
    </row>
    <row r="70" spans="1:8" ht="18" customHeight="1">
      <c r="A70" s="75">
        <v>0.70833333333333337</v>
      </c>
      <c r="B70" s="75">
        <v>0.72916666666666663</v>
      </c>
      <c r="C70" s="369"/>
      <c r="D70" s="369"/>
      <c r="E70" s="369"/>
      <c r="F70" s="75">
        <v>0.45833333333333331</v>
      </c>
      <c r="G70" s="75">
        <v>0.47916666666666669</v>
      </c>
      <c r="H70" s="79"/>
    </row>
    <row r="71" spans="1:8" ht="18" customHeight="1">
      <c r="A71" s="75">
        <v>0.72916666666666663</v>
      </c>
      <c r="B71" s="75">
        <v>0.75</v>
      </c>
      <c r="C71" s="389" t="s">
        <v>1240</v>
      </c>
      <c r="D71" s="390"/>
      <c r="E71" s="391"/>
      <c r="F71" s="75">
        <v>0.47916666666666669</v>
      </c>
      <c r="G71" s="75">
        <v>0.5</v>
      </c>
      <c r="H71" s="79"/>
    </row>
    <row r="72" spans="1:8" ht="18" customHeight="1">
      <c r="A72" s="75">
        <v>0.75</v>
      </c>
      <c r="B72" s="75">
        <v>0.83333333333333337</v>
      </c>
      <c r="C72" s="392"/>
      <c r="D72" s="393"/>
      <c r="E72" s="394"/>
      <c r="F72" s="75">
        <v>0.5</v>
      </c>
      <c r="G72" s="75">
        <v>0.58333333333333337</v>
      </c>
      <c r="H72" s="79"/>
    </row>
    <row r="73" spans="1:8">
      <c r="A73" s="370" t="str">
        <f>J7</f>
        <v>Day 6</v>
      </c>
      <c r="B73" s="370"/>
      <c r="C73" s="373">
        <f>I7</f>
        <v>44252</v>
      </c>
      <c r="D73" s="373"/>
      <c r="E73" s="373"/>
      <c r="F73" s="370" t="str">
        <f>A73</f>
        <v>Day 6</v>
      </c>
      <c r="G73" s="370"/>
      <c r="H73" s="79"/>
    </row>
    <row r="74" spans="1:8" ht="29">
      <c r="A74" s="370" t="s">
        <v>992</v>
      </c>
      <c r="B74" s="370"/>
      <c r="C74" s="269" t="str">
        <f>C55</f>
        <v>Mini team 1:ATM-5 / ATM-6 / ATM-7</v>
      </c>
      <c r="D74" s="269" t="str">
        <f>D55</f>
        <v>Mini team 2: ATM-1 / ATM-2 / ATM-3 / ATM-4</v>
      </c>
      <c r="E74" s="269" t="str">
        <f>E55</f>
        <v>LA team: van Zyl, Pieter and ATMs if applicable</v>
      </c>
      <c r="F74" s="370" t="s">
        <v>993</v>
      </c>
      <c r="G74" s="370"/>
      <c r="H74" s="79"/>
    </row>
    <row r="75" spans="1:8" ht="18" customHeight="1">
      <c r="A75" s="75">
        <v>0.41666666666666669</v>
      </c>
      <c r="B75" s="75">
        <v>0.4375</v>
      </c>
      <c r="C75" s="374" t="s">
        <v>1000</v>
      </c>
      <c r="D75" s="374"/>
      <c r="E75" s="374"/>
      <c r="F75" s="75">
        <v>0.16666666666666666</v>
      </c>
      <c r="G75" s="75">
        <v>0.1875</v>
      </c>
      <c r="H75" s="79"/>
    </row>
    <row r="76" spans="1:8" ht="18" customHeight="1">
      <c r="A76" s="75">
        <v>0.4375</v>
      </c>
      <c r="B76" s="75">
        <v>0.45833333333333331</v>
      </c>
      <c r="C76" s="369" t="s">
        <v>1065</v>
      </c>
      <c r="D76" s="369"/>
      <c r="E76" s="369"/>
      <c r="F76" s="75">
        <v>0.1875</v>
      </c>
      <c r="G76" s="75">
        <v>0.20833333333333334</v>
      </c>
      <c r="H76" s="79"/>
    </row>
    <row r="77" spans="1:8" ht="18" customHeight="1">
      <c r="A77" s="75">
        <v>0.45833333333333331</v>
      </c>
      <c r="B77" s="75">
        <v>0.47916666666666669</v>
      </c>
      <c r="C77" s="369"/>
      <c r="D77" s="369"/>
      <c r="E77" s="369"/>
      <c r="F77" s="75">
        <v>0.20833333333333334</v>
      </c>
      <c r="G77" s="75">
        <v>0.22916666666666666</v>
      </c>
      <c r="H77" s="79"/>
    </row>
    <row r="78" spans="1:8" ht="18" customHeight="1">
      <c r="A78" s="75">
        <v>0.47916666666666669</v>
      </c>
      <c r="B78" s="75">
        <v>0.5</v>
      </c>
      <c r="C78" s="374" t="s">
        <v>1000</v>
      </c>
      <c r="D78" s="374"/>
      <c r="E78" s="374"/>
      <c r="F78" s="75">
        <v>0.22916666666666666</v>
      </c>
      <c r="G78" s="75">
        <v>0.25</v>
      </c>
      <c r="H78" s="79"/>
    </row>
    <row r="79" spans="1:8" ht="18" customHeight="1">
      <c r="A79" s="75">
        <v>0.5</v>
      </c>
      <c r="B79" s="75">
        <v>0.52083333333333337</v>
      </c>
      <c r="C79" s="374" t="s">
        <v>999</v>
      </c>
      <c r="D79" s="374"/>
      <c r="E79" s="374"/>
      <c r="F79" s="75">
        <v>0.25</v>
      </c>
      <c r="G79" s="75">
        <v>0.27083333333333331</v>
      </c>
      <c r="H79" s="79"/>
    </row>
    <row r="80" spans="1:8" ht="18" customHeight="1">
      <c r="A80" s="75">
        <v>0.52083333333333337</v>
      </c>
      <c r="B80" s="75">
        <v>0.54166666666666663</v>
      </c>
      <c r="C80" s="374"/>
      <c r="D80" s="374"/>
      <c r="E80" s="374"/>
      <c r="F80" s="75">
        <v>0.27083333333333331</v>
      </c>
      <c r="G80" s="75">
        <v>0.29166666666666669</v>
      </c>
      <c r="H80" s="79"/>
    </row>
    <row r="81" spans="1:8" ht="18" customHeight="1">
      <c r="A81" s="75">
        <v>0.54166666666666663</v>
      </c>
      <c r="B81" s="75">
        <v>0.5625</v>
      </c>
      <c r="C81" s="389" t="s">
        <v>1240</v>
      </c>
      <c r="D81" s="390"/>
      <c r="E81" s="391"/>
      <c r="F81" s="75">
        <v>0.29166666666666669</v>
      </c>
      <c r="G81" s="75">
        <v>0.3125</v>
      </c>
      <c r="H81" s="79"/>
    </row>
    <row r="82" spans="1:8" ht="18" customHeight="1">
      <c r="A82" s="75">
        <v>0.5625</v>
      </c>
      <c r="B82" s="75">
        <v>0.58333333333333337</v>
      </c>
      <c r="C82" s="392"/>
      <c r="D82" s="393"/>
      <c r="E82" s="394"/>
      <c r="F82" s="75">
        <v>0.3125</v>
      </c>
      <c r="G82" s="75">
        <v>0.33333333333333331</v>
      </c>
      <c r="H82" s="79"/>
    </row>
    <row r="83" spans="1:8" ht="18" customHeight="1">
      <c r="A83" s="75">
        <v>0.58333333333333337</v>
      </c>
      <c r="B83" s="75">
        <v>0.60416666666666663</v>
      </c>
      <c r="C83" s="383" t="s">
        <v>1003</v>
      </c>
      <c r="D83" s="384"/>
      <c r="E83" s="385"/>
      <c r="F83" s="75">
        <v>0.33333333333333331</v>
      </c>
      <c r="G83" s="75">
        <v>0.35416666666666669</v>
      </c>
      <c r="H83" s="79"/>
    </row>
    <row r="84" spans="1:8" ht="18" customHeight="1">
      <c r="A84" s="75">
        <v>0.60416666666666663</v>
      </c>
      <c r="B84" s="75">
        <v>0.625</v>
      </c>
      <c r="C84" s="386"/>
      <c r="D84" s="387"/>
      <c r="E84" s="388"/>
      <c r="F84" s="75">
        <v>0.35416666666666669</v>
      </c>
      <c r="G84" s="75">
        <v>0.375</v>
      </c>
      <c r="H84" s="79"/>
    </row>
    <row r="85" spans="1:8" ht="18" customHeight="1">
      <c r="A85" s="75">
        <v>0.625</v>
      </c>
      <c r="B85" s="75">
        <v>0.64583333333333337</v>
      </c>
      <c r="C85" s="369" t="s">
        <v>1066</v>
      </c>
      <c r="D85" s="369"/>
      <c r="E85" s="369"/>
      <c r="F85" s="75">
        <v>0.375</v>
      </c>
      <c r="G85" s="75">
        <v>0.39583333333333331</v>
      </c>
      <c r="H85" s="79"/>
    </row>
    <row r="86" spans="1:8" ht="18" customHeight="1">
      <c r="A86" s="75">
        <v>0.64583333333333337</v>
      </c>
      <c r="B86" s="75">
        <v>0.66666666666666663</v>
      </c>
      <c r="C86" s="369"/>
      <c r="D86" s="369"/>
      <c r="E86" s="369"/>
      <c r="F86" s="75">
        <v>0.39583333333333331</v>
      </c>
      <c r="G86" s="75">
        <v>0.41666666666666669</v>
      </c>
      <c r="H86" s="79"/>
    </row>
    <row r="87" spans="1:8" ht="18" customHeight="1">
      <c r="A87" s="75">
        <v>0.66666666666666663</v>
      </c>
      <c r="B87" s="75">
        <v>0.6875</v>
      </c>
      <c r="C87" s="374" t="s">
        <v>1000</v>
      </c>
      <c r="D87" s="374"/>
      <c r="E87" s="374"/>
      <c r="F87" s="75">
        <v>0.41666666666666669</v>
      </c>
      <c r="G87" s="75">
        <v>0.4375</v>
      </c>
      <c r="H87" s="79"/>
    </row>
    <row r="88" spans="1:8" ht="18" customHeight="1">
      <c r="A88" s="75">
        <v>0.6875</v>
      </c>
      <c r="B88" s="75">
        <v>0.70833333333333337</v>
      </c>
      <c r="C88" s="374"/>
      <c r="D88" s="374"/>
      <c r="E88" s="374"/>
      <c r="F88" s="75">
        <v>0.4375</v>
      </c>
      <c r="G88" s="75">
        <v>0.45833333333333331</v>
      </c>
      <c r="H88" s="79"/>
    </row>
    <row r="89" spans="1:8" ht="18" customHeight="1">
      <c r="A89" s="75">
        <v>0.70833333333333337</v>
      </c>
      <c r="B89" s="75">
        <v>0.72916666666666663</v>
      </c>
      <c r="C89" s="374"/>
      <c r="D89" s="374"/>
      <c r="E89" s="374"/>
      <c r="F89" s="75">
        <v>0.45833333333333331</v>
      </c>
      <c r="G89" s="75">
        <v>0.47916666666666669</v>
      </c>
      <c r="H89" s="79"/>
    </row>
    <row r="90" spans="1:8" ht="18" customHeight="1">
      <c r="A90" s="75">
        <v>0.72916666666666663</v>
      </c>
      <c r="B90" s="75">
        <v>0.75</v>
      </c>
      <c r="C90" s="374"/>
      <c r="D90" s="374"/>
      <c r="E90" s="374"/>
      <c r="F90" s="75">
        <v>0.47916666666666669</v>
      </c>
      <c r="G90" s="75">
        <v>0.5</v>
      </c>
      <c r="H90" s="79"/>
    </row>
    <row r="91" spans="1:8" ht="18" customHeight="1">
      <c r="A91" s="75">
        <v>0.75</v>
      </c>
      <c r="B91" s="75">
        <v>0.83333333333333337</v>
      </c>
      <c r="C91" s="374" t="s">
        <v>1001</v>
      </c>
      <c r="D91" s="374"/>
      <c r="E91" s="374"/>
      <c r="F91" s="75">
        <v>0.5</v>
      </c>
      <c r="G91" s="75">
        <v>0.58333333333333337</v>
      </c>
      <c r="H91" s="79"/>
    </row>
    <row r="92" spans="1:8">
      <c r="A92" s="370" t="str">
        <f>J8</f>
        <v>Day 7</v>
      </c>
      <c r="B92" s="370"/>
      <c r="C92" s="373">
        <f>I8</f>
        <v>44253</v>
      </c>
      <c r="D92" s="373"/>
      <c r="E92" s="373"/>
      <c r="F92" s="370" t="str">
        <f>A92</f>
        <v>Day 7</v>
      </c>
      <c r="G92" s="370"/>
      <c r="H92" s="79"/>
    </row>
    <row r="93" spans="1:8" ht="29">
      <c r="A93" s="370" t="s">
        <v>992</v>
      </c>
      <c r="B93" s="370"/>
      <c r="C93" s="269" t="str">
        <f>C74</f>
        <v>Mini team 1:ATM-5 / ATM-6 / ATM-7</v>
      </c>
      <c r="D93" s="269" t="str">
        <f>D74</f>
        <v>Mini team 2: ATM-1 / ATM-2 / ATM-3 / ATM-4</v>
      </c>
      <c r="E93" s="269" t="str">
        <f>E74</f>
        <v>LA team: van Zyl, Pieter and ATMs if applicable</v>
      </c>
      <c r="F93" s="370" t="s">
        <v>993</v>
      </c>
      <c r="G93" s="370"/>
      <c r="H93" s="79"/>
    </row>
    <row r="94" spans="1:8" ht="18" customHeight="1">
      <c r="A94" s="75">
        <v>0.41666666666666669</v>
      </c>
      <c r="B94" s="75">
        <v>0.4375</v>
      </c>
      <c r="C94" s="381" t="s">
        <v>1067</v>
      </c>
      <c r="D94" s="381"/>
      <c r="E94" s="381"/>
      <c r="F94" s="75">
        <v>0.16666666666666666</v>
      </c>
      <c r="G94" s="75">
        <v>0.1875</v>
      </c>
      <c r="H94" s="79"/>
    </row>
    <row r="95" spans="1:8" ht="18" customHeight="1">
      <c r="A95" s="75">
        <v>0.4375</v>
      </c>
      <c r="B95" s="75">
        <v>0.45833333333333331</v>
      </c>
      <c r="C95" s="381"/>
      <c r="D95" s="381"/>
      <c r="E95" s="381"/>
      <c r="F95" s="75">
        <v>0.1875</v>
      </c>
      <c r="G95" s="75">
        <v>0.20833333333333334</v>
      </c>
      <c r="H95" s="79"/>
    </row>
    <row r="96" spans="1:8" ht="18" customHeight="1">
      <c r="A96" s="75">
        <v>0.45833333333333331</v>
      </c>
      <c r="B96" s="75">
        <v>0.47916666666666669</v>
      </c>
      <c r="C96" s="381" t="s">
        <v>1068</v>
      </c>
      <c r="D96" s="381"/>
      <c r="E96" s="381"/>
      <c r="F96" s="75">
        <v>0.20833333333333334</v>
      </c>
      <c r="G96" s="75">
        <v>0.22916666666666666</v>
      </c>
      <c r="H96" s="79"/>
    </row>
    <row r="97" spans="1:8" ht="18" customHeight="1">
      <c r="A97" s="75">
        <v>0.47916666666666669</v>
      </c>
      <c r="B97" s="75">
        <v>0.5</v>
      </c>
      <c r="C97" s="381"/>
      <c r="D97" s="381"/>
      <c r="E97" s="381"/>
      <c r="F97" s="75">
        <v>0.22916666666666666</v>
      </c>
      <c r="G97" s="75">
        <v>0.25</v>
      </c>
      <c r="H97" s="79"/>
    </row>
    <row r="98" spans="1:8" ht="18" customHeight="1">
      <c r="A98" s="75">
        <v>0.5</v>
      </c>
      <c r="B98" s="75">
        <v>0.52083333333333337</v>
      </c>
      <c r="C98" s="374" t="s">
        <v>999</v>
      </c>
      <c r="D98" s="374"/>
      <c r="E98" s="374"/>
      <c r="F98" s="75">
        <v>0.25</v>
      </c>
      <c r="G98" s="75">
        <v>0.27083333333333331</v>
      </c>
      <c r="H98" s="79"/>
    </row>
    <row r="99" spans="1:8" ht="18" customHeight="1">
      <c r="A99" s="75">
        <v>0.52083333333333337</v>
      </c>
      <c r="B99" s="75">
        <v>0.54166666666666663</v>
      </c>
      <c r="C99" s="374"/>
      <c r="D99" s="374"/>
      <c r="E99" s="374"/>
      <c r="F99" s="75">
        <v>0.27083333333333331</v>
      </c>
      <c r="G99" s="75">
        <v>0.29166666666666669</v>
      </c>
      <c r="H99" s="79"/>
    </row>
    <row r="100" spans="1:8" ht="18" customHeight="1">
      <c r="A100" s="75">
        <v>0.54166666666666663</v>
      </c>
      <c r="B100" s="75">
        <v>0.5625</v>
      </c>
      <c r="C100" s="374" t="s">
        <v>1004</v>
      </c>
      <c r="D100" s="374"/>
      <c r="E100" s="374"/>
      <c r="F100" s="75">
        <v>0.29166666666666669</v>
      </c>
      <c r="G100" s="75">
        <v>0.3125</v>
      </c>
      <c r="H100" s="79"/>
    </row>
    <row r="101" spans="1:8" ht="18" customHeight="1">
      <c r="A101" s="75">
        <v>0.5625</v>
      </c>
      <c r="B101" s="75">
        <v>0.58333333333333337</v>
      </c>
      <c r="C101" s="374"/>
      <c r="D101" s="374"/>
      <c r="E101" s="374"/>
      <c r="F101" s="75">
        <v>0.3125</v>
      </c>
      <c r="G101" s="75">
        <v>0.33333333333333331</v>
      </c>
      <c r="H101" s="79"/>
    </row>
    <row r="102" spans="1:8" ht="18" customHeight="1">
      <c r="A102" s="75">
        <v>0.58333333333333337</v>
      </c>
      <c r="B102" s="75">
        <v>0.60416666666666663</v>
      </c>
      <c r="C102" s="374"/>
      <c r="D102" s="374"/>
      <c r="E102" s="374"/>
      <c r="F102" s="75">
        <v>0.33333333333333331</v>
      </c>
      <c r="G102" s="75">
        <v>0.35416666666666669</v>
      </c>
      <c r="H102" s="79"/>
    </row>
    <row r="103" spans="1:8" ht="18" customHeight="1">
      <c r="A103" s="75">
        <v>0.60416666666666663</v>
      </c>
      <c r="B103" s="75">
        <v>0.625</v>
      </c>
      <c r="C103" s="374"/>
      <c r="D103" s="374"/>
      <c r="E103" s="374"/>
      <c r="F103" s="75">
        <v>0.35416666666666669</v>
      </c>
      <c r="G103" s="75">
        <v>0.375</v>
      </c>
      <c r="H103" s="79"/>
    </row>
    <row r="104" spans="1:8" ht="18" customHeight="1">
      <c r="A104" s="75">
        <v>0.625</v>
      </c>
      <c r="B104" s="75">
        <v>0.64583333333333337</v>
      </c>
      <c r="C104" s="381" t="s">
        <v>1069</v>
      </c>
      <c r="D104" s="381"/>
      <c r="E104" s="381"/>
      <c r="F104" s="75">
        <v>0.375</v>
      </c>
      <c r="G104" s="75">
        <v>0.39583333333333331</v>
      </c>
      <c r="H104" s="79"/>
    </row>
    <row r="105" spans="1:8" ht="18" customHeight="1">
      <c r="A105" s="75">
        <v>0.64583333333333337</v>
      </c>
      <c r="B105" s="75">
        <v>0.66666666666666663</v>
      </c>
      <c r="C105" s="381"/>
      <c r="D105" s="381"/>
      <c r="E105" s="381"/>
      <c r="F105" s="75">
        <v>0.39583333333333331</v>
      </c>
      <c r="G105" s="75">
        <v>0.41666666666666669</v>
      </c>
      <c r="H105" s="79"/>
    </row>
    <row r="106" spans="1:8" ht="18" customHeight="1">
      <c r="A106" s="75">
        <v>0.66666666666666663</v>
      </c>
      <c r="B106" s="75">
        <v>0.6875</v>
      </c>
      <c r="C106" s="374" t="s">
        <v>1005</v>
      </c>
      <c r="D106" s="374"/>
      <c r="E106" s="374"/>
      <c r="F106" s="75">
        <v>0.41666666666666669</v>
      </c>
      <c r="G106" s="75">
        <v>0.4375</v>
      </c>
      <c r="H106" s="79"/>
    </row>
    <row r="107" spans="1:8" ht="18" customHeight="1">
      <c r="A107" s="75">
        <v>0.6875</v>
      </c>
      <c r="B107" s="75">
        <v>0.70833333333333337</v>
      </c>
      <c r="C107" s="374"/>
      <c r="D107" s="374"/>
      <c r="E107" s="374"/>
      <c r="F107" s="75">
        <v>0.4375</v>
      </c>
      <c r="G107" s="75">
        <v>0.45833333333333331</v>
      </c>
      <c r="H107" s="79"/>
    </row>
    <row r="108" spans="1:8" ht="18" customHeight="1">
      <c r="A108" s="75">
        <v>0.70833333333333337</v>
      </c>
      <c r="B108" s="75">
        <v>0.72916666666666663</v>
      </c>
      <c r="C108" s="374" t="s">
        <v>1006</v>
      </c>
      <c r="D108" s="374"/>
      <c r="E108" s="374"/>
      <c r="F108" s="75">
        <v>0.45833333333333331</v>
      </c>
      <c r="G108" s="75">
        <v>0.47916666666666669</v>
      </c>
      <c r="H108" s="79"/>
    </row>
    <row r="109" spans="1:8" ht="18" customHeight="1">
      <c r="A109" s="75">
        <v>0.72916666666666663</v>
      </c>
      <c r="B109" s="75">
        <v>0.75</v>
      </c>
      <c r="C109" s="374"/>
      <c r="D109" s="374"/>
      <c r="E109" s="374"/>
      <c r="F109" s="75">
        <v>0.47916666666666669</v>
      </c>
      <c r="G109" s="75">
        <v>0.5</v>
      </c>
      <c r="H109" s="79"/>
    </row>
    <row r="110" spans="1:8" ht="18" customHeight="1">
      <c r="A110" s="75">
        <v>0.75</v>
      </c>
      <c r="B110" s="75">
        <v>0.83333333333333337</v>
      </c>
      <c r="C110" s="374"/>
      <c r="D110" s="374"/>
      <c r="E110" s="374"/>
      <c r="F110" s="75">
        <v>0.5</v>
      </c>
      <c r="G110" s="75">
        <v>0.58333333333333337</v>
      </c>
      <c r="H110" s="79"/>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12" sqref="G12:I12"/>
    </sheetView>
  </sheetViews>
  <sheetFormatPr defaultColWidth="9" defaultRowHeight="26"/>
  <cols>
    <col min="1" max="5" width="9" style="274"/>
    <col min="6" max="6" width="8.1796875" style="274" customWidth="1"/>
    <col min="7" max="9" width="18.1796875" style="274" customWidth="1"/>
    <col min="10" max="16384" width="9" style="274"/>
  </cols>
  <sheetData>
    <row r="1" spans="1:11" ht="23.25" customHeight="1">
      <c r="A1" s="397" t="str">
        <f>StartupInfo!B3</f>
        <v>Company Full Name Ltd.</v>
      </c>
      <c r="B1" s="398"/>
      <c r="C1" s="398"/>
      <c r="D1" s="398"/>
      <c r="E1" s="398"/>
      <c r="F1" s="398"/>
      <c r="G1" s="398"/>
      <c r="H1" s="398"/>
      <c r="I1" s="398"/>
      <c r="J1" s="398"/>
      <c r="K1" s="398"/>
    </row>
    <row r="2" spans="1:11" ht="15" customHeight="1">
      <c r="A2" s="398"/>
      <c r="B2" s="398"/>
      <c r="C2" s="398"/>
      <c r="D2" s="398"/>
      <c r="E2" s="398"/>
      <c r="F2" s="398"/>
      <c r="G2" s="398"/>
      <c r="H2" s="398"/>
      <c r="I2" s="398"/>
      <c r="J2" s="398"/>
      <c r="K2" s="398"/>
    </row>
    <row r="3" spans="1:11" ht="15.75" customHeight="1">
      <c r="B3" s="399" t="str">
        <f>StartupInfo!B4</f>
        <v>公司名</v>
      </c>
      <c r="C3" s="400"/>
      <c r="D3" s="400"/>
      <c r="E3" s="400"/>
      <c r="F3" s="400"/>
      <c r="G3" s="400"/>
      <c r="H3" s="400"/>
      <c r="I3" s="400"/>
      <c r="J3" s="400"/>
      <c r="K3" s="275"/>
    </row>
    <row r="4" spans="1:11" ht="15" customHeight="1">
      <c r="A4" s="275"/>
      <c r="B4" s="400"/>
      <c r="C4" s="400"/>
      <c r="D4" s="400"/>
      <c r="E4" s="400"/>
      <c r="F4" s="400"/>
      <c r="G4" s="400"/>
      <c r="H4" s="400"/>
      <c r="I4" s="400"/>
      <c r="J4" s="400"/>
      <c r="K4" s="275"/>
    </row>
    <row r="5" spans="1:11">
      <c r="A5" s="276"/>
      <c r="C5" s="277"/>
      <c r="D5" s="401" t="str">
        <f>CONCATENATE("was rated on ",TEXT(Planning!B33,"dd mmmm yyyy")," at")</f>
        <v>was rated on 26 February 2021 at</v>
      </c>
      <c r="E5" s="401"/>
      <c r="F5" s="401"/>
      <c r="G5" s="401"/>
      <c r="H5" s="401"/>
      <c r="I5" s="277"/>
      <c r="J5" s="277"/>
      <c r="K5" s="276"/>
    </row>
    <row r="6" spans="1:11">
      <c r="A6" s="276"/>
      <c r="B6" s="276"/>
      <c r="C6" s="276"/>
      <c r="E6" s="402" t="str">
        <f>Planning!B10</f>
        <v>Maturity Level 5</v>
      </c>
      <c r="F6" s="402"/>
      <c r="G6" s="402"/>
      <c r="H6" s="276"/>
      <c r="I6" s="276"/>
      <c r="J6" s="276"/>
      <c r="K6" s="276"/>
    </row>
    <row r="7" spans="1:11">
      <c r="A7" s="276"/>
      <c r="B7" s="276"/>
      <c r="C7" s="276"/>
      <c r="D7" s="276"/>
      <c r="E7" s="402"/>
      <c r="F7" s="402"/>
      <c r="G7" s="402"/>
      <c r="H7" s="276"/>
      <c r="I7" s="276"/>
      <c r="J7" s="276"/>
      <c r="K7" s="276"/>
    </row>
    <row r="8" spans="1:11">
      <c r="A8" s="276"/>
      <c r="B8" s="276"/>
      <c r="C8" s="276"/>
      <c r="D8" s="276"/>
      <c r="E8" s="276"/>
      <c r="F8" s="276"/>
      <c r="G8" s="276"/>
      <c r="H8" s="276"/>
      <c r="I8" s="276"/>
      <c r="J8" s="276"/>
      <c r="K8" s="276"/>
    </row>
    <row r="9" spans="1:11">
      <c r="A9" s="276"/>
      <c r="B9" s="276"/>
      <c r="C9" s="276"/>
      <c r="D9" s="276"/>
      <c r="E9" s="276"/>
      <c r="F9" s="276"/>
      <c r="G9" s="278" t="str">
        <f>_xlfn.CONCAT("CAS ID",'Agreement 3'!B5)</f>
        <v>CAS ID54321</v>
      </c>
      <c r="H9" s="276"/>
      <c r="I9" s="276"/>
      <c r="J9" s="276"/>
      <c r="K9" s="276"/>
    </row>
    <row r="10" spans="1:11">
      <c r="A10" s="276"/>
      <c r="B10" s="276"/>
      <c r="C10" s="276"/>
      <c r="D10" s="276"/>
      <c r="E10" s="276"/>
      <c r="F10" s="276"/>
      <c r="G10" s="276"/>
      <c r="H10" s="276"/>
      <c r="I10" s="276"/>
      <c r="J10" s="276"/>
      <c r="K10" s="276"/>
    </row>
    <row r="11" spans="1:11" ht="19" customHeight="1">
      <c r="A11" s="276"/>
      <c r="B11" s="276"/>
      <c r="C11" s="276"/>
      <c r="D11" s="276"/>
      <c r="E11" s="276"/>
      <c r="F11" s="276"/>
      <c r="G11" s="395" t="str">
        <f>'Agreement 3'!B7</f>
        <v>van Zyl, Pieter</v>
      </c>
      <c r="H11" s="396"/>
      <c r="I11" s="396"/>
      <c r="J11" s="276"/>
      <c r="K11" s="276"/>
    </row>
    <row r="12" spans="1:11" ht="19" customHeight="1">
      <c r="A12" s="276"/>
      <c r="B12" s="276"/>
      <c r="C12" s="276"/>
      <c r="D12" s="276"/>
      <c r="E12" s="276"/>
      <c r="F12" s="276"/>
      <c r="G12" s="395" t="str">
        <f>'Agreement 3'!B9</f>
        <v>CMMI V2.0 High Maturity Lead Appraiser</v>
      </c>
      <c r="H12" s="396"/>
      <c r="I12" s="396"/>
      <c r="J12" s="276"/>
      <c r="K12" s="276"/>
    </row>
    <row r="13" spans="1:11" ht="19" customHeight="1">
      <c r="A13" s="276"/>
      <c r="B13" s="276"/>
      <c r="C13" s="276"/>
      <c r="D13" s="276"/>
      <c r="E13" s="276"/>
      <c r="F13" s="276"/>
      <c r="G13" s="395" t="str">
        <f>'Agreement 3'!B11</f>
        <v>0500535-01</v>
      </c>
      <c r="H13" s="396"/>
      <c r="I13" s="396"/>
      <c r="J13" s="276"/>
      <c r="K13" s="276"/>
    </row>
    <row r="14" spans="1:11">
      <c r="A14" s="276"/>
      <c r="B14" s="276"/>
      <c r="C14" s="276"/>
      <c r="D14" s="276"/>
      <c r="E14" s="276"/>
      <c r="F14" s="276"/>
      <c r="G14" s="276"/>
      <c r="H14" s="276"/>
      <c r="I14" s="276"/>
      <c r="J14" s="276"/>
      <c r="K14" s="276"/>
    </row>
    <row r="15" spans="1:11">
      <c r="A15" s="276"/>
      <c r="B15" s="276"/>
      <c r="C15" s="276"/>
      <c r="D15" s="276"/>
      <c r="E15" s="276"/>
      <c r="F15" s="276"/>
      <c r="G15" s="276"/>
      <c r="H15" s="276"/>
      <c r="I15" s="276"/>
      <c r="J15" s="276"/>
      <c r="K15" s="276"/>
    </row>
    <row r="16" spans="1:11">
      <c r="A16" s="276"/>
      <c r="B16" s="276"/>
      <c r="C16" s="276"/>
      <c r="D16" s="276"/>
      <c r="E16" s="276"/>
      <c r="F16" s="276"/>
      <c r="G16" s="276"/>
      <c r="H16" s="276"/>
      <c r="I16" s="276"/>
      <c r="J16" s="276"/>
      <c r="K16" s="276"/>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6"/>
  <sheetViews>
    <sheetView topLeftCell="B14" workbookViewId="0">
      <selection activeCell="C32" sqref="C32"/>
    </sheetView>
  </sheetViews>
  <sheetFormatPr defaultColWidth="8.81640625" defaultRowHeight="14.5"/>
  <cols>
    <col min="1" max="1" width="40.7265625" style="141" customWidth="1"/>
    <col min="2" max="2" width="75.7265625" style="142" customWidth="1"/>
    <col min="3" max="3" width="40.7265625" style="186" customWidth="1"/>
    <col min="4" max="4" width="15.7265625" style="141" customWidth="1"/>
    <col min="5" max="5" width="14.453125" style="9" customWidth="1"/>
    <col min="6" max="6" width="29.1796875" style="9" customWidth="1"/>
    <col min="7" max="7" width="42.81640625" style="9" bestFit="1" customWidth="1"/>
    <col min="8" max="8" width="29.1796875" style="9" customWidth="1"/>
    <col min="9" max="35" width="8.81640625" style="9"/>
    <col min="36" max="16384" width="8.81640625" style="141"/>
  </cols>
  <sheetData>
    <row r="1" spans="1:5" s="9" customFormat="1" ht="15" thickBot="1">
      <c r="A1" s="180"/>
      <c r="B1" s="180"/>
      <c r="C1" s="180"/>
      <c r="D1" s="141"/>
    </row>
    <row r="2" spans="1:5" s="9" customFormat="1">
      <c r="A2" s="181" t="s">
        <v>1132</v>
      </c>
      <c r="B2" s="182"/>
      <c r="C2" s="182"/>
      <c r="D2" s="183"/>
      <c r="E2" s="184"/>
    </row>
    <row r="3" spans="1:5" s="9" customFormat="1">
      <c r="A3" s="185"/>
      <c r="B3" s="186"/>
      <c r="C3" s="186"/>
      <c r="E3" s="187"/>
    </row>
    <row r="4" spans="1:5" s="9" customFormat="1" ht="21">
      <c r="A4" s="185"/>
      <c r="B4" s="188" t="s">
        <v>1213</v>
      </c>
      <c r="C4" s="186"/>
      <c r="E4" s="187"/>
    </row>
    <row r="5" spans="1:5" s="9" customFormat="1" ht="21">
      <c r="A5" s="185"/>
      <c r="B5" s="188" t="str">
        <f>'P1PA-SS'!B76</f>
        <v>CMMI Development V2.0 (CMMI-DEV) without SAM</v>
      </c>
      <c r="C5" s="186"/>
      <c r="E5" s="187"/>
    </row>
    <row r="6" spans="1:5" s="9" customFormat="1" ht="21">
      <c r="A6" s="185" t="s">
        <v>1133</v>
      </c>
      <c r="B6" s="188" t="str">
        <f>'P1PA-SS'!B75</f>
        <v>Maturity Level 5</v>
      </c>
      <c r="C6" s="186"/>
      <c r="E6" s="187"/>
    </row>
    <row r="7" spans="1:5" s="9" customFormat="1">
      <c r="A7" s="185"/>
      <c r="B7" s="189" t="str">
        <f>CONCATENATE("CAS ID: ",'Agreement 3'!B5)</f>
        <v>CAS ID: 54321</v>
      </c>
      <c r="C7" s="186"/>
      <c r="E7" s="187"/>
    </row>
    <row r="8" spans="1:5" s="9" customFormat="1">
      <c r="A8" s="185"/>
      <c r="B8" s="186"/>
      <c r="C8" s="186"/>
      <c r="E8" s="187"/>
    </row>
    <row r="9" spans="1:5" s="9" customFormat="1" ht="94.5" customHeight="1">
      <c r="A9" s="185"/>
      <c r="B9" s="190"/>
      <c r="C9" s="186"/>
      <c r="E9" s="187"/>
    </row>
    <row r="10" spans="1:5" s="9" customFormat="1">
      <c r="A10" s="185"/>
      <c r="B10" s="191" t="str">
        <f>CONCATENATE("Organisation: ",'Agreement 3'!B16)</f>
        <v>Organisation: Company Full Name Ltd.</v>
      </c>
      <c r="C10" s="186" t="s">
        <v>957</v>
      </c>
      <c r="E10" s="187"/>
    </row>
    <row r="11" spans="1:5" s="9" customFormat="1">
      <c r="A11" s="185"/>
      <c r="B11" s="189" t="str">
        <f>CONCATENATE("Organisational Unit: ",StartupInfo!B19)</f>
        <v>Organisational Unit: R&amp;D Center</v>
      </c>
      <c r="C11" s="186"/>
      <c r="E11" s="187"/>
    </row>
    <row r="12" spans="1:5" s="9" customFormat="1" ht="15.5">
      <c r="A12" s="185"/>
      <c r="B12" s="192" t="str">
        <f>CONCATENATE("Sponsor: ",'Agreement 3'!B28)</f>
        <v>Sponsor: SponseSurname, A</v>
      </c>
      <c r="C12" s="186"/>
      <c r="E12" s="187"/>
    </row>
    <row r="13" spans="1:5" s="9" customFormat="1" ht="15.5">
      <c r="A13" s="185"/>
      <c r="B13" s="193"/>
      <c r="C13" s="186"/>
      <c r="E13" s="187"/>
    </row>
    <row r="14" spans="1:5" s="9" customFormat="1" ht="15.5">
      <c r="A14" s="185"/>
      <c r="B14" s="193"/>
      <c r="C14" s="186"/>
      <c r="E14" s="187"/>
    </row>
    <row r="15" spans="1:5" s="9" customFormat="1" ht="21">
      <c r="A15" s="185"/>
      <c r="B15" s="195" t="str">
        <f>'Agreement 3'!B45</f>
        <v>Demix (Pty) Ltd</v>
      </c>
      <c r="C15" s="186"/>
      <c r="E15" s="187"/>
    </row>
    <row r="16" spans="1:5" s="9" customFormat="1" ht="15.5">
      <c r="A16" s="185"/>
      <c r="B16" s="192" t="str">
        <f>CONCATENATE("Lead Appraiser: ",'Agreement 3'!B7," ",'Agreement 3'!B11)</f>
        <v>Lead Appraiser: van Zyl, Pieter 0500535-01</v>
      </c>
      <c r="C16" s="186"/>
      <c r="E16" s="187"/>
    </row>
    <row r="17" spans="1:9" s="9" customFormat="1" ht="15.5">
      <c r="A17" s="185"/>
      <c r="B17" s="211" t="str">
        <f>'Agreement 3'!B9</f>
        <v>CMMI V2.0 High Maturity Lead Appraiser</v>
      </c>
      <c r="C17" s="186"/>
      <c r="E17" s="187"/>
    </row>
    <row r="18" spans="1:9" s="9" customFormat="1" ht="18.5">
      <c r="A18" s="185"/>
      <c r="B18" s="194"/>
      <c r="C18" s="186"/>
      <c r="E18" s="187"/>
    </row>
    <row r="19" spans="1:9" s="9" customFormat="1" ht="21">
      <c r="A19" s="185" t="s">
        <v>806</v>
      </c>
      <c r="B19" s="195">
        <f>Planning!B30</f>
        <v>44249</v>
      </c>
      <c r="C19" s="186"/>
      <c r="E19" s="187"/>
    </row>
    <row r="20" spans="1:9" s="9" customFormat="1" ht="21">
      <c r="A20" s="185" t="s">
        <v>807</v>
      </c>
      <c r="B20" s="195">
        <f>Planning!B32</f>
        <v>44253</v>
      </c>
      <c r="C20" s="186"/>
      <c r="E20" s="187"/>
      <c r="G20" s="196" t="s">
        <v>1134</v>
      </c>
    </row>
    <row r="21" spans="1:9" s="9" customFormat="1" ht="21">
      <c r="A21" s="185" t="s">
        <v>808</v>
      </c>
      <c r="B21" s="195">
        <f>Planning!B33</f>
        <v>44253</v>
      </c>
      <c r="C21" s="186"/>
      <c r="E21" s="187"/>
      <c r="G21" s="196"/>
    </row>
    <row r="22" spans="1:9" s="9" customFormat="1" ht="55.5">
      <c r="B22" s="195"/>
      <c r="C22" s="186"/>
      <c r="E22" s="187"/>
      <c r="G22" s="281" t="str">
        <f>_xlfn.CONCAT("Expiry benchmark", CHAR(13),CHAR(10),"appraisal",CHAR(13),CHAR(10),G23)</f>
        <v>Expiry benchmark_x000D_
appraisal_x000D_
26 Feb 2024</v>
      </c>
      <c r="H22" s="254"/>
      <c r="I22" s="253"/>
    </row>
    <row r="23" spans="1:9" s="9" customFormat="1" ht="23.5">
      <c r="A23" s="185" t="s">
        <v>930</v>
      </c>
      <c r="B23" s="328">
        <f>Planning!B26</f>
        <v>44245</v>
      </c>
      <c r="C23" s="186"/>
      <c r="E23" s="187"/>
      <c r="G23" s="282" t="str">
        <f>TEXT(DATE(YEAR(B21)+3,MONTH(B21),DAY(B21)),"dd mmm yyyy")</f>
        <v>26 Feb 2024</v>
      </c>
      <c r="H23" s="255"/>
      <c r="I23" s="253"/>
    </row>
    <row r="24" spans="1:9" s="9" customFormat="1" ht="15.5">
      <c r="A24" s="197" t="s">
        <v>1135</v>
      </c>
      <c r="B24" s="331" t="s">
        <v>1136</v>
      </c>
      <c r="C24" s="329" t="s">
        <v>1137</v>
      </c>
      <c r="D24" s="198" t="s">
        <v>902</v>
      </c>
      <c r="E24" s="187"/>
      <c r="G24" s="199"/>
    </row>
    <row r="25" spans="1:9" s="9" customFormat="1" ht="15.5">
      <c r="A25" s="185"/>
      <c r="B25" s="330" t="s">
        <v>1138</v>
      </c>
      <c r="C25" s="200" t="s">
        <v>1139</v>
      </c>
      <c r="D25" s="201">
        <f>'P1PA-SS'!B70</f>
        <v>44260</v>
      </c>
      <c r="E25" s="187"/>
      <c r="G25" s="202" t="str">
        <f>G23</f>
        <v>26 Feb 2024</v>
      </c>
      <c r="H25" s="196" t="s">
        <v>1140</v>
      </c>
    </row>
    <row r="26" spans="1:9" s="9" customFormat="1" ht="15.5">
      <c r="A26" s="185"/>
      <c r="B26" s="200" t="s">
        <v>1141</v>
      </c>
      <c r="C26" s="200" t="s">
        <v>1142</v>
      </c>
      <c r="D26" s="201">
        <f>D25+14</f>
        <v>44274</v>
      </c>
      <c r="E26" s="187"/>
      <c r="G26" s="202"/>
    </row>
    <row r="27" spans="1:9" s="9" customFormat="1" ht="15.5">
      <c r="A27" s="185"/>
      <c r="B27" s="200" t="str">
        <f>CONCATENATE("Review with ",C31," on progress against the plan.")</f>
        <v>Review with CPOC-1 on progress against the plan.</v>
      </c>
      <c r="C27" s="200" t="str">
        <f>CONCATENATE("Sponsor and ",C31)</f>
        <v>Sponsor and CPOC-1</v>
      </c>
      <c r="D27" s="201">
        <f>D26+14</f>
        <v>44288</v>
      </c>
      <c r="E27" s="187"/>
    </row>
    <row r="28" spans="1:9" s="9" customFormat="1" ht="15.5">
      <c r="A28" s="185"/>
      <c r="B28" s="203"/>
      <c r="C28" s="203"/>
      <c r="D28" s="203"/>
      <c r="E28" s="187"/>
    </row>
    <row r="29" spans="1:9" s="9" customFormat="1" ht="31.5" customHeight="1">
      <c r="A29" s="185"/>
      <c r="B29" s="403" t="s">
        <v>1143</v>
      </c>
      <c r="C29" s="403"/>
      <c r="D29" s="403"/>
      <c r="E29" s="187"/>
    </row>
    <row r="30" spans="1:9" s="9" customFormat="1" ht="18.5">
      <c r="A30" s="185"/>
      <c r="B30" s="194"/>
      <c r="C30" s="186"/>
      <c r="E30" s="187"/>
    </row>
    <row r="31" spans="1:9" s="9" customFormat="1" ht="15.5">
      <c r="A31" s="185"/>
      <c r="B31" s="204" t="str">
        <f>B12</f>
        <v>Sponsor: SponseSurname, A</v>
      </c>
      <c r="C31" s="205" t="str">
        <f>'P1PA-SS'!B101</f>
        <v>CPOC-1</v>
      </c>
      <c r="E31" s="187"/>
    </row>
    <row r="32" spans="1:9" s="9" customFormat="1" ht="18.5">
      <c r="A32" s="185"/>
      <c r="B32" s="194"/>
      <c r="C32" s="186"/>
      <c r="E32" s="187"/>
    </row>
    <row r="33" spans="1:5" s="9" customFormat="1" ht="18.5">
      <c r="A33" s="185"/>
      <c r="B33" s="194"/>
      <c r="C33" s="186"/>
      <c r="E33" s="187"/>
    </row>
    <row r="34" spans="1:5" s="9" customFormat="1" ht="18.5">
      <c r="A34" s="185"/>
      <c r="B34" s="194"/>
      <c r="C34" s="186"/>
      <c r="E34" s="187"/>
    </row>
    <row r="35" spans="1:5" s="9" customFormat="1" ht="18.5">
      <c r="A35" s="185"/>
      <c r="B35" s="194"/>
      <c r="C35" s="186"/>
      <c r="E35" s="187"/>
    </row>
    <row r="36" spans="1:5" s="9" customFormat="1" ht="19" thickBot="1">
      <c r="A36" s="206"/>
      <c r="B36" s="207"/>
      <c r="C36" s="208"/>
      <c r="D36" s="209"/>
      <c r="E36" s="210"/>
    </row>
    <row r="37" spans="1:5" s="9" customFormat="1" ht="18.5">
      <c r="B37" s="194"/>
      <c r="C37" s="186"/>
    </row>
    <row r="38" spans="1:5" s="9" customFormat="1" ht="18.5">
      <c r="B38" s="194"/>
      <c r="C38" s="186"/>
    </row>
    <row r="39" spans="1:5" s="9" customFormat="1" ht="18.5">
      <c r="B39" s="194"/>
      <c r="C39" s="186"/>
    </row>
    <row r="40" spans="1:5" s="9" customFormat="1" ht="18.5">
      <c r="B40" s="194"/>
      <c r="C40" s="186"/>
    </row>
    <row r="41" spans="1:5" s="9" customFormat="1" ht="18.5">
      <c r="B41" s="194"/>
      <c r="C41" s="186"/>
    </row>
    <row r="42" spans="1:5" s="9" customFormat="1" ht="18.5">
      <c r="B42" s="194"/>
      <c r="C42" s="186"/>
    </row>
    <row r="43" spans="1:5" s="9" customFormat="1" ht="18.5">
      <c r="B43" s="194"/>
      <c r="C43" s="186"/>
    </row>
    <row r="44" spans="1:5" s="9" customFormat="1" ht="18.5">
      <c r="B44" s="194"/>
      <c r="C44" s="186"/>
    </row>
    <row r="45" spans="1:5" s="9" customFormat="1" ht="18.5">
      <c r="B45" s="194"/>
      <c r="C45" s="186"/>
    </row>
    <row r="46" spans="1:5" s="9" customFormat="1" ht="18.5">
      <c r="B46" s="194"/>
      <c r="C46" s="186"/>
    </row>
    <row r="47" spans="1:5" s="9" customFormat="1" ht="18.5">
      <c r="B47" s="194"/>
      <c r="C47" s="186"/>
    </row>
    <row r="48" spans="1:5" s="9" customFormat="1" ht="18.5">
      <c r="B48" s="194"/>
      <c r="C48" s="186"/>
    </row>
    <row r="49" spans="2:3" s="9" customFormat="1" ht="18.5">
      <c r="B49" s="194"/>
      <c r="C49" s="186"/>
    </row>
    <row r="50" spans="2:3" s="9" customFormat="1" ht="18.5">
      <c r="B50" s="194"/>
      <c r="C50" s="186"/>
    </row>
    <row r="51" spans="2:3" s="9" customFormat="1" ht="18.5">
      <c r="B51" s="194"/>
      <c r="C51" s="186"/>
    </row>
    <row r="52" spans="2:3" s="9" customFormat="1" ht="18.5">
      <c r="B52" s="194"/>
      <c r="C52" s="186"/>
    </row>
    <row r="53" spans="2:3" s="9" customFormat="1" ht="18.5">
      <c r="B53" s="194"/>
      <c r="C53" s="186"/>
    </row>
    <row r="54" spans="2:3" s="9" customFormat="1" ht="18.5">
      <c r="B54" s="194"/>
      <c r="C54" s="186"/>
    </row>
    <row r="55" spans="2:3" s="9" customFormat="1" ht="18.5">
      <c r="B55" s="194"/>
      <c r="C55" s="186"/>
    </row>
    <row r="56" spans="2:3" s="9" customFormat="1" ht="18.5">
      <c r="B56" s="194"/>
      <c r="C56" s="186"/>
    </row>
    <row r="57" spans="2:3" s="9" customFormat="1" ht="18.5">
      <c r="B57" s="194"/>
      <c r="C57" s="186"/>
    </row>
    <row r="58" spans="2:3" s="9" customFormat="1" ht="18.5">
      <c r="B58" s="194"/>
      <c r="C58" s="186"/>
    </row>
    <row r="59" spans="2:3" s="9" customFormat="1" ht="18.5">
      <c r="B59" s="194"/>
      <c r="C59" s="186"/>
    </row>
    <row r="60" spans="2:3" s="9" customFormat="1" ht="18.5">
      <c r="B60" s="194"/>
      <c r="C60" s="186"/>
    </row>
    <row r="61" spans="2:3" s="9" customFormat="1" ht="18.5">
      <c r="B61" s="194"/>
      <c r="C61" s="186"/>
    </row>
    <row r="62" spans="2:3" s="9" customFormat="1" ht="18.5">
      <c r="B62" s="194"/>
      <c r="C62" s="186"/>
    </row>
    <row r="63" spans="2:3" s="9" customFormat="1" ht="18.5">
      <c r="B63" s="194"/>
      <c r="C63" s="186"/>
    </row>
    <row r="64" spans="2:3" s="9" customFormat="1" ht="18.5">
      <c r="B64" s="194"/>
      <c r="C64" s="186"/>
    </row>
    <row r="65" spans="2:3" s="9" customFormat="1" ht="18.5">
      <c r="B65" s="194"/>
      <c r="C65" s="186"/>
    </row>
    <row r="66" spans="2:3" s="9" customFormat="1" ht="18.5">
      <c r="B66" s="194"/>
      <c r="C66" s="186"/>
    </row>
  </sheetData>
  <mergeCells count="1">
    <mergeCell ref="B29:D29"/>
  </mergeCells>
  <pageMargins left="0.7" right="0.7" top="0.75" bottom="0.75" header="0.3" footer="0.3"/>
  <pageSetup paperSize="9" orientation="portrait" horizontalDpi="1200" verticalDpi="1200" r:id="rId1"/>
  <drawing r:id="rId2"/>
  <legacyDrawing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1"/>
  <sheetViews>
    <sheetView topLeftCell="A16" workbookViewId="0">
      <selection activeCell="A9" sqref="A9:B17"/>
    </sheetView>
  </sheetViews>
  <sheetFormatPr defaultColWidth="8.7265625" defaultRowHeight="21"/>
  <cols>
    <col min="1" max="1" width="36.81640625" style="175" customWidth="1"/>
    <col min="2" max="2" width="83.54296875" style="175" customWidth="1"/>
    <col min="3" max="20" width="6.81640625" style="168" customWidth="1"/>
    <col min="21" max="21" width="5.81640625" style="168" customWidth="1"/>
    <col min="22" max="16384" width="8.7265625" style="9"/>
  </cols>
  <sheetData>
    <row r="1" spans="1:10">
      <c r="A1" s="231" t="s">
        <v>395</v>
      </c>
      <c r="B1" s="235" t="str">
        <f>IF(StartupInfo!B3="","",StartupInfo!B3)</f>
        <v>Company Full Name Ltd.</v>
      </c>
      <c r="D1" s="138"/>
      <c r="J1" s="169"/>
    </row>
    <row r="2" spans="1:10">
      <c r="A2" s="234"/>
      <c r="B2" s="233" t="str">
        <f>IF(StartupInfo!B4="","",StartupInfo!B4)</f>
        <v>公司名</v>
      </c>
      <c r="D2" s="138"/>
      <c r="J2" s="169"/>
    </row>
    <row r="3" spans="1:10" ht="42">
      <c r="A3" s="234" t="s">
        <v>435</v>
      </c>
      <c r="B3" s="232" t="str">
        <f>StartupInfo!B11</f>
        <v>Room 1, West Block, High-Tech Plaza, Some Street, Some District, Shenzhen, Guangdong, 200080, China</v>
      </c>
    </row>
    <row r="5" spans="1:10">
      <c r="A5" s="231" t="s">
        <v>1046</v>
      </c>
      <c r="B5" s="235" t="str">
        <f>StartupInfo!B19</f>
        <v>R&amp;D Center</v>
      </c>
    </row>
    <row r="6" spans="1:10" ht="42">
      <c r="A6" s="234" t="s">
        <v>1047</v>
      </c>
      <c r="B6" s="233" t="str">
        <f>StartupInfo!B21</f>
        <v>The R&amp;D Centre is responsible for the overall research and development of the companies strategic software products.</v>
      </c>
    </row>
    <row r="7" spans="1:10">
      <c r="A7" s="234" t="s">
        <v>1048</v>
      </c>
      <c r="B7" s="232" t="str">
        <f>IF(StartupInfo!B25="","",StartupInfo!B25)</f>
        <v>Shenzhen only</v>
      </c>
    </row>
    <row r="9" spans="1:10">
      <c r="A9" s="231" t="s">
        <v>1049</v>
      </c>
      <c r="B9" s="235" t="str">
        <f>'Agreement 3'!B28</f>
        <v>SponseSurname, A</v>
      </c>
    </row>
    <row r="10" spans="1:10">
      <c r="A10" s="234" t="s">
        <v>920</v>
      </c>
      <c r="B10" s="233" t="str">
        <f>'Agreement 3'!B29</f>
        <v>Manager</v>
      </c>
    </row>
    <row r="11" spans="1:10">
      <c r="A11" s="234" t="s">
        <v>1044</v>
      </c>
      <c r="B11" s="232" t="str">
        <f>StartupInfo!B31</f>
        <v>External</v>
      </c>
    </row>
    <row r="13" spans="1:10">
      <c r="A13" s="231" t="s">
        <v>1045</v>
      </c>
      <c r="B13" s="235" t="str">
        <f>'Agreement 3'!B7</f>
        <v>van Zyl, Pieter</v>
      </c>
    </row>
    <row r="14" spans="1:10">
      <c r="A14" s="234" t="s">
        <v>1050</v>
      </c>
      <c r="B14" s="233" t="str">
        <f>'Agreement 3'!B11</f>
        <v>0500535-01</v>
      </c>
    </row>
    <row r="15" spans="1:10">
      <c r="A15" s="234" t="s">
        <v>1051</v>
      </c>
      <c r="B15" s="233" t="str">
        <f>'Agreement 3'!B8</f>
        <v>Demix (Pty) Ltd</v>
      </c>
    </row>
    <row r="16" spans="1:10">
      <c r="A16" s="234" t="s">
        <v>1052</v>
      </c>
      <c r="B16" s="233" t="str">
        <f>'Agreement 3'!B45</f>
        <v>Demix (Pty) Ltd</v>
      </c>
    </row>
    <row r="17" spans="1:2">
      <c r="A17" s="234" t="s">
        <v>14</v>
      </c>
      <c r="B17" s="233" t="str">
        <f>'Agreement 3'!B13</f>
        <v>pieter.vanzyl@demix.org</v>
      </c>
    </row>
    <row r="20" spans="1:2">
      <c r="A20" s="407" t="str">
        <f>Planning!A41</f>
        <v>Business objectives</v>
      </c>
      <c r="B20" s="408"/>
    </row>
    <row r="21" spans="1:2" ht="81.650000000000006" customHeight="1">
      <c r="A21" s="409" t="str">
        <f>Planning!B41</f>
        <v>Sales of 138 million, software revenue increased by 5%. Profit increased by 3%, product market share reached 25%, and productivity increased by 5%</v>
      </c>
      <c r="B21" s="410"/>
    </row>
    <row r="22" spans="1:2">
      <c r="A22" s="407" t="str">
        <f>Planning!A53</f>
        <v>Appraisal objectives</v>
      </c>
      <c r="B22" s="408"/>
    </row>
    <row r="23" spans="1:2" ht="70.5" customHeight="1">
      <c r="A23" s="409" t="str">
        <f>Planning!B53</f>
        <v>[A1]: In support of the business objectives, understand the current strength and weaknesses of the CMMI maturity level 5 practices within the organisation [B1].</v>
      </c>
      <c r="B23" s="410"/>
    </row>
    <row r="25" spans="1:2">
      <c r="A25" s="231" t="s">
        <v>1053</v>
      </c>
      <c r="B25" s="235" t="str">
        <f>_xlfn.CONCAT('Agreement 3'!B7," - ",'Agreement 3'!B8)</f>
        <v>van Zyl, Pieter - Demix (Pty) Ltd</v>
      </c>
    </row>
    <row r="26" spans="1:2">
      <c r="A26" s="234" t="s">
        <v>1054</v>
      </c>
      <c r="B26" s="233" t="str">
        <f>_xlfn.CONCAT('P1PA-SS'!B91," - ",'P1PA-SS'!D91)</f>
        <v>ATM-1 - Demix (Pty) Ltd</v>
      </c>
    </row>
    <row r="27" spans="1:2">
      <c r="A27" s="234" t="s">
        <v>1054</v>
      </c>
      <c r="B27" s="233" t="str">
        <f>_xlfn.CONCAT('P1PA-SS'!B92," - ",'P1PA-SS'!D92)</f>
        <v>ATM-2 - Demix (Pty) Ltd</v>
      </c>
    </row>
    <row r="28" spans="1:2">
      <c r="A28" s="234" t="s">
        <v>1054</v>
      </c>
      <c r="B28" s="233" t="str">
        <f>_xlfn.CONCAT('P1PA-SS'!B93," - ",'P1PA-SS'!D93)</f>
        <v>ATM-3 - Demix (Pty) Ltd</v>
      </c>
    </row>
    <row r="29" spans="1:2">
      <c r="A29" s="234" t="s">
        <v>1054</v>
      </c>
      <c r="B29" s="233" t="str">
        <f>_xlfn.CONCAT('P1PA-SS'!B94," - ",'P1PA-SS'!D94)</f>
        <v>ATM-4 - Demix (Pty) Ltd</v>
      </c>
    </row>
    <row r="30" spans="1:2">
      <c r="A30" s="234" t="s">
        <v>1054</v>
      </c>
      <c r="B30" s="233" t="str">
        <f>_xlfn.CONCAT('P1PA-SS'!B95," - ",'P1PA-SS'!D95)</f>
        <v>ATM-5 - Demix (Pty) Ltd</v>
      </c>
    </row>
    <row r="31" spans="1:2">
      <c r="A31" s="234" t="s">
        <v>1054</v>
      </c>
      <c r="B31" s="233" t="str">
        <f>_xlfn.CONCAT('P1PA-SS'!B96," - ",'P1PA-SS'!D96)</f>
        <v>ATM-6 - Demix (Pty) Ltd</v>
      </c>
    </row>
    <row r="32" spans="1:2">
      <c r="A32" s="234" t="s">
        <v>1054</v>
      </c>
      <c r="B32" s="233" t="str">
        <f>_xlfn.CONCAT('P1PA-SS'!B97," - ",'P1PA-SS'!D97)</f>
        <v>ATM-7 - Demix (Pty) Ltd</v>
      </c>
    </row>
    <row r="33" spans="1:10">
      <c r="A33" s="234" t="s">
        <v>1055</v>
      </c>
      <c r="B33" s="233" t="str">
        <f>_xlfn.CONCAT('Agreement 3'!B33," - ",'Agreement 3'!B34)</f>
        <v>SiteCoordinator, A - Company Full Name Ltd.</v>
      </c>
    </row>
    <row r="34" spans="1:10">
      <c r="A34" s="234" t="s">
        <v>33</v>
      </c>
      <c r="B34" s="233" t="str">
        <f>_xlfn.CONCAT('P1PA-SS'!B87," - ",'P1PA-SS'!D87)</f>
        <v>TranslatorSurname, A - tbd</v>
      </c>
    </row>
    <row r="38" spans="1:10">
      <c r="A38" s="175" t="s">
        <v>1109</v>
      </c>
      <c r="B38" s="411" t="str">
        <f>'P1PA-SS'!B76</f>
        <v>CMMI Development V2.0 (CMMI-DEV) without SAM</v>
      </c>
      <c r="C38" s="412"/>
      <c r="D38" s="412"/>
      <c r="E38" s="412"/>
      <c r="F38" s="412"/>
      <c r="G38" s="413"/>
    </row>
    <row r="39" spans="1:10" ht="23.5">
      <c r="B39" s="404" t="str">
        <f>'P1PA-SS'!B75</f>
        <v>Maturity Level 5</v>
      </c>
      <c r="C39" s="405"/>
      <c r="D39" s="405"/>
      <c r="E39" s="405"/>
      <c r="F39" s="405"/>
      <c r="G39" s="406"/>
    </row>
    <row r="40" spans="1:10" ht="6.65" customHeight="1"/>
    <row r="41" spans="1:10">
      <c r="B41" s="231" t="s">
        <v>978</v>
      </c>
      <c r="C41" s="236">
        <v>1</v>
      </c>
      <c r="D41" s="236">
        <v>2</v>
      </c>
      <c r="E41" s="236">
        <v>3</v>
      </c>
      <c r="F41" s="236">
        <v>4</v>
      </c>
      <c r="G41" s="236">
        <v>5</v>
      </c>
      <c r="H41" s="223"/>
      <c r="I41" s="223"/>
      <c r="J41" s="223"/>
    </row>
    <row r="42" spans="1:10">
      <c r="B42" s="245" t="s">
        <v>1110</v>
      </c>
      <c r="C42" s="246" t="s">
        <v>417</v>
      </c>
      <c r="D42" s="246" t="s">
        <v>417</v>
      </c>
      <c r="E42" s="246" t="s">
        <v>417</v>
      </c>
      <c r="F42" s="246" t="s">
        <v>417</v>
      </c>
      <c r="G42" s="246" t="s">
        <v>417</v>
      </c>
      <c r="H42" s="223"/>
      <c r="I42" s="223"/>
      <c r="J42" s="223"/>
    </row>
    <row r="43" spans="1:10">
      <c r="B43" s="245" t="s">
        <v>1111</v>
      </c>
      <c r="C43" s="246" t="s">
        <v>417</v>
      </c>
      <c r="D43" s="246" t="s">
        <v>417</v>
      </c>
      <c r="E43" s="246" t="s">
        <v>417</v>
      </c>
      <c r="F43" s="246"/>
      <c r="G43" s="246"/>
      <c r="H43" s="223"/>
      <c r="I43" s="223"/>
      <c r="J43" s="223"/>
    </row>
    <row r="44" spans="1:10">
      <c r="B44" s="245" t="s">
        <v>1123</v>
      </c>
      <c r="C44" s="246" t="s">
        <v>417</v>
      </c>
      <c r="D44" s="246" t="s">
        <v>417</v>
      </c>
      <c r="E44" s="246" t="s">
        <v>417</v>
      </c>
      <c r="F44" s="246"/>
      <c r="G44" s="246"/>
      <c r="H44" s="223"/>
      <c r="I44" s="223"/>
      <c r="J44" s="223"/>
    </row>
    <row r="45" spans="1:10">
      <c r="B45" s="245" t="s">
        <v>1112</v>
      </c>
      <c r="C45" s="246" t="s">
        <v>417</v>
      </c>
      <c r="D45" s="246" t="s">
        <v>417</v>
      </c>
      <c r="E45" s="246" t="s">
        <v>417</v>
      </c>
      <c r="F45" s="246"/>
      <c r="G45" s="246"/>
      <c r="H45" s="223"/>
      <c r="I45" s="223"/>
      <c r="J45" s="223"/>
    </row>
    <row r="46" spans="1:10">
      <c r="B46" s="245" t="s">
        <v>1113</v>
      </c>
      <c r="C46" s="246" t="s">
        <v>417</v>
      </c>
      <c r="D46" s="246" t="s">
        <v>417</v>
      </c>
      <c r="E46" s="246" t="s">
        <v>417</v>
      </c>
      <c r="F46" s="246" t="s">
        <v>417</v>
      </c>
      <c r="G46" s="246"/>
      <c r="H46" s="223"/>
      <c r="I46" s="223"/>
      <c r="J46" s="223"/>
    </row>
    <row r="47" spans="1:10">
      <c r="B47" s="245" t="s">
        <v>1114</v>
      </c>
      <c r="C47" s="246" t="s">
        <v>417</v>
      </c>
      <c r="D47" s="246" t="s">
        <v>417</v>
      </c>
      <c r="E47" s="246" t="s">
        <v>417</v>
      </c>
      <c r="F47" s="246"/>
      <c r="G47" s="246"/>
      <c r="H47" s="223"/>
      <c r="I47" s="223"/>
      <c r="J47" s="223"/>
    </row>
    <row r="48" spans="1:10">
      <c r="B48" s="245" t="s">
        <v>1115</v>
      </c>
      <c r="C48" s="246" t="s">
        <v>417</v>
      </c>
      <c r="D48" s="246" t="s">
        <v>417</v>
      </c>
      <c r="E48" s="246" t="s">
        <v>417</v>
      </c>
      <c r="F48" s="246"/>
      <c r="G48" s="246"/>
      <c r="H48" s="223"/>
      <c r="I48" s="223"/>
      <c r="J48" s="223"/>
    </row>
    <row r="49" spans="1:10">
      <c r="B49" s="245" t="s">
        <v>1116</v>
      </c>
      <c r="C49" s="246" t="s">
        <v>417</v>
      </c>
      <c r="D49" s="246" t="s">
        <v>417</v>
      </c>
      <c r="E49" s="246" t="s">
        <v>417</v>
      </c>
      <c r="F49" s="246"/>
      <c r="G49" s="246"/>
      <c r="H49" s="223"/>
      <c r="I49" s="223"/>
      <c r="J49" s="223"/>
    </row>
    <row r="50" spans="1:10">
      <c r="B50" s="245" t="s">
        <v>1126</v>
      </c>
      <c r="C50" s="246" t="s">
        <v>417</v>
      </c>
      <c r="D50" s="246" t="s">
        <v>417</v>
      </c>
      <c r="E50" s="246" t="s">
        <v>417</v>
      </c>
      <c r="F50" s="246"/>
      <c r="G50" s="246"/>
      <c r="H50" s="223"/>
      <c r="I50" s="223"/>
      <c r="J50" s="223"/>
    </row>
    <row r="51" spans="1:10">
      <c r="B51" s="245" t="s">
        <v>1127</v>
      </c>
      <c r="C51" s="246" t="s">
        <v>417</v>
      </c>
      <c r="D51" s="246" t="s">
        <v>417</v>
      </c>
      <c r="E51" s="246" t="s">
        <v>417</v>
      </c>
      <c r="F51" s="246"/>
      <c r="G51" s="246"/>
      <c r="H51" s="223"/>
      <c r="I51" s="223"/>
      <c r="J51" s="223"/>
    </row>
    <row r="52" spans="1:10">
      <c r="B52" s="245" t="s">
        <v>1117</v>
      </c>
      <c r="C52" s="246" t="s">
        <v>417</v>
      </c>
      <c r="D52" s="246" t="s">
        <v>417</v>
      </c>
      <c r="E52" s="246" t="s">
        <v>417</v>
      </c>
      <c r="F52" s="246" t="s">
        <v>417</v>
      </c>
      <c r="G52" s="246" t="s">
        <v>417</v>
      </c>
      <c r="H52" s="223"/>
      <c r="I52" s="223"/>
      <c r="J52" s="223"/>
    </row>
    <row r="53" spans="1:10">
      <c r="B53" s="245" t="s">
        <v>1144</v>
      </c>
      <c r="C53" s="246" t="s">
        <v>417</v>
      </c>
      <c r="D53" s="246" t="s">
        <v>417</v>
      </c>
      <c r="E53" s="246" t="s">
        <v>417</v>
      </c>
      <c r="F53" s="246"/>
      <c r="G53" s="246"/>
      <c r="H53" s="223"/>
      <c r="I53" s="223"/>
      <c r="J53" s="223"/>
    </row>
    <row r="54" spans="1:10">
      <c r="B54" s="245" t="s">
        <v>1118</v>
      </c>
      <c r="C54" s="246" t="s">
        <v>417</v>
      </c>
      <c r="D54" s="246" t="s">
        <v>417</v>
      </c>
      <c r="E54" s="246"/>
      <c r="F54" s="246"/>
      <c r="G54" s="246"/>
      <c r="H54" s="223"/>
      <c r="I54" s="223"/>
      <c r="J54" s="223"/>
    </row>
    <row r="55" spans="1:10">
      <c r="B55" s="245" t="s">
        <v>1125</v>
      </c>
      <c r="C55" s="246" t="s">
        <v>417</v>
      </c>
      <c r="D55" s="246" t="s">
        <v>417</v>
      </c>
      <c r="E55" s="246" t="s">
        <v>417</v>
      </c>
      <c r="F55" s="246"/>
      <c r="G55" s="246"/>
      <c r="H55" s="223"/>
      <c r="I55" s="223"/>
      <c r="J55" s="223"/>
    </row>
    <row r="56" spans="1:10">
      <c r="B56" s="245" t="s">
        <v>1119</v>
      </c>
      <c r="C56" s="246" t="s">
        <v>417</v>
      </c>
      <c r="D56" s="246" t="s">
        <v>417</v>
      </c>
      <c r="E56" s="246" t="s">
        <v>417</v>
      </c>
      <c r="F56" s="246" t="s">
        <v>417</v>
      </c>
      <c r="G56" s="246"/>
      <c r="H56" s="223"/>
      <c r="I56" s="223"/>
      <c r="J56" s="223"/>
    </row>
    <row r="57" spans="1:10">
      <c r="B57" s="245" t="s">
        <v>1120</v>
      </c>
      <c r="C57" s="246" t="s">
        <v>417</v>
      </c>
      <c r="D57" s="246" t="s">
        <v>417</v>
      </c>
      <c r="E57" s="246" t="s">
        <v>417</v>
      </c>
      <c r="F57" s="246"/>
      <c r="G57" s="246"/>
      <c r="H57" s="223"/>
      <c r="I57" s="223"/>
      <c r="J57" s="223"/>
    </row>
    <row r="58" spans="1:10">
      <c r="B58" s="245" t="s">
        <v>1124</v>
      </c>
      <c r="C58" s="246" t="s">
        <v>417</v>
      </c>
      <c r="D58" s="246" t="s">
        <v>417</v>
      </c>
      <c r="E58" s="246" t="s">
        <v>417</v>
      </c>
      <c r="F58" s="246"/>
      <c r="G58" s="246"/>
      <c r="H58" s="223"/>
      <c r="I58" s="223"/>
      <c r="J58" s="223"/>
    </row>
    <row r="59" spans="1:10">
      <c r="B59" s="245" t="s">
        <v>1121</v>
      </c>
      <c r="C59" s="246" t="s">
        <v>417</v>
      </c>
      <c r="D59" s="246" t="s">
        <v>417</v>
      </c>
      <c r="E59" s="246" t="s">
        <v>417</v>
      </c>
      <c r="F59" s="246" t="s">
        <v>417</v>
      </c>
      <c r="G59" s="246"/>
      <c r="H59" s="223"/>
      <c r="I59" s="223"/>
      <c r="J59" s="223"/>
    </row>
    <row r="60" spans="1:10">
      <c r="B60" s="245" t="s">
        <v>1122</v>
      </c>
      <c r="C60" s="246" t="s">
        <v>417</v>
      </c>
      <c r="D60" s="246" t="s">
        <v>417</v>
      </c>
      <c r="E60" s="246" t="s">
        <v>417</v>
      </c>
      <c r="F60" s="246"/>
      <c r="G60" s="246"/>
      <c r="H60" s="223"/>
      <c r="I60" s="223"/>
      <c r="J60" s="223"/>
    </row>
    <row r="63" spans="1:10">
      <c r="A63" s="175" t="s">
        <v>647</v>
      </c>
      <c r="B63" s="231" t="str">
        <f>StartupInfo!B19</f>
        <v>R&amp;D Center</v>
      </c>
    </row>
    <row r="64" spans="1:10">
      <c r="B64" s="234" t="str">
        <f>StartupInfo!B20</f>
        <v>研发中心</v>
      </c>
    </row>
    <row r="65" spans="1:21" ht="42">
      <c r="B65" s="233" t="str">
        <f>StartupInfo!B21</f>
        <v>The R&amp;D Centre is responsible for the overall research and development of the companies strategic software products.</v>
      </c>
    </row>
    <row r="66" spans="1:21" ht="63" hidden="1">
      <c r="B66" s="175" t="str">
        <f>'P1PA-R'!B70</f>
        <v xml:space="preserve">More than 90% of evidence will be provided in an OE database document, which will subsequently be used for verification with 10% or less in managed discovery mode. </v>
      </c>
    </row>
    <row r="68" spans="1:21">
      <c r="B68" s="231" t="str">
        <f>'P1PA-SS'!A127</f>
        <v>Sampling Factors</v>
      </c>
    </row>
    <row r="69" spans="1:21">
      <c r="B69" s="234" t="str">
        <f>'P1PA-SS'!B128</f>
        <v>Type of Work</v>
      </c>
    </row>
    <row r="70" spans="1:21">
      <c r="B70" s="233" t="str">
        <f>'P1PA-SS'!B130</f>
        <v>All development projects</v>
      </c>
    </row>
    <row r="71" spans="1:21">
      <c r="B71" s="284"/>
      <c r="C71" s="285"/>
      <c r="D71" s="285"/>
      <c r="E71" s="285"/>
      <c r="F71" s="285"/>
      <c r="G71" s="285"/>
      <c r="H71" s="285"/>
      <c r="I71" s="285"/>
      <c r="J71" s="285"/>
      <c r="K71" s="285"/>
      <c r="L71" s="285"/>
      <c r="M71" s="285"/>
      <c r="N71" s="285"/>
      <c r="O71" s="285"/>
      <c r="P71" s="285"/>
      <c r="Q71" s="285"/>
      <c r="R71" s="285"/>
      <c r="S71" s="285"/>
      <c r="T71" s="285"/>
    </row>
    <row r="72" spans="1:21" s="288" customFormat="1">
      <c r="A72" s="175"/>
      <c r="B72" s="231" t="str">
        <f>'Project&amp;Support'!A1</f>
        <v>Project information and sample</v>
      </c>
      <c r="C72" s="236" t="str">
        <f>'Project&amp;Support'!J2</f>
        <v>PI</v>
      </c>
      <c r="D72" s="236" t="str">
        <f>'Project&amp;Support'!K2</f>
        <v>TS</v>
      </c>
      <c r="E72" s="236" t="str">
        <f>'Project&amp;Support'!L2</f>
        <v>PQA</v>
      </c>
      <c r="F72" s="236" t="str">
        <f>'Project&amp;Support'!M2</f>
        <v>PR</v>
      </c>
      <c r="G72" s="236" t="str">
        <f>'Project&amp;Support'!N2</f>
        <v>RDM</v>
      </c>
      <c r="H72" s="236" t="str">
        <f>'Project&amp;Support'!O2</f>
        <v>VV</v>
      </c>
      <c r="I72" s="236" t="str">
        <f>'Project&amp;Support'!P2</f>
        <v>MPM</v>
      </c>
      <c r="J72" s="236" t="str">
        <f>'Project&amp;Support'!Q2</f>
        <v>PAD</v>
      </c>
      <c r="K72" s="236" t="str">
        <f>'Project&amp;Support'!R2</f>
        <v>PCM</v>
      </c>
      <c r="L72" s="236" t="str">
        <f>'Project&amp;Support'!S2</f>
        <v>RSK</v>
      </c>
      <c r="M72" s="236" t="str">
        <f>'Project&amp;Support'!T2</f>
        <v>OT</v>
      </c>
      <c r="N72" s="236" t="str">
        <f>'Project&amp;Support'!U2</f>
        <v>EST</v>
      </c>
      <c r="O72" s="236" t="str">
        <f>'Project&amp;Support'!V2</f>
        <v>MC</v>
      </c>
      <c r="P72" s="236" t="str">
        <f>'Project&amp;Support'!W2</f>
        <v>PLAN</v>
      </c>
      <c r="Q72" s="236" t="str">
        <f>'Project&amp;Support'!X2</f>
        <v>CAR</v>
      </c>
      <c r="R72" s="236" t="str">
        <f>'Project&amp;Support'!Y2</f>
        <v>CM</v>
      </c>
      <c r="S72" s="236" t="str">
        <f>'Project&amp;Support'!Z2</f>
        <v>DAR</v>
      </c>
      <c r="T72" s="287" t="str">
        <f>'Project&amp;Support'!AA2</f>
        <v>SAM</v>
      </c>
      <c r="U72" s="287" t="e">
        <f>'Project&amp;Support'!#REF!</f>
        <v>#REF!</v>
      </c>
    </row>
    <row r="73" spans="1:21" s="288" customFormat="1">
      <c r="A73" s="175"/>
      <c r="B73" s="176" t="str">
        <f>'Project&amp;Support'!B3</f>
        <v>p1ProjectNameA</v>
      </c>
      <c r="C73" s="289" t="str">
        <f>IF('Project&amp;Support'!J3&lt;&gt;"",'Project&amp;Support'!J3,"")</f>
        <v>a</v>
      </c>
      <c r="D73" s="289" t="str">
        <f>IF('Project&amp;Support'!K3&lt;&gt;"",'Project&amp;Support'!K3,"")</f>
        <v>a</v>
      </c>
      <c r="E73" s="289" t="str">
        <f>IF('Project&amp;Support'!L3&lt;&gt;"",'Project&amp;Support'!L3,"")</f>
        <v/>
      </c>
      <c r="F73" s="289" t="str">
        <f>IF('Project&amp;Support'!M3&lt;&gt;"",'Project&amp;Support'!M3,"")</f>
        <v>s</v>
      </c>
      <c r="G73" s="289" t="str">
        <f>IF('Project&amp;Support'!N3&lt;&gt;"",'Project&amp;Support'!N3,"")</f>
        <v>s</v>
      </c>
      <c r="H73" s="289" t="str">
        <f>IF('Project&amp;Support'!O3&lt;&gt;"",'Project&amp;Support'!O3,"")</f>
        <v>s</v>
      </c>
      <c r="I73" s="289" t="str">
        <f>IF('Project&amp;Support'!P3&lt;&gt;"",'Project&amp;Support'!P3,"")</f>
        <v/>
      </c>
      <c r="J73" s="289" t="str">
        <f>IF('Project&amp;Support'!Q3&lt;&gt;"",'Project&amp;Support'!Q3,"")</f>
        <v/>
      </c>
      <c r="K73" s="289" t="str">
        <f>IF('Project&amp;Support'!R3&lt;&gt;"",'Project&amp;Support'!R3,"")</f>
        <v/>
      </c>
      <c r="L73" s="289" t="str">
        <f>IF('Project&amp;Support'!S3&lt;&gt;"",'Project&amp;Support'!S3,"")</f>
        <v/>
      </c>
      <c r="M73" s="289" t="str">
        <f>IF('Project&amp;Support'!T3&lt;&gt;"",'Project&amp;Support'!T3,"")</f>
        <v/>
      </c>
      <c r="N73" s="289" t="str">
        <f>IF('Project&amp;Support'!U3&lt;&gt;"",'Project&amp;Support'!U3,"")</f>
        <v>a</v>
      </c>
      <c r="O73" s="289" t="str">
        <f>IF('Project&amp;Support'!V3&lt;&gt;"",'Project&amp;Support'!V3,"")</f>
        <v>a</v>
      </c>
      <c r="P73" s="289" t="str">
        <f>IF('Project&amp;Support'!W3&lt;&gt;"",'Project&amp;Support'!W3,"")</f>
        <v>a</v>
      </c>
      <c r="Q73" s="289" t="str">
        <f>IF('Project&amp;Support'!X3&lt;&gt;"",'Project&amp;Support'!X3,"")</f>
        <v/>
      </c>
      <c r="R73" s="289" t="str">
        <f>IF('Project&amp;Support'!Y3&lt;&gt;"",'Project&amp;Support'!Y3,"")</f>
        <v/>
      </c>
      <c r="S73" s="289" t="str">
        <f>IF('Project&amp;Support'!Z3&lt;&gt;"",'Project&amp;Support'!Z3,"")</f>
        <v/>
      </c>
      <c r="T73" s="287">
        <f>'Project&amp;Support'!AA3</f>
        <v>0</v>
      </c>
      <c r="U73" s="287" t="e">
        <f>'Project&amp;Support'!#REF!</f>
        <v>#REF!</v>
      </c>
    </row>
    <row r="74" spans="1:21" s="288" customFormat="1">
      <c r="A74" s="175"/>
      <c r="B74" s="176" t="str">
        <f>'Project&amp;Support'!B4</f>
        <v>p2ProjectNameB</v>
      </c>
      <c r="C74" s="289" t="str">
        <f>IF('Project&amp;Support'!J4&lt;&gt;"",'Project&amp;Support'!J4,"")</f>
        <v/>
      </c>
      <c r="D74" s="289" t="str">
        <f>IF('Project&amp;Support'!K4&lt;&gt;"",'Project&amp;Support'!K4,"")</f>
        <v/>
      </c>
      <c r="E74" s="289" t="str">
        <f>IF('Project&amp;Support'!L4&lt;&gt;"",'Project&amp;Support'!L4,"")</f>
        <v/>
      </c>
      <c r="F74" s="289" t="str">
        <f>IF('Project&amp;Support'!M4&lt;&gt;"",'Project&amp;Support'!M4,"")</f>
        <v/>
      </c>
      <c r="G74" s="289" t="str">
        <f>IF('Project&amp;Support'!N4&lt;&gt;"",'Project&amp;Support'!N4,"")</f>
        <v/>
      </c>
      <c r="H74" s="289" t="str">
        <f>IF('Project&amp;Support'!O4&lt;&gt;"",'Project&amp;Support'!O4,"")</f>
        <v/>
      </c>
      <c r="I74" s="289" t="str">
        <f>IF('Project&amp;Support'!P4&lt;&gt;"",'Project&amp;Support'!P4,"")</f>
        <v/>
      </c>
      <c r="J74" s="289" t="str">
        <f>IF('Project&amp;Support'!Q4&lt;&gt;"",'Project&amp;Support'!Q4,"")</f>
        <v/>
      </c>
      <c r="K74" s="289" t="str">
        <f>IF('Project&amp;Support'!R4&lt;&gt;"",'Project&amp;Support'!R4,"")</f>
        <v/>
      </c>
      <c r="L74" s="289" t="str">
        <f>IF('Project&amp;Support'!S4&lt;&gt;"",'Project&amp;Support'!S4,"")</f>
        <v>s</v>
      </c>
      <c r="M74" s="289" t="str">
        <f>IF('Project&amp;Support'!T4&lt;&gt;"",'Project&amp;Support'!T4,"")</f>
        <v/>
      </c>
      <c r="N74" s="289" t="str">
        <f>IF('Project&amp;Support'!U4&lt;&gt;"",'Project&amp;Support'!U4,"")</f>
        <v/>
      </c>
      <c r="O74" s="289" t="str">
        <f>IF('Project&amp;Support'!V4&lt;&gt;"",'Project&amp;Support'!V4,"")</f>
        <v/>
      </c>
      <c r="P74" s="289" t="str">
        <f>IF('Project&amp;Support'!W4&lt;&gt;"",'Project&amp;Support'!W4,"")</f>
        <v/>
      </c>
      <c r="Q74" s="289" t="str">
        <f>IF('Project&amp;Support'!X4&lt;&gt;"",'Project&amp;Support'!X4,"")</f>
        <v/>
      </c>
      <c r="R74" s="289" t="str">
        <f>IF('Project&amp;Support'!Y4&lt;&gt;"",'Project&amp;Support'!Y4,"")</f>
        <v/>
      </c>
      <c r="S74" s="289" t="str">
        <f>IF('Project&amp;Support'!Z4&lt;&gt;"",'Project&amp;Support'!Z4,"")</f>
        <v/>
      </c>
      <c r="T74" s="287">
        <f>'Project&amp;Support'!AA4</f>
        <v>0</v>
      </c>
      <c r="U74" s="287" t="e">
        <f>'Project&amp;Support'!#REF!</f>
        <v>#REF!</v>
      </c>
    </row>
    <row r="75" spans="1:21" s="288" customFormat="1">
      <c r="A75" s="175"/>
      <c r="B75" s="176" t="str">
        <f>'Project&amp;Support'!B5</f>
        <v>p3ProjectNameC</v>
      </c>
      <c r="C75" s="289" t="str">
        <f>IF('Project&amp;Support'!J5&lt;&gt;"",'Project&amp;Support'!J5,"")</f>
        <v>s</v>
      </c>
      <c r="D75" s="289" t="str">
        <f>IF('Project&amp;Support'!K5&lt;&gt;"",'Project&amp;Support'!K5,"")</f>
        <v>s</v>
      </c>
      <c r="E75" s="289" t="str">
        <f>IF('Project&amp;Support'!L5&lt;&gt;"",'Project&amp;Support'!L5,"")</f>
        <v/>
      </c>
      <c r="F75" s="289" t="str">
        <f>IF('Project&amp;Support'!M5&lt;&gt;"",'Project&amp;Support'!M5,"")</f>
        <v/>
      </c>
      <c r="G75" s="289" t="str">
        <f>IF('Project&amp;Support'!N5&lt;&gt;"",'Project&amp;Support'!N5,"")</f>
        <v/>
      </c>
      <c r="H75" s="289" t="str">
        <f>IF('Project&amp;Support'!O5&lt;&gt;"",'Project&amp;Support'!O5,"")</f>
        <v/>
      </c>
      <c r="I75" s="289" t="str">
        <f>IF('Project&amp;Support'!P5&lt;&gt;"",'Project&amp;Support'!P5,"")</f>
        <v/>
      </c>
      <c r="J75" s="289" t="str">
        <f>IF('Project&amp;Support'!Q5&lt;&gt;"",'Project&amp;Support'!Q5,"")</f>
        <v/>
      </c>
      <c r="K75" s="289" t="str">
        <f>IF('Project&amp;Support'!R5&lt;&gt;"",'Project&amp;Support'!R5,"")</f>
        <v/>
      </c>
      <c r="L75" s="289" t="str">
        <f>IF('Project&amp;Support'!S5&lt;&gt;"",'Project&amp;Support'!S5,"")</f>
        <v/>
      </c>
      <c r="M75" s="289" t="str">
        <f>IF('Project&amp;Support'!T5&lt;&gt;"",'Project&amp;Support'!T5,"")</f>
        <v/>
      </c>
      <c r="N75" s="289" t="str">
        <f>IF('Project&amp;Support'!U5&lt;&gt;"",'Project&amp;Support'!U5,"")</f>
        <v/>
      </c>
      <c r="O75" s="289" t="str">
        <f>IF('Project&amp;Support'!V5&lt;&gt;"",'Project&amp;Support'!V5,"")</f>
        <v/>
      </c>
      <c r="P75" s="289" t="str">
        <f>IF('Project&amp;Support'!W5&lt;&gt;"",'Project&amp;Support'!W5,"")</f>
        <v/>
      </c>
      <c r="Q75" s="289" t="str">
        <f>IF('Project&amp;Support'!X5&lt;&gt;"",'Project&amp;Support'!X5,"")</f>
        <v/>
      </c>
      <c r="R75" s="289" t="str">
        <f>IF('Project&amp;Support'!Y5&lt;&gt;"",'Project&amp;Support'!Y5,"")</f>
        <v/>
      </c>
      <c r="S75" s="289" t="str">
        <f>IF('Project&amp;Support'!Z5&lt;&gt;"",'Project&amp;Support'!Z5,"")</f>
        <v/>
      </c>
      <c r="T75" s="287">
        <f>'Project&amp;Support'!AA5</f>
        <v>0</v>
      </c>
      <c r="U75" s="287" t="e">
        <f>'Project&amp;Support'!#REF!</f>
        <v>#REF!</v>
      </c>
    </row>
    <row r="76" spans="1:21" s="288" customFormat="1">
      <c r="A76" s="175"/>
      <c r="B76" s="176" t="str">
        <f>'Project&amp;Support'!B6</f>
        <v>p4PRojectNameD</v>
      </c>
      <c r="C76" s="289" t="str">
        <f>IF('Project&amp;Support'!J6&lt;&gt;"",'Project&amp;Support'!J6,"")</f>
        <v/>
      </c>
      <c r="D76" s="289" t="str">
        <f>IF('Project&amp;Support'!K6&lt;&gt;"",'Project&amp;Support'!K6,"")</f>
        <v/>
      </c>
      <c r="E76" s="289" t="str">
        <f>IF('Project&amp;Support'!L6&lt;&gt;"",'Project&amp;Support'!L6,"")</f>
        <v/>
      </c>
      <c r="F76" s="289" t="str">
        <f>IF('Project&amp;Support'!M6&lt;&gt;"",'Project&amp;Support'!M6,"")</f>
        <v>a</v>
      </c>
      <c r="G76" s="289" t="str">
        <f>IF('Project&amp;Support'!N6&lt;&gt;"",'Project&amp;Support'!N6,"")</f>
        <v>a</v>
      </c>
      <c r="H76" s="289" t="str">
        <f>IF('Project&amp;Support'!O6&lt;&gt;"",'Project&amp;Support'!O6,"")</f>
        <v>a</v>
      </c>
      <c r="I76" s="289" t="str">
        <f>IF('Project&amp;Support'!P6&lt;&gt;"",'Project&amp;Support'!P6,"")</f>
        <v/>
      </c>
      <c r="J76" s="289" t="str">
        <f>IF('Project&amp;Support'!Q6&lt;&gt;"",'Project&amp;Support'!Q6,"")</f>
        <v/>
      </c>
      <c r="K76" s="289" t="str">
        <f>IF('Project&amp;Support'!R6&lt;&gt;"",'Project&amp;Support'!R6,"")</f>
        <v/>
      </c>
      <c r="L76" s="289" t="str">
        <f>IF('Project&amp;Support'!S6&lt;&gt;"",'Project&amp;Support'!S6,"")</f>
        <v>a</v>
      </c>
      <c r="M76" s="289" t="str">
        <f>IF('Project&amp;Support'!T6&lt;&gt;"",'Project&amp;Support'!T6,"")</f>
        <v/>
      </c>
      <c r="N76" s="289" t="str">
        <f>IF('Project&amp;Support'!U6&lt;&gt;"",'Project&amp;Support'!U6,"")</f>
        <v>s</v>
      </c>
      <c r="O76" s="289" t="str">
        <f>IF('Project&amp;Support'!V6&lt;&gt;"",'Project&amp;Support'!V6,"")</f>
        <v>s</v>
      </c>
      <c r="P76" s="289" t="str">
        <f>IF('Project&amp;Support'!W6&lt;&gt;"",'Project&amp;Support'!W6,"")</f>
        <v>s</v>
      </c>
      <c r="Q76" s="289" t="str">
        <f>IF('Project&amp;Support'!X6&lt;&gt;"",'Project&amp;Support'!X6,"")</f>
        <v/>
      </c>
      <c r="R76" s="289" t="str">
        <f>IF('Project&amp;Support'!Y6&lt;&gt;"",'Project&amp;Support'!Y6,"")</f>
        <v/>
      </c>
      <c r="S76" s="289" t="str">
        <f>IF('Project&amp;Support'!Z6&lt;&gt;"",'Project&amp;Support'!Z6,"")</f>
        <v/>
      </c>
      <c r="T76" s="287">
        <f>'Project&amp;Support'!AA6</f>
        <v>0</v>
      </c>
      <c r="U76" s="287" t="e">
        <f>'Project&amp;Support'!#REF!</f>
        <v>#REF!</v>
      </c>
    </row>
    <row r="77" spans="1:21" s="288" customFormat="1">
      <c r="A77" s="175"/>
      <c r="B77" s="176" t="str">
        <f>'Project&amp;Support'!B7</f>
        <v>p5ProjectNameE</v>
      </c>
      <c r="C77" s="289" t="str">
        <f>IF('Project&amp;Support'!J7&lt;&gt;"",'Project&amp;Support'!J7,"")</f>
        <v/>
      </c>
      <c r="D77" s="289" t="str">
        <f>IF('Project&amp;Support'!K7&lt;&gt;"",'Project&amp;Support'!K7,"")</f>
        <v/>
      </c>
      <c r="E77" s="289" t="str">
        <f>IF('Project&amp;Support'!L7&lt;&gt;"",'Project&amp;Support'!L7,"")</f>
        <v/>
      </c>
      <c r="F77" s="289" t="str">
        <f>IF('Project&amp;Support'!M7&lt;&gt;"",'Project&amp;Support'!M7,"")</f>
        <v/>
      </c>
      <c r="G77" s="289" t="str">
        <f>IF('Project&amp;Support'!N7&lt;&gt;"",'Project&amp;Support'!N7,"")</f>
        <v/>
      </c>
      <c r="H77" s="289" t="str">
        <f>IF('Project&amp;Support'!O7&lt;&gt;"",'Project&amp;Support'!O7,"")</f>
        <v/>
      </c>
      <c r="I77" s="289" t="str">
        <f>IF('Project&amp;Support'!P7&lt;&gt;"",'Project&amp;Support'!P7,"")</f>
        <v/>
      </c>
      <c r="J77" s="289" t="str">
        <f>IF('Project&amp;Support'!Q7&lt;&gt;"",'Project&amp;Support'!Q7,"")</f>
        <v/>
      </c>
      <c r="K77" s="289" t="str">
        <f>IF('Project&amp;Support'!R7&lt;&gt;"",'Project&amp;Support'!R7,"")</f>
        <v/>
      </c>
      <c r="L77" s="289" t="str">
        <f>IF('Project&amp;Support'!S7&lt;&gt;"",'Project&amp;Support'!S7,"")</f>
        <v/>
      </c>
      <c r="M77" s="289" t="str">
        <f>IF('Project&amp;Support'!T7&lt;&gt;"",'Project&amp;Support'!T7,"")</f>
        <v/>
      </c>
      <c r="N77" s="289" t="str">
        <f>IF('Project&amp;Support'!U7&lt;&gt;"",'Project&amp;Support'!U7,"")</f>
        <v/>
      </c>
      <c r="O77" s="289" t="str">
        <f>IF('Project&amp;Support'!V7&lt;&gt;"",'Project&amp;Support'!V7,"")</f>
        <v/>
      </c>
      <c r="P77" s="289" t="str">
        <f>IF('Project&amp;Support'!W7&lt;&gt;"",'Project&amp;Support'!W7,"")</f>
        <v/>
      </c>
      <c r="Q77" s="289" t="str">
        <f>IF('Project&amp;Support'!X7&lt;&gt;"",'Project&amp;Support'!X7,"")</f>
        <v/>
      </c>
      <c r="R77" s="289" t="str">
        <f>IF('Project&amp;Support'!Y7&lt;&gt;"",'Project&amp;Support'!Y7,"")</f>
        <v/>
      </c>
      <c r="S77" s="289" t="str">
        <f>IF('Project&amp;Support'!Z7&lt;&gt;"",'Project&amp;Support'!Z7,"")</f>
        <v/>
      </c>
      <c r="T77" s="287" t="e">
        <f>'Project&amp;Support'!#REF!</f>
        <v>#REF!</v>
      </c>
      <c r="U77" s="287" t="e">
        <f>'Project&amp;Support'!#REF!</f>
        <v>#REF!</v>
      </c>
    </row>
    <row r="78" spans="1:21" s="288" customFormat="1" hidden="1">
      <c r="A78" s="175"/>
      <c r="B78" s="176" t="str">
        <f>'Project&amp;Support'!B7</f>
        <v>p5ProjectNameE</v>
      </c>
      <c r="C78" s="289" t="str">
        <f>IF('Project&amp;Support'!J8&lt;&gt;"",'Project&amp;Support'!J8,"")</f>
        <v/>
      </c>
      <c r="D78" s="289" t="str">
        <f>IF('Project&amp;Support'!K8&lt;&gt;"",'Project&amp;Support'!K8,"")</f>
        <v/>
      </c>
      <c r="E78" s="289" t="str">
        <f>IF('Project&amp;Support'!L8&lt;&gt;"",'Project&amp;Support'!L8,"")</f>
        <v/>
      </c>
      <c r="F78" s="289" t="str">
        <f>IF('Project&amp;Support'!M8&lt;&gt;"",'Project&amp;Support'!M8,"")</f>
        <v/>
      </c>
      <c r="G78" s="289" t="str">
        <f>IF('Project&amp;Support'!N8&lt;&gt;"",'Project&amp;Support'!N8,"")</f>
        <v/>
      </c>
      <c r="H78" s="289" t="str">
        <f>IF('Project&amp;Support'!O8&lt;&gt;"",'Project&amp;Support'!O8,"")</f>
        <v/>
      </c>
      <c r="I78" s="289" t="str">
        <f>IF('Project&amp;Support'!P8&lt;&gt;"",'Project&amp;Support'!P8,"")</f>
        <v/>
      </c>
      <c r="J78" s="289" t="str">
        <f>IF('Project&amp;Support'!Q8&lt;&gt;"",'Project&amp;Support'!Q8,"")</f>
        <v/>
      </c>
      <c r="K78" s="289" t="str">
        <f>IF('Project&amp;Support'!R8&lt;&gt;"",'Project&amp;Support'!R8,"")</f>
        <v/>
      </c>
      <c r="L78" s="289" t="str">
        <f>IF('Project&amp;Support'!S8&lt;&gt;"",'Project&amp;Support'!S8,"")</f>
        <v/>
      </c>
      <c r="M78" s="289" t="str">
        <f>IF('Project&amp;Support'!T8&lt;&gt;"",'Project&amp;Support'!T8,"")</f>
        <v/>
      </c>
      <c r="N78" s="289" t="str">
        <f>IF('Project&amp;Support'!U8&lt;&gt;"",'Project&amp;Support'!U8,"")</f>
        <v/>
      </c>
      <c r="O78" s="289" t="str">
        <f>IF('Project&amp;Support'!V8&lt;&gt;"",'Project&amp;Support'!V8,"")</f>
        <v/>
      </c>
      <c r="P78" s="289" t="str">
        <f>IF('Project&amp;Support'!W8&lt;&gt;"",'Project&amp;Support'!W8,"")</f>
        <v/>
      </c>
      <c r="Q78" s="289" t="str">
        <f>IF('Project&amp;Support'!X8&lt;&gt;"",'Project&amp;Support'!X8,"")</f>
        <v/>
      </c>
      <c r="R78" s="289" t="str">
        <f>IF('Project&amp;Support'!Y8&lt;&gt;"",'Project&amp;Support'!Y8,"")</f>
        <v/>
      </c>
      <c r="S78" s="289" t="str">
        <f>IF('Project&amp;Support'!Z8&lt;&gt;"",'Project&amp;Support'!Z8,"")</f>
        <v/>
      </c>
      <c r="T78" s="287">
        <f>'Project&amp;Support'!AA7</f>
        <v>0</v>
      </c>
      <c r="U78" s="287" t="e">
        <f>'Project&amp;Support'!#REF!</f>
        <v>#REF!</v>
      </c>
    </row>
    <row r="79" spans="1:21" s="288" customFormat="1" hidden="1">
      <c r="A79" s="175"/>
      <c r="B79" s="176" t="str">
        <f>'Project&amp;Support'!B8</f>
        <v>p6ProjectNameF</v>
      </c>
      <c r="C79" s="287"/>
      <c r="D79" s="287"/>
      <c r="E79" s="287"/>
      <c r="F79" s="287"/>
      <c r="G79" s="287"/>
      <c r="H79" s="287"/>
      <c r="I79" s="287"/>
      <c r="J79" s="287"/>
      <c r="K79" s="287"/>
      <c r="L79" s="287"/>
      <c r="M79" s="287"/>
      <c r="N79" s="287"/>
      <c r="O79" s="287"/>
      <c r="P79" s="287"/>
      <c r="Q79" s="287"/>
      <c r="R79" s="287"/>
      <c r="S79" s="287"/>
      <c r="T79" s="287"/>
      <c r="U79" s="287"/>
    </row>
    <row r="80" spans="1:21" s="288" customFormat="1" hidden="1">
      <c r="A80" s="175"/>
      <c r="B80" s="176" t="str">
        <f>'Project&amp;Support'!B9</f>
        <v>s1CM</v>
      </c>
      <c r="C80" s="287"/>
      <c r="D80" s="287"/>
      <c r="E80" s="287"/>
      <c r="F80" s="287"/>
      <c r="G80" s="287"/>
      <c r="H80" s="287"/>
      <c r="I80" s="287"/>
      <c r="J80" s="287"/>
      <c r="K80" s="287"/>
      <c r="L80" s="287"/>
      <c r="M80" s="287"/>
      <c r="N80" s="287"/>
      <c r="O80" s="287"/>
      <c r="P80" s="287"/>
      <c r="Q80" s="287"/>
      <c r="R80" s="287"/>
      <c r="S80" s="287"/>
      <c r="T80" s="287"/>
      <c r="U80" s="287"/>
    </row>
    <row r="81" spans="1:21" s="288" customFormat="1" hidden="1">
      <c r="A81" s="175"/>
      <c r="B81" s="176" t="str">
        <f>'Project&amp;Support'!B10</f>
        <v>s2EPG/MA</v>
      </c>
      <c r="C81" s="287"/>
      <c r="D81" s="287"/>
      <c r="E81" s="287"/>
      <c r="F81" s="287"/>
      <c r="G81" s="287"/>
      <c r="H81" s="287"/>
      <c r="I81" s="287"/>
      <c r="J81" s="287"/>
      <c r="K81" s="287"/>
      <c r="L81" s="287"/>
      <c r="M81" s="287"/>
      <c r="N81" s="287"/>
      <c r="O81" s="287"/>
      <c r="P81" s="287"/>
      <c r="Q81" s="287"/>
      <c r="R81" s="287"/>
      <c r="S81" s="287"/>
      <c r="T81" s="287"/>
      <c r="U81" s="287"/>
    </row>
    <row r="82" spans="1:21" s="288" customFormat="1" hidden="1">
      <c r="A82" s="175"/>
      <c r="B82" s="176" t="str">
        <f>'Project&amp;Support'!B11</f>
        <v>s3HR</v>
      </c>
      <c r="C82" s="287"/>
      <c r="D82" s="287"/>
      <c r="E82" s="287"/>
      <c r="F82" s="287"/>
      <c r="G82" s="287"/>
      <c r="H82" s="287"/>
      <c r="I82" s="287"/>
      <c r="J82" s="287"/>
      <c r="K82" s="287"/>
      <c r="L82" s="287"/>
      <c r="M82" s="287"/>
      <c r="N82" s="287"/>
      <c r="O82" s="287"/>
      <c r="P82" s="287"/>
      <c r="Q82" s="287"/>
      <c r="R82" s="287"/>
      <c r="S82" s="287"/>
      <c r="T82" s="287"/>
      <c r="U82" s="287"/>
    </row>
    <row r="83" spans="1:21" s="288" customFormat="1" hidden="1">
      <c r="A83" s="175"/>
      <c r="B83" s="176" t="str">
        <f>'Project&amp;Support'!B12</f>
        <v>s4PPQA</v>
      </c>
      <c r="C83" s="287"/>
      <c r="D83" s="287"/>
      <c r="E83" s="287"/>
      <c r="F83" s="287"/>
      <c r="G83" s="287"/>
      <c r="H83" s="287"/>
      <c r="I83" s="287"/>
      <c r="J83" s="287"/>
      <c r="K83" s="287"/>
      <c r="L83" s="287"/>
      <c r="M83" s="287"/>
      <c r="N83" s="287"/>
      <c r="O83" s="287"/>
      <c r="P83" s="287"/>
      <c r="Q83" s="287"/>
      <c r="R83" s="287"/>
      <c r="S83" s="287"/>
      <c r="T83" s="287"/>
      <c r="U83" s="287"/>
    </row>
    <row r="84" spans="1:21" s="288" customFormat="1" hidden="1">
      <c r="A84" s="175"/>
      <c r="B84" s="176" t="str">
        <f>'Project&amp;Support'!B13</f>
        <v>o1Organisation</v>
      </c>
      <c r="C84" s="287"/>
      <c r="D84" s="287"/>
      <c r="E84" s="287"/>
      <c r="F84" s="287"/>
      <c r="G84" s="287"/>
      <c r="H84" s="287"/>
      <c r="I84" s="287"/>
      <c r="J84" s="287"/>
      <c r="K84" s="287"/>
      <c r="L84" s="287"/>
      <c r="M84" s="287"/>
      <c r="N84" s="287"/>
      <c r="O84" s="287"/>
      <c r="P84" s="287"/>
      <c r="Q84" s="287"/>
      <c r="R84" s="287"/>
      <c r="S84" s="287"/>
      <c r="T84" s="287"/>
      <c r="U84" s="287"/>
    </row>
    <row r="85" spans="1:21" s="288" customFormat="1" hidden="1">
      <c r="A85" s="175"/>
      <c r="B85" s="175"/>
      <c r="C85" s="287"/>
      <c r="D85" s="287"/>
      <c r="E85" s="287"/>
      <c r="F85" s="287"/>
      <c r="G85" s="287"/>
      <c r="H85" s="287"/>
      <c r="I85" s="287"/>
      <c r="J85" s="287"/>
      <c r="K85" s="287"/>
      <c r="L85" s="287"/>
      <c r="M85" s="287"/>
      <c r="N85" s="287"/>
      <c r="O85" s="287"/>
      <c r="P85" s="287"/>
      <c r="Q85" s="287"/>
      <c r="R85" s="287"/>
      <c r="S85" s="287"/>
      <c r="T85" s="287"/>
      <c r="U85" s="287"/>
    </row>
    <row r="86" spans="1:21" s="288" customFormat="1">
      <c r="A86" s="175"/>
      <c r="B86" s="175"/>
      <c r="C86" s="287"/>
      <c r="D86" s="287"/>
      <c r="E86" s="287"/>
      <c r="F86" s="287"/>
      <c r="G86" s="287"/>
      <c r="H86" s="287"/>
      <c r="I86" s="287"/>
      <c r="J86" s="287"/>
      <c r="K86" s="287"/>
      <c r="L86" s="287"/>
      <c r="M86" s="287"/>
      <c r="N86" s="287"/>
      <c r="O86" s="287"/>
      <c r="P86" s="287"/>
      <c r="Q86" s="287"/>
      <c r="R86" s="287"/>
      <c r="S86" s="287"/>
      <c r="T86" s="287"/>
      <c r="U86" s="287"/>
    </row>
    <row r="87" spans="1:21" s="288" customFormat="1">
      <c r="A87" s="175"/>
      <c r="B87" s="231" t="str">
        <f>'Project&amp;Support'!A1</f>
        <v>Project information and sample</v>
      </c>
      <c r="C87" s="236" t="str">
        <f>'Project&amp;Support'!J2</f>
        <v>PI</v>
      </c>
      <c r="D87" s="236" t="str">
        <f>'Project&amp;Support'!K2</f>
        <v>TS</v>
      </c>
      <c r="E87" s="236" t="str">
        <f>'Project&amp;Support'!L2</f>
        <v>PQA</v>
      </c>
      <c r="F87" s="236" t="str">
        <f>'Project&amp;Support'!M2</f>
        <v>PR</v>
      </c>
      <c r="G87" s="236" t="str">
        <f>'Project&amp;Support'!N2</f>
        <v>RDM</v>
      </c>
      <c r="H87" s="236" t="str">
        <f>'Project&amp;Support'!O2</f>
        <v>VV</v>
      </c>
      <c r="I87" s="236" t="str">
        <f>'Project&amp;Support'!P2</f>
        <v>MPM</v>
      </c>
      <c r="J87" s="236" t="str">
        <f>'Project&amp;Support'!Q2</f>
        <v>PAD</v>
      </c>
      <c r="K87" s="236" t="str">
        <f>'Project&amp;Support'!R2</f>
        <v>PCM</v>
      </c>
      <c r="L87" s="236" t="str">
        <f>'Project&amp;Support'!S2</f>
        <v>RSK</v>
      </c>
      <c r="M87" s="236" t="str">
        <f>'Project&amp;Support'!T2</f>
        <v>OT</v>
      </c>
      <c r="N87" s="236" t="str">
        <f>'Project&amp;Support'!U2</f>
        <v>EST</v>
      </c>
      <c r="O87" s="236" t="str">
        <f>'Project&amp;Support'!V2</f>
        <v>MC</v>
      </c>
      <c r="P87" s="236" t="str">
        <f>'Project&amp;Support'!W2</f>
        <v>PLAN</v>
      </c>
      <c r="Q87" s="236" t="str">
        <f>'Project&amp;Support'!X2</f>
        <v>CAR</v>
      </c>
      <c r="R87" s="236" t="str">
        <f>'Project&amp;Support'!Y2</f>
        <v>CM</v>
      </c>
      <c r="S87" s="236" t="str">
        <f>'Project&amp;Support'!Z2</f>
        <v>DAR</v>
      </c>
      <c r="T87" s="290" t="e">
        <f>#REF!</f>
        <v>#REF!</v>
      </c>
      <c r="U87" s="287"/>
    </row>
    <row r="88" spans="1:21" s="288" customFormat="1">
      <c r="A88" s="175"/>
      <c r="B88" s="176" t="str">
        <f>'Project&amp;Support'!B9</f>
        <v>s1CM</v>
      </c>
      <c r="C88" s="289" t="str">
        <f>IF('Project&amp;Support'!J9&lt;&gt;"",'Project&amp;Support'!J9,"")</f>
        <v/>
      </c>
      <c r="D88" s="289" t="str">
        <f>IF('Project&amp;Support'!K9&lt;&gt;"",'Project&amp;Support'!K9,"")</f>
        <v/>
      </c>
      <c r="E88" s="289" t="str">
        <f>IF('Project&amp;Support'!L9&lt;&gt;"",'Project&amp;Support'!L9,"")</f>
        <v/>
      </c>
      <c r="F88" s="289" t="str">
        <f>IF('Project&amp;Support'!M9&lt;&gt;"",'Project&amp;Support'!M9,"")</f>
        <v/>
      </c>
      <c r="G88" s="289" t="str">
        <f>IF('Project&amp;Support'!N9&lt;&gt;"",'Project&amp;Support'!N9,"")</f>
        <v/>
      </c>
      <c r="H88" s="289" t="str">
        <f>IF('Project&amp;Support'!O9&lt;&gt;"",'Project&amp;Support'!O9,"")</f>
        <v/>
      </c>
      <c r="I88" s="289" t="str">
        <f>IF('Project&amp;Support'!P9&lt;&gt;"",'Project&amp;Support'!P9,"")</f>
        <v/>
      </c>
      <c r="J88" s="289" t="str">
        <f>IF('Project&amp;Support'!Q9&lt;&gt;"",'Project&amp;Support'!Q9,"")</f>
        <v/>
      </c>
      <c r="K88" s="289" t="str">
        <f>IF('Project&amp;Support'!R9&lt;&gt;"",'Project&amp;Support'!R9,"")</f>
        <v/>
      </c>
      <c r="L88" s="289" t="str">
        <f>IF('Project&amp;Support'!S9&lt;&gt;"",'Project&amp;Support'!S9,"")</f>
        <v/>
      </c>
      <c r="M88" s="289" t="str">
        <f>IF('Project&amp;Support'!T9&lt;&gt;"",'Project&amp;Support'!T9,"")</f>
        <v/>
      </c>
      <c r="N88" s="289" t="str">
        <f>IF('Project&amp;Support'!U9&lt;&gt;"",'Project&amp;Support'!U9,"")</f>
        <v/>
      </c>
      <c r="O88" s="289" t="str">
        <f>IF('Project&amp;Support'!V9&lt;&gt;"",'Project&amp;Support'!V9,"")</f>
        <v/>
      </c>
      <c r="P88" s="289" t="str">
        <f>IF('Project&amp;Support'!W9&lt;&gt;"",'Project&amp;Support'!W9,"")</f>
        <v/>
      </c>
      <c r="Q88" s="289" t="str">
        <f>IF('Project&amp;Support'!X9&lt;&gt;"",'Project&amp;Support'!X9,"")</f>
        <v/>
      </c>
      <c r="R88" s="289" t="str">
        <f>IF('Project&amp;Support'!Y9&lt;&gt;"",'Project&amp;Support'!Y9,"")</f>
        <v>s</v>
      </c>
      <c r="S88" s="289" t="str">
        <f>IF('Project&amp;Support'!Z9&lt;&gt;"",'Project&amp;Support'!Z9,"")</f>
        <v/>
      </c>
      <c r="T88" s="287"/>
      <c r="U88" s="287"/>
    </row>
    <row r="89" spans="1:21" s="288" customFormat="1">
      <c r="A89" s="175"/>
      <c r="B89" s="176" t="str">
        <f>'Project&amp;Support'!B10</f>
        <v>s2EPG/MA</v>
      </c>
      <c r="C89" s="289" t="str">
        <f>IF('Project&amp;Support'!J10&lt;&gt;"",'Project&amp;Support'!J10,"")</f>
        <v/>
      </c>
      <c r="D89" s="289" t="str">
        <f>IF('Project&amp;Support'!K10&lt;&gt;"",'Project&amp;Support'!K10,"")</f>
        <v/>
      </c>
      <c r="E89" s="289" t="str">
        <f>IF('Project&amp;Support'!L10&lt;&gt;"",'Project&amp;Support'!L10,"")</f>
        <v/>
      </c>
      <c r="F89" s="289" t="str">
        <f>IF('Project&amp;Support'!M10&lt;&gt;"",'Project&amp;Support'!M10,"")</f>
        <v/>
      </c>
      <c r="G89" s="289" t="str">
        <f>IF('Project&amp;Support'!N10&lt;&gt;"",'Project&amp;Support'!N10,"")</f>
        <v/>
      </c>
      <c r="H89" s="289" t="str">
        <f>IF('Project&amp;Support'!O10&lt;&gt;"",'Project&amp;Support'!O10,"")</f>
        <v/>
      </c>
      <c r="I89" s="289" t="str">
        <f>IF('Project&amp;Support'!P10&lt;&gt;"",'Project&amp;Support'!P10,"")</f>
        <v>s</v>
      </c>
      <c r="J89" s="289" t="str">
        <f>IF('Project&amp;Support'!Q10&lt;&gt;"",'Project&amp;Support'!Q10,"")</f>
        <v>s</v>
      </c>
      <c r="K89" s="289" t="str">
        <f>IF('Project&amp;Support'!R10&lt;&gt;"",'Project&amp;Support'!R10,"")</f>
        <v>s</v>
      </c>
      <c r="L89" s="289" t="str">
        <f>IF('Project&amp;Support'!S10&lt;&gt;"",'Project&amp;Support'!S10,"")</f>
        <v/>
      </c>
      <c r="M89" s="289" t="str">
        <f>IF('Project&amp;Support'!T10&lt;&gt;"",'Project&amp;Support'!T10,"")</f>
        <v/>
      </c>
      <c r="N89" s="289" t="str">
        <f>IF('Project&amp;Support'!U10&lt;&gt;"",'Project&amp;Support'!U10,"")</f>
        <v/>
      </c>
      <c r="O89" s="289" t="str">
        <f>IF('Project&amp;Support'!V10&lt;&gt;"",'Project&amp;Support'!V10,"")</f>
        <v/>
      </c>
      <c r="P89" s="289" t="str">
        <f>IF('Project&amp;Support'!W10&lt;&gt;"",'Project&amp;Support'!W10,"")</f>
        <v/>
      </c>
      <c r="Q89" s="289" t="str">
        <f>IF('Project&amp;Support'!X10&lt;&gt;"",'Project&amp;Support'!X10,"")</f>
        <v>s</v>
      </c>
      <c r="R89" s="289" t="str">
        <f>IF('Project&amp;Support'!Y10&lt;&gt;"",'Project&amp;Support'!Y10,"")</f>
        <v/>
      </c>
      <c r="S89" s="289" t="str">
        <f>IF('Project&amp;Support'!Z10&lt;&gt;"",'Project&amp;Support'!Z10,"")</f>
        <v>s</v>
      </c>
      <c r="T89" s="287"/>
      <c r="U89" s="287"/>
    </row>
    <row r="90" spans="1:21" s="288" customFormat="1">
      <c r="A90" s="175"/>
      <c r="B90" s="176" t="str">
        <f>'Project&amp;Support'!B11</f>
        <v>s3HR</v>
      </c>
      <c r="C90" s="289" t="str">
        <f>IF('Project&amp;Support'!J11&lt;&gt;"",'Project&amp;Support'!J11,"")</f>
        <v/>
      </c>
      <c r="D90" s="289" t="str">
        <f>IF('Project&amp;Support'!K11&lt;&gt;"",'Project&amp;Support'!K11,"")</f>
        <v/>
      </c>
      <c r="E90" s="289" t="str">
        <f>IF('Project&amp;Support'!L11&lt;&gt;"",'Project&amp;Support'!L11,"")</f>
        <v/>
      </c>
      <c r="F90" s="289" t="str">
        <f>IF('Project&amp;Support'!M11&lt;&gt;"",'Project&amp;Support'!M11,"")</f>
        <v/>
      </c>
      <c r="G90" s="289" t="str">
        <f>IF('Project&amp;Support'!N11&lt;&gt;"",'Project&amp;Support'!N11,"")</f>
        <v/>
      </c>
      <c r="H90" s="289" t="str">
        <f>IF('Project&amp;Support'!O11&lt;&gt;"",'Project&amp;Support'!O11,"")</f>
        <v/>
      </c>
      <c r="I90" s="289" t="str">
        <f>IF('Project&amp;Support'!P11&lt;&gt;"",'Project&amp;Support'!P11,"")</f>
        <v/>
      </c>
      <c r="J90" s="289" t="str">
        <f>IF('Project&amp;Support'!Q11&lt;&gt;"",'Project&amp;Support'!Q11,"")</f>
        <v/>
      </c>
      <c r="K90" s="289" t="str">
        <f>IF('Project&amp;Support'!R11&lt;&gt;"",'Project&amp;Support'!R11,"")</f>
        <v/>
      </c>
      <c r="L90" s="289" t="str">
        <f>IF('Project&amp;Support'!S11&lt;&gt;"",'Project&amp;Support'!S11,"")</f>
        <v/>
      </c>
      <c r="M90" s="289" t="str">
        <f>IF('Project&amp;Support'!T11&lt;&gt;"",'Project&amp;Support'!T11,"")</f>
        <v>s</v>
      </c>
      <c r="N90" s="289" t="str">
        <f>IF('Project&amp;Support'!U11&lt;&gt;"",'Project&amp;Support'!U11,"")</f>
        <v/>
      </c>
      <c r="O90" s="289" t="str">
        <f>IF('Project&amp;Support'!V11&lt;&gt;"",'Project&amp;Support'!V11,"")</f>
        <v/>
      </c>
      <c r="P90" s="289" t="str">
        <f>IF('Project&amp;Support'!W11&lt;&gt;"",'Project&amp;Support'!W11,"")</f>
        <v/>
      </c>
      <c r="Q90" s="289" t="str">
        <f>IF('Project&amp;Support'!X11&lt;&gt;"",'Project&amp;Support'!X11,"")</f>
        <v/>
      </c>
      <c r="R90" s="289" t="str">
        <f>IF('Project&amp;Support'!Y11&lt;&gt;"",'Project&amp;Support'!Y11,"")</f>
        <v/>
      </c>
      <c r="S90" s="289" t="str">
        <f>IF('Project&amp;Support'!Z11&lt;&gt;"",'Project&amp;Support'!Z11,"")</f>
        <v/>
      </c>
      <c r="T90" s="287"/>
      <c r="U90" s="287"/>
    </row>
    <row r="91" spans="1:21" s="288" customFormat="1">
      <c r="A91" s="175"/>
      <c r="B91" s="176" t="str">
        <f>'Project&amp;Support'!B12</f>
        <v>s4PPQA</v>
      </c>
      <c r="C91" s="289" t="str">
        <f>IF('Project&amp;Support'!J12&lt;&gt;"",'Project&amp;Support'!J12,"")</f>
        <v/>
      </c>
      <c r="D91" s="289" t="str">
        <f>IF('Project&amp;Support'!K12&lt;&gt;"",'Project&amp;Support'!K12,"")</f>
        <v/>
      </c>
      <c r="E91" s="289" t="str">
        <f>IF('Project&amp;Support'!L12&lt;&gt;"",'Project&amp;Support'!L12,"")</f>
        <v>s</v>
      </c>
      <c r="F91" s="289" t="str">
        <f>IF('Project&amp;Support'!M12&lt;&gt;"",'Project&amp;Support'!M12,"")</f>
        <v/>
      </c>
      <c r="G91" s="289" t="str">
        <f>IF('Project&amp;Support'!N12&lt;&gt;"",'Project&amp;Support'!N12,"")</f>
        <v/>
      </c>
      <c r="H91" s="289" t="str">
        <f>IF('Project&amp;Support'!O12&lt;&gt;"",'Project&amp;Support'!O12,"")</f>
        <v/>
      </c>
      <c r="I91" s="289" t="str">
        <f>IF('Project&amp;Support'!P12&lt;&gt;"",'Project&amp;Support'!P12,"")</f>
        <v/>
      </c>
      <c r="J91" s="289" t="str">
        <f>IF('Project&amp;Support'!Q12&lt;&gt;"",'Project&amp;Support'!Q12,"")</f>
        <v/>
      </c>
      <c r="K91" s="289" t="str">
        <f>IF('Project&amp;Support'!R12&lt;&gt;"",'Project&amp;Support'!R12,"")</f>
        <v/>
      </c>
      <c r="L91" s="289" t="str">
        <f>IF('Project&amp;Support'!S12&lt;&gt;"",'Project&amp;Support'!S12,"")</f>
        <v/>
      </c>
      <c r="M91" s="289" t="str">
        <f>IF('Project&amp;Support'!T12&lt;&gt;"",'Project&amp;Support'!T12,"")</f>
        <v/>
      </c>
      <c r="N91" s="289" t="str">
        <f>IF('Project&amp;Support'!U12&lt;&gt;"",'Project&amp;Support'!U12,"")</f>
        <v/>
      </c>
      <c r="O91" s="289" t="str">
        <f>IF('Project&amp;Support'!V12&lt;&gt;"",'Project&amp;Support'!V12,"")</f>
        <v/>
      </c>
      <c r="P91" s="289" t="str">
        <f>IF('Project&amp;Support'!W12&lt;&gt;"",'Project&amp;Support'!W12,"")</f>
        <v/>
      </c>
      <c r="Q91" s="289" t="str">
        <f>IF('Project&amp;Support'!X12&lt;&gt;"",'Project&amp;Support'!X12,"")</f>
        <v/>
      </c>
      <c r="R91" s="289" t="str">
        <f>IF('Project&amp;Support'!Y12&lt;&gt;"",'Project&amp;Support'!Y12,"")</f>
        <v/>
      </c>
      <c r="S91" s="289" t="str">
        <f>IF('Project&amp;Support'!Z12&lt;&gt;"",'Project&amp;Support'!Z12,"")</f>
        <v/>
      </c>
      <c r="T91" s="287"/>
      <c r="U91" s="287"/>
    </row>
    <row r="92" spans="1:21" hidden="1">
      <c r="B92" s="176" t="str">
        <f>'Project&amp;Support'!B13</f>
        <v>o1Organisation</v>
      </c>
      <c r="C92" s="289" t="str">
        <f>IF('Project&amp;Support'!J13&lt;&gt;"",'Project&amp;Support'!J13,"")</f>
        <v/>
      </c>
      <c r="D92" s="286" t="e">
        <f>#REF!</f>
        <v>#REF!</v>
      </c>
      <c r="E92" s="286" t="e">
        <f>#REF!</f>
        <v>#REF!</v>
      </c>
      <c r="F92" s="286" t="e">
        <f>#REF!</f>
        <v>#REF!</v>
      </c>
      <c r="G92" s="286" t="e">
        <f>#REF!</f>
        <v>#REF!</v>
      </c>
      <c r="H92" s="286" t="e">
        <f>#REF!</f>
        <v>#REF!</v>
      </c>
      <c r="I92" s="286" t="e">
        <f>#REF!</f>
        <v>#REF!</v>
      </c>
      <c r="J92" s="286" t="e">
        <f>#REF!</f>
        <v>#REF!</v>
      </c>
      <c r="K92" s="286" t="e">
        <f>#REF!</f>
        <v>#REF!</v>
      </c>
      <c r="L92" s="286" t="e">
        <f>#REF!</f>
        <v>#REF!</v>
      </c>
      <c r="M92" s="286" t="e">
        <f>#REF!</f>
        <v>#REF!</v>
      </c>
      <c r="N92" s="286" t="e">
        <f>#REF!</f>
        <v>#REF!</v>
      </c>
      <c r="O92" s="286" t="e">
        <f>#REF!</f>
        <v>#REF!</v>
      </c>
      <c r="P92" s="286" t="e">
        <f>#REF!</f>
        <v>#REF!</v>
      </c>
      <c r="Q92" s="286" t="e">
        <f>#REF!</f>
        <v>#REF!</v>
      </c>
      <c r="R92" s="286" t="e">
        <f>#REF!</f>
        <v>#REF!</v>
      </c>
      <c r="S92" s="286" t="e">
        <f>#REF!</f>
        <v>#REF!</v>
      </c>
      <c r="T92" s="285"/>
    </row>
    <row r="93" spans="1:21">
      <c r="B93" s="284"/>
      <c r="C93" s="285"/>
      <c r="D93" s="285"/>
      <c r="E93" s="285"/>
      <c r="F93" s="285"/>
      <c r="G93" s="285"/>
      <c r="H93" s="285"/>
      <c r="I93" s="285"/>
      <c r="J93" s="285"/>
      <c r="K93" s="285"/>
      <c r="L93" s="285"/>
      <c r="M93" s="285"/>
      <c r="N93" s="285"/>
      <c r="O93" s="285"/>
      <c r="P93" s="285"/>
      <c r="Q93" s="285"/>
      <c r="R93" s="285"/>
      <c r="S93" s="285"/>
      <c r="T93" s="285"/>
    </row>
    <row r="94" spans="1:21">
      <c r="C94" s="289" t="s">
        <v>1302</v>
      </c>
      <c r="D94" s="273" t="s">
        <v>1398</v>
      </c>
      <c r="F94" s="289" t="s">
        <v>1345</v>
      </c>
      <c r="G94" s="168" t="s">
        <v>1399</v>
      </c>
    </row>
    <row r="95" spans="1:21">
      <c r="A95" s="175" t="s">
        <v>1128</v>
      </c>
      <c r="B95" s="175" t="str">
        <f>StartupInfo!B19</f>
        <v>R&amp;D Center</v>
      </c>
    </row>
    <row r="96" spans="1:21">
      <c r="A96" s="175" t="s">
        <v>1129</v>
      </c>
      <c r="B96" s="175" t="str">
        <f>B70</f>
        <v>All development projects</v>
      </c>
    </row>
    <row r="97" spans="1:21" ht="42">
      <c r="A97" s="175" t="s">
        <v>1130</v>
      </c>
      <c r="B97" s="175" t="str">
        <f>StartupInfo!B11</f>
        <v>Room 1, West Block, High-Tech Plaza, Some Street, Some District, Shenzhen, Guangdong, 200080, China</v>
      </c>
    </row>
    <row r="99" spans="1:21">
      <c r="B99" s="177" t="str">
        <f>B72</f>
        <v>Project information and sample</v>
      </c>
    </row>
    <row r="100" spans="1:21" s="171" customFormat="1" ht="42">
      <c r="A100" s="175"/>
      <c r="B100" s="178" t="str">
        <f>CONCATENATE('Project&amp;Support'!C3," [",'Project&amp;Support'!C4,"]",CHAR(13),CHAR(10))</f>
        <v xml:space="preserve">Project A description [Project B description]_x000D_
</v>
      </c>
      <c r="C100" s="168"/>
      <c r="D100" s="168"/>
      <c r="E100" s="168"/>
      <c r="F100" s="168"/>
      <c r="G100" s="168"/>
      <c r="H100" s="168"/>
      <c r="I100" s="168"/>
      <c r="J100" s="172"/>
      <c r="K100" s="170"/>
      <c r="L100" s="170"/>
      <c r="M100" s="170"/>
      <c r="N100" s="170"/>
      <c r="O100" s="170"/>
      <c r="P100" s="170"/>
      <c r="Q100" s="170"/>
      <c r="R100" s="170"/>
      <c r="S100" s="170"/>
      <c r="T100" s="170"/>
      <c r="U100" s="170"/>
    </row>
    <row r="101" spans="1:21" s="171" customFormat="1">
      <c r="A101" s="175"/>
      <c r="B101" s="179" t="e">
        <f>CONCATENATE('Project&amp;Support'!B4," [",'Project&amp;Support'!#REF!,"]",CHAR(13),CHAR(10))</f>
        <v>#REF!</v>
      </c>
      <c r="C101" s="168"/>
      <c r="D101" s="168"/>
      <c r="E101" s="168"/>
      <c r="F101" s="168"/>
      <c r="G101" s="168"/>
      <c r="H101" s="168"/>
      <c r="I101" s="168"/>
      <c r="J101" s="172"/>
      <c r="K101" s="170"/>
      <c r="L101" s="170"/>
      <c r="M101" s="170"/>
      <c r="N101" s="170"/>
      <c r="O101" s="170"/>
      <c r="P101" s="170"/>
      <c r="Q101" s="170"/>
      <c r="R101" s="170"/>
      <c r="S101" s="170"/>
      <c r="T101" s="170"/>
      <c r="U101" s="170"/>
    </row>
    <row r="102" spans="1:21">
      <c r="B102" s="179" t="e">
        <f>CONCATENATE('Project&amp;Support'!B5," [",'Project&amp;Support'!#REF!,"]",CHAR(13),CHAR(10))</f>
        <v>#REF!</v>
      </c>
    </row>
    <row r="103" spans="1:21">
      <c r="B103" s="179" t="e">
        <f>CONCATENATE('Project&amp;Support'!B6," [",'Project&amp;Support'!#REF!,"]",CHAR(13),CHAR(10))</f>
        <v>#REF!</v>
      </c>
    </row>
    <row r="104" spans="1:21">
      <c r="B104" s="179" t="e">
        <f>CONCATENATE('Project&amp;Support'!#REF!," [",'Project&amp;Support'!#REF!,"]",CHAR(13),CHAR(10))</f>
        <v>#REF!</v>
      </c>
    </row>
    <row r="105" spans="1:21">
      <c r="B105" s="179" t="e">
        <f>CONCATENATE('Project&amp;Support'!B7," [",'Project&amp;Support'!#REF!,"]",CHAR(13),CHAR(10))</f>
        <v>#REF!</v>
      </c>
    </row>
    <row r="106" spans="1:21" ht="42">
      <c r="B106" s="175" t="str">
        <f>CONCATENATE('Project&amp;Support'!B8," [",'Project&amp;Support'!C8,"]",CHAR(13),CHAR(10))</f>
        <v xml:space="preserve">p6ProjectNameF [Project G description]_x000D_
</v>
      </c>
    </row>
    <row r="107" spans="1:21" ht="63">
      <c r="B107" s="175" t="str">
        <f>CONCATENATE('Project&amp;Support'!B9," [",'Project&amp;Support'!C9,"]",CHAR(13),CHAR(10))</f>
        <v xml:space="preserve">s1CM [The Configuration Management (CM) function, manages baselines for projects and the organisation.]_x000D_
</v>
      </c>
    </row>
    <row r="110" spans="1:21" ht="84">
      <c r="B110" s="179" t="str">
        <f>CONCATENATE("Function:",$B$95,CHAR(13),CHAR(10),"Subgroup: ",$B$96,CHAR(13),CHAR(10),"Location:",$B$97)</f>
        <v>Function:R&amp;D Center_x000D_
Subgroup: All development projects_x000D_
Location:Room 1, West Block, High-Tech Plaza, Some Street, Some District, Shenzhen, Guangdong, 200080, China</v>
      </c>
    </row>
    <row r="113" spans="1:2">
      <c r="A113" s="175" t="s">
        <v>844</v>
      </c>
      <c r="B113" s="231" t="str">
        <f>'P1PA-R'!A3</f>
        <v>Final Findings</v>
      </c>
    </row>
    <row r="114" spans="1:2">
      <c r="B114" s="176" t="str">
        <f>'P1PA-R'!B4</f>
        <v>In a final findings presentation on the last on-site day.</v>
      </c>
    </row>
    <row r="116" spans="1:2" ht="42">
      <c r="B116" s="231" t="str">
        <f>'P1PA-R'!A8</f>
        <v>Sampled Project and OSF-level Practice Characterization Worksheets</v>
      </c>
    </row>
    <row r="117" spans="1:2" ht="42">
      <c r="B117" s="176" t="str">
        <f>'P1PA-R'!B9</f>
        <v>OSF-level Practice Characterization Worksheets and matrix included in the presentation of the final findings.</v>
      </c>
    </row>
    <row r="119" spans="1:2">
      <c r="B119" s="231" t="str">
        <f>'P1PA-R'!A13</f>
        <v>Sampled Project and OSF-level Ratings Worksheets</v>
      </c>
    </row>
    <row r="120" spans="1:2" ht="42">
      <c r="B120" s="176" t="str">
        <f>'P1PA-R'!B14</f>
        <v>OSF-level Ratings Worksheets and matrix included in the presentation of the final findings.</v>
      </c>
    </row>
    <row r="122" spans="1:2">
      <c r="B122" s="231" t="str">
        <f>'P1PA-R'!A23</f>
        <v>Performance Report Output</v>
      </c>
    </row>
    <row r="124" spans="1:2">
      <c r="B124" s="231" t="str">
        <f>'P1PA-R'!B59</f>
        <v>Follow up actions</v>
      </c>
    </row>
    <row r="125" spans="1:2">
      <c r="B125" s="176" t="str">
        <f>'P1PA-R'!B60</f>
        <v>Immediately follow-up actions after the final findings are presented.</v>
      </c>
    </row>
    <row r="129" spans="1:2">
      <c r="A129" s="175" t="s">
        <v>1131</v>
      </c>
      <c r="B129" s="173" t="str">
        <f>_xlfn.CONCAT('Agreement 3'!B28," (Sponsor)")</f>
        <v>SponseSurname, A (Sponsor)</v>
      </c>
    </row>
    <row r="130" spans="1:2">
      <c r="B130" s="173" t="str">
        <f>_xlfn.CONCAT('Agreement 3'!B7, " (ATL)")</f>
        <v>van Zyl, Pieter (ATL)</v>
      </c>
    </row>
    <row r="131" spans="1:2">
      <c r="B131" s="174">
        <f>Planning!B30</f>
        <v>44249</v>
      </c>
    </row>
  </sheetData>
  <mergeCells count="6">
    <mergeCell ref="B39:G39"/>
    <mergeCell ref="A20:B20"/>
    <mergeCell ref="A21:B21"/>
    <mergeCell ref="A22:B22"/>
    <mergeCell ref="A23:B23"/>
    <mergeCell ref="B38:G38"/>
  </mergeCells>
  <conditionalFormatting sqref="C42:F60">
    <cfRule type="cellIs" dxfId="98" priority="11" operator="equal">
      <formula>"x"</formula>
    </cfRule>
  </conditionalFormatting>
  <conditionalFormatting sqref="T72:U78">
    <cfRule type="cellIs" dxfId="97" priority="9" operator="equal">
      <formula>"x"</formula>
    </cfRule>
    <cfRule type="cellIs" dxfId="96" priority="10" operator="equal">
      <formula>0</formula>
    </cfRule>
  </conditionalFormatting>
  <conditionalFormatting sqref="C73:S86 C88:C92 D88:S91 F94 C94">
    <cfRule type="cellIs" dxfId="95" priority="5" operator="equal">
      <formula>"s"</formula>
    </cfRule>
    <cfRule type="cellIs" dxfId="94" priority="6" operator="equal">
      <formula>"a"</formula>
    </cfRule>
    <cfRule type="cellIs" dxfId="93" priority="8" operator="equal">
      <formula>0</formula>
    </cfRule>
  </conditionalFormatting>
  <conditionalFormatting sqref="G42:G60">
    <cfRule type="cellIs" dxfId="92" priority="4" operator="equal">
      <formula>"x"</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0"/>
  <sheetViews>
    <sheetView topLeftCell="E1" workbookViewId="0">
      <selection activeCell="E3" sqref="E3:E11"/>
    </sheetView>
  </sheetViews>
  <sheetFormatPr defaultColWidth="8.7265625" defaultRowHeight="14.5"/>
  <cols>
    <col min="1" max="1" width="8.7265625" style="9"/>
    <col min="2" max="2" width="39.7265625" style="9" customWidth="1"/>
    <col min="3" max="3" width="40.1796875" style="9" customWidth="1"/>
    <col min="4" max="4" width="64.26953125" style="9" customWidth="1"/>
    <col min="5" max="5" width="39.7265625" style="9" customWidth="1"/>
    <col min="6" max="7" width="8.7265625" style="9"/>
    <col min="8" max="8" width="9.54296875" style="9" customWidth="1"/>
    <col min="9" max="10" width="61" style="9" customWidth="1"/>
    <col min="11" max="16384" width="8.7265625" style="9"/>
  </cols>
  <sheetData>
    <row r="2" spans="2:19" ht="21">
      <c r="B2" s="231" t="s">
        <v>1207</v>
      </c>
      <c r="C2" s="231" t="s">
        <v>1208</v>
      </c>
      <c r="D2" s="231" t="s">
        <v>1209</v>
      </c>
      <c r="E2" s="231" t="s">
        <v>902</v>
      </c>
    </row>
    <row r="3" spans="2:19" s="273" customFormat="1" ht="30" customHeight="1">
      <c r="B3" s="272" t="s">
        <v>599</v>
      </c>
      <c r="C3" s="272" t="str">
        <f>'Agreement 3'!B28</f>
        <v>SponseSurname, A</v>
      </c>
      <c r="D3" s="272"/>
      <c r="E3" s="350">
        <v>44211</v>
      </c>
    </row>
    <row r="4" spans="2:19" s="273" customFormat="1" ht="30" customHeight="1">
      <c r="B4" s="272" t="s">
        <v>1211</v>
      </c>
      <c r="C4" s="272" t="str">
        <f>'Agreement 3'!B7</f>
        <v>van Zyl, Pieter</v>
      </c>
      <c r="D4" s="272"/>
      <c r="E4" s="350">
        <v>44211</v>
      </c>
    </row>
    <row r="5" spans="2:19" s="273" customFormat="1" ht="30" customHeight="1">
      <c r="B5" s="272" t="s">
        <v>1210</v>
      </c>
      <c r="C5" s="272" t="str">
        <f>'P1PA-SS'!B91</f>
        <v>ATM-1</v>
      </c>
      <c r="D5" s="272"/>
      <c r="E5" s="350">
        <v>44211</v>
      </c>
    </row>
    <row r="6" spans="2:19" s="273" customFormat="1" ht="30" customHeight="1">
      <c r="B6" s="272" t="s">
        <v>1210</v>
      </c>
      <c r="C6" s="272" t="str">
        <f>'P1PA-SS'!B92</f>
        <v>ATM-2</v>
      </c>
      <c r="D6" s="272"/>
      <c r="E6" s="350">
        <v>44211</v>
      </c>
    </row>
    <row r="7" spans="2:19" s="273" customFormat="1" ht="30" customHeight="1">
      <c r="B7" s="272" t="s">
        <v>1210</v>
      </c>
      <c r="C7" s="272" t="str">
        <f>'P1PA-SS'!B93</f>
        <v>ATM-3</v>
      </c>
      <c r="D7" s="272"/>
      <c r="E7" s="350">
        <v>44211</v>
      </c>
    </row>
    <row r="8" spans="2:19" s="273" customFormat="1" ht="30" customHeight="1">
      <c r="B8" s="272" t="s">
        <v>1210</v>
      </c>
      <c r="C8" s="272" t="str">
        <f>'P1PA-SS'!B94</f>
        <v>ATM-4</v>
      </c>
      <c r="D8" s="272"/>
      <c r="E8" s="350">
        <v>44211</v>
      </c>
    </row>
    <row r="9" spans="2:19" s="273" customFormat="1" ht="30" customHeight="1">
      <c r="B9" s="272" t="s">
        <v>1210</v>
      </c>
      <c r="C9" s="272" t="str">
        <f>'P1PA-SS'!B95</f>
        <v>ATM-5</v>
      </c>
      <c r="D9" s="272"/>
      <c r="E9" s="350">
        <v>44211</v>
      </c>
    </row>
    <row r="10" spans="2:19" s="273" customFormat="1" ht="30" customHeight="1">
      <c r="B10" s="272" t="s">
        <v>1210</v>
      </c>
      <c r="C10" s="272" t="str">
        <f>'P1PA-SS'!B96</f>
        <v>ATM-6</v>
      </c>
      <c r="D10" s="272"/>
      <c r="E10" s="350">
        <v>44211</v>
      </c>
    </row>
    <row r="11" spans="2:19" s="273" customFormat="1" ht="30" customHeight="1">
      <c r="B11" s="272" t="s">
        <v>1210</v>
      </c>
      <c r="C11" s="272" t="str">
        <f>'P1PA-SS'!B97</f>
        <v>ATM-7</v>
      </c>
      <c r="D11" s="272"/>
      <c r="E11" s="350">
        <v>44211</v>
      </c>
    </row>
    <row r="12" spans="2:19">
      <c r="K12" s="168"/>
      <c r="L12" s="168"/>
      <c r="M12" s="168"/>
      <c r="N12" s="168"/>
      <c r="O12" s="168"/>
      <c r="P12" s="168"/>
      <c r="Q12" s="168"/>
      <c r="R12" s="168"/>
      <c r="S12" s="168"/>
    </row>
    <row r="13" spans="2:19">
      <c r="K13" s="168"/>
      <c r="L13" s="168"/>
      <c r="M13" s="168"/>
      <c r="N13" s="168"/>
      <c r="O13" s="168"/>
      <c r="P13" s="168"/>
      <c r="Q13" s="168"/>
      <c r="R13" s="168"/>
      <c r="S13" s="168"/>
    </row>
    <row r="14" spans="2:19" ht="21" customHeight="1">
      <c r="H14" s="407" t="s">
        <v>1230</v>
      </c>
      <c r="I14" s="414"/>
      <c r="J14" s="414"/>
      <c r="K14" s="168"/>
      <c r="L14" s="168"/>
      <c r="M14" s="168"/>
      <c r="N14" s="168"/>
      <c r="O14" s="168"/>
      <c r="P14" s="168"/>
      <c r="Q14" s="168"/>
      <c r="R14" s="168"/>
      <c r="S14" s="168"/>
    </row>
    <row r="15" spans="2:19" ht="63">
      <c r="H15" s="233" t="s">
        <v>1216</v>
      </c>
      <c r="I15" s="233" t="s">
        <v>1401</v>
      </c>
      <c r="J15" s="233" t="s">
        <v>1402</v>
      </c>
    </row>
    <row r="16" spans="2:19" ht="42">
      <c r="H16" s="233" t="s">
        <v>1217</v>
      </c>
      <c r="I16" s="233" t="s">
        <v>1403</v>
      </c>
      <c r="J16" s="233" t="s">
        <v>1404</v>
      </c>
    </row>
    <row r="17" spans="8:10" ht="42">
      <c r="H17" s="233" t="s">
        <v>1218</v>
      </c>
      <c r="I17" s="233" t="s">
        <v>1405</v>
      </c>
      <c r="J17" s="233" t="s">
        <v>1406</v>
      </c>
    </row>
    <row r="18" spans="8:10" ht="21">
      <c r="H18" s="233" t="s">
        <v>1219</v>
      </c>
      <c r="I18" s="233" t="s">
        <v>1231</v>
      </c>
      <c r="J18" s="233" t="s">
        <v>1232</v>
      </c>
    </row>
    <row r="19" spans="8:10" ht="42">
      <c r="H19" s="233" t="s">
        <v>1220</v>
      </c>
      <c r="I19" s="233" t="s">
        <v>1407</v>
      </c>
      <c r="J19" s="233" t="s">
        <v>1408</v>
      </c>
    </row>
    <row r="20" spans="8:10" ht="21" hidden="1" customHeight="1">
      <c r="H20" s="233" t="s">
        <v>1221</v>
      </c>
      <c r="I20" s="233"/>
      <c r="J20" s="233"/>
    </row>
    <row r="21" spans="8:10" ht="21" hidden="1" customHeight="1">
      <c r="H21" s="233" t="s">
        <v>1222</v>
      </c>
      <c r="I21" s="233"/>
      <c r="J21" s="233"/>
    </row>
    <row r="22" spans="8:10" ht="21" hidden="1" customHeight="1">
      <c r="H22" s="233" t="s">
        <v>1223</v>
      </c>
      <c r="I22" s="233"/>
      <c r="J22" s="233"/>
    </row>
    <row r="23" spans="8:10" ht="21" hidden="1" customHeight="1">
      <c r="H23" s="233" t="s">
        <v>1224</v>
      </c>
      <c r="I23" s="233"/>
      <c r="J23" s="233"/>
    </row>
    <row r="24" spans="8:10" ht="21" hidden="1" customHeight="1">
      <c r="H24" s="233" t="s">
        <v>1225</v>
      </c>
      <c r="I24" s="233"/>
      <c r="J24" s="233"/>
    </row>
    <row r="25" spans="8:10" ht="21" hidden="1" customHeight="1">
      <c r="H25" s="233" t="s">
        <v>1226</v>
      </c>
      <c r="I25" s="233"/>
      <c r="J25" s="233"/>
    </row>
    <row r="26" spans="8:10" ht="21" hidden="1" customHeight="1">
      <c r="H26" s="233" t="s">
        <v>1227</v>
      </c>
      <c r="I26" s="233"/>
      <c r="J26" s="233"/>
    </row>
    <row r="27" spans="8:10" ht="21" hidden="1" customHeight="1">
      <c r="H27" s="233" t="s">
        <v>1228</v>
      </c>
      <c r="I27" s="233"/>
      <c r="J27" s="233"/>
    </row>
    <row r="28" spans="8:10" ht="21" hidden="1" customHeight="1">
      <c r="H28" s="233"/>
      <c r="I28" s="233"/>
      <c r="J28" s="233"/>
    </row>
    <row r="29" spans="8:10" ht="15.5">
      <c r="H29" s="250"/>
      <c r="I29" s="251"/>
      <c r="J29" s="252"/>
    </row>
    <row r="30" spans="8:10" ht="21" customHeight="1">
      <c r="H30" s="407" t="s">
        <v>1229</v>
      </c>
      <c r="I30" s="414"/>
      <c r="J30" s="414"/>
    </row>
    <row r="31" spans="8:10" ht="42">
      <c r="H31" s="233" t="s">
        <v>1216</v>
      </c>
      <c r="I31" s="233" t="s">
        <v>1409</v>
      </c>
      <c r="J31" s="233" t="s">
        <v>1410</v>
      </c>
    </row>
    <row r="32" spans="8:10" ht="84">
      <c r="H32" s="233" t="s">
        <v>1217</v>
      </c>
      <c r="I32" s="233" t="s">
        <v>1411</v>
      </c>
      <c r="J32" s="233" t="s">
        <v>1412</v>
      </c>
    </row>
    <row r="33" spans="8:10" ht="84">
      <c r="H33" s="233" t="s">
        <v>1218</v>
      </c>
      <c r="I33" s="233" t="s">
        <v>1413</v>
      </c>
      <c r="J33" s="233" t="s">
        <v>1414</v>
      </c>
    </row>
    <row r="34" spans="8:10" ht="63">
      <c r="H34" s="233" t="s">
        <v>1219</v>
      </c>
      <c r="I34" s="233" t="s">
        <v>1415</v>
      </c>
      <c r="J34" s="233" t="s">
        <v>1416</v>
      </c>
    </row>
    <row r="35" spans="8:10" ht="84">
      <c r="H35" s="233" t="s">
        <v>1220</v>
      </c>
      <c r="I35" s="233" t="s">
        <v>1417</v>
      </c>
      <c r="J35" s="233" t="s">
        <v>1418</v>
      </c>
    </row>
    <row r="36" spans="8:10" ht="21" hidden="1">
      <c r="H36" s="233"/>
      <c r="I36" s="233"/>
      <c r="J36" s="233"/>
    </row>
    <row r="37" spans="8:10" ht="21" hidden="1">
      <c r="H37" s="233"/>
      <c r="I37" s="233"/>
      <c r="J37" s="233"/>
    </row>
    <row r="38" spans="8:10" ht="21" hidden="1">
      <c r="H38" s="233"/>
      <c r="I38" s="233"/>
      <c r="J38" s="233"/>
    </row>
    <row r="39" spans="8:10" ht="21" hidden="1">
      <c r="H39" s="233"/>
      <c r="I39" s="233"/>
      <c r="J39" s="233"/>
    </row>
    <row r="40" spans="8:10" ht="21" hidden="1">
      <c r="H40" s="233"/>
      <c r="I40" s="233"/>
      <c r="J40" s="233"/>
    </row>
    <row r="41" spans="8:10" ht="21" hidden="1">
      <c r="H41" s="233"/>
      <c r="I41" s="233"/>
      <c r="J41" s="233"/>
    </row>
    <row r="42" spans="8:10" ht="21" hidden="1">
      <c r="H42" s="233"/>
      <c r="I42" s="233"/>
      <c r="J42" s="233"/>
    </row>
    <row r="43" spans="8:10" ht="21" hidden="1">
      <c r="H43" s="233"/>
      <c r="I43" s="233"/>
      <c r="J43" s="233"/>
    </row>
    <row r="44" spans="8:10" ht="21" hidden="1">
      <c r="H44" s="233"/>
      <c r="I44" s="233"/>
      <c r="J44" s="233"/>
    </row>
    <row r="45" spans="8:10" ht="15.5">
      <c r="H45" s="248"/>
      <c r="I45" s="248"/>
      <c r="J45" s="249"/>
    </row>
    <row r="49" spans="2:4" ht="21">
      <c r="B49" s="231" t="s">
        <v>19</v>
      </c>
      <c r="C49" s="231" t="s">
        <v>963</v>
      </c>
      <c r="D49" s="231" t="s">
        <v>1239</v>
      </c>
    </row>
    <row r="50" spans="2:4" ht="21">
      <c r="B50" s="233" t="str">
        <f>'Agreement 3'!B28</f>
        <v>SponseSurname, A</v>
      </c>
      <c r="C50" s="233" t="s">
        <v>599</v>
      </c>
      <c r="D50" s="233" t="str">
        <f>'Agreement 3'!B16</f>
        <v>Company Full Name Ltd.</v>
      </c>
    </row>
    <row r="51" spans="2:4" ht="21">
      <c r="B51" s="233" t="str">
        <f>'P1PA-SS'!B86</f>
        <v>SiteCoordinator, A</v>
      </c>
      <c r="C51" s="233" t="str">
        <f>'P1PA-SS'!A86</f>
        <v>OU Coordinator</v>
      </c>
      <c r="D51" s="233" t="str">
        <f>'P1PA-SS'!D86</f>
        <v>Company Full Name Ltd.</v>
      </c>
    </row>
    <row r="52" spans="2:4" ht="21" hidden="1">
      <c r="B52" s="233"/>
      <c r="C52" s="233"/>
      <c r="D52" s="233"/>
    </row>
    <row r="53" spans="2:4" ht="21" hidden="1">
      <c r="B53" s="233"/>
      <c r="C53" s="233"/>
      <c r="D53" s="233"/>
    </row>
    <row r="54" spans="2:4" ht="21" hidden="1">
      <c r="B54" s="233"/>
      <c r="C54" s="233"/>
      <c r="D54" s="233"/>
    </row>
    <row r="56" spans="2:4" ht="21">
      <c r="B56" s="231" t="s">
        <v>19</v>
      </c>
      <c r="C56" s="231" t="s">
        <v>963</v>
      </c>
      <c r="D56" s="231" t="s">
        <v>1239</v>
      </c>
    </row>
    <row r="57" spans="2:4" ht="21">
      <c r="B57" s="233" t="str">
        <f>C4</f>
        <v>van Zyl, Pieter</v>
      </c>
      <c r="C57" s="233" t="str">
        <f>B4</f>
        <v>Appraisal team leader</v>
      </c>
      <c r="D57" s="233" t="str">
        <f>'Agreement 3'!B8</f>
        <v>Demix (Pty) Ltd</v>
      </c>
    </row>
    <row r="58" spans="2:4" ht="21">
      <c r="B58" s="233" t="str">
        <f>'P1PA-SS'!B87</f>
        <v>TranslatorSurname, A</v>
      </c>
      <c r="C58" s="233" t="str">
        <f>'P1PA-SS'!A87</f>
        <v>Registered Interpreter</v>
      </c>
      <c r="D58" s="233" t="str">
        <f>'P1PA-SS'!D87</f>
        <v>tbd</v>
      </c>
    </row>
    <row r="59" spans="2:4" ht="21">
      <c r="B59" s="233" t="str">
        <f>'P1PA-SS'!B91</f>
        <v>ATM-1</v>
      </c>
      <c r="C59" s="233" t="str">
        <f>'P1PA-SS'!A91</f>
        <v>Appraisal team member</v>
      </c>
      <c r="D59" s="233" t="str">
        <f>'P1PA-SS'!D91</f>
        <v>Demix (Pty) Ltd</v>
      </c>
    </row>
    <row r="60" spans="2:4" ht="21">
      <c r="B60" s="233" t="str">
        <f>'P1PA-SS'!B92</f>
        <v>ATM-2</v>
      </c>
      <c r="C60" s="233" t="str">
        <f>'P1PA-SS'!A92</f>
        <v>Appraisal team member</v>
      </c>
      <c r="D60" s="233" t="str">
        <f>'P1PA-SS'!D92</f>
        <v>Demix (Pty) Ltd</v>
      </c>
    </row>
    <row r="61" spans="2:4" ht="21">
      <c r="B61" s="233" t="str">
        <f>'P1PA-SS'!B93</f>
        <v>ATM-3</v>
      </c>
      <c r="C61" s="233" t="str">
        <f>'P1PA-SS'!A93</f>
        <v>Appraisal team member</v>
      </c>
      <c r="D61" s="233" t="str">
        <f>'P1PA-SS'!D93</f>
        <v>Demix (Pty) Ltd</v>
      </c>
    </row>
    <row r="62" spans="2:4" ht="21">
      <c r="B62" s="233" t="str">
        <f>'P1PA-SS'!B94</f>
        <v>ATM-4</v>
      </c>
      <c r="C62" s="233" t="str">
        <f>'P1PA-SS'!A94</f>
        <v>Appraisal team member</v>
      </c>
      <c r="D62" s="233" t="str">
        <f>'P1PA-SS'!D94</f>
        <v>Demix (Pty) Ltd</v>
      </c>
    </row>
    <row r="63" spans="2:4" ht="21">
      <c r="B63" s="233" t="str">
        <f>'P1PA-SS'!B95</f>
        <v>ATM-5</v>
      </c>
      <c r="C63" s="233" t="str">
        <f>'P1PA-SS'!A95</f>
        <v>Appraisal team member</v>
      </c>
      <c r="D63" s="233" t="str">
        <f>'P1PA-SS'!D95</f>
        <v>Demix (Pty) Ltd</v>
      </c>
    </row>
    <row r="64" spans="2:4" ht="21">
      <c r="B64" s="233" t="str">
        <f>'P1PA-SS'!B96</f>
        <v>ATM-6</v>
      </c>
      <c r="C64" s="233" t="str">
        <f>'P1PA-SS'!A96</f>
        <v>Appraisal team member</v>
      </c>
      <c r="D64" s="233" t="str">
        <f>'P1PA-SS'!D96</f>
        <v>Demix (Pty) Ltd</v>
      </c>
    </row>
    <row r="65" spans="2:4" ht="21">
      <c r="B65" s="233" t="str">
        <f>'P1PA-SS'!B97</f>
        <v>ATM-7</v>
      </c>
      <c r="C65" s="233" t="str">
        <f>'P1PA-SS'!A97</f>
        <v>Appraisal team member</v>
      </c>
      <c r="D65" s="233" t="str">
        <f>'P1PA-SS'!D97</f>
        <v>Demix (Pty) Ltd</v>
      </c>
    </row>
    <row r="66" spans="2:4" ht="21" hidden="1">
      <c r="B66" s="233"/>
      <c r="C66" s="233"/>
      <c r="D66" s="233"/>
    </row>
    <row r="107" spans="8:10" s="171" customFormat="1">
      <c r="H107" s="9"/>
      <c r="I107" s="9"/>
      <c r="J107" s="9"/>
    </row>
    <row r="108" spans="8:10" s="171" customFormat="1">
      <c r="H108" s="9"/>
      <c r="I108" s="9"/>
      <c r="J108" s="9"/>
    </row>
    <row r="119" spans="8:10">
      <c r="H119" s="171"/>
      <c r="I119" s="171"/>
      <c r="J119" s="171"/>
    </row>
    <row r="120" spans="8:10">
      <c r="H120" s="171"/>
      <c r="I120" s="171"/>
      <c r="J120" s="171"/>
    </row>
  </sheetData>
  <mergeCells count="2">
    <mergeCell ref="H14:J14"/>
    <mergeCell ref="H30:J30"/>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9"/>
  <sheetViews>
    <sheetView topLeftCell="A10" workbookViewId="0">
      <selection activeCell="B21" sqref="B21"/>
    </sheetView>
  </sheetViews>
  <sheetFormatPr defaultColWidth="9.1796875" defaultRowHeight="13"/>
  <cols>
    <col min="1" max="1" width="10.7265625" style="257" customWidth="1"/>
    <col min="2" max="2" width="35.81640625" style="257" customWidth="1"/>
    <col min="3" max="3" width="7.7265625" style="256" customWidth="1"/>
    <col min="4" max="4" width="100.1796875" style="257" customWidth="1"/>
    <col min="5" max="5" width="13.1796875" style="257" customWidth="1"/>
    <col min="6" max="16384" width="9.1796875" style="257"/>
  </cols>
  <sheetData>
    <row r="1" spans="1:5" s="258" customFormat="1" ht="42">
      <c r="A1" s="231" t="s">
        <v>1233</v>
      </c>
      <c r="B1" s="231" t="s">
        <v>1235</v>
      </c>
      <c r="C1" s="262" t="s">
        <v>1234</v>
      </c>
      <c r="D1" s="231" t="s">
        <v>388</v>
      </c>
      <c r="E1" s="231" t="s">
        <v>1238</v>
      </c>
    </row>
    <row r="2" spans="1:5" ht="21">
      <c r="A2" s="416" t="str">
        <f>_xlfn.CONCAT('P1PA-SS'!B138,"(",'P1PA-SS'!B139,")")</f>
        <v>All projects(AP)</v>
      </c>
      <c r="B2" s="264" t="str">
        <f>'Project&amp;Support'!B3</f>
        <v>p1ProjectNameA</v>
      </c>
      <c r="C2" s="265">
        <f>'Project&amp;Support'!AB3</f>
        <v>8</v>
      </c>
      <c r="D2" s="264" t="str">
        <f>'Project&amp;Support'!C3</f>
        <v>Project A description</v>
      </c>
      <c r="E2" s="416" t="str">
        <f>_xlfn.CONCAT(StartupInfo!B5,", ",StartupInfo!B6,", ",StartupInfo!B7,CHAR(13),CHAR(10),StartupInfo!B8,", ",StartupInfo!B9)</f>
        <v>Room 1, West Block, High-Tech Plaza, Some Street, Some District, Shenzhen_x000D_
Guangdong, 200080</v>
      </c>
    </row>
    <row r="3" spans="1:5" ht="21">
      <c r="A3" s="417"/>
      <c r="B3" s="264" t="str">
        <f>'Project&amp;Support'!B4</f>
        <v>p2ProjectNameB</v>
      </c>
      <c r="C3" s="265">
        <f>'Project&amp;Support'!AB4</f>
        <v>7</v>
      </c>
      <c r="D3" s="264" t="str">
        <f>'Project&amp;Support'!C4</f>
        <v>Project B description</v>
      </c>
      <c r="E3" s="417"/>
    </row>
    <row r="4" spans="1:5" ht="21">
      <c r="A4" s="417"/>
      <c r="B4" s="264" t="str">
        <f>'Project&amp;Support'!B5</f>
        <v>p3ProjectNameC</v>
      </c>
      <c r="C4" s="265">
        <f>'Project&amp;Support'!AB5</f>
        <v>8</v>
      </c>
      <c r="D4" s="264" t="str">
        <f>'Project&amp;Support'!C5</f>
        <v>Project C description</v>
      </c>
      <c r="E4" s="417"/>
    </row>
    <row r="5" spans="1:5" ht="21">
      <c r="A5" s="417"/>
      <c r="B5" s="264" t="str">
        <f>'Project&amp;Support'!B6</f>
        <v>p4PRojectNameD</v>
      </c>
      <c r="C5" s="265">
        <f>'Project&amp;Support'!AB6</f>
        <v>7</v>
      </c>
      <c r="D5" s="264" t="str">
        <f>'Project&amp;Support'!C6</f>
        <v>Project E description</v>
      </c>
      <c r="E5" s="417"/>
    </row>
    <row r="6" spans="1:5" ht="21">
      <c r="A6" s="417"/>
      <c r="B6" s="264" t="str">
        <f>'Project&amp;Support'!B7</f>
        <v>p5ProjectNameE</v>
      </c>
      <c r="C6" s="265">
        <f>'Project&amp;Support'!AB7</f>
        <v>7</v>
      </c>
      <c r="D6" s="264" t="str">
        <f>'Project&amp;Support'!C7</f>
        <v>Project F description</v>
      </c>
      <c r="E6" s="417"/>
    </row>
    <row r="7" spans="1:5" ht="21">
      <c r="A7" s="418"/>
      <c r="B7" s="264" t="str">
        <f>'Project&amp;Support'!B8</f>
        <v>p6ProjectNameF</v>
      </c>
      <c r="C7" s="265">
        <f>'Project&amp;Support'!AB8</f>
        <v>7</v>
      </c>
      <c r="D7" s="264" t="str">
        <f>'Project&amp;Support'!C8</f>
        <v>Project G description</v>
      </c>
      <c r="E7" s="418"/>
    </row>
    <row r="8" spans="1:5" ht="42" hidden="1">
      <c r="A8" s="264">
        <f t="shared" ref="A8:A9" si="0">A7</f>
        <v>0</v>
      </c>
      <c r="B8" s="264" t="str">
        <f>'Project&amp;Support'!B9</f>
        <v>s1CM</v>
      </c>
      <c r="C8" s="265">
        <f>'Project&amp;Support'!AB9</f>
        <v>1</v>
      </c>
      <c r="D8" s="264" t="str">
        <f>'Project&amp;Support'!C9</f>
        <v>The Configuration Management (CM) function, manages baselines for projects and the organisation.</v>
      </c>
    </row>
    <row r="9" spans="1:5" ht="84" hidden="1">
      <c r="A9" s="264">
        <f t="shared" si="0"/>
        <v>0</v>
      </c>
      <c r="B9" s="264" t="str">
        <f>'Project&amp;Support'!B10</f>
        <v>s2EPG/MA</v>
      </c>
      <c r="C9" s="265">
        <f>'Project&amp;Support'!AB10</f>
        <v>1</v>
      </c>
      <c r="D9"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row>
    <row r="11" spans="1:5" s="258" customFormat="1" ht="42">
      <c r="A11" s="231" t="s">
        <v>1233</v>
      </c>
      <c r="B11" s="231" t="s">
        <v>1236</v>
      </c>
      <c r="C11" s="262" t="s">
        <v>1234</v>
      </c>
      <c r="D11" s="231" t="s">
        <v>388</v>
      </c>
      <c r="E11" s="231"/>
    </row>
    <row r="12" spans="1:5" ht="42" customHeight="1">
      <c r="A12" s="415" t="s">
        <v>1237</v>
      </c>
      <c r="B12" s="264" t="str">
        <f>'Project&amp;Support'!B9</f>
        <v>s1CM</v>
      </c>
      <c r="C12" s="266">
        <f>'Project&amp;Support'!AB9</f>
        <v>1</v>
      </c>
      <c r="D12" s="264" t="str">
        <f>'Project&amp;Support'!C9</f>
        <v>The Configuration Management (CM) function, manages baselines for projects and the organisation.</v>
      </c>
      <c r="E12" s="419" t="str">
        <f>StartupInfo!B11</f>
        <v>Room 1, West Block, High-Tech Plaza, Some Street, Some District, Shenzhen, Guangdong, 200080, China</v>
      </c>
    </row>
    <row r="13" spans="1:5" ht="84">
      <c r="A13" s="415"/>
      <c r="B13" s="264" t="str">
        <f>'Project&amp;Support'!B10</f>
        <v>s2EPG/MA</v>
      </c>
      <c r="C13" s="266">
        <f>'Project&amp;Support'!AB10</f>
        <v>1</v>
      </c>
      <c r="D13"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3" s="419"/>
    </row>
    <row r="14" spans="1:5" ht="63">
      <c r="A14" s="415"/>
      <c r="B14" s="264" t="str">
        <f>'Project&amp;Support'!B11</f>
        <v>s3HR</v>
      </c>
      <c r="C14" s="266">
        <f>'Project&amp;Support'!AB11</f>
        <v>1</v>
      </c>
      <c r="D14" s="264" t="str">
        <f>'Project&amp;Support'!C11</f>
        <v>The Human Resources (HR) function is responsible for training, skills and knowledge management. It maintains the records of staff training and training evaluation.</v>
      </c>
      <c r="E14" s="419"/>
    </row>
    <row r="15" spans="1:5" ht="42">
      <c r="A15" s="415"/>
      <c r="B15" s="264" t="str">
        <f>'Project&amp;Support'!B12</f>
        <v>s4PPQA</v>
      </c>
      <c r="C15" s="266">
        <f>'Project&amp;Support'!AB12</f>
        <v>1</v>
      </c>
      <c r="D15" s="264" t="str">
        <f>'Project&amp;Support'!C12</f>
        <v xml:space="preserve">The Process and Product Quality Assurance (PPQA) team manage and performs process quality assurance. </v>
      </c>
      <c r="E15" s="419"/>
    </row>
    <row r="16" spans="1:5" ht="21" hidden="1" customHeight="1">
      <c r="A16" s="415"/>
      <c r="B16" s="264"/>
      <c r="C16" s="266"/>
      <c r="D16" s="264"/>
      <c r="E16" s="259"/>
    </row>
    <row r="17" spans="1:5" ht="21" hidden="1" customHeight="1">
      <c r="A17" s="415"/>
      <c r="B17" s="264"/>
      <c r="C17" s="266"/>
      <c r="D17" s="264"/>
      <c r="E17" s="259"/>
    </row>
    <row r="18" spans="1:5">
      <c r="A18" s="261"/>
      <c r="B18" s="260"/>
      <c r="C18" s="263"/>
      <c r="D18" s="260"/>
      <c r="E18" s="260"/>
    </row>
    <row r="19" spans="1:5">
      <c r="A19" s="267"/>
      <c r="B19" s="267"/>
      <c r="C19" s="268"/>
      <c r="D19" s="267"/>
      <c r="E19" s="267"/>
    </row>
  </sheetData>
  <mergeCells count="4">
    <mergeCell ref="A12:A17"/>
    <mergeCell ref="A2:A7"/>
    <mergeCell ref="E12:E15"/>
    <mergeCell ref="E2:E7"/>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55" zoomScaleNormal="55" workbookViewId="0">
      <selection activeCell="E12" sqref="E12"/>
    </sheetView>
  </sheetViews>
  <sheetFormatPr defaultColWidth="8.7265625" defaultRowHeight="14.5"/>
  <cols>
    <col min="1" max="22" width="8.7265625" style="224"/>
    <col min="23" max="23" width="8.7265625" style="224" hidden="1" customWidth="1"/>
    <col min="24" max="16384" width="8.7265625" style="224"/>
  </cols>
  <sheetData>
    <row r="2" spans="2:28" ht="93">
      <c r="B2" s="433" t="s">
        <v>1185</v>
      </c>
      <c r="C2" s="433" t="s">
        <v>1186</v>
      </c>
      <c r="D2" s="424" t="s">
        <v>1187</v>
      </c>
      <c r="E2" s="426"/>
      <c r="F2" s="427" t="s">
        <v>1188</v>
      </c>
      <c r="G2" s="429"/>
      <c r="H2" s="424" t="s">
        <v>1189</v>
      </c>
      <c r="I2" s="425"/>
      <c r="J2" s="425"/>
      <c r="K2" s="426"/>
      <c r="L2" s="427" t="s">
        <v>1190</v>
      </c>
      <c r="M2" s="428"/>
      <c r="N2" s="429"/>
      <c r="O2" s="240" t="s">
        <v>1191</v>
      </c>
      <c r="P2" s="241" t="s">
        <v>1192</v>
      </c>
      <c r="Q2" s="424" t="s">
        <v>1193</v>
      </c>
      <c r="R2" s="425"/>
      <c r="S2" s="426"/>
      <c r="T2" s="427" t="s">
        <v>1194</v>
      </c>
      <c r="U2" s="428"/>
      <c r="V2" s="429"/>
      <c r="W2" s="237" t="s">
        <v>1195</v>
      </c>
    </row>
    <row r="3" spans="2:28" ht="15.5">
      <c r="B3" s="434"/>
      <c r="C3" s="434"/>
      <c r="D3" s="345" t="s">
        <v>965</v>
      </c>
      <c r="E3" s="345" t="s">
        <v>966</v>
      </c>
      <c r="F3" s="346" t="s">
        <v>938</v>
      </c>
      <c r="G3" s="346" t="s">
        <v>937</v>
      </c>
      <c r="H3" s="345" t="s">
        <v>939</v>
      </c>
      <c r="I3" s="345" t="s">
        <v>941</v>
      </c>
      <c r="J3" s="345" t="s">
        <v>889</v>
      </c>
      <c r="K3" s="345" t="s">
        <v>940</v>
      </c>
      <c r="L3" s="346" t="s">
        <v>944</v>
      </c>
      <c r="M3" s="346" t="s">
        <v>943</v>
      </c>
      <c r="N3" s="346" t="s">
        <v>942</v>
      </c>
      <c r="O3" s="345" t="s">
        <v>945</v>
      </c>
      <c r="P3" s="346" t="s">
        <v>805</v>
      </c>
      <c r="Q3" s="345" t="s">
        <v>947</v>
      </c>
      <c r="R3" s="345" t="s">
        <v>948</v>
      </c>
      <c r="S3" s="345" t="s">
        <v>946</v>
      </c>
      <c r="T3" s="346" t="s">
        <v>949</v>
      </c>
      <c r="U3" s="346" t="s">
        <v>950</v>
      </c>
      <c r="V3" s="346" t="s">
        <v>803</v>
      </c>
      <c r="W3" s="237" t="s">
        <v>951</v>
      </c>
    </row>
    <row r="4" spans="2:28" ht="12" customHeight="1">
      <c r="B4" s="231"/>
      <c r="C4" s="231"/>
      <c r="D4" s="231"/>
      <c r="E4" s="231"/>
      <c r="F4" s="231"/>
      <c r="G4" s="231"/>
      <c r="H4" s="231"/>
      <c r="I4" s="231"/>
      <c r="J4" s="231"/>
      <c r="K4" s="231"/>
      <c r="L4" s="231"/>
      <c r="M4" s="231"/>
      <c r="N4" s="231"/>
      <c r="O4" s="231"/>
      <c r="P4" s="231"/>
      <c r="Q4" s="231"/>
      <c r="R4" s="231"/>
      <c r="S4" s="231"/>
      <c r="T4" s="231"/>
      <c r="U4" s="231"/>
      <c r="V4" s="231"/>
      <c r="W4" s="225"/>
    </row>
    <row r="5" spans="2:28" ht="15.5">
      <c r="B5" s="430" t="s">
        <v>1196</v>
      </c>
      <c r="C5" s="244"/>
      <c r="D5" s="348" t="s">
        <v>1200</v>
      </c>
      <c r="E5" s="348" t="s">
        <v>1200</v>
      </c>
      <c r="F5" s="348" t="s">
        <v>1200</v>
      </c>
      <c r="G5" s="348" t="s">
        <v>1200</v>
      </c>
      <c r="H5" s="348" t="s">
        <v>1200</v>
      </c>
      <c r="I5" s="348" t="s">
        <v>1200</v>
      </c>
      <c r="J5" s="348" t="s">
        <v>1200</v>
      </c>
      <c r="K5" s="348" t="s">
        <v>1200</v>
      </c>
      <c r="L5" s="348" t="s">
        <v>1200</v>
      </c>
      <c r="M5" s="348" t="s">
        <v>1200</v>
      </c>
      <c r="N5" s="348" t="s">
        <v>1200</v>
      </c>
      <c r="O5" s="348" t="s">
        <v>1200</v>
      </c>
      <c r="P5" s="348" t="s">
        <v>1200</v>
      </c>
      <c r="Q5" s="348" t="s">
        <v>1200</v>
      </c>
      <c r="R5" s="348" t="s">
        <v>1200</v>
      </c>
      <c r="S5" s="348" t="s">
        <v>1200</v>
      </c>
      <c r="T5" s="348" t="s">
        <v>1200</v>
      </c>
      <c r="U5" s="348" t="s">
        <v>1200</v>
      </c>
      <c r="V5" s="348" t="s">
        <v>1200</v>
      </c>
      <c r="W5" s="225" t="s">
        <v>1201</v>
      </c>
    </row>
    <row r="6" spans="2:28" ht="15.5">
      <c r="B6" s="431"/>
      <c r="C6" s="346">
        <v>1.1000000000000001</v>
      </c>
      <c r="D6" s="349" t="s">
        <v>1197</v>
      </c>
      <c r="E6" s="349" t="s">
        <v>1197</v>
      </c>
      <c r="F6" s="349" t="s">
        <v>1197</v>
      </c>
      <c r="G6" s="349" t="s">
        <v>1197</v>
      </c>
      <c r="H6" s="349" t="s">
        <v>1197</v>
      </c>
      <c r="I6" s="349" t="s">
        <v>1197</v>
      </c>
      <c r="J6" s="349" t="s">
        <v>1197</v>
      </c>
      <c r="K6" s="349" t="s">
        <v>1197</v>
      </c>
      <c r="L6" s="349" t="s">
        <v>1197</v>
      </c>
      <c r="M6" s="349" t="s">
        <v>1197</v>
      </c>
      <c r="N6" s="349" t="s">
        <v>1197</v>
      </c>
      <c r="O6" s="349" t="s">
        <v>1197</v>
      </c>
      <c r="P6" s="349" t="s">
        <v>1197</v>
      </c>
      <c r="Q6" s="349" t="s">
        <v>1198</v>
      </c>
      <c r="R6" s="349" t="s">
        <v>1197</v>
      </c>
      <c r="S6" s="349" t="s">
        <v>1197</v>
      </c>
      <c r="T6" s="349" t="s">
        <v>1197</v>
      </c>
      <c r="U6" s="349" t="s">
        <v>1197</v>
      </c>
      <c r="V6" s="349" t="s">
        <v>1197</v>
      </c>
      <c r="W6" s="225" t="s">
        <v>1199</v>
      </c>
      <c r="Z6" s="224" t="s">
        <v>1197</v>
      </c>
      <c r="AB6" s="224" t="s">
        <v>1200</v>
      </c>
    </row>
    <row r="7" spans="2:28" ht="15.5">
      <c r="B7" s="431"/>
      <c r="C7" s="346">
        <v>1.2</v>
      </c>
      <c r="D7" s="349"/>
      <c r="E7" s="349"/>
      <c r="F7" s="349"/>
      <c r="G7" s="349"/>
      <c r="H7" s="349"/>
      <c r="I7" s="349" t="s">
        <v>1197</v>
      </c>
      <c r="J7" s="349"/>
      <c r="K7" s="349"/>
      <c r="L7" s="349" t="s">
        <v>1197</v>
      </c>
      <c r="M7" s="349"/>
      <c r="N7" s="349" t="s">
        <v>1197</v>
      </c>
      <c r="O7" s="349"/>
      <c r="P7" s="349"/>
      <c r="Q7" s="349" t="s">
        <v>1197</v>
      </c>
      <c r="R7" s="349" t="s">
        <v>1197</v>
      </c>
      <c r="S7" s="349"/>
      <c r="T7" s="349" t="s">
        <v>1400</v>
      </c>
      <c r="U7" s="349" t="s">
        <v>1197</v>
      </c>
      <c r="V7" s="349" t="s">
        <v>1400</v>
      </c>
      <c r="W7" s="225" t="s">
        <v>971</v>
      </c>
      <c r="Z7" s="224" t="s">
        <v>1198</v>
      </c>
      <c r="AB7" s="224" t="s">
        <v>1201</v>
      </c>
    </row>
    <row r="8" spans="2:28" ht="15.5">
      <c r="B8" s="431"/>
      <c r="C8" s="346">
        <v>1.3</v>
      </c>
      <c r="D8" s="349"/>
      <c r="E8" s="349"/>
      <c r="F8" s="349"/>
      <c r="G8" s="349"/>
      <c r="H8" s="349"/>
      <c r="I8" s="349"/>
      <c r="J8" s="349"/>
      <c r="K8" s="349"/>
      <c r="L8" s="349" t="s">
        <v>1197</v>
      </c>
      <c r="M8" s="349"/>
      <c r="N8" s="349"/>
      <c r="O8" s="349"/>
      <c r="P8" s="349"/>
      <c r="Q8" s="349"/>
      <c r="R8" s="349"/>
      <c r="S8" s="349"/>
      <c r="T8" s="349"/>
      <c r="U8" s="349"/>
      <c r="V8" s="349"/>
      <c r="W8" s="225" t="s">
        <v>1198</v>
      </c>
      <c r="Z8" s="224" t="s">
        <v>971</v>
      </c>
    </row>
    <row r="9" spans="2:28" ht="15.5">
      <c r="B9" s="432"/>
      <c r="C9" s="346">
        <v>1.4</v>
      </c>
      <c r="D9" s="349"/>
      <c r="E9" s="349"/>
      <c r="F9" s="349" t="s">
        <v>1400</v>
      </c>
      <c r="G9" s="349" t="s">
        <v>1400</v>
      </c>
      <c r="H9" s="349" t="s">
        <v>1400</v>
      </c>
      <c r="I9" s="349" t="s">
        <v>1400</v>
      </c>
      <c r="J9" s="349" t="s">
        <v>1400</v>
      </c>
      <c r="K9" s="349" t="s">
        <v>1400</v>
      </c>
      <c r="L9" s="349"/>
      <c r="M9" s="349" t="s">
        <v>1400</v>
      </c>
      <c r="N9" s="349" t="s">
        <v>1400</v>
      </c>
      <c r="O9" s="349" t="s">
        <v>1400</v>
      </c>
      <c r="P9" s="349" t="s">
        <v>1400</v>
      </c>
      <c r="Q9" s="349" t="s">
        <v>1400</v>
      </c>
      <c r="R9" s="349" t="s">
        <v>1400</v>
      </c>
      <c r="S9" s="349" t="s">
        <v>1400</v>
      </c>
      <c r="T9" s="349" t="s">
        <v>1400</v>
      </c>
      <c r="U9" s="349" t="s">
        <v>1400</v>
      </c>
      <c r="V9" s="349" t="s">
        <v>1400</v>
      </c>
      <c r="W9" s="225" t="s">
        <v>1198</v>
      </c>
      <c r="Z9" s="224" t="s">
        <v>971</v>
      </c>
    </row>
    <row r="10" spans="2:28" ht="12" customHeight="1">
      <c r="B10" s="231"/>
      <c r="C10" s="231"/>
      <c r="D10" s="231"/>
      <c r="E10" s="231"/>
      <c r="F10" s="231"/>
      <c r="G10" s="231"/>
      <c r="H10" s="231"/>
      <c r="I10" s="231"/>
      <c r="J10" s="231"/>
      <c r="K10" s="231"/>
      <c r="L10" s="231"/>
      <c r="M10" s="231"/>
      <c r="N10" s="231"/>
      <c r="O10" s="231"/>
      <c r="P10" s="231"/>
      <c r="Q10" s="231"/>
      <c r="R10" s="231"/>
      <c r="S10" s="231"/>
      <c r="T10" s="231"/>
      <c r="U10" s="231"/>
      <c r="V10" s="231"/>
      <c r="W10" s="238"/>
      <c r="Z10" s="224" t="s">
        <v>1199</v>
      </c>
    </row>
    <row r="11" spans="2:28" ht="15.5">
      <c r="B11" s="430" t="s">
        <v>1202</v>
      </c>
      <c r="C11" s="244"/>
      <c r="D11" s="347" t="s">
        <v>1200</v>
      </c>
      <c r="E11" s="347" t="s">
        <v>1200</v>
      </c>
      <c r="F11" s="347" t="s">
        <v>1200</v>
      </c>
      <c r="G11" s="347" t="s">
        <v>1200</v>
      </c>
      <c r="H11" s="347" t="s">
        <v>1200</v>
      </c>
      <c r="I11" s="347" t="s">
        <v>1200</v>
      </c>
      <c r="J11" s="347" t="s">
        <v>1200</v>
      </c>
      <c r="K11" s="347" t="s">
        <v>1200</v>
      </c>
      <c r="L11" s="347" t="s">
        <v>1200</v>
      </c>
      <c r="M11" s="347" t="s">
        <v>1200</v>
      </c>
      <c r="N11" s="347" t="s">
        <v>1200</v>
      </c>
      <c r="O11" s="347" t="s">
        <v>1200</v>
      </c>
      <c r="P11" s="347" t="s">
        <v>1200</v>
      </c>
      <c r="Q11" s="347" t="s">
        <v>1200</v>
      </c>
      <c r="R11" s="347" t="s">
        <v>1200</v>
      </c>
      <c r="S11" s="347" t="s">
        <v>1200</v>
      </c>
      <c r="T11" s="347" t="s">
        <v>1200</v>
      </c>
      <c r="U11" s="347" t="s">
        <v>1200</v>
      </c>
      <c r="V11" s="347" t="s">
        <v>1200</v>
      </c>
      <c r="W11" s="225"/>
      <c r="Z11" s="224" t="s">
        <v>1203</v>
      </c>
    </row>
    <row r="12" spans="2:28" ht="15.5">
      <c r="B12" s="431"/>
      <c r="C12" s="346">
        <v>2.1</v>
      </c>
      <c r="D12" s="244" t="s">
        <v>1197</v>
      </c>
      <c r="E12" s="244" t="s">
        <v>1198</v>
      </c>
      <c r="F12" s="244" t="s">
        <v>1197</v>
      </c>
      <c r="G12" s="244" t="s">
        <v>1197</v>
      </c>
      <c r="H12" s="244" t="s">
        <v>1197</v>
      </c>
      <c r="I12" s="244" t="s">
        <v>1197</v>
      </c>
      <c r="J12" s="244" t="s">
        <v>1197</v>
      </c>
      <c r="K12" s="244" t="s">
        <v>1197</v>
      </c>
      <c r="L12" s="244" t="s">
        <v>1197</v>
      </c>
      <c r="M12" s="244" t="s">
        <v>1197</v>
      </c>
      <c r="N12" s="244" t="s">
        <v>1197</v>
      </c>
      <c r="O12" s="244" t="s">
        <v>1197</v>
      </c>
      <c r="P12" s="244" t="s">
        <v>1197</v>
      </c>
      <c r="Q12" s="244" t="s">
        <v>1197</v>
      </c>
      <c r="R12" s="244" t="s">
        <v>1197</v>
      </c>
      <c r="S12" s="244" t="s">
        <v>1197</v>
      </c>
      <c r="T12" s="244" t="s">
        <v>1197</v>
      </c>
      <c r="U12" s="244" t="s">
        <v>1197</v>
      </c>
      <c r="V12" s="244" t="s">
        <v>1197</v>
      </c>
      <c r="W12" s="225" t="s">
        <v>1199</v>
      </c>
    </row>
    <row r="13" spans="2:28" ht="15.5">
      <c r="B13" s="431"/>
      <c r="C13" s="346">
        <v>2.2000000000000002</v>
      </c>
      <c r="D13" s="244" t="s">
        <v>1197</v>
      </c>
      <c r="E13" s="244" t="s">
        <v>1197</v>
      </c>
      <c r="F13" s="244" t="s">
        <v>1197</v>
      </c>
      <c r="G13" s="244" t="s">
        <v>1197</v>
      </c>
      <c r="H13" s="244" t="s">
        <v>1197</v>
      </c>
      <c r="I13" s="244" t="s">
        <v>1197</v>
      </c>
      <c r="J13" s="244" t="s">
        <v>1197</v>
      </c>
      <c r="K13" s="244" t="s">
        <v>1197</v>
      </c>
      <c r="L13" s="244" t="s">
        <v>1197</v>
      </c>
      <c r="M13" s="244" t="s">
        <v>1197</v>
      </c>
      <c r="N13" s="244" t="s">
        <v>1197</v>
      </c>
      <c r="O13" s="244" t="s">
        <v>1197</v>
      </c>
      <c r="P13" s="244" t="s">
        <v>1197</v>
      </c>
      <c r="Q13" s="244" t="s">
        <v>1197</v>
      </c>
      <c r="R13" s="244" t="s">
        <v>1197</v>
      </c>
      <c r="S13" s="244" t="s">
        <v>1197</v>
      </c>
      <c r="T13" s="244" t="s">
        <v>1197</v>
      </c>
      <c r="U13" s="244" t="s">
        <v>1197</v>
      </c>
      <c r="V13" s="244" t="s">
        <v>1197</v>
      </c>
      <c r="W13" s="225" t="s">
        <v>1199</v>
      </c>
    </row>
    <row r="14" spans="2:28" ht="15.5">
      <c r="B14" s="431"/>
      <c r="C14" s="346">
        <v>2.2999999999999998</v>
      </c>
      <c r="D14" s="244" t="s">
        <v>1197</v>
      </c>
      <c r="E14" s="244"/>
      <c r="F14" s="244" t="s">
        <v>1197</v>
      </c>
      <c r="G14" s="244" t="s">
        <v>1197</v>
      </c>
      <c r="H14" s="244" t="s">
        <v>1197</v>
      </c>
      <c r="I14" s="244" t="s">
        <v>1197</v>
      </c>
      <c r="J14" s="244" t="s">
        <v>1197</v>
      </c>
      <c r="K14" s="244" t="s">
        <v>1197</v>
      </c>
      <c r="L14" s="244" t="s">
        <v>1400</v>
      </c>
      <c r="M14" s="244" t="s">
        <v>1197</v>
      </c>
      <c r="N14" s="244" t="s">
        <v>1197</v>
      </c>
      <c r="O14" s="244" t="s">
        <v>1400</v>
      </c>
      <c r="P14" s="244" t="s">
        <v>1400</v>
      </c>
      <c r="Q14" s="244" t="s">
        <v>1197</v>
      </c>
      <c r="R14" s="244" t="s">
        <v>1197</v>
      </c>
      <c r="S14" s="244" t="s">
        <v>1197</v>
      </c>
      <c r="T14" s="244" t="s">
        <v>1400</v>
      </c>
      <c r="U14" s="244" t="s">
        <v>1197</v>
      </c>
      <c r="V14" s="244" t="s">
        <v>1197</v>
      </c>
      <c r="W14" s="225" t="s">
        <v>1197</v>
      </c>
    </row>
    <row r="15" spans="2:28" ht="15.5">
      <c r="B15" s="431"/>
      <c r="C15" s="346">
        <v>2.4</v>
      </c>
      <c r="D15" s="244" t="s">
        <v>1197</v>
      </c>
      <c r="E15" s="244"/>
      <c r="F15" s="244" t="s">
        <v>1400</v>
      </c>
      <c r="G15" s="244" t="s">
        <v>1197</v>
      </c>
      <c r="H15" s="244" t="s">
        <v>1197</v>
      </c>
      <c r="I15" s="244" t="s">
        <v>1400</v>
      </c>
      <c r="J15" s="244" t="s">
        <v>1197</v>
      </c>
      <c r="K15" s="244" t="s">
        <v>1197</v>
      </c>
      <c r="L15" s="244" t="s">
        <v>1400</v>
      </c>
      <c r="M15" s="244" t="s">
        <v>1400</v>
      </c>
      <c r="N15" s="244" t="s">
        <v>1197</v>
      </c>
      <c r="O15" s="244" t="s">
        <v>1400</v>
      </c>
      <c r="P15" s="244" t="s">
        <v>1400</v>
      </c>
      <c r="Q15" s="244" t="s">
        <v>1197</v>
      </c>
      <c r="R15" s="244" t="s">
        <v>1197</v>
      </c>
      <c r="S15" s="244"/>
      <c r="T15" s="244" t="s">
        <v>1400</v>
      </c>
      <c r="U15" s="244" t="s">
        <v>1197</v>
      </c>
      <c r="V15" s="244" t="s">
        <v>1197</v>
      </c>
      <c r="W15" s="225" t="s">
        <v>1198</v>
      </c>
    </row>
    <row r="16" spans="2:28" ht="15.5">
      <c r="B16" s="431"/>
      <c r="C16" s="346">
        <v>2.5</v>
      </c>
      <c r="D16" s="244"/>
      <c r="E16" s="244"/>
      <c r="F16" s="244" t="s">
        <v>1400</v>
      </c>
      <c r="G16" s="244" t="s">
        <v>1197</v>
      </c>
      <c r="H16" s="244" t="s">
        <v>1400</v>
      </c>
      <c r="I16" s="244" t="s">
        <v>1400</v>
      </c>
      <c r="J16" s="244" t="s">
        <v>1400</v>
      </c>
      <c r="K16" s="244" t="s">
        <v>1197</v>
      </c>
      <c r="L16" s="244" t="s">
        <v>1400</v>
      </c>
      <c r="M16" s="244" t="s">
        <v>1400</v>
      </c>
      <c r="N16" s="244" t="s">
        <v>1197</v>
      </c>
      <c r="O16" s="244" t="s">
        <v>1400</v>
      </c>
      <c r="P16" s="244" t="s">
        <v>1400</v>
      </c>
      <c r="Q16" s="244" t="s">
        <v>1400</v>
      </c>
      <c r="R16" s="244" t="s">
        <v>1197</v>
      </c>
      <c r="S16" s="244" t="s">
        <v>1400</v>
      </c>
      <c r="T16" s="244" t="s">
        <v>1400</v>
      </c>
      <c r="U16" s="244" t="s">
        <v>1197</v>
      </c>
      <c r="V16" s="244" t="s">
        <v>1197</v>
      </c>
      <c r="W16" s="225"/>
    </row>
    <row r="17" spans="2:23" ht="15.5">
      <c r="B17" s="431"/>
      <c r="C17" s="346">
        <v>2.6</v>
      </c>
      <c r="D17" s="244"/>
      <c r="E17" s="244"/>
      <c r="F17" s="244" t="s">
        <v>1400</v>
      </c>
      <c r="G17" s="244" t="s">
        <v>1197</v>
      </c>
      <c r="H17" s="244" t="s">
        <v>1400</v>
      </c>
      <c r="I17" s="244" t="s">
        <v>1400</v>
      </c>
      <c r="J17" s="244" t="s">
        <v>1400</v>
      </c>
      <c r="K17" s="244" t="s">
        <v>1197</v>
      </c>
      <c r="L17" s="244" t="s">
        <v>1400</v>
      </c>
      <c r="M17" s="244" t="s">
        <v>1400</v>
      </c>
      <c r="N17" s="244" t="s">
        <v>1197</v>
      </c>
      <c r="O17" s="244" t="s">
        <v>1400</v>
      </c>
      <c r="P17" s="244" t="s">
        <v>1400</v>
      </c>
      <c r="Q17" s="244" t="s">
        <v>1400</v>
      </c>
      <c r="R17" s="244" t="s">
        <v>1197</v>
      </c>
      <c r="S17" s="244" t="s">
        <v>1400</v>
      </c>
      <c r="T17" s="244" t="s">
        <v>1400</v>
      </c>
      <c r="U17" s="244" t="s">
        <v>1400</v>
      </c>
      <c r="V17" s="244" t="s">
        <v>1197</v>
      </c>
      <c r="W17" s="225"/>
    </row>
    <row r="18" spans="2:23" ht="15.5">
      <c r="B18" s="431"/>
      <c r="C18" s="346">
        <v>2.7</v>
      </c>
      <c r="D18" s="244"/>
      <c r="E18" s="244"/>
      <c r="F18" s="244" t="s">
        <v>1400</v>
      </c>
      <c r="G18" s="244" t="s">
        <v>1400</v>
      </c>
      <c r="H18" s="244" t="s">
        <v>1400</v>
      </c>
      <c r="I18" s="244" t="s">
        <v>1400</v>
      </c>
      <c r="J18" s="244" t="s">
        <v>1400</v>
      </c>
      <c r="K18" s="244" t="s">
        <v>1400</v>
      </c>
      <c r="L18" s="244" t="s">
        <v>1400</v>
      </c>
      <c r="M18" s="244" t="s">
        <v>1400</v>
      </c>
      <c r="N18" s="244" t="s">
        <v>1400</v>
      </c>
      <c r="O18" s="244" t="s">
        <v>1400</v>
      </c>
      <c r="P18" s="244" t="s">
        <v>1400</v>
      </c>
      <c r="Q18" s="244" t="s">
        <v>1400</v>
      </c>
      <c r="R18" s="244" t="s">
        <v>1197</v>
      </c>
      <c r="S18" s="244" t="s">
        <v>1400</v>
      </c>
      <c r="T18" s="244" t="s">
        <v>1400</v>
      </c>
      <c r="U18" s="244" t="s">
        <v>1400</v>
      </c>
      <c r="V18" s="244" t="s">
        <v>1400</v>
      </c>
      <c r="W18" s="225"/>
    </row>
    <row r="19" spans="2:23" ht="15.5">
      <c r="B19" s="432"/>
      <c r="C19" s="346">
        <v>2.8</v>
      </c>
      <c r="D19" s="244"/>
      <c r="E19" s="244"/>
      <c r="F19" s="244" t="s">
        <v>1400</v>
      </c>
      <c r="G19" s="244" t="s">
        <v>1400</v>
      </c>
      <c r="H19" s="244" t="s">
        <v>1400</v>
      </c>
      <c r="I19" s="244" t="s">
        <v>1400</v>
      </c>
      <c r="J19" s="244" t="s">
        <v>1400</v>
      </c>
      <c r="K19" s="244" t="s">
        <v>1400</v>
      </c>
      <c r="L19" s="244" t="s">
        <v>1400</v>
      </c>
      <c r="M19" s="244" t="s">
        <v>1400</v>
      </c>
      <c r="N19" s="244" t="s">
        <v>1400</v>
      </c>
      <c r="O19" s="244" t="s">
        <v>1400</v>
      </c>
      <c r="P19" s="244" t="s">
        <v>1400</v>
      </c>
      <c r="Q19" s="244" t="s">
        <v>1400</v>
      </c>
      <c r="R19" s="244" t="s">
        <v>1198</v>
      </c>
      <c r="S19" s="244" t="s">
        <v>1400</v>
      </c>
      <c r="T19" s="244" t="s">
        <v>1400</v>
      </c>
      <c r="U19" s="244" t="s">
        <v>1400</v>
      </c>
      <c r="V19" s="244" t="s">
        <v>1400</v>
      </c>
      <c r="W19" s="225"/>
    </row>
    <row r="20" spans="2:23" ht="12" customHeight="1">
      <c r="B20" s="231"/>
      <c r="C20" s="231"/>
      <c r="D20" s="231"/>
      <c r="E20" s="231"/>
      <c r="F20" s="231"/>
      <c r="G20" s="231"/>
      <c r="H20" s="231"/>
      <c r="I20" s="231"/>
      <c r="J20" s="231"/>
      <c r="K20" s="231"/>
      <c r="L20" s="231"/>
      <c r="M20" s="231"/>
      <c r="N20" s="231"/>
      <c r="O20" s="231"/>
      <c r="P20" s="231"/>
      <c r="Q20" s="231"/>
      <c r="R20" s="231"/>
      <c r="S20" s="231"/>
      <c r="T20" s="231"/>
      <c r="U20" s="231"/>
      <c r="V20" s="231"/>
      <c r="W20" s="238"/>
    </row>
    <row r="21" spans="2:23" ht="15.5">
      <c r="B21" s="430" t="s">
        <v>1204</v>
      </c>
      <c r="C21" s="244"/>
      <c r="D21" s="347" t="s">
        <v>1200</v>
      </c>
      <c r="E21" s="347" t="s">
        <v>1200</v>
      </c>
      <c r="F21" s="347" t="s">
        <v>1200</v>
      </c>
      <c r="G21" s="347" t="s">
        <v>1200</v>
      </c>
      <c r="H21" s="347" t="s">
        <v>1200</v>
      </c>
      <c r="I21" s="347" t="s">
        <v>1200</v>
      </c>
      <c r="J21" s="347" t="s">
        <v>1200</v>
      </c>
      <c r="K21" s="347" t="s">
        <v>1200</v>
      </c>
      <c r="L21" s="347" t="s">
        <v>1200</v>
      </c>
      <c r="M21" s="347" t="s">
        <v>1200</v>
      </c>
      <c r="N21" s="347" t="s">
        <v>1200</v>
      </c>
      <c r="O21" s="347" t="s">
        <v>1200</v>
      </c>
      <c r="P21" s="347" t="s">
        <v>1200</v>
      </c>
      <c r="Q21" s="347" t="s">
        <v>1200</v>
      </c>
      <c r="R21" s="347" t="s">
        <v>1200</v>
      </c>
      <c r="S21" s="347" t="s">
        <v>1200</v>
      </c>
      <c r="T21" s="347" t="s">
        <v>1200</v>
      </c>
      <c r="U21" s="347" t="s">
        <v>1200</v>
      </c>
      <c r="V21" s="244"/>
      <c r="W21" s="225"/>
    </row>
    <row r="22" spans="2:23" ht="15.5">
      <c r="B22" s="431"/>
      <c r="C22" s="346">
        <v>3.1</v>
      </c>
      <c r="D22" s="244" t="s">
        <v>1197</v>
      </c>
      <c r="E22" s="244" t="s">
        <v>1197</v>
      </c>
      <c r="F22" s="244" t="s">
        <v>1197</v>
      </c>
      <c r="G22" s="244" t="s">
        <v>1197</v>
      </c>
      <c r="H22" s="244" t="s">
        <v>1197</v>
      </c>
      <c r="I22" s="244" t="s">
        <v>1197</v>
      </c>
      <c r="J22" s="244" t="s">
        <v>1197</v>
      </c>
      <c r="K22" s="244" t="s">
        <v>1197</v>
      </c>
      <c r="L22" s="244" t="s">
        <v>1197</v>
      </c>
      <c r="M22" s="244" t="s">
        <v>1197</v>
      </c>
      <c r="N22" s="244" t="s">
        <v>1197</v>
      </c>
      <c r="O22" s="244" t="s">
        <v>1197</v>
      </c>
      <c r="P22" s="244" t="s">
        <v>1197</v>
      </c>
      <c r="Q22" s="244" t="s">
        <v>1197</v>
      </c>
      <c r="R22" s="244" t="s">
        <v>1197</v>
      </c>
      <c r="S22" s="244" t="s">
        <v>1197</v>
      </c>
      <c r="T22" s="244" t="s">
        <v>1197</v>
      </c>
      <c r="U22" s="244" t="s">
        <v>1197</v>
      </c>
      <c r="V22" s="244" t="s">
        <v>1400</v>
      </c>
      <c r="W22" s="225" t="s">
        <v>1199</v>
      </c>
    </row>
    <row r="23" spans="2:23" ht="15.5">
      <c r="B23" s="431"/>
      <c r="C23" s="346">
        <v>3.2</v>
      </c>
      <c r="D23" s="244" t="s">
        <v>1197</v>
      </c>
      <c r="E23" s="244" t="s">
        <v>1197</v>
      </c>
      <c r="F23" s="244" t="s">
        <v>1197</v>
      </c>
      <c r="G23" s="244" t="s">
        <v>1197</v>
      </c>
      <c r="H23" s="244" t="s">
        <v>1400</v>
      </c>
      <c r="I23" s="244" t="s">
        <v>1197</v>
      </c>
      <c r="J23" s="244" t="s">
        <v>1400</v>
      </c>
      <c r="K23" s="244" t="s">
        <v>1197</v>
      </c>
      <c r="L23" s="244" t="s">
        <v>1197</v>
      </c>
      <c r="M23" s="244" t="s">
        <v>1198</v>
      </c>
      <c r="N23" s="244" t="s">
        <v>1197</v>
      </c>
      <c r="O23" s="244" t="s">
        <v>1197</v>
      </c>
      <c r="P23" s="244" t="s">
        <v>1197</v>
      </c>
      <c r="Q23" s="244" t="s">
        <v>1197</v>
      </c>
      <c r="R23" s="244" t="s">
        <v>1197</v>
      </c>
      <c r="S23" s="244" t="s">
        <v>1197</v>
      </c>
      <c r="T23" s="244" t="s">
        <v>1198</v>
      </c>
      <c r="U23" s="244" t="s">
        <v>1400</v>
      </c>
      <c r="V23" s="244" t="s">
        <v>1400</v>
      </c>
      <c r="W23" s="225" t="s">
        <v>1199</v>
      </c>
    </row>
    <row r="24" spans="2:23" ht="15.5">
      <c r="B24" s="431"/>
      <c r="C24" s="346">
        <v>3.3</v>
      </c>
      <c r="D24" s="244"/>
      <c r="E24" s="244" t="s">
        <v>1197</v>
      </c>
      <c r="F24" s="244" t="s">
        <v>1197</v>
      </c>
      <c r="G24" s="244" t="s">
        <v>1197</v>
      </c>
      <c r="H24" s="244" t="s">
        <v>1400</v>
      </c>
      <c r="I24" s="244" t="s">
        <v>1400</v>
      </c>
      <c r="J24" s="244" t="s">
        <v>1400</v>
      </c>
      <c r="K24" s="244" t="s">
        <v>1197</v>
      </c>
      <c r="L24" s="244" t="s">
        <v>1197</v>
      </c>
      <c r="M24" s="244" t="s">
        <v>1197</v>
      </c>
      <c r="N24" s="244" t="s">
        <v>1197</v>
      </c>
      <c r="O24" s="244" t="s">
        <v>1198</v>
      </c>
      <c r="P24" s="244" t="s">
        <v>1197</v>
      </c>
      <c r="Q24" s="244" t="s">
        <v>1197</v>
      </c>
      <c r="R24" s="244" t="s">
        <v>1197</v>
      </c>
      <c r="S24" s="244" t="s">
        <v>1400</v>
      </c>
      <c r="T24" s="244" t="s">
        <v>1198</v>
      </c>
      <c r="U24" s="244" t="s">
        <v>1400</v>
      </c>
      <c r="V24" s="244" t="s">
        <v>1400</v>
      </c>
      <c r="W24" s="225"/>
    </row>
    <row r="25" spans="2:23" ht="15.5">
      <c r="B25" s="431"/>
      <c r="C25" s="346">
        <v>3.4</v>
      </c>
      <c r="D25" s="244"/>
      <c r="E25" s="244"/>
      <c r="F25" s="244" t="s">
        <v>1197</v>
      </c>
      <c r="G25" s="244" t="s">
        <v>1400</v>
      </c>
      <c r="H25" s="244" t="s">
        <v>1400</v>
      </c>
      <c r="I25" s="244" t="s">
        <v>1400</v>
      </c>
      <c r="J25" s="244" t="s">
        <v>1400</v>
      </c>
      <c r="K25" s="244" t="s">
        <v>1197</v>
      </c>
      <c r="L25" s="244" t="s">
        <v>1197</v>
      </c>
      <c r="M25" s="244" t="s">
        <v>1197</v>
      </c>
      <c r="N25" s="244" t="s">
        <v>1197</v>
      </c>
      <c r="O25" s="244" t="s">
        <v>1197</v>
      </c>
      <c r="P25" s="244" t="s">
        <v>1197</v>
      </c>
      <c r="Q25" s="244" t="s">
        <v>1197</v>
      </c>
      <c r="R25" s="244" t="s">
        <v>1197</v>
      </c>
      <c r="S25" s="244" t="s">
        <v>1400</v>
      </c>
      <c r="T25" s="244" t="s">
        <v>1197</v>
      </c>
      <c r="U25" s="244" t="s">
        <v>1400</v>
      </c>
      <c r="V25" s="244" t="s">
        <v>1400</v>
      </c>
      <c r="W25" s="225"/>
    </row>
    <row r="26" spans="2:23" ht="15.5">
      <c r="B26" s="431"/>
      <c r="C26" s="346">
        <v>3.5</v>
      </c>
      <c r="D26" s="244"/>
      <c r="E26" s="244"/>
      <c r="F26" s="244" t="s">
        <v>1197</v>
      </c>
      <c r="G26" s="244" t="s">
        <v>1400</v>
      </c>
      <c r="H26" s="244" t="s">
        <v>1400</v>
      </c>
      <c r="I26" s="244" t="s">
        <v>1400</v>
      </c>
      <c r="J26" s="244" t="s">
        <v>1400</v>
      </c>
      <c r="K26" s="244" t="s">
        <v>1197</v>
      </c>
      <c r="L26" s="244" t="s">
        <v>1197</v>
      </c>
      <c r="M26" s="244" t="s">
        <v>1197</v>
      </c>
      <c r="N26" s="244" t="s">
        <v>1197</v>
      </c>
      <c r="O26" s="244" t="s">
        <v>1198</v>
      </c>
      <c r="P26" s="244" t="s">
        <v>1197</v>
      </c>
      <c r="Q26" s="244" t="s">
        <v>1400</v>
      </c>
      <c r="R26" s="244" t="s">
        <v>1400</v>
      </c>
      <c r="S26" s="244" t="s">
        <v>1400</v>
      </c>
      <c r="T26" s="244" t="s">
        <v>1197</v>
      </c>
      <c r="U26" s="244" t="s">
        <v>1400</v>
      </c>
      <c r="V26" s="244" t="s">
        <v>1400</v>
      </c>
      <c r="W26" s="225"/>
    </row>
    <row r="27" spans="2:23" ht="15.5">
      <c r="B27" s="431"/>
      <c r="C27" s="346">
        <v>3.6</v>
      </c>
      <c r="D27" s="244"/>
      <c r="E27" s="244"/>
      <c r="F27" s="244" t="s">
        <v>1197</v>
      </c>
      <c r="G27" s="244" t="s">
        <v>1400</v>
      </c>
      <c r="H27" s="244" t="s">
        <v>1400</v>
      </c>
      <c r="I27" s="244" t="s">
        <v>1400</v>
      </c>
      <c r="J27" s="244" t="s">
        <v>1400</v>
      </c>
      <c r="K27" s="244" t="s">
        <v>1197</v>
      </c>
      <c r="L27" s="244" t="s">
        <v>1197</v>
      </c>
      <c r="M27" s="244" t="s">
        <v>1197</v>
      </c>
      <c r="N27" s="244" t="s">
        <v>1197</v>
      </c>
      <c r="O27" s="244" t="s">
        <v>1400</v>
      </c>
      <c r="P27" s="244" t="s">
        <v>1197</v>
      </c>
      <c r="Q27" s="244" t="s">
        <v>1400</v>
      </c>
      <c r="R27" s="244" t="s">
        <v>1400</v>
      </c>
      <c r="S27" s="244" t="s">
        <v>1400</v>
      </c>
      <c r="T27" s="244" t="s">
        <v>1400</v>
      </c>
      <c r="U27" s="244" t="s">
        <v>1400</v>
      </c>
      <c r="V27" s="244" t="s">
        <v>1400</v>
      </c>
      <c r="W27" s="225"/>
    </row>
    <row r="28" spans="2:23" ht="15.5">
      <c r="B28" s="432"/>
      <c r="C28" s="346">
        <v>3.7</v>
      </c>
      <c r="D28" s="244"/>
      <c r="E28" s="244"/>
      <c r="F28" s="244" t="s">
        <v>1400</v>
      </c>
      <c r="G28" s="244" t="s">
        <v>1400</v>
      </c>
      <c r="H28" s="244" t="s">
        <v>1400</v>
      </c>
      <c r="I28" s="244" t="s">
        <v>1400</v>
      </c>
      <c r="J28" s="244" t="s">
        <v>1400</v>
      </c>
      <c r="K28" s="244" t="s">
        <v>1197</v>
      </c>
      <c r="L28" s="244" t="s">
        <v>1400</v>
      </c>
      <c r="M28" s="244" t="s">
        <v>1197</v>
      </c>
      <c r="N28" s="244" t="s">
        <v>1400</v>
      </c>
      <c r="O28" s="244" t="s">
        <v>1400</v>
      </c>
      <c r="P28" s="244" t="s">
        <v>1400</v>
      </c>
      <c r="Q28" s="244" t="s">
        <v>1400</v>
      </c>
      <c r="R28" s="244" t="s">
        <v>1400</v>
      </c>
      <c r="S28" s="244" t="s">
        <v>1400</v>
      </c>
      <c r="T28" s="244" t="s">
        <v>1400</v>
      </c>
      <c r="U28" s="244" t="s">
        <v>1400</v>
      </c>
      <c r="V28" s="244" t="s">
        <v>1400</v>
      </c>
      <c r="W28" s="225"/>
    </row>
    <row r="29" spans="2:23" ht="12" customHeight="1">
      <c r="B29" s="231"/>
      <c r="C29" s="231"/>
      <c r="D29" s="231"/>
      <c r="E29" s="231"/>
      <c r="F29" s="231"/>
      <c r="G29" s="231"/>
      <c r="H29" s="231"/>
      <c r="I29" s="231"/>
      <c r="J29" s="231"/>
      <c r="K29" s="231"/>
      <c r="L29" s="231"/>
      <c r="M29" s="231"/>
      <c r="N29" s="231"/>
      <c r="O29" s="231"/>
      <c r="P29" s="231"/>
      <c r="Q29" s="231"/>
      <c r="R29" s="231"/>
      <c r="S29" s="231"/>
      <c r="T29" s="231"/>
      <c r="U29" s="231"/>
      <c r="V29" s="231"/>
      <c r="W29" s="238"/>
    </row>
    <row r="30" spans="2:23" ht="15.5">
      <c r="B30" s="430" t="s">
        <v>1205</v>
      </c>
      <c r="C30" s="244"/>
      <c r="D30" s="347" t="s">
        <v>1200</v>
      </c>
      <c r="E30" s="244"/>
      <c r="F30" s="244"/>
      <c r="G30" s="244"/>
      <c r="H30" s="244"/>
      <c r="I30" s="244"/>
      <c r="J30" s="244"/>
      <c r="K30" s="244"/>
      <c r="L30" s="347" t="s">
        <v>1200</v>
      </c>
      <c r="M30" s="244"/>
      <c r="N30" s="347" t="s">
        <v>1200</v>
      </c>
      <c r="O30" s="244"/>
      <c r="P30" s="244"/>
      <c r="Q30" s="244"/>
      <c r="R30" s="347" t="s">
        <v>1200</v>
      </c>
      <c r="S30" s="244"/>
      <c r="T30" s="347" t="s">
        <v>1200</v>
      </c>
      <c r="U30" s="244"/>
      <c r="V30" s="244"/>
      <c r="W30" s="225"/>
    </row>
    <row r="31" spans="2:23" ht="15.5">
      <c r="B31" s="431"/>
      <c r="C31" s="346">
        <v>4.0999999999999996</v>
      </c>
      <c r="D31" s="244" t="s">
        <v>1197</v>
      </c>
      <c r="E31" s="244"/>
      <c r="F31" s="244" t="s">
        <v>1400</v>
      </c>
      <c r="G31" s="244" t="s">
        <v>1400</v>
      </c>
      <c r="H31" s="244" t="s">
        <v>1400</v>
      </c>
      <c r="I31" s="244" t="s">
        <v>1400</v>
      </c>
      <c r="J31" s="244" t="s">
        <v>1400</v>
      </c>
      <c r="K31" s="244" t="s">
        <v>1400</v>
      </c>
      <c r="L31" s="244" t="s">
        <v>1197</v>
      </c>
      <c r="M31" s="244" t="s">
        <v>1400</v>
      </c>
      <c r="N31" s="244" t="s">
        <v>1198</v>
      </c>
      <c r="O31" s="244" t="s">
        <v>1400</v>
      </c>
      <c r="P31" s="244" t="s">
        <v>1400</v>
      </c>
      <c r="Q31" s="244" t="s">
        <v>1400</v>
      </c>
      <c r="R31" s="244" t="s">
        <v>1197</v>
      </c>
      <c r="S31" s="244" t="s">
        <v>1400</v>
      </c>
      <c r="T31" s="244" t="s">
        <v>1197</v>
      </c>
      <c r="U31" s="244" t="s">
        <v>1400</v>
      </c>
      <c r="V31" s="244" t="s">
        <v>1400</v>
      </c>
      <c r="W31" s="225" t="s">
        <v>1199</v>
      </c>
    </row>
    <row r="32" spans="2:23" ht="15.5">
      <c r="B32" s="431"/>
      <c r="C32" s="346">
        <v>4.2</v>
      </c>
      <c r="D32" s="244"/>
      <c r="E32" s="244"/>
      <c r="F32" s="244" t="s">
        <v>1400</v>
      </c>
      <c r="G32" s="244" t="s">
        <v>1400</v>
      </c>
      <c r="H32" s="244" t="s">
        <v>1400</v>
      </c>
      <c r="I32" s="244" t="s">
        <v>1400</v>
      </c>
      <c r="J32" s="244" t="s">
        <v>1400</v>
      </c>
      <c r="K32" s="244" t="s">
        <v>1400</v>
      </c>
      <c r="L32" s="244" t="s">
        <v>1400</v>
      </c>
      <c r="M32" s="244" t="s">
        <v>1400</v>
      </c>
      <c r="N32" s="244" t="s">
        <v>1197</v>
      </c>
      <c r="O32" s="244" t="s">
        <v>1400</v>
      </c>
      <c r="P32" s="244" t="s">
        <v>1400</v>
      </c>
      <c r="Q32" s="244" t="s">
        <v>1400</v>
      </c>
      <c r="R32" s="244" t="s">
        <v>1400</v>
      </c>
      <c r="S32" s="244" t="s">
        <v>1400</v>
      </c>
      <c r="T32" s="244" t="s">
        <v>1197</v>
      </c>
      <c r="U32" s="244" t="s">
        <v>1400</v>
      </c>
      <c r="V32" s="244" t="s">
        <v>1400</v>
      </c>
      <c r="W32" s="225"/>
    </row>
    <row r="33" spans="2:23" ht="15.5">
      <c r="B33" s="431"/>
      <c r="C33" s="346">
        <v>4.3</v>
      </c>
      <c r="D33" s="244"/>
      <c r="E33" s="244"/>
      <c r="F33" s="244" t="s">
        <v>1400</v>
      </c>
      <c r="G33" s="244" t="s">
        <v>1400</v>
      </c>
      <c r="H33" s="244" t="s">
        <v>1400</v>
      </c>
      <c r="I33" s="244" t="s">
        <v>1400</v>
      </c>
      <c r="J33" s="244" t="s">
        <v>1400</v>
      </c>
      <c r="K33" s="244" t="s">
        <v>1400</v>
      </c>
      <c r="L33" s="244" t="s">
        <v>1400</v>
      </c>
      <c r="M33" s="244" t="s">
        <v>1400</v>
      </c>
      <c r="N33" s="244" t="s">
        <v>1197</v>
      </c>
      <c r="O33" s="244" t="s">
        <v>1400</v>
      </c>
      <c r="P33" s="244" t="s">
        <v>1400</v>
      </c>
      <c r="Q33" s="244" t="s">
        <v>1400</v>
      </c>
      <c r="R33" s="244" t="s">
        <v>1400</v>
      </c>
      <c r="S33" s="244" t="s">
        <v>1400</v>
      </c>
      <c r="T33" s="244" t="s">
        <v>1400</v>
      </c>
      <c r="U33" s="244" t="s">
        <v>1400</v>
      </c>
      <c r="V33" s="244" t="s">
        <v>1400</v>
      </c>
      <c r="W33" s="225"/>
    </row>
    <row r="34" spans="2:23" ht="15.5">
      <c r="B34" s="431"/>
      <c r="C34" s="346">
        <v>4.4000000000000004</v>
      </c>
      <c r="D34" s="244"/>
      <c r="E34" s="244"/>
      <c r="F34" s="244" t="s">
        <v>1400</v>
      </c>
      <c r="G34" s="244" t="s">
        <v>1400</v>
      </c>
      <c r="H34" s="244" t="s">
        <v>1400</v>
      </c>
      <c r="I34" s="244" t="s">
        <v>1400</v>
      </c>
      <c r="J34" s="244" t="s">
        <v>1400</v>
      </c>
      <c r="K34" s="244" t="s">
        <v>1400</v>
      </c>
      <c r="L34" s="244" t="s">
        <v>1400</v>
      </c>
      <c r="M34" s="244" t="s">
        <v>1400</v>
      </c>
      <c r="N34" s="244" t="s">
        <v>1198</v>
      </c>
      <c r="O34" s="244" t="s">
        <v>1400</v>
      </c>
      <c r="P34" s="244" t="s">
        <v>1400</v>
      </c>
      <c r="Q34" s="244" t="s">
        <v>1400</v>
      </c>
      <c r="R34" s="244" t="s">
        <v>1400</v>
      </c>
      <c r="S34" s="244" t="s">
        <v>1400</v>
      </c>
      <c r="T34" s="244" t="s">
        <v>1400</v>
      </c>
      <c r="U34" s="244" t="s">
        <v>1400</v>
      </c>
      <c r="V34" s="244" t="s">
        <v>1400</v>
      </c>
      <c r="W34" s="225"/>
    </row>
    <row r="35" spans="2:23" ht="15.5">
      <c r="B35" s="432"/>
      <c r="C35" s="346">
        <v>4.5</v>
      </c>
      <c r="D35" s="244"/>
      <c r="E35" s="244"/>
      <c r="F35" s="244" t="s">
        <v>1400</v>
      </c>
      <c r="G35" s="244" t="s">
        <v>1400</v>
      </c>
      <c r="H35" s="244" t="s">
        <v>1400</v>
      </c>
      <c r="I35" s="244" t="s">
        <v>1400</v>
      </c>
      <c r="J35" s="244" t="s">
        <v>1400</v>
      </c>
      <c r="K35" s="244" t="s">
        <v>1400</v>
      </c>
      <c r="L35" s="244" t="s">
        <v>1400</v>
      </c>
      <c r="M35" s="244" t="s">
        <v>1400</v>
      </c>
      <c r="N35" s="244" t="s">
        <v>1197</v>
      </c>
      <c r="O35" s="244" t="s">
        <v>1400</v>
      </c>
      <c r="P35" s="244" t="s">
        <v>1400</v>
      </c>
      <c r="Q35" s="244" t="s">
        <v>1400</v>
      </c>
      <c r="R35" s="244" t="s">
        <v>1400</v>
      </c>
      <c r="S35" s="244" t="s">
        <v>1400</v>
      </c>
      <c r="T35" s="244" t="s">
        <v>1400</v>
      </c>
      <c r="U35" s="244" t="s">
        <v>1400</v>
      </c>
      <c r="V35" s="244" t="s">
        <v>1400</v>
      </c>
      <c r="W35" s="225"/>
    </row>
    <row r="36" spans="2:23" ht="12" customHeight="1">
      <c r="B36" s="231"/>
      <c r="C36" s="231"/>
      <c r="D36" s="231"/>
      <c r="E36" s="231"/>
      <c r="F36" s="231"/>
      <c r="G36" s="231"/>
      <c r="H36" s="231"/>
      <c r="I36" s="231"/>
      <c r="J36" s="231"/>
      <c r="K36" s="231"/>
      <c r="L36" s="231"/>
      <c r="M36" s="231"/>
      <c r="N36" s="231"/>
      <c r="O36" s="231"/>
      <c r="P36" s="231"/>
      <c r="Q36" s="231"/>
      <c r="R36" s="231"/>
      <c r="S36" s="231"/>
      <c r="T36" s="231"/>
      <c r="U36" s="231"/>
      <c r="V36" s="231"/>
      <c r="W36" s="238"/>
    </row>
    <row r="37" spans="2:23" ht="15.5">
      <c r="B37" s="420" t="s">
        <v>1206</v>
      </c>
      <c r="C37" s="244"/>
      <c r="D37" s="244"/>
      <c r="E37" s="244"/>
      <c r="F37" s="244"/>
      <c r="G37" s="244"/>
      <c r="H37" s="244"/>
      <c r="I37" s="244"/>
      <c r="J37" s="244"/>
      <c r="K37" s="244"/>
      <c r="L37" s="244"/>
      <c r="M37" s="244"/>
      <c r="N37" s="347" t="s">
        <v>1200</v>
      </c>
      <c r="O37" s="244"/>
      <c r="P37" s="244"/>
      <c r="Q37" s="244"/>
      <c r="R37" s="244"/>
      <c r="S37" s="244"/>
      <c r="T37" s="347" t="s">
        <v>1200</v>
      </c>
      <c r="U37" s="244"/>
      <c r="V37" s="244"/>
      <c r="W37" s="225"/>
    </row>
    <row r="38" spans="2:23" ht="15.5">
      <c r="B38" s="420"/>
      <c r="C38" s="243">
        <v>5.0999999999999996</v>
      </c>
      <c r="D38" s="244"/>
      <c r="E38" s="244"/>
      <c r="F38" s="244" t="s">
        <v>1400</v>
      </c>
      <c r="G38" s="244" t="s">
        <v>1400</v>
      </c>
      <c r="H38" s="244" t="s">
        <v>1400</v>
      </c>
      <c r="I38" s="244" t="s">
        <v>1400</v>
      </c>
      <c r="J38" s="244" t="s">
        <v>1400</v>
      </c>
      <c r="K38" s="244" t="s">
        <v>1400</v>
      </c>
      <c r="L38" s="244" t="s">
        <v>1400</v>
      </c>
      <c r="M38" s="244" t="s">
        <v>1400</v>
      </c>
      <c r="N38" s="244" t="s">
        <v>1197</v>
      </c>
      <c r="O38" s="244" t="s">
        <v>1400</v>
      </c>
      <c r="P38" s="244" t="s">
        <v>1400</v>
      </c>
      <c r="Q38" s="244" t="s">
        <v>1400</v>
      </c>
      <c r="R38" s="244" t="s">
        <v>1400</v>
      </c>
      <c r="S38" s="244" t="s">
        <v>1400</v>
      </c>
      <c r="T38" s="244" t="s">
        <v>1197</v>
      </c>
      <c r="U38" s="244" t="s">
        <v>1400</v>
      </c>
      <c r="V38" s="244" t="s">
        <v>1400</v>
      </c>
      <c r="W38" s="225"/>
    </row>
    <row r="39" spans="2:23" ht="15.5">
      <c r="B39" s="420"/>
      <c r="C39" s="243">
        <v>5.2</v>
      </c>
      <c r="D39" s="244"/>
      <c r="E39" s="244"/>
      <c r="F39" s="244" t="s">
        <v>1400</v>
      </c>
      <c r="G39" s="244" t="s">
        <v>1400</v>
      </c>
      <c r="H39" s="244" t="s">
        <v>1400</v>
      </c>
      <c r="I39" s="244" t="s">
        <v>1400</v>
      </c>
      <c r="J39" s="244" t="s">
        <v>1400</v>
      </c>
      <c r="K39" s="244" t="s">
        <v>1400</v>
      </c>
      <c r="L39" s="244" t="s">
        <v>1400</v>
      </c>
      <c r="M39" s="244" t="s">
        <v>1400</v>
      </c>
      <c r="N39" s="244" t="s">
        <v>1197</v>
      </c>
      <c r="O39" s="244" t="s">
        <v>1400</v>
      </c>
      <c r="P39" s="244" t="s">
        <v>1400</v>
      </c>
      <c r="Q39" s="244" t="s">
        <v>1400</v>
      </c>
      <c r="R39" s="244" t="s">
        <v>1400</v>
      </c>
      <c r="S39" s="244" t="s">
        <v>1400</v>
      </c>
      <c r="T39" s="244" t="s">
        <v>1400</v>
      </c>
      <c r="U39" s="244" t="s">
        <v>1400</v>
      </c>
      <c r="V39" s="244" t="s">
        <v>1400</v>
      </c>
      <c r="W39" s="225"/>
    </row>
    <row r="40" spans="2:23" ht="15.5">
      <c r="B40" s="420"/>
      <c r="C40" s="243">
        <v>5.3</v>
      </c>
      <c r="D40" s="244"/>
      <c r="E40" s="244"/>
      <c r="F40" s="244" t="s">
        <v>1400</v>
      </c>
      <c r="G40" s="244" t="s">
        <v>1400</v>
      </c>
      <c r="H40" s="244" t="s">
        <v>1400</v>
      </c>
      <c r="I40" s="244" t="s">
        <v>1400</v>
      </c>
      <c r="J40" s="244" t="s">
        <v>1400</v>
      </c>
      <c r="K40" s="244" t="s">
        <v>1400</v>
      </c>
      <c r="L40" s="244" t="s">
        <v>1400</v>
      </c>
      <c r="M40" s="244" t="s">
        <v>1400</v>
      </c>
      <c r="N40" s="244" t="s">
        <v>1197</v>
      </c>
      <c r="O40" s="244" t="s">
        <v>1400</v>
      </c>
      <c r="P40" s="244" t="s">
        <v>1400</v>
      </c>
      <c r="Q40" s="244" t="s">
        <v>1400</v>
      </c>
      <c r="R40" s="244" t="s">
        <v>1400</v>
      </c>
      <c r="S40" s="244" t="s">
        <v>1400</v>
      </c>
      <c r="T40" s="244" t="s">
        <v>1400</v>
      </c>
      <c r="U40" s="244" t="s">
        <v>1400</v>
      </c>
      <c r="V40" s="244" t="s">
        <v>1400</v>
      </c>
      <c r="W40" s="225"/>
    </row>
    <row r="41" spans="2:23" ht="12" customHeight="1">
      <c r="B41" s="231"/>
      <c r="C41" s="231"/>
      <c r="D41" s="231"/>
      <c r="E41" s="231"/>
      <c r="F41" s="231"/>
      <c r="G41" s="231"/>
      <c r="H41" s="231"/>
      <c r="I41" s="231"/>
      <c r="J41" s="231"/>
      <c r="K41" s="231"/>
      <c r="L41" s="231"/>
      <c r="M41" s="231"/>
      <c r="N41" s="231"/>
      <c r="O41" s="231"/>
      <c r="P41" s="231"/>
      <c r="Q41" s="231"/>
      <c r="R41" s="231"/>
      <c r="S41" s="231"/>
      <c r="T41" s="231"/>
      <c r="U41" s="231"/>
      <c r="V41" s="231"/>
      <c r="W41" s="239"/>
    </row>
    <row r="48" spans="2:23">
      <c r="B48" s="224" t="s">
        <v>1212</v>
      </c>
      <c r="C48" s="224" t="s">
        <v>1212</v>
      </c>
      <c r="D48" s="224" t="s">
        <v>1212</v>
      </c>
      <c r="E48" s="224" t="s">
        <v>1212</v>
      </c>
      <c r="F48" s="224" t="s">
        <v>1212</v>
      </c>
      <c r="G48" s="224" t="s">
        <v>1212</v>
      </c>
      <c r="H48" s="224" t="s">
        <v>1212</v>
      </c>
      <c r="I48" s="224" t="s">
        <v>1212</v>
      </c>
      <c r="J48" s="224" t="s">
        <v>1212</v>
      </c>
      <c r="K48" s="224" t="s">
        <v>1212</v>
      </c>
      <c r="L48" s="224" t="s">
        <v>1212</v>
      </c>
      <c r="M48" s="224" t="s">
        <v>1212</v>
      </c>
      <c r="N48" s="224" t="s">
        <v>1212</v>
      </c>
      <c r="O48" s="224" t="s">
        <v>1212</v>
      </c>
      <c r="P48" s="224" t="s">
        <v>1212</v>
      </c>
      <c r="Q48" s="224" t="s">
        <v>1212</v>
      </c>
      <c r="R48" s="224" t="s">
        <v>1212</v>
      </c>
      <c r="S48" s="224" t="s">
        <v>1212</v>
      </c>
      <c r="T48" s="224" t="s">
        <v>1212</v>
      </c>
      <c r="U48" s="224" t="s">
        <v>1212</v>
      </c>
      <c r="V48" s="224" t="s">
        <v>1212</v>
      </c>
      <c r="W48" s="224" t="s">
        <v>1212</v>
      </c>
    </row>
    <row r="50" spans="2:28" ht="93">
      <c r="B50" s="423" t="s">
        <v>1185</v>
      </c>
      <c r="C50" s="423" t="s">
        <v>1186</v>
      </c>
      <c r="D50" s="421" t="s">
        <v>1187</v>
      </c>
      <c r="E50" s="421"/>
      <c r="F50" s="422" t="s">
        <v>1188</v>
      </c>
      <c r="G50" s="422"/>
      <c r="H50" s="421" t="s">
        <v>1189</v>
      </c>
      <c r="I50" s="421"/>
      <c r="J50" s="421"/>
      <c r="K50" s="421"/>
      <c r="L50" s="422" t="s">
        <v>1190</v>
      </c>
      <c r="M50" s="422"/>
      <c r="N50" s="422"/>
      <c r="O50" s="240" t="s">
        <v>1191</v>
      </c>
      <c r="P50" s="241" t="s">
        <v>1192</v>
      </c>
      <c r="Q50" s="421" t="s">
        <v>1193</v>
      </c>
      <c r="R50" s="421"/>
      <c r="S50" s="421"/>
      <c r="T50" s="422" t="s">
        <v>1194</v>
      </c>
      <c r="U50" s="422"/>
      <c r="V50" s="422"/>
      <c r="W50" s="237" t="s">
        <v>1195</v>
      </c>
    </row>
    <row r="51" spans="2:28" ht="15.5">
      <c r="B51" s="423"/>
      <c r="C51" s="423"/>
      <c r="D51" s="242" t="s">
        <v>965</v>
      </c>
      <c r="E51" s="242" t="s">
        <v>966</v>
      </c>
      <c r="F51" s="243" t="s">
        <v>938</v>
      </c>
      <c r="G51" s="243" t="s">
        <v>937</v>
      </c>
      <c r="H51" s="242" t="s">
        <v>939</v>
      </c>
      <c r="I51" s="242" t="s">
        <v>941</v>
      </c>
      <c r="J51" s="242" t="s">
        <v>889</v>
      </c>
      <c r="K51" s="242" t="s">
        <v>940</v>
      </c>
      <c r="L51" s="243" t="s">
        <v>944</v>
      </c>
      <c r="M51" s="243" t="s">
        <v>943</v>
      </c>
      <c r="N51" s="243" t="s">
        <v>942</v>
      </c>
      <c r="O51" s="242" t="s">
        <v>945</v>
      </c>
      <c r="P51" s="243" t="s">
        <v>805</v>
      </c>
      <c r="Q51" s="242" t="s">
        <v>947</v>
      </c>
      <c r="R51" s="242" t="s">
        <v>948</v>
      </c>
      <c r="S51" s="242" t="s">
        <v>946</v>
      </c>
      <c r="T51" s="243" t="s">
        <v>949</v>
      </c>
      <c r="U51" s="243" t="s">
        <v>950</v>
      </c>
      <c r="V51" s="243" t="s">
        <v>803</v>
      </c>
      <c r="W51" s="237" t="s">
        <v>951</v>
      </c>
    </row>
    <row r="52" spans="2:28" ht="12" customHeight="1">
      <c r="B52" s="231"/>
      <c r="C52" s="231"/>
      <c r="D52" s="231"/>
      <c r="E52" s="231"/>
      <c r="F52" s="231"/>
      <c r="G52" s="231"/>
      <c r="H52" s="231"/>
      <c r="I52" s="231"/>
      <c r="J52" s="231"/>
      <c r="K52" s="231"/>
      <c r="L52" s="231"/>
      <c r="M52" s="231"/>
      <c r="N52" s="231"/>
      <c r="O52" s="231"/>
      <c r="P52" s="231"/>
      <c r="Q52" s="231"/>
      <c r="R52" s="231"/>
      <c r="S52" s="231"/>
      <c r="T52" s="231"/>
      <c r="U52" s="231"/>
      <c r="V52" s="231"/>
      <c r="W52" s="225"/>
    </row>
    <row r="53" spans="2:28" ht="15.5">
      <c r="B53" s="420" t="s">
        <v>1196</v>
      </c>
      <c r="C53" s="244"/>
      <c r="D53" s="244" t="s">
        <v>1200</v>
      </c>
      <c r="E53" s="244" t="s">
        <v>1200</v>
      </c>
      <c r="F53" s="244" t="s">
        <v>1200</v>
      </c>
      <c r="G53" s="244" t="s">
        <v>1200</v>
      </c>
      <c r="H53" s="244" t="s">
        <v>1200</v>
      </c>
      <c r="I53" s="244" t="s">
        <v>1200</v>
      </c>
      <c r="J53" s="244" t="s">
        <v>1200</v>
      </c>
      <c r="K53" s="244" t="s">
        <v>1200</v>
      </c>
      <c r="L53" s="244" t="s">
        <v>1200</v>
      </c>
      <c r="M53" s="244" t="s">
        <v>1200</v>
      </c>
      <c r="N53" s="244" t="s">
        <v>1200</v>
      </c>
      <c r="O53" s="244" t="s">
        <v>1200</v>
      </c>
      <c r="P53" s="244" t="s">
        <v>1200</v>
      </c>
      <c r="Q53" s="244" t="s">
        <v>1200</v>
      </c>
      <c r="R53" s="244" t="s">
        <v>1200</v>
      </c>
      <c r="S53" s="244" t="s">
        <v>1200</v>
      </c>
      <c r="T53" s="244" t="s">
        <v>1200</v>
      </c>
      <c r="U53" s="244" t="s">
        <v>1200</v>
      </c>
      <c r="V53" s="244" t="s">
        <v>1200</v>
      </c>
      <c r="W53" s="225" t="s">
        <v>1201</v>
      </c>
    </row>
    <row r="54" spans="2:28" ht="15.5">
      <c r="B54" s="420"/>
      <c r="C54" s="243">
        <v>1.1000000000000001</v>
      </c>
      <c r="D54" s="244" t="s">
        <v>1197</v>
      </c>
      <c r="E54" s="244" t="s">
        <v>1197</v>
      </c>
      <c r="F54" s="244" t="s">
        <v>1197</v>
      </c>
      <c r="G54" s="244" t="s">
        <v>1197</v>
      </c>
      <c r="H54" s="244" t="s">
        <v>1197</v>
      </c>
      <c r="I54" s="244" t="s">
        <v>1197</v>
      </c>
      <c r="J54" s="244" t="s">
        <v>1197</v>
      </c>
      <c r="K54" s="244" t="s">
        <v>1197</v>
      </c>
      <c r="L54" s="244" t="s">
        <v>1197</v>
      </c>
      <c r="M54" s="244" t="s">
        <v>1197</v>
      </c>
      <c r="N54" s="244" t="s">
        <v>1197</v>
      </c>
      <c r="O54" s="244" t="s">
        <v>1197</v>
      </c>
      <c r="P54" s="244" t="s">
        <v>1197</v>
      </c>
      <c r="Q54" s="244" t="s">
        <v>1197</v>
      </c>
      <c r="R54" s="244" t="s">
        <v>1197</v>
      </c>
      <c r="S54" s="244" t="s">
        <v>1197</v>
      </c>
      <c r="T54" s="244" t="s">
        <v>1197</v>
      </c>
      <c r="U54" s="244" t="s">
        <v>1197</v>
      </c>
      <c r="V54" s="244" t="s">
        <v>1197</v>
      </c>
      <c r="W54" s="225" t="s">
        <v>1199</v>
      </c>
      <c r="Z54" s="224" t="s">
        <v>1197</v>
      </c>
      <c r="AB54" s="224" t="s">
        <v>1200</v>
      </c>
    </row>
    <row r="55" spans="2:28" ht="15.5">
      <c r="B55" s="420"/>
      <c r="C55" s="243">
        <v>1.2</v>
      </c>
      <c r="D55" s="244"/>
      <c r="E55" s="244"/>
      <c r="F55" s="244"/>
      <c r="G55" s="244"/>
      <c r="H55" s="244"/>
      <c r="I55" s="244" t="s">
        <v>1197</v>
      </c>
      <c r="J55" s="244"/>
      <c r="K55" s="244"/>
      <c r="L55" s="244" t="s">
        <v>1197</v>
      </c>
      <c r="M55" s="244"/>
      <c r="N55" s="244" t="s">
        <v>1197</v>
      </c>
      <c r="O55" s="244"/>
      <c r="P55" s="244"/>
      <c r="Q55" s="244" t="s">
        <v>1197</v>
      </c>
      <c r="R55" s="244" t="s">
        <v>1197</v>
      </c>
      <c r="S55" s="244"/>
      <c r="T55" s="244"/>
      <c r="U55" s="244" t="s">
        <v>1197</v>
      </c>
      <c r="V55" s="244"/>
      <c r="W55" s="225" t="s">
        <v>971</v>
      </c>
      <c r="Z55" s="224" t="s">
        <v>1198</v>
      </c>
      <c r="AB55" s="224" t="s">
        <v>1201</v>
      </c>
    </row>
    <row r="56" spans="2:28" ht="15.5">
      <c r="B56" s="420"/>
      <c r="C56" s="243">
        <v>1.3</v>
      </c>
      <c r="D56" s="244"/>
      <c r="E56" s="244"/>
      <c r="F56" s="244"/>
      <c r="G56" s="244"/>
      <c r="H56" s="244"/>
      <c r="I56" s="244"/>
      <c r="J56" s="244"/>
      <c r="K56" s="244"/>
      <c r="L56" s="244" t="s">
        <v>1197</v>
      </c>
      <c r="M56" s="244"/>
      <c r="N56" s="244"/>
      <c r="O56" s="244"/>
      <c r="P56" s="244"/>
      <c r="Q56" s="244"/>
      <c r="R56" s="244"/>
      <c r="S56" s="244"/>
      <c r="T56" s="244"/>
      <c r="U56" s="244"/>
      <c r="V56" s="244"/>
      <c r="W56" s="225" t="s">
        <v>1198</v>
      </c>
      <c r="Z56" s="224" t="s">
        <v>971</v>
      </c>
    </row>
    <row r="57" spans="2:28" ht="15.5">
      <c r="B57" s="420"/>
      <c r="C57" s="243">
        <v>1.4</v>
      </c>
      <c r="D57" s="244"/>
      <c r="E57" s="244"/>
      <c r="F57" s="244"/>
      <c r="G57" s="244"/>
      <c r="H57" s="244"/>
      <c r="I57" s="244"/>
      <c r="J57" s="244"/>
      <c r="K57" s="244"/>
      <c r="L57" s="244" t="s">
        <v>1197</v>
      </c>
      <c r="M57" s="244"/>
      <c r="N57" s="244"/>
      <c r="O57" s="244"/>
      <c r="P57" s="244"/>
      <c r="Q57" s="244"/>
      <c r="R57" s="244"/>
      <c r="S57" s="244"/>
      <c r="T57" s="244"/>
      <c r="U57" s="244"/>
      <c r="V57" s="244"/>
      <c r="W57" s="225" t="s">
        <v>1198</v>
      </c>
      <c r="Z57" s="224" t="s">
        <v>971</v>
      </c>
    </row>
    <row r="58" spans="2:28" ht="12" customHeight="1">
      <c r="B58" s="231"/>
      <c r="C58" s="231"/>
      <c r="D58" s="231"/>
      <c r="E58" s="231"/>
      <c r="F58" s="231"/>
      <c r="G58" s="231"/>
      <c r="H58" s="231"/>
      <c r="I58" s="231"/>
      <c r="J58" s="231"/>
      <c r="K58" s="231"/>
      <c r="L58" s="231"/>
      <c r="M58" s="231"/>
      <c r="N58" s="231"/>
      <c r="O58" s="231"/>
      <c r="P58" s="231"/>
      <c r="Q58" s="231"/>
      <c r="R58" s="231"/>
      <c r="S58" s="231"/>
      <c r="T58" s="231"/>
      <c r="U58" s="231"/>
      <c r="V58" s="231"/>
      <c r="W58" s="238"/>
      <c r="Z58" s="224" t="s">
        <v>1199</v>
      </c>
    </row>
    <row r="59" spans="2:28" ht="15.5">
      <c r="B59" s="420" t="s">
        <v>1202</v>
      </c>
      <c r="C59" s="244"/>
      <c r="D59" s="244" t="s">
        <v>1200</v>
      </c>
      <c r="E59" s="244" t="s">
        <v>1200</v>
      </c>
      <c r="F59" s="244" t="s">
        <v>1200</v>
      </c>
      <c r="G59" s="244" t="s">
        <v>1200</v>
      </c>
      <c r="H59" s="244" t="s">
        <v>1200</v>
      </c>
      <c r="I59" s="244" t="s">
        <v>1200</v>
      </c>
      <c r="J59" s="244" t="s">
        <v>1200</v>
      </c>
      <c r="K59" s="244" t="s">
        <v>1200</v>
      </c>
      <c r="L59" s="244" t="s">
        <v>1200</v>
      </c>
      <c r="M59" s="244" t="s">
        <v>1200</v>
      </c>
      <c r="N59" s="244" t="s">
        <v>1200</v>
      </c>
      <c r="O59" s="244" t="s">
        <v>1200</v>
      </c>
      <c r="P59" s="244" t="s">
        <v>1200</v>
      </c>
      <c r="Q59" s="244" t="s">
        <v>1200</v>
      </c>
      <c r="R59" s="244" t="s">
        <v>1200</v>
      </c>
      <c r="S59" s="244" t="s">
        <v>1200</v>
      </c>
      <c r="T59" s="244" t="s">
        <v>1200</v>
      </c>
      <c r="U59" s="244" t="s">
        <v>1200</v>
      </c>
      <c r="V59" s="244" t="s">
        <v>1200</v>
      </c>
      <c r="W59" s="225"/>
      <c r="Z59" s="224" t="s">
        <v>1203</v>
      </c>
    </row>
    <row r="60" spans="2:28" ht="15.5">
      <c r="B60" s="420"/>
      <c r="C60" s="243">
        <v>2.1</v>
      </c>
      <c r="D60" s="244" t="s">
        <v>1197</v>
      </c>
      <c r="E60" s="244" t="s">
        <v>1198</v>
      </c>
      <c r="F60" s="244" t="s">
        <v>1197</v>
      </c>
      <c r="G60" s="244" t="s">
        <v>1197</v>
      </c>
      <c r="H60" s="244" t="s">
        <v>1197</v>
      </c>
      <c r="I60" s="244" t="s">
        <v>1197</v>
      </c>
      <c r="J60" s="244" t="s">
        <v>1197</v>
      </c>
      <c r="K60" s="244" t="s">
        <v>1197</v>
      </c>
      <c r="L60" s="244" t="s">
        <v>1197</v>
      </c>
      <c r="M60" s="244" t="s">
        <v>1197</v>
      </c>
      <c r="N60" s="244" t="s">
        <v>1197</v>
      </c>
      <c r="O60" s="244" t="s">
        <v>1198</v>
      </c>
      <c r="P60" s="244" t="s">
        <v>1197</v>
      </c>
      <c r="Q60" s="244" t="s">
        <v>1197</v>
      </c>
      <c r="R60" s="244" t="s">
        <v>1197</v>
      </c>
      <c r="S60" s="244" t="s">
        <v>1197</v>
      </c>
      <c r="T60" s="244" t="s">
        <v>1197</v>
      </c>
      <c r="U60" s="244" t="s">
        <v>1197</v>
      </c>
      <c r="V60" s="244" t="s">
        <v>1197</v>
      </c>
      <c r="W60" s="225" t="s">
        <v>1199</v>
      </c>
    </row>
    <row r="61" spans="2:28" ht="15.5">
      <c r="B61" s="420"/>
      <c r="C61" s="243">
        <v>2.2000000000000002</v>
      </c>
      <c r="D61" s="244" t="s">
        <v>1197</v>
      </c>
      <c r="E61" s="244" t="s">
        <v>1197</v>
      </c>
      <c r="F61" s="244" t="s">
        <v>1197</v>
      </c>
      <c r="G61" s="244" t="s">
        <v>1197</v>
      </c>
      <c r="H61" s="244" t="s">
        <v>1197</v>
      </c>
      <c r="I61" s="244" t="s">
        <v>1197</v>
      </c>
      <c r="J61" s="244" t="s">
        <v>1197</v>
      </c>
      <c r="K61" s="244" t="s">
        <v>1197</v>
      </c>
      <c r="L61" s="244" t="s">
        <v>1197</v>
      </c>
      <c r="M61" s="244" t="s">
        <v>1197</v>
      </c>
      <c r="N61" s="244" t="s">
        <v>1197</v>
      </c>
      <c r="O61" s="244" t="s">
        <v>1197</v>
      </c>
      <c r="P61" s="244" t="s">
        <v>1197</v>
      </c>
      <c r="Q61" s="244" t="s">
        <v>1197</v>
      </c>
      <c r="R61" s="244" t="s">
        <v>1197</v>
      </c>
      <c r="S61" s="244" t="s">
        <v>1197</v>
      </c>
      <c r="T61" s="244" t="s">
        <v>1197</v>
      </c>
      <c r="U61" s="244" t="s">
        <v>1197</v>
      </c>
      <c r="V61" s="244" t="s">
        <v>1197</v>
      </c>
      <c r="W61" s="225" t="s">
        <v>1199</v>
      </c>
    </row>
    <row r="62" spans="2:28" ht="15.5">
      <c r="B62" s="420"/>
      <c r="C62" s="243">
        <v>2.2999999999999998</v>
      </c>
      <c r="D62" s="244" t="s">
        <v>1197</v>
      </c>
      <c r="E62" s="244"/>
      <c r="F62" s="244" t="s">
        <v>1197</v>
      </c>
      <c r="G62" s="244" t="s">
        <v>1197</v>
      </c>
      <c r="H62" s="244" t="s">
        <v>1197</v>
      </c>
      <c r="I62" s="244" t="s">
        <v>1197</v>
      </c>
      <c r="J62" s="244" t="s">
        <v>1197</v>
      </c>
      <c r="K62" s="244" t="s">
        <v>1197</v>
      </c>
      <c r="L62" s="244"/>
      <c r="M62" s="244" t="s">
        <v>1197</v>
      </c>
      <c r="N62" s="244" t="s">
        <v>1197</v>
      </c>
      <c r="O62" s="244"/>
      <c r="P62" s="244"/>
      <c r="Q62" s="244" t="s">
        <v>1197</v>
      </c>
      <c r="R62" s="244" t="s">
        <v>1197</v>
      </c>
      <c r="S62" s="244" t="s">
        <v>1197</v>
      </c>
      <c r="T62" s="244"/>
      <c r="U62" s="244" t="s">
        <v>1197</v>
      </c>
      <c r="V62" s="244" t="s">
        <v>1197</v>
      </c>
      <c r="W62" s="225" t="s">
        <v>1197</v>
      </c>
    </row>
    <row r="63" spans="2:28" ht="15.5">
      <c r="B63" s="420"/>
      <c r="C63" s="243">
        <v>2.4</v>
      </c>
      <c r="D63" s="244" t="s">
        <v>1197</v>
      </c>
      <c r="E63" s="244"/>
      <c r="F63" s="244"/>
      <c r="G63" s="244" t="s">
        <v>1197</v>
      </c>
      <c r="H63" s="244" t="s">
        <v>1197</v>
      </c>
      <c r="I63" s="244"/>
      <c r="J63" s="244" t="s">
        <v>1197</v>
      </c>
      <c r="K63" s="244" t="s">
        <v>1197</v>
      </c>
      <c r="L63" s="244"/>
      <c r="M63" s="244"/>
      <c r="N63" s="244" t="s">
        <v>1197</v>
      </c>
      <c r="O63" s="244"/>
      <c r="P63" s="244"/>
      <c r="Q63" s="244" t="s">
        <v>1197</v>
      </c>
      <c r="R63" s="244" t="s">
        <v>1197</v>
      </c>
      <c r="S63" s="244" t="s">
        <v>1197</v>
      </c>
      <c r="T63" s="244"/>
      <c r="U63" s="244" t="s">
        <v>1197</v>
      </c>
      <c r="V63" s="244" t="s">
        <v>1197</v>
      </c>
      <c r="W63" s="225" t="s">
        <v>1198</v>
      </c>
    </row>
    <row r="64" spans="2:28" ht="15.5">
      <c r="B64" s="420"/>
      <c r="C64" s="243">
        <v>2.5</v>
      </c>
      <c r="D64" s="244"/>
      <c r="E64" s="244"/>
      <c r="F64" s="244"/>
      <c r="G64" s="244" t="s">
        <v>1197</v>
      </c>
      <c r="H64" s="244"/>
      <c r="I64" s="244"/>
      <c r="J64" s="244"/>
      <c r="K64" s="244" t="s">
        <v>1197</v>
      </c>
      <c r="L64" s="244"/>
      <c r="M64" s="244"/>
      <c r="N64" s="244" t="s">
        <v>1197</v>
      </c>
      <c r="O64" s="244"/>
      <c r="P64" s="244"/>
      <c r="Q64" s="244"/>
      <c r="R64" s="244" t="s">
        <v>1197</v>
      </c>
      <c r="S64" s="244"/>
      <c r="T64" s="244"/>
      <c r="U64" s="244" t="s">
        <v>1197</v>
      </c>
      <c r="V64" s="244" t="s">
        <v>1197</v>
      </c>
      <c r="W64" s="225"/>
    </row>
    <row r="65" spans="2:23" ht="15.5">
      <c r="B65" s="420"/>
      <c r="C65" s="243">
        <v>2.6</v>
      </c>
      <c r="D65" s="244"/>
      <c r="E65" s="244"/>
      <c r="F65" s="244"/>
      <c r="G65" s="244" t="s">
        <v>1197</v>
      </c>
      <c r="H65" s="244"/>
      <c r="I65" s="244"/>
      <c r="J65" s="244"/>
      <c r="K65" s="244" t="s">
        <v>1197</v>
      </c>
      <c r="L65" s="244"/>
      <c r="M65" s="244"/>
      <c r="N65" s="244" t="s">
        <v>1197</v>
      </c>
      <c r="O65" s="244"/>
      <c r="P65" s="244"/>
      <c r="Q65" s="244"/>
      <c r="R65" s="244" t="s">
        <v>1197</v>
      </c>
      <c r="S65" s="244"/>
      <c r="T65" s="244"/>
      <c r="U65" s="244"/>
      <c r="V65" s="244"/>
      <c r="W65" s="225"/>
    </row>
    <row r="66" spans="2:23" ht="15.5">
      <c r="B66" s="420"/>
      <c r="C66" s="243">
        <v>2.7</v>
      </c>
      <c r="D66" s="244"/>
      <c r="E66" s="244"/>
      <c r="F66" s="244"/>
      <c r="G66" s="244"/>
      <c r="H66" s="244"/>
      <c r="I66" s="244"/>
      <c r="J66" s="244"/>
      <c r="K66" s="244"/>
      <c r="L66" s="244"/>
      <c r="M66" s="244"/>
      <c r="N66" s="244"/>
      <c r="O66" s="244"/>
      <c r="P66" s="244"/>
      <c r="Q66" s="244"/>
      <c r="R66" s="244" t="s">
        <v>1197</v>
      </c>
      <c r="S66" s="244"/>
      <c r="T66" s="244"/>
      <c r="U66" s="244"/>
      <c r="V66" s="244"/>
      <c r="W66" s="225"/>
    </row>
    <row r="67" spans="2:23" ht="15.5">
      <c r="B67" s="420"/>
      <c r="C67" s="243">
        <v>2.8</v>
      </c>
      <c r="D67" s="244"/>
      <c r="E67" s="244"/>
      <c r="F67" s="244"/>
      <c r="G67" s="244"/>
      <c r="H67" s="244"/>
      <c r="I67" s="244"/>
      <c r="J67" s="244"/>
      <c r="K67" s="244"/>
      <c r="L67" s="244"/>
      <c r="M67" s="244"/>
      <c r="N67" s="244"/>
      <c r="O67" s="244"/>
      <c r="P67" s="244"/>
      <c r="Q67" s="244"/>
      <c r="R67" s="244" t="s">
        <v>1197</v>
      </c>
      <c r="S67" s="244"/>
      <c r="T67" s="244"/>
      <c r="U67" s="244"/>
      <c r="V67" s="244"/>
      <c r="W67" s="225"/>
    </row>
    <row r="68" spans="2:23" ht="12" customHeight="1">
      <c r="B68" s="231"/>
      <c r="C68" s="231"/>
      <c r="D68" s="231"/>
      <c r="E68" s="231"/>
      <c r="F68" s="231"/>
      <c r="G68" s="231"/>
      <c r="H68" s="231"/>
      <c r="I68" s="231"/>
      <c r="J68" s="231"/>
      <c r="K68" s="231"/>
      <c r="L68" s="231"/>
      <c r="M68" s="231"/>
      <c r="N68" s="231"/>
      <c r="O68" s="231"/>
      <c r="P68" s="231"/>
      <c r="Q68" s="231"/>
      <c r="R68" s="231"/>
      <c r="S68" s="231"/>
      <c r="T68" s="231"/>
      <c r="U68" s="231"/>
      <c r="V68" s="231"/>
      <c r="W68" s="238"/>
    </row>
    <row r="69" spans="2:23" ht="15.5">
      <c r="B69" s="420" t="s">
        <v>1204</v>
      </c>
      <c r="C69" s="244"/>
      <c r="D69" s="244" t="s">
        <v>1201</v>
      </c>
      <c r="E69" s="244" t="s">
        <v>1200</v>
      </c>
      <c r="F69" s="244" t="s">
        <v>1200</v>
      </c>
      <c r="G69" s="244" t="s">
        <v>1200</v>
      </c>
      <c r="H69" s="244" t="s">
        <v>1200</v>
      </c>
      <c r="I69" s="244" t="s">
        <v>1200</v>
      </c>
      <c r="J69" s="244" t="s">
        <v>1201</v>
      </c>
      <c r="K69" s="244" t="s">
        <v>1200</v>
      </c>
      <c r="L69" s="244" t="s">
        <v>1200</v>
      </c>
      <c r="M69" s="244" t="s">
        <v>1200</v>
      </c>
      <c r="N69" s="244" t="s">
        <v>1200</v>
      </c>
      <c r="O69" s="244" t="s">
        <v>1200</v>
      </c>
      <c r="P69" s="244" t="s">
        <v>1200</v>
      </c>
      <c r="Q69" s="244" t="s">
        <v>1200</v>
      </c>
      <c r="R69" s="244" t="s">
        <v>1200</v>
      </c>
      <c r="S69" s="244" t="s">
        <v>1200</v>
      </c>
      <c r="T69" s="244" t="s">
        <v>1200</v>
      </c>
      <c r="U69" s="244" t="s">
        <v>1200</v>
      </c>
      <c r="V69" s="244"/>
      <c r="W69" s="225"/>
    </row>
    <row r="70" spans="2:23" ht="15.5">
      <c r="B70" s="420"/>
      <c r="C70" s="243">
        <v>3.1</v>
      </c>
      <c r="D70" s="244" t="s">
        <v>1197</v>
      </c>
      <c r="E70" s="244" t="s">
        <v>1197</v>
      </c>
      <c r="F70" s="244" t="s">
        <v>1197</v>
      </c>
      <c r="G70" s="244" t="s">
        <v>1197</v>
      </c>
      <c r="H70" s="244" t="s">
        <v>1197</v>
      </c>
      <c r="I70" s="244" t="s">
        <v>1197</v>
      </c>
      <c r="J70" s="244" t="s">
        <v>971</v>
      </c>
      <c r="K70" s="244" t="s">
        <v>1197</v>
      </c>
      <c r="L70" s="244" t="s">
        <v>1197</v>
      </c>
      <c r="M70" s="244" t="s">
        <v>1197</v>
      </c>
      <c r="N70" s="244" t="s">
        <v>1197</v>
      </c>
      <c r="O70" s="244" t="s">
        <v>1197</v>
      </c>
      <c r="P70" s="244" t="s">
        <v>1197</v>
      </c>
      <c r="Q70" s="244" t="s">
        <v>1197</v>
      </c>
      <c r="R70" s="244" t="s">
        <v>1197</v>
      </c>
      <c r="S70" s="244" t="s">
        <v>1198</v>
      </c>
      <c r="T70" s="244" t="s">
        <v>1197</v>
      </c>
      <c r="U70" s="244" t="s">
        <v>1197</v>
      </c>
      <c r="V70" s="244"/>
      <c r="W70" s="225" t="s">
        <v>1199</v>
      </c>
    </row>
    <row r="71" spans="2:23" ht="15.5">
      <c r="B71" s="420"/>
      <c r="C71" s="243">
        <v>3.2</v>
      </c>
      <c r="D71" s="244" t="s">
        <v>971</v>
      </c>
      <c r="E71" s="244" t="s">
        <v>1197</v>
      </c>
      <c r="F71" s="244" t="s">
        <v>1197</v>
      </c>
      <c r="G71" s="244" t="s">
        <v>1197</v>
      </c>
      <c r="H71" s="244"/>
      <c r="I71" s="244"/>
      <c r="J71" s="244"/>
      <c r="K71" s="244" t="s">
        <v>1197</v>
      </c>
      <c r="L71" s="244" t="s">
        <v>1197</v>
      </c>
      <c r="M71" s="244" t="s">
        <v>1197</v>
      </c>
      <c r="N71" s="244" t="s">
        <v>1197</v>
      </c>
      <c r="O71" s="244" t="s">
        <v>1197</v>
      </c>
      <c r="P71" s="244" t="s">
        <v>1197</v>
      </c>
      <c r="Q71" s="244" t="s">
        <v>1197</v>
      </c>
      <c r="R71" s="244" t="s">
        <v>1197</v>
      </c>
      <c r="S71" s="244" t="s">
        <v>1197</v>
      </c>
      <c r="T71" s="244" t="s">
        <v>1197</v>
      </c>
      <c r="U71" s="244"/>
      <c r="V71" s="244"/>
      <c r="W71" s="225" t="s">
        <v>1199</v>
      </c>
    </row>
    <row r="72" spans="2:23" ht="15.5">
      <c r="B72" s="420"/>
      <c r="C72" s="243">
        <v>3.3</v>
      </c>
      <c r="D72" s="244"/>
      <c r="E72" s="244" t="s">
        <v>1197</v>
      </c>
      <c r="F72" s="244" t="s">
        <v>1197</v>
      </c>
      <c r="G72" s="244" t="s">
        <v>1197</v>
      </c>
      <c r="H72" s="244"/>
      <c r="I72" s="244"/>
      <c r="J72" s="244"/>
      <c r="K72" s="244" t="s">
        <v>1197</v>
      </c>
      <c r="L72" s="244" t="s">
        <v>1197</v>
      </c>
      <c r="M72" s="244" t="s">
        <v>1197</v>
      </c>
      <c r="N72" s="244" t="s">
        <v>1197</v>
      </c>
      <c r="O72" s="244" t="s">
        <v>1197</v>
      </c>
      <c r="P72" s="244" t="s">
        <v>1197</v>
      </c>
      <c r="Q72" s="244" t="s">
        <v>1197</v>
      </c>
      <c r="R72" s="244" t="s">
        <v>1197</v>
      </c>
      <c r="S72" s="244"/>
      <c r="T72" s="244" t="s">
        <v>1197</v>
      </c>
      <c r="U72" s="244"/>
      <c r="V72" s="244"/>
      <c r="W72" s="225"/>
    </row>
    <row r="73" spans="2:23" ht="15.5">
      <c r="B73" s="420"/>
      <c r="C73" s="243">
        <v>3.4</v>
      </c>
      <c r="D73" s="244"/>
      <c r="E73" s="244"/>
      <c r="F73" s="244" t="s">
        <v>1197</v>
      </c>
      <c r="G73" s="244"/>
      <c r="H73" s="244"/>
      <c r="I73" s="244"/>
      <c r="J73" s="244"/>
      <c r="K73" s="244" t="s">
        <v>1197</v>
      </c>
      <c r="L73" s="244" t="s">
        <v>1197</v>
      </c>
      <c r="M73" s="244" t="s">
        <v>1197</v>
      </c>
      <c r="N73" s="244" t="s">
        <v>1197</v>
      </c>
      <c r="O73" s="244" t="s">
        <v>1197</v>
      </c>
      <c r="P73" s="244" t="s">
        <v>1197</v>
      </c>
      <c r="Q73" s="244" t="s">
        <v>1197</v>
      </c>
      <c r="R73" s="244" t="s">
        <v>1198</v>
      </c>
      <c r="S73" s="244"/>
      <c r="T73" s="244" t="s">
        <v>1197</v>
      </c>
      <c r="U73" s="244"/>
      <c r="V73" s="244"/>
      <c r="W73" s="225"/>
    </row>
    <row r="74" spans="2:23" ht="15.5">
      <c r="B74" s="420"/>
      <c r="C74" s="243">
        <v>3.5</v>
      </c>
      <c r="D74" s="244"/>
      <c r="E74" s="244"/>
      <c r="F74" s="244" t="s">
        <v>1197</v>
      </c>
      <c r="G74" s="244"/>
      <c r="H74" s="244"/>
      <c r="I74" s="244"/>
      <c r="J74" s="244"/>
      <c r="K74" s="244" t="s">
        <v>1197</v>
      </c>
      <c r="L74" s="244" t="s">
        <v>1197</v>
      </c>
      <c r="M74" s="244" t="s">
        <v>1197</v>
      </c>
      <c r="N74" s="244" t="s">
        <v>1197</v>
      </c>
      <c r="O74" s="244" t="s">
        <v>1197</v>
      </c>
      <c r="P74" s="244" t="s">
        <v>1197</v>
      </c>
      <c r="Q74" s="244"/>
      <c r="R74" s="244"/>
      <c r="S74" s="244"/>
      <c r="T74" s="244" t="s">
        <v>1197</v>
      </c>
      <c r="U74" s="244"/>
      <c r="V74" s="244"/>
      <c r="W74" s="225"/>
    </row>
    <row r="75" spans="2:23" ht="15.5">
      <c r="B75" s="420"/>
      <c r="C75" s="243">
        <v>3.6</v>
      </c>
      <c r="D75" s="244"/>
      <c r="E75" s="244"/>
      <c r="F75" s="244" t="s">
        <v>1197</v>
      </c>
      <c r="G75" s="244"/>
      <c r="H75" s="244"/>
      <c r="I75" s="244"/>
      <c r="J75" s="244"/>
      <c r="K75" s="244" t="s">
        <v>1197</v>
      </c>
      <c r="L75" s="244" t="s">
        <v>1197</v>
      </c>
      <c r="M75" s="244" t="s">
        <v>1198</v>
      </c>
      <c r="N75" s="244" t="s">
        <v>1197</v>
      </c>
      <c r="O75" s="244"/>
      <c r="P75" s="244" t="s">
        <v>1197</v>
      </c>
      <c r="Q75" s="244"/>
      <c r="R75" s="244"/>
      <c r="S75" s="244"/>
      <c r="T75" s="244"/>
      <c r="U75" s="244"/>
      <c r="V75" s="244"/>
      <c r="W75" s="225"/>
    </row>
    <row r="76" spans="2:23" ht="15.5">
      <c r="B76" s="420"/>
      <c r="C76" s="243">
        <v>3.7</v>
      </c>
      <c r="D76" s="244"/>
      <c r="E76" s="244"/>
      <c r="F76" s="244"/>
      <c r="G76" s="244"/>
      <c r="H76" s="244"/>
      <c r="I76" s="244"/>
      <c r="J76" s="244"/>
      <c r="K76" s="244" t="s">
        <v>1197</v>
      </c>
      <c r="L76" s="244"/>
      <c r="M76" s="244" t="s">
        <v>1197</v>
      </c>
      <c r="N76" s="244"/>
      <c r="O76" s="244"/>
      <c r="P76" s="244" t="s">
        <v>1197</v>
      </c>
      <c r="Q76" s="244"/>
      <c r="R76" s="244"/>
      <c r="S76" s="244"/>
      <c r="T76" s="244"/>
      <c r="U76" s="244"/>
      <c r="V76" s="244"/>
      <c r="W76" s="225"/>
    </row>
    <row r="77" spans="2:23" ht="12" customHeight="1">
      <c r="B77" s="231"/>
      <c r="C77" s="231"/>
      <c r="D77" s="231"/>
      <c r="E77" s="231"/>
      <c r="F77" s="231"/>
      <c r="G77" s="231"/>
      <c r="H77" s="231"/>
      <c r="I77" s="231"/>
      <c r="J77" s="231"/>
      <c r="K77" s="231"/>
      <c r="L77" s="231"/>
      <c r="M77" s="231"/>
      <c r="N77" s="231"/>
      <c r="O77" s="231"/>
      <c r="P77" s="231"/>
      <c r="Q77" s="231"/>
      <c r="R77" s="231"/>
      <c r="S77" s="231"/>
      <c r="T77" s="231"/>
      <c r="U77" s="231"/>
      <c r="V77" s="231"/>
      <c r="W77" s="238"/>
    </row>
    <row r="78" spans="2:23" ht="15.5">
      <c r="B78" s="420" t="s">
        <v>1205</v>
      </c>
      <c r="C78" s="244"/>
      <c r="D78" s="244" t="s">
        <v>1201</v>
      </c>
      <c r="E78" s="244"/>
      <c r="F78" s="244"/>
      <c r="G78" s="244"/>
      <c r="H78" s="244"/>
      <c r="I78" s="244"/>
      <c r="J78" s="244"/>
      <c r="K78" s="244"/>
      <c r="L78" s="244" t="s">
        <v>1200</v>
      </c>
      <c r="M78" s="244"/>
      <c r="N78" s="244" t="s">
        <v>1200</v>
      </c>
      <c r="O78" s="244"/>
      <c r="P78" s="244"/>
      <c r="Q78" s="244"/>
      <c r="R78" s="244" t="s">
        <v>1200</v>
      </c>
      <c r="S78" s="244"/>
      <c r="T78" s="244" t="s">
        <v>1200</v>
      </c>
      <c r="U78" s="244"/>
      <c r="V78" s="244"/>
      <c r="W78" s="225"/>
    </row>
    <row r="79" spans="2:23" ht="15.5">
      <c r="B79" s="420"/>
      <c r="C79" s="243">
        <v>4.0999999999999996</v>
      </c>
      <c r="D79" s="244" t="s">
        <v>1197</v>
      </c>
      <c r="E79" s="244"/>
      <c r="F79" s="244"/>
      <c r="G79" s="244"/>
      <c r="H79" s="244"/>
      <c r="I79" s="244"/>
      <c r="J79" s="244"/>
      <c r="K79" s="244"/>
      <c r="L79" s="244" t="s">
        <v>1197</v>
      </c>
      <c r="M79" s="244"/>
      <c r="N79" s="244" t="s">
        <v>1197</v>
      </c>
      <c r="O79" s="244"/>
      <c r="P79" s="244"/>
      <c r="Q79" s="244"/>
      <c r="R79" s="244" t="s">
        <v>1197</v>
      </c>
      <c r="S79" s="244"/>
      <c r="T79" s="244" t="s">
        <v>1197</v>
      </c>
      <c r="U79" s="244"/>
      <c r="V79" s="244"/>
      <c r="W79" s="225" t="s">
        <v>1199</v>
      </c>
    </row>
    <row r="80" spans="2:23" ht="15.5">
      <c r="B80" s="420"/>
      <c r="C80" s="243">
        <v>4.2</v>
      </c>
      <c r="D80" s="244"/>
      <c r="E80" s="244"/>
      <c r="F80" s="244"/>
      <c r="G80" s="244"/>
      <c r="H80" s="244"/>
      <c r="I80" s="244"/>
      <c r="J80" s="244"/>
      <c r="K80" s="244"/>
      <c r="L80" s="244"/>
      <c r="M80" s="244"/>
      <c r="N80" s="244" t="s">
        <v>1197</v>
      </c>
      <c r="O80" s="244"/>
      <c r="P80" s="244"/>
      <c r="Q80" s="244"/>
      <c r="R80" s="244"/>
      <c r="S80" s="244"/>
      <c r="T80" s="244" t="s">
        <v>1197</v>
      </c>
      <c r="U80" s="244"/>
      <c r="V80" s="244"/>
      <c r="W80" s="225"/>
    </row>
    <row r="81" spans="2:23" ht="15.5">
      <c r="B81" s="420"/>
      <c r="C81" s="243">
        <v>4.3</v>
      </c>
      <c r="D81" s="244"/>
      <c r="E81" s="244"/>
      <c r="F81" s="244"/>
      <c r="G81" s="244"/>
      <c r="H81" s="244"/>
      <c r="I81" s="244"/>
      <c r="J81" s="244"/>
      <c r="K81" s="244"/>
      <c r="L81" s="244"/>
      <c r="M81" s="244"/>
      <c r="N81" s="244" t="s">
        <v>1197</v>
      </c>
      <c r="O81" s="244"/>
      <c r="P81" s="244"/>
      <c r="Q81" s="244"/>
      <c r="R81" s="244"/>
      <c r="S81" s="244"/>
      <c r="T81" s="244"/>
      <c r="U81" s="244"/>
      <c r="V81" s="244"/>
      <c r="W81" s="225"/>
    </row>
    <row r="82" spans="2:23" ht="15.5">
      <c r="B82" s="420"/>
      <c r="C82" s="243">
        <v>4.4000000000000004</v>
      </c>
      <c r="D82" s="244"/>
      <c r="E82" s="244"/>
      <c r="F82" s="244"/>
      <c r="G82" s="244"/>
      <c r="H82" s="244"/>
      <c r="I82" s="244"/>
      <c r="J82" s="244"/>
      <c r="K82" s="244"/>
      <c r="L82" s="244"/>
      <c r="M82" s="244"/>
      <c r="N82" s="244" t="s">
        <v>1197</v>
      </c>
      <c r="O82" s="244"/>
      <c r="P82" s="244"/>
      <c r="Q82" s="244"/>
      <c r="R82" s="244"/>
      <c r="S82" s="244"/>
      <c r="T82" s="244"/>
      <c r="U82" s="244"/>
      <c r="V82" s="244"/>
      <c r="W82" s="225"/>
    </row>
    <row r="83" spans="2:23" ht="15.5">
      <c r="B83" s="420"/>
      <c r="C83" s="243">
        <v>4.5</v>
      </c>
      <c r="D83" s="244"/>
      <c r="E83" s="244"/>
      <c r="F83" s="244"/>
      <c r="G83" s="244"/>
      <c r="H83" s="244"/>
      <c r="I83" s="244"/>
      <c r="J83" s="244"/>
      <c r="K83" s="244"/>
      <c r="L83" s="244"/>
      <c r="M83" s="244"/>
      <c r="N83" s="244" t="s">
        <v>1197</v>
      </c>
      <c r="O83" s="244"/>
      <c r="P83" s="244"/>
      <c r="Q83" s="244"/>
      <c r="R83" s="244"/>
      <c r="S83" s="244"/>
      <c r="T83" s="244"/>
      <c r="U83" s="244"/>
      <c r="V83" s="244"/>
      <c r="W83" s="225"/>
    </row>
    <row r="84" spans="2:23" ht="12" customHeight="1">
      <c r="B84" s="231"/>
      <c r="C84" s="231"/>
      <c r="D84" s="231"/>
      <c r="E84" s="231"/>
      <c r="F84" s="231"/>
      <c r="G84" s="231"/>
      <c r="H84" s="231"/>
      <c r="I84" s="231"/>
      <c r="J84" s="231"/>
      <c r="K84" s="231"/>
      <c r="L84" s="231"/>
      <c r="M84" s="231"/>
      <c r="N84" s="231"/>
      <c r="O84" s="231"/>
      <c r="P84" s="231"/>
      <c r="Q84" s="231"/>
      <c r="R84" s="231"/>
      <c r="S84" s="231"/>
      <c r="T84" s="231"/>
      <c r="U84" s="231"/>
      <c r="V84" s="231"/>
      <c r="W84" s="238"/>
    </row>
    <row r="85" spans="2:23" ht="15.5">
      <c r="B85" s="420" t="s">
        <v>1206</v>
      </c>
      <c r="C85" s="244"/>
      <c r="D85" s="244"/>
      <c r="E85" s="244"/>
      <c r="F85" s="244"/>
      <c r="G85" s="244"/>
      <c r="H85" s="244"/>
      <c r="I85" s="244"/>
      <c r="J85" s="244"/>
      <c r="K85" s="244"/>
      <c r="L85" s="244"/>
      <c r="M85" s="244"/>
      <c r="N85" s="244" t="s">
        <v>1200</v>
      </c>
      <c r="O85" s="244"/>
      <c r="P85" s="244"/>
      <c r="Q85" s="244"/>
      <c r="R85" s="244"/>
      <c r="S85" s="244"/>
      <c r="T85" s="244" t="s">
        <v>1200</v>
      </c>
      <c r="U85" s="244"/>
      <c r="V85" s="244"/>
      <c r="W85" s="225"/>
    </row>
    <row r="86" spans="2:23" ht="15.5">
      <c r="B86" s="420"/>
      <c r="C86" s="243">
        <v>5.0999999999999996</v>
      </c>
      <c r="D86" s="244"/>
      <c r="E86" s="244"/>
      <c r="F86" s="244"/>
      <c r="G86" s="244"/>
      <c r="H86" s="244"/>
      <c r="I86" s="244"/>
      <c r="J86" s="244"/>
      <c r="K86" s="244"/>
      <c r="L86" s="244"/>
      <c r="M86" s="244"/>
      <c r="N86" s="244" t="s">
        <v>1197</v>
      </c>
      <c r="O86" s="244"/>
      <c r="P86" s="244"/>
      <c r="Q86" s="244"/>
      <c r="R86" s="244"/>
      <c r="S86" s="244"/>
      <c r="T86" s="244" t="s">
        <v>1197</v>
      </c>
      <c r="U86" s="244"/>
      <c r="V86" s="244"/>
      <c r="W86" s="225"/>
    </row>
    <row r="87" spans="2:23" ht="15.5">
      <c r="B87" s="420"/>
      <c r="C87" s="243">
        <v>5.2</v>
      </c>
      <c r="D87" s="244"/>
      <c r="E87" s="244"/>
      <c r="F87" s="244"/>
      <c r="G87" s="244"/>
      <c r="H87" s="244"/>
      <c r="I87" s="244"/>
      <c r="J87" s="244"/>
      <c r="K87" s="244"/>
      <c r="L87" s="244"/>
      <c r="M87" s="244"/>
      <c r="N87" s="244" t="s">
        <v>1197</v>
      </c>
      <c r="O87" s="244"/>
      <c r="P87" s="244"/>
      <c r="Q87" s="244"/>
      <c r="R87" s="244"/>
      <c r="S87" s="244"/>
      <c r="T87" s="244"/>
      <c r="U87" s="244"/>
      <c r="V87" s="244"/>
      <c r="W87" s="225"/>
    </row>
    <row r="88" spans="2:23" ht="15.5">
      <c r="B88" s="420"/>
      <c r="C88" s="243">
        <v>5.3</v>
      </c>
      <c r="D88" s="244"/>
      <c r="E88" s="244"/>
      <c r="F88" s="244"/>
      <c r="G88" s="244"/>
      <c r="H88" s="244"/>
      <c r="I88" s="244"/>
      <c r="J88" s="244"/>
      <c r="K88" s="244"/>
      <c r="L88" s="244"/>
      <c r="M88" s="244"/>
      <c r="N88" s="244" t="s">
        <v>1197</v>
      </c>
      <c r="O88" s="244"/>
      <c r="P88" s="244"/>
      <c r="Q88" s="244"/>
      <c r="R88" s="244"/>
      <c r="S88" s="244"/>
      <c r="T88" s="244"/>
      <c r="U88" s="244"/>
      <c r="V88" s="244"/>
      <c r="W88" s="225"/>
    </row>
    <row r="89" spans="2:23" ht="12" customHeight="1">
      <c r="B89" s="231"/>
      <c r="C89" s="231"/>
      <c r="D89" s="231"/>
      <c r="E89" s="231"/>
      <c r="F89" s="231"/>
      <c r="G89" s="231"/>
      <c r="H89" s="231"/>
      <c r="I89" s="231"/>
      <c r="J89" s="231"/>
      <c r="K89" s="231"/>
      <c r="L89" s="231"/>
      <c r="M89" s="231"/>
      <c r="N89" s="231"/>
      <c r="O89" s="231"/>
      <c r="P89" s="231"/>
      <c r="Q89" s="231"/>
      <c r="R89" s="231"/>
      <c r="S89" s="231"/>
      <c r="T89" s="231"/>
      <c r="U89" s="231"/>
      <c r="V89" s="231"/>
      <c r="W89" s="23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conditionalFormatting sqref="W4:W41">
    <cfRule type="cellIs" dxfId="91" priority="107" operator="equal">
      <formula>"S"</formula>
    </cfRule>
    <cfRule type="cellIs" dxfId="90" priority="108" stopIfTrue="1" operator="equal">
      <formula>"FM"</formula>
    </cfRule>
    <cfRule type="cellIs" dxfId="89" priority="109" stopIfTrue="1" operator="equal">
      <formula>"LM"</formula>
    </cfRule>
    <cfRule type="cellIs" dxfId="88" priority="110" stopIfTrue="1" operator="equal">
      <formula>"PM"</formula>
    </cfRule>
    <cfRule type="cellIs" dxfId="87" priority="156" stopIfTrue="1" operator="equal">
      <formula>"DM"</formula>
    </cfRule>
  </conditionalFormatting>
  <conditionalFormatting sqref="C5">
    <cfRule type="cellIs" dxfId="86" priority="97" operator="equal">
      <formula>"S"</formula>
    </cfRule>
    <cfRule type="cellIs" dxfId="85" priority="98" stopIfTrue="1" operator="equal">
      <formula>"FM"</formula>
    </cfRule>
    <cfRule type="cellIs" dxfId="84" priority="99" stopIfTrue="1" operator="equal">
      <formula>"LM"</formula>
    </cfRule>
    <cfRule type="cellIs" dxfId="83" priority="100" stopIfTrue="1" operator="equal">
      <formula>"PM"</formula>
    </cfRule>
    <cfRule type="cellIs" dxfId="82" priority="101" stopIfTrue="1" operator="equal">
      <formula>"DM"</formula>
    </cfRule>
  </conditionalFormatting>
  <conditionalFormatting sqref="C11">
    <cfRule type="cellIs" dxfId="81" priority="92" operator="equal">
      <formula>"S"</formula>
    </cfRule>
    <cfRule type="cellIs" dxfId="80" priority="93" stopIfTrue="1" operator="equal">
      <formula>"FM"</formula>
    </cfRule>
    <cfRule type="cellIs" dxfId="79" priority="94" stopIfTrue="1" operator="equal">
      <formula>"LM"</formula>
    </cfRule>
    <cfRule type="cellIs" dxfId="78" priority="95" stopIfTrue="1" operator="equal">
      <formula>"PM"</formula>
    </cfRule>
    <cfRule type="cellIs" dxfId="77" priority="96" stopIfTrue="1" operator="equal">
      <formula>"DM"</formula>
    </cfRule>
  </conditionalFormatting>
  <conditionalFormatting sqref="C21">
    <cfRule type="cellIs" dxfId="76" priority="87" operator="equal">
      <formula>"S"</formula>
    </cfRule>
    <cfRule type="cellIs" dxfId="75" priority="88" stopIfTrue="1" operator="equal">
      <formula>"FM"</formula>
    </cfRule>
    <cfRule type="cellIs" dxfId="74" priority="89" stopIfTrue="1" operator="equal">
      <formula>"LM"</formula>
    </cfRule>
    <cfRule type="cellIs" dxfId="73" priority="90" stopIfTrue="1" operator="equal">
      <formula>"PM"</formula>
    </cfRule>
    <cfRule type="cellIs" dxfId="72" priority="91" stopIfTrue="1" operator="equal">
      <formula>"DM"</formula>
    </cfRule>
  </conditionalFormatting>
  <conditionalFormatting sqref="C30">
    <cfRule type="cellIs" dxfId="71" priority="82" operator="equal">
      <formula>"S"</formula>
    </cfRule>
    <cfRule type="cellIs" dxfId="70" priority="83" stopIfTrue="1" operator="equal">
      <formula>"FM"</formula>
    </cfRule>
    <cfRule type="cellIs" dxfId="69" priority="84" stopIfTrue="1" operator="equal">
      <formula>"LM"</formula>
    </cfRule>
    <cfRule type="cellIs" dxfId="68" priority="85" stopIfTrue="1" operator="equal">
      <formula>"PM"</formula>
    </cfRule>
    <cfRule type="cellIs" dxfId="67" priority="86" stopIfTrue="1" operator="equal">
      <formula>"DM"</formula>
    </cfRule>
  </conditionalFormatting>
  <conditionalFormatting sqref="C37">
    <cfRule type="cellIs" dxfId="66" priority="77" operator="equal">
      <formula>"S"</formula>
    </cfRule>
    <cfRule type="cellIs" dxfId="65" priority="78" stopIfTrue="1" operator="equal">
      <formula>"FM"</formula>
    </cfRule>
    <cfRule type="cellIs" dxfId="64" priority="79" stopIfTrue="1" operator="equal">
      <formula>"LM"</formula>
    </cfRule>
    <cfRule type="cellIs" dxfId="63" priority="80" stopIfTrue="1" operator="equal">
      <formula>"PM"</formula>
    </cfRule>
    <cfRule type="cellIs" dxfId="62" priority="81" stopIfTrue="1" operator="equal">
      <formula>"DM"</formula>
    </cfRule>
  </conditionalFormatting>
  <conditionalFormatting sqref="W52 D53:W57 D59:W67 W58 D69:W76 W68 D78:W83 W77 D85:W88 W84 W89">
    <cfRule type="cellIs" dxfId="61" priority="46" stopIfTrue="1" operator="equal">
      <formula>"U"</formula>
    </cfRule>
    <cfRule type="cellIs" dxfId="60" priority="72" stopIfTrue="1" operator="equal">
      <formula>"S"</formula>
    </cfRule>
    <cfRule type="cellIs" dxfId="59" priority="73" stopIfTrue="1" operator="equal">
      <formula>"FM"</formula>
    </cfRule>
    <cfRule type="cellIs" dxfId="58" priority="74" stopIfTrue="1" operator="equal">
      <formula>"LM"</formula>
    </cfRule>
    <cfRule type="cellIs" dxfId="57" priority="75" stopIfTrue="1" operator="equal">
      <formula>"PM"</formula>
    </cfRule>
    <cfRule type="cellIs" dxfId="56" priority="76" stopIfTrue="1" operator="equal">
      <formula>"DM"</formula>
    </cfRule>
  </conditionalFormatting>
  <conditionalFormatting sqref="C53">
    <cfRule type="cellIs" dxfId="55" priority="67" operator="equal">
      <formula>"S"</formula>
    </cfRule>
    <cfRule type="cellIs" dxfId="54" priority="68" stopIfTrue="1" operator="equal">
      <formula>"FM"</formula>
    </cfRule>
    <cfRule type="cellIs" dxfId="53" priority="69" stopIfTrue="1" operator="equal">
      <formula>"LM"</formula>
    </cfRule>
    <cfRule type="cellIs" dxfId="52" priority="70" stopIfTrue="1" operator="equal">
      <formula>"PM"</formula>
    </cfRule>
    <cfRule type="cellIs" dxfId="51" priority="71" stopIfTrue="1" operator="equal">
      <formula>"DM"</formula>
    </cfRule>
  </conditionalFormatting>
  <conditionalFormatting sqref="C59">
    <cfRule type="cellIs" dxfId="50" priority="62" operator="equal">
      <formula>"S"</formula>
    </cfRule>
    <cfRule type="cellIs" dxfId="49" priority="63" stopIfTrue="1" operator="equal">
      <formula>"FM"</formula>
    </cfRule>
    <cfRule type="cellIs" dxfId="48" priority="64" stopIfTrue="1" operator="equal">
      <formula>"LM"</formula>
    </cfRule>
    <cfRule type="cellIs" dxfId="47" priority="65" stopIfTrue="1" operator="equal">
      <formula>"PM"</formula>
    </cfRule>
    <cfRule type="cellIs" dxfId="46" priority="66" stopIfTrue="1" operator="equal">
      <formula>"DM"</formula>
    </cfRule>
  </conditionalFormatting>
  <conditionalFormatting sqref="C69">
    <cfRule type="cellIs" dxfId="45" priority="57" operator="equal">
      <formula>"S"</formula>
    </cfRule>
    <cfRule type="cellIs" dxfId="44" priority="58" stopIfTrue="1" operator="equal">
      <formula>"FM"</formula>
    </cfRule>
    <cfRule type="cellIs" dxfId="43" priority="59" stopIfTrue="1" operator="equal">
      <formula>"LM"</formula>
    </cfRule>
    <cfRule type="cellIs" dxfId="42" priority="60" stopIfTrue="1" operator="equal">
      <formula>"PM"</formula>
    </cfRule>
    <cfRule type="cellIs" dxfId="41" priority="61" stopIfTrue="1" operator="equal">
      <formula>"DM"</formula>
    </cfRule>
  </conditionalFormatting>
  <conditionalFormatting sqref="C78">
    <cfRule type="cellIs" dxfId="40" priority="52" operator="equal">
      <formula>"S"</formula>
    </cfRule>
    <cfRule type="cellIs" dxfId="39" priority="53" stopIfTrue="1" operator="equal">
      <formula>"FM"</formula>
    </cfRule>
    <cfRule type="cellIs" dxfId="38" priority="54" stopIfTrue="1" operator="equal">
      <formula>"LM"</formula>
    </cfRule>
    <cfRule type="cellIs" dxfId="37" priority="55" stopIfTrue="1" operator="equal">
      <formula>"PM"</formula>
    </cfRule>
    <cfRule type="cellIs" dxfId="36" priority="56" stopIfTrue="1" operator="equal">
      <formula>"DM"</formula>
    </cfRule>
  </conditionalFormatting>
  <conditionalFormatting sqref="C85">
    <cfRule type="cellIs" dxfId="35" priority="47" operator="equal">
      <formula>"S"</formula>
    </cfRule>
    <cfRule type="cellIs" dxfId="34" priority="48" stopIfTrue="1" operator="equal">
      <formula>"FM"</formula>
    </cfRule>
    <cfRule type="cellIs" dxfId="33" priority="49" stopIfTrue="1" operator="equal">
      <formula>"LM"</formula>
    </cfRule>
    <cfRule type="cellIs" dxfId="32" priority="50" stopIfTrue="1" operator="equal">
      <formula>"PM"</formula>
    </cfRule>
    <cfRule type="cellIs" dxfId="31" priority="51" stopIfTrue="1" operator="equal">
      <formula>"DM"</formula>
    </cfRule>
  </conditionalFormatting>
  <conditionalFormatting sqref="D21:V23 D25:V28 D24:H24 J24:V24">
    <cfRule type="cellIs" dxfId="30" priority="31" operator="equal">
      <formula>"S"</formula>
    </cfRule>
    <cfRule type="cellIs" dxfId="29" priority="32" stopIfTrue="1" operator="equal">
      <formula>"FM"</formula>
    </cfRule>
    <cfRule type="cellIs" dxfId="28" priority="33" stopIfTrue="1" operator="equal">
      <formula>"LM"</formula>
    </cfRule>
    <cfRule type="cellIs" dxfId="27" priority="34" stopIfTrue="1" operator="equal">
      <formula>"PM"</formula>
    </cfRule>
    <cfRule type="cellIs" dxfId="26" priority="35" stopIfTrue="1" operator="equal">
      <formula>"DM"</formula>
    </cfRule>
  </conditionalFormatting>
  <conditionalFormatting sqref="D30:V35">
    <cfRule type="cellIs" dxfId="25" priority="26" operator="equal">
      <formula>"S"</formula>
    </cfRule>
    <cfRule type="cellIs" dxfId="24" priority="27" stopIfTrue="1" operator="equal">
      <formula>"FM"</formula>
    </cfRule>
    <cfRule type="cellIs" dxfId="23" priority="28" stopIfTrue="1" operator="equal">
      <formula>"LM"</formula>
    </cfRule>
    <cfRule type="cellIs" dxfId="22" priority="29" stopIfTrue="1" operator="equal">
      <formula>"PM"</formula>
    </cfRule>
    <cfRule type="cellIs" dxfId="21" priority="30" stopIfTrue="1" operator="equal">
      <formula>"DM"</formula>
    </cfRule>
  </conditionalFormatting>
  <conditionalFormatting sqref="D37:V40">
    <cfRule type="cellIs" dxfId="20" priority="21" operator="equal">
      <formula>"S"</formula>
    </cfRule>
    <cfRule type="cellIs" dxfId="19" priority="22" stopIfTrue="1" operator="equal">
      <formula>"FM"</formula>
    </cfRule>
    <cfRule type="cellIs" dxfId="18" priority="23" stopIfTrue="1" operator="equal">
      <formula>"LM"</formula>
    </cfRule>
    <cfRule type="cellIs" dxfId="17" priority="24" stopIfTrue="1" operator="equal">
      <formula>"PM"</formula>
    </cfRule>
    <cfRule type="cellIs" dxfId="16" priority="25" stopIfTrue="1" operator="equal">
      <formula>"DM"</formula>
    </cfRule>
  </conditionalFormatting>
  <conditionalFormatting sqref="D5:V9">
    <cfRule type="cellIs" dxfId="15" priority="11" operator="equal">
      <formula>"S"</formula>
    </cfRule>
    <cfRule type="cellIs" dxfId="14" priority="12" stopIfTrue="1" operator="equal">
      <formula>"FM"</formula>
    </cfRule>
    <cfRule type="cellIs" dxfId="13" priority="13" stopIfTrue="1" operator="equal">
      <formula>"LM"</formula>
    </cfRule>
    <cfRule type="cellIs" dxfId="12" priority="14" stopIfTrue="1" operator="equal">
      <formula>"PM"</formula>
    </cfRule>
    <cfRule type="cellIs" dxfId="11" priority="15" stopIfTrue="1" operator="equal">
      <formula>"DM"</formula>
    </cfRule>
  </conditionalFormatting>
  <conditionalFormatting sqref="D11:V19">
    <cfRule type="cellIs" dxfId="10" priority="6" operator="equal">
      <formula>"S"</formula>
    </cfRule>
    <cfRule type="cellIs" dxfId="9" priority="7" stopIfTrue="1" operator="equal">
      <formula>"FM"</formula>
    </cfRule>
    <cfRule type="cellIs" dxfId="8" priority="8" stopIfTrue="1" operator="equal">
      <formula>"LM"</formula>
    </cfRule>
    <cfRule type="cellIs" dxfId="7" priority="9" stopIfTrue="1" operator="equal">
      <formula>"PM"</formula>
    </cfRule>
    <cfRule type="cellIs" dxfId="6" priority="10" stopIfTrue="1" operator="equal">
      <formula>"DM"</formula>
    </cfRule>
  </conditionalFormatting>
  <conditionalFormatting sqref="I24">
    <cfRule type="cellIs" dxfId="5" priority="1" operator="equal">
      <formula>"S"</formula>
    </cfRule>
    <cfRule type="cellIs" dxfId="4" priority="2" stopIfTrue="1" operator="equal">
      <formula>"FM"</formula>
    </cfRule>
    <cfRule type="cellIs" dxfId="3" priority="3" stopIfTrue="1" operator="equal">
      <formula>"LM"</formula>
    </cfRule>
    <cfRule type="cellIs" dxfId="2" priority="4" stopIfTrue="1" operator="equal">
      <formula>"PM"</formula>
    </cfRule>
    <cfRule type="cellIs" dxfId="1" priority="5" stopIfTrue="1" operator="equal">
      <formula>"DM"</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election activeCell="F22" sqref="F22"/>
    </sheetView>
  </sheetViews>
  <sheetFormatPr defaultRowHeight="14.5"/>
  <cols>
    <col min="2" max="2" width="22.54296875" customWidth="1"/>
    <col min="4" max="4" width="45.453125" customWidth="1"/>
    <col min="5" max="5" width="14.54296875" customWidth="1"/>
    <col min="6" max="6" width="16.81640625" customWidth="1"/>
    <col min="18" max="18" width="21" customWidth="1"/>
    <col min="37" max="37" width="10.7265625" customWidth="1"/>
  </cols>
  <sheetData>
    <row r="2" spans="2:38">
      <c r="B2" s="10" t="s">
        <v>295</v>
      </c>
    </row>
    <row r="4" spans="2:38">
      <c r="B4" s="11" t="s">
        <v>23</v>
      </c>
      <c r="D4" s="11" t="s">
        <v>298</v>
      </c>
      <c r="F4" s="11" t="s">
        <v>411</v>
      </c>
      <c r="H4" s="11" t="s">
        <v>419</v>
      </c>
      <c r="J4" s="11" t="s">
        <v>427</v>
      </c>
      <c r="L4" s="11" t="s">
        <v>434</v>
      </c>
      <c r="N4" s="11" t="s">
        <v>444</v>
      </c>
      <c r="P4" s="11" t="s">
        <v>588</v>
      </c>
      <c r="R4" s="11" t="s">
        <v>624</v>
      </c>
      <c r="T4" s="11" t="s">
        <v>628</v>
      </c>
      <c r="V4" s="11" t="s">
        <v>643</v>
      </c>
      <c r="X4" s="11" t="s">
        <v>671</v>
      </c>
      <c r="Z4" s="11" t="s">
        <v>676</v>
      </c>
      <c r="AB4" s="11" t="s">
        <v>702</v>
      </c>
      <c r="AD4" s="11" t="s">
        <v>706</v>
      </c>
      <c r="AF4" s="11" t="s">
        <v>728</v>
      </c>
      <c r="AH4" s="11" t="s">
        <v>747</v>
      </c>
      <c r="AJ4" s="26" t="s">
        <v>770</v>
      </c>
      <c r="AL4" s="26" t="s">
        <v>1304</v>
      </c>
    </row>
    <row r="5" spans="2:38">
      <c r="B5" t="s">
        <v>42</v>
      </c>
      <c r="D5" t="s">
        <v>299</v>
      </c>
      <c r="E5" t="s">
        <v>417</v>
      </c>
      <c r="F5" t="s">
        <v>412</v>
      </c>
      <c r="H5" t="s">
        <v>420</v>
      </c>
      <c r="J5" t="s">
        <v>428</v>
      </c>
      <c r="L5" t="s">
        <v>435</v>
      </c>
      <c r="N5" t="s">
        <v>449</v>
      </c>
      <c r="P5" t="s">
        <v>589</v>
      </c>
      <c r="R5" t="s">
        <v>625</v>
      </c>
      <c r="T5" s="17" t="s">
        <v>630</v>
      </c>
      <c r="V5" t="s">
        <v>644</v>
      </c>
      <c r="X5" t="s">
        <v>672</v>
      </c>
      <c r="Z5" t="s">
        <v>677</v>
      </c>
      <c r="AB5" t="s">
        <v>696</v>
      </c>
      <c r="AD5" t="s">
        <v>426</v>
      </c>
      <c r="AF5" t="s">
        <v>729</v>
      </c>
      <c r="AH5" t="s">
        <v>748</v>
      </c>
      <c r="AJ5" s="17" t="s">
        <v>771</v>
      </c>
      <c r="AL5" t="s">
        <v>847</v>
      </c>
    </row>
    <row r="6" spans="2:38">
      <c r="B6" t="s">
        <v>278</v>
      </c>
      <c r="D6" t="s">
        <v>300</v>
      </c>
      <c r="E6" t="s">
        <v>417</v>
      </c>
      <c r="F6" t="s">
        <v>413</v>
      </c>
      <c r="H6" t="s">
        <v>421</v>
      </c>
      <c r="J6" t="s">
        <v>429</v>
      </c>
      <c r="L6" t="s">
        <v>436</v>
      </c>
      <c r="N6" t="s">
        <v>450</v>
      </c>
      <c r="P6" t="s">
        <v>590</v>
      </c>
      <c r="R6" t="s">
        <v>626</v>
      </c>
      <c r="T6" s="17" t="s">
        <v>631</v>
      </c>
      <c r="V6" t="s">
        <v>645</v>
      </c>
      <c r="X6" t="s">
        <v>673</v>
      </c>
      <c r="Z6" t="s">
        <v>678</v>
      </c>
      <c r="AB6" t="s">
        <v>697</v>
      </c>
      <c r="AD6" t="s">
        <v>707</v>
      </c>
      <c r="AF6" t="s">
        <v>742</v>
      </c>
      <c r="AH6" t="s">
        <v>749</v>
      </c>
      <c r="AJ6" s="17" t="s">
        <v>772</v>
      </c>
      <c r="AL6" t="s">
        <v>848</v>
      </c>
    </row>
    <row r="7" spans="2:38">
      <c r="B7" t="s">
        <v>43</v>
      </c>
      <c r="D7" t="s">
        <v>301</v>
      </c>
      <c r="E7" t="s">
        <v>417</v>
      </c>
      <c r="F7" t="s">
        <v>414</v>
      </c>
      <c r="H7" t="s">
        <v>422</v>
      </c>
      <c r="J7" t="s">
        <v>430</v>
      </c>
      <c r="L7" t="s">
        <v>437</v>
      </c>
      <c r="N7" t="s">
        <v>451</v>
      </c>
      <c r="P7" t="s">
        <v>591</v>
      </c>
      <c r="R7" t="s">
        <v>627</v>
      </c>
      <c r="T7" s="17" t="s">
        <v>632</v>
      </c>
      <c r="V7" t="s">
        <v>646</v>
      </c>
      <c r="X7" t="s">
        <v>674</v>
      </c>
      <c r="Z7" t="s">
        <v>679</v>
      </c>
      <c r="AB7" t="s">
        <v>698</v>
      </c>
      <c r="AD7" t="s">
        <v>708</v>
      </c>
      <c r="AF7" t="s">
        <v>730</v>
      </c>
      <c r="AH7" t="s">
        <v>750</v>
      </c>
      <c r="AJ7" s="17" t="s">
        <v>773</v>
      </c>
      <c r="AL7" t="s">
        <v>849</v>
      </c>
    </row>
    <row r="8" spans="2:38">
      <c r="B8" t="s">
        <v>44</v>
      </c>
      <c r="D8" t="s">
        <v>302</v>
      </c>
      <c r="E8" t="s">
        <v>417</v>
      </c>
      <c r="F8" t="s">
        <v>415</v>
      </c>
      <c r="H8" t="s">
        <v>423</v>
      </c>
      <c r="J8" t="s">
        <v>431</v>
      </c>
      <c r="L8" t="s">
        <v>438</v>
      </c>
      <c r="N8" t="s">
        <v>452</v>
      </c>
      <c r="T8" s="17" t="s">
        <v>633</v>
      </c>
      <c r="V8" t="s">
        <v>647</v>
      </c>
      <c r="X8" t="s">
        <v>675</v>
      </c>
      <c r="Z8" t="s">
        <v>680</v>
      </c>
      <c r="AB8" t="s">
        <v>699</v>
      </c>
      <c r="AD8" t="s">
        <v>709</v>
      </c>
      <c r="AF8" t="s">
        <v>731</v>
      </c>
      <c r="AH8" t="s">
        <v>751</v>
      </c>
      <c r="AJ8" s="17" t="s">
        <v>775</v>
      </c>
      <c r="AL8" t="s">
        <v>709</v>
      </c>
    </row>
    <row r="9" spans="2:38">
      <c r="B9" t="s">
        <v>45</v>
      </c>
      <c r="D9" t="s">
        <v>303</v>
      </c>
      <c r="E9" t="s">
        <v>417</v>
      </c>
      <c r="F9" t="s">
        <v>416</v>
      </c>
      <c r="H9" t="s">
        <v>424</v>
      </c>
      <c r="L9" t="s">
        <v>439</v>
      </c>
      <c r="N9" t="s">
        <v>453</v>
      </c>
      <c r="T9" s="17" t="s">
        <v>634</v>
      </c>
      <c r="V9" t="s">
        <v>440</v>
      </c>
      <c r="X9" t="s">
        <v>440</v>
      </c>
      <c r="Z9" t="s">
        <v>681</v>
      </c>
      <c r="AB9" t="s">
        <v>700</v>
      </c>
      <c r="AD9" t="s">
        <v>710</v>
      </c>
      <c r="AF9" t="s">
        <v>732</v>
      </c>
      <c r="AH9" t="s">
        <v>440</v>
      </c>
      <c r="AJ9" s="17" t="s">
        <v>774</v>
      </c>
      <c r="AL9" t="s">
        <v>1305</v>
      </c>
    </row>
    <row r="10" spans="2:38">
      <c r="B10" t="s">
        <v>46</v>
      </c>
      <c r="D10" t="s">
        <v>304</v>
      </c>
      <c r="E10" t="s">
        <v>417</v>
      </c>
      <c r="L10" t="s">
        <v>440</v>
      </c>
      <c r="N10" t="s">
        <v>454</v>
      </c>
      <c r="T10" s="17" t="s">
        <v>635</v>
      </c>
      <c r="Z10" t="s">
        <v>682</v>
      </c>
      <c r="AB10" t="s">
        <v>701</v>
      </c>
      <c r="AD10" t="s">
        <v>711</v>
      </c>
      <c r="AF10" t="s">
        <v>733</v>
      </c>
      <c r="AJ10" s="17" t="s">
        <v>440</v>
      </c>
      <c r="AL10" t="s">
        <v>440</v>
      </c>
    </row>
    <row r="11" spans="2:38">
      <c r="B11" t="s">
        <v>47</v>
      </c>
      <c r="D11" t="s">
        <v>305</v>
      </c>
      <c r="E11" t="s">
        <v>417</v>
      </c>
      <c r="N11" t="s">
        <v>455</v>
      </c>
      <c r="T11" s="17" t="s">
        <v>440</v>
      </c>
      <c r="Z11" t="s">
        <v>683</v>
      </c>
      <c r="AB11" t="s">
        <v>440</v>
      </c>
      <c r="AD11" t="s">
        <v>440</v>
      </c>
      <c r="AF11" t="s">
        <v>734</v>
      </c>
    </row>
    <row r="12" spans="2:38">
      <c r="B12" t="s">
        <v>48</v>
      </c>
      <c r="D12" t="s">
        <v>306</v>
      </c>
      <c r="E12" t="s">
        <v>417</v>
      </c>
      <c r="N12" t="s">
        <v>456</v>
      </c>
      <c r="Z12" t="s">
        <v>684</v>
      </c>
      <c r="AF12" t="s">
        <v>735</v>
      </c>
    </row>
    <row r="13" spans="2:38">
      <c r="B13" t="s">
        <v>49</v>
      </c>
      <c r="D13" t="s">
        <v>307</v>
      </c>
      <c r="E13" t="s">
        <v>417</v>
      </c>
      <c r="N13" t="s">
        <v>457</v>
      </c>
      <c r="Z13" t="s">
        <v>685</v>
      </c>
      <c r="AF13" t="s">
        <v>736</v>
      </c>
    </row>
    <row r="14" spans="2:38">
      <c r="B14" t="s">
        <v>279</v>
      </c>
      <c r="D14" t="s">
        <v>308</v>
      </c>
      <c r="E14" t="s">
        <v>417</v>
      </c>
      <c r="N14" t="s">
        <v>458</v>
      </c>
      <c r="Z14" t="s">
        <v>686</v>
      </c>
      <c r="AF14" t="s">
        <v>737</v>
      </c>
    </row>
    <row r="15" spans="2:38">
      <c r="B15" t="s">
        <v>50</v>
      </c>
      <c r="D15" t="s">
        <v>309</v>
      </c>
      <c r="E15" t="s">
        <v>417</v>
      </c>
      <c r="N15" t="s">
        <v>459</v>
      </c>
      <c r="Z15" t="s">
        <v>687</v>
      </c>
      <c r="AF15" t="s">
        <v>738</v>
      </c>
    </row>
    <row r="16" spans="2:38">
      <c r="B16" t="s">
        <v>51</v>
      </c>
      <c r="D16" t="s">
        <v>310</v>
      </c>
      <c r="E16" t="s">
        <v>417</v>
      </c>
      <c r="N16" t="s">
        <v>460</v>
      </c>
      <c r="Z16" t="s">
        <v>688</v>
      </c>
      <c r="AF16" t="s">
        <v>739</v>
      </c>
    </row>
    <row r="17" spans="2:32">
      <c r="B17" t="s">
        <v>52</v>
      </c>
      <c r="D17" t="s">
        <v>311</v>
      </c>
      <c r="E17" t="s">
        <v>417</v>
      </c>
      <c r="N17" t="s">
        <v>461</v>
      </c>
      <c r="Z17" t="s">
        <v>689</v>
      </c>
      <c r="AF17" t="s">
        <v>740</v>
      </c>
    </row>
    <row r="18" spans="2:32">
      <c r="B18" t="s">
        <v>53</v>
      </c>
      <c r="D18" t="s">
        <v>312</v>
      </c>
      <c r="E18" t="s">
        <v>417</v>
      </c>
      <c r="N18" t="s">
        <v>462</v>
      </c>
      <c r="AF18" t="s">
        <v>741</v>
      </c>
    </row>
    <row r="19" spans="2:32">
      <c r="B19" t="s">
        <v>54</v>
      </c>
      <c r="D19" t="s">
        <v>313</v>
      </c>
      <c r="E19" t="s">
        <v>417</v>
      </c>
      <c r="N19" t="s">
        <v>463</v>
      </c>
      <c r="AF19" t="s">
        <v>440</v>
      </c>
    </row>
    <row r="20" spans="2:32">
      <c r="B20" t="s">
        <v>55</v>
      </c>
      <c r="D20" t="s">
        <v>314</v>
      </c>
      <c r="E20" t="s">
        <v>417</v>
      </c>
      <c r="N20" t="s">
        <v>464</v>
      </c>
    </row>
    <row r="21" spans="2:32">
      <c r="B21" t="s">
        <v>56</v>
      </c>
      <c r="D21" t="s">
        <v>315</v>
      </c>
      <c r="E21" t="s">
        <v>417</v>
      </c>
      <c r="N21" t="s">
        <v>465</v>
      </c>
    </row>
    <row r="22" spans="2:32">
      <c r="B22" t="s">
        <v>57</v>
      </c>
      <c r="D22" t="s">
        <v>316</v>
      </c>
      <c r="E22" t="s">
        <v>417</v>
      </c>
      <c r="N22" t="s">
        <v>466</v>
      </c>
    </row>
    <row r="23" spans="2:32">
      <c r="B23" t="s">
        <v>58</v>
      </c>
      <c r="D23" t="s">
        <v>317</v>
      </c>
      <c r="E23" t="s">
        <v>417</v>
      </c>
      <c r="N23" t="s">
        <v>467</v>
      </c>
    </row>
    <row r="24" spans="2:32">
      <c r="B24" t="s">
        <v>59</v>
      </c>
      <c r="D24" t="s">
        <v>318</v>
      </c>
      <c r="E24" t="s">
        <v>417</v>
      </c>
      <c r="N24" t="s">
        <v>468</v>
      </c>
    </row>
    <row r="25" spans="2:32">
      <c r="B25" t="s">
        <v>60</v>
      </c>
      <c r="D25" t="s">
        <v>319</v>
      </c>
      <c r="E25" t="s">
        <v>417</v>
      </c>
      <c r="N25" t="s">
        <v>469</v>
      </c>
    </row>
    <row r="26" spans="2:32">
      <c r="B26" t="s">
        <v>61</v>
      </c>
      <c r="D26" t="s">
        <v>320</v>
      </c>
      <c r="E26" t="s">
        <v>417</v>
      </c>
      <c r="N26" t="s">
        <v>470</v>
      </c>
    </row>
    <row r="27" spans="2:32">
      <c r="B27" t="s">
        <v>62</v>
      </c>
      <c r="D27" t="s">
        <v>321</v>
      </c>
      <c r="E27" t="s">
        <v>417</v>
      </c>
      <c r="N27" t="s">
        <v>471</v>
      </c>
    </row>
    <row r="28" spans="2:32">
      <c r="B28" t="s">
        <v>63</v>
      </c>
      <c r="D28" t="s">
        <v>322</v>
      </c>
      <c r="E28" t="s">
        <v>417</v>
      </c>
      <c r="N28" t="s">
        <v>472</v>
      </c>
    </row>
    <row r="29" spans="2:32">
      <c r="B29" t="s">
        <v>64</v>
      </c>
      <c r="D29" t="s">
        <v>323</v>
      </c>
      <c r="E29" t="s">
        <v>417</v>
      </c>
      <c r="N29" t="s">
        <v>473</v>
      </c>
    </row>
    <row r="30" spans="2:32">
      <c r="B30" t="s">
        <v>65</v>
      </c>
      <c r="D30" t="s">
        <v>324</v>
      </c>
      <c r="E30" t="s">
        <v>417</v>
      </c>
      <c r="N30" t="s">
        <v>474</v>
      </c>
    </row>
    <row r="31" spans="2:32">
      <c r="B31" t="s">
        <v>66</v>
      </c>
      <c r="D31" t="s">
        <v>325</v>
      </c>
      <c r="E31" t="s">
        <v>417</v>
      </c>
      <c r="N31" t="s">
        <v>475</v>
      </c>
    </row>
    <row r="32" spans="2:32">
      <c r="B32" t="s">
        <v>67</v>
      </c>
      <c r="D32" t="s">
        <v>326</v>
      </c>
      <c r="E32" t="s">
        <v>417</v>
      </c>
      <c r="N32" t="s">
        <v>476</v>
      </c>
    </row>
    <row r="33" spans="2:31">
      <c r="B33" t="s">
        <v>280</v>
      </c>
      <c r="D33" t="s">
        <v>327</v>
      </c>
      <c r="E33" t="s">
        <v>417</v>
      </c>
      <c r="N33" t="s">
        <v>477</v>
      </c>
    </row>
    <row r="34" spans="2:31">
      <c r="B34" t="s">
        <v>68</v>
      </c>
      <c r="D34" t="s">
        <v>328</v>
      </c>
      <c r="E34" t="s">
        <v>417</v>
      </c>
      <c r="N34" t="s">
        <v>478</v>
      </c>
    </row>
    <row r="35" spans="2:31">
      <c r="B35" t="s">
        <v>69</v>
      </c>
      <c r="D35" t="s">
        <v>329</v>
      </c>
      <c r="E35" t="s">
        <v>417</v>
      </c>
      <c r="N35" t="s">
        <v>479</v>
      </c>
    </row>
    <row r="36" spans="2:31">
      <c r="B36" t="s">
        <v>70</v>
      </c>
      <c r="D36" t="s">
        <v>330</v>
      </c>
      <c r="E36" t="s">
        <v>417</v>
      </c>
      <c r="N36" t="s">
        <v>480</v>
      </c>
      <c r="U36" s="81" t="s">
        <v>1008</v>
      </c>
      <c r="V36" s="81">
        <v>1</v>
      </c>
      <c r="W36" s="81">
        <v>2</v>
      </c>
      <c r="X36" s="81">
        <v>3</v>
      </c>
      <c r="Y36" s="81">
        <v>4</v>
      </c>
      <c r="Z36" s="81">
        <v>5</v>
      </c>
    </row>
    <row r="37" spans="2:31">
      <c r="B37" t="s">
        <v>71</v>
      </c>
      <c r="D37" t="s">
        <v>331</v>
      </c>
      <c r="E37" t="s">
        <v>417</v>
      </c>
      <c r="N37" t="s">
        <v>481</v>
      </c>
      <c r="U37" t="s">
        <v>949</v>
      </c>
      <c r="V37">
        <f t="shared" ref="V37:V56" si="0">AA37</f>
        <v>1</v>
      </c>
      <c r="W37">
        <f t="shared" ref="W37:Z56" si="1">V37+AB37</f>
        <v>3</v>
      </c>
      <c r="X37">
        <f t="shared" si="1"/>
        <v>8</v>
      </c>
      <c r="Y37">
        <f t="shared" si="1"/>
        <v>10</v>
      </c>
      <c r="Z37">
        <f>Y37+AE37</f>
        <v>11</v>
      </c>
      <c r="AA37">
        <v>1</v>
      </c>
      <c r="AB37">
        <v>2</v>
      </c>
      <c r="AC37">
        <v>5</v>
      </c>
      <c r="AD37">
        <v>2</v>
      </c>
      <c r="AE37">
        <v>1</v>
      </c>
    </row>
    <row r="38" spans="2:31">
      <c r="B38" t="s">
        <v>72</v>
      </c>
      <c r="D38" t="s">
        <v>332</v>
      </c>
      <c r="E38" t="s">
        <v>417</v>
      </c>
      <c r="N38" t="s">
        <v>482</v>
      </c>
      <c r="U38" t="s">
        <v>803</v>
      </c>
      <c r="V38">
        <f t="shared" si="0"/>
        <v>1</v>
      </c>
      <c r="W38">
        <f t="shared" si="1"/>
        <v>7</v>
      </c>
      <c r="X38">
        <f t="shared" si="1"/>
        <v>7</v>
      </c>
      <c r="Y38">
        <f t="shared" si="1"/>
        <v>7</v>
      </c>
      <c r="Z38">
        <f t="shared" si="1"/>
        <v>7</v>
      </c>
      <c r="AA38">
        <v>1</v>
      </c>
      <c r="AB38">
        <v>6</v>
      </c>
    </row>
    <row r="39" spans="2:31">
      <c r="B39" t="s">
        <v>73</v>
      </c>
      <c r="D39" t="s">
        <v>333</v>
      </c>
      <c r="E39" t="s">
        <v>417</v>
      </c>
      <c r="N39" t="s">
        <v>483</v>
      </c>
      <c r="U39" t="s">
        <v>950</v>
      </c>
      <c r="V39">
        <f t="shared" si="0"/>
        <v>2</v>
      </c>
      <c r="W39">
        <f t="shared" si="1"/>
        <v>7</v>
      </c>
      <c r="X39">
        <f t="shared" si="1"/>
        <v>8</v>
      </c>
      <c r="Y39">
        <f t="shared" si="1"/>
        <v>8</v>
      </c>
      <c r="Z39">
        <f t="shared" si="1"/>
        <v>8</v>
      </c>
      <c r="AA39">
        <v>2</v>
      </c>
      <c r="AB39">
        <v>5</v>
      </c>
      <c r="AC39">
        <v>1</v>
      </c>
    </row>
    <row r="40" spans="2:31">
      <c r="B40" t="s">
        <v>74</v>
      </c>
      <c r="D40" t="s">
        <v>334</v>
      </c>
      <c r="E40" t="s">
        <v>417</v>
      </c>
      <c r="N40" t="s">
        <v>484</v>
      </c>
      <c r="U40" t="s">
        <v>946</v>
      </c>
      <c r="V40">
        <f t="shared" si="0"/>
        <v>1</v>
      </c>
      <c r="W40">
        <f t="shared" si="1"/>
        <v>4</v>
      </c>
      <c r="X40">
        <f t="shared" si="1"/>
        <v>6</v>
      </c>
      <c r="Y40">
        <f t="shared" si="1"/>
        <v>6</v>
      </c>
      <c r="Z40">
        <f t="shared" si="1"/>
        <v>6</v>
      </c>
      <c r="AA40">
        <v>1</v>
      </c>
      <c r="AB40">
        <v>3</v>
      </c>
      <c r="AC40">
        <v>2</v>
      </c>
    </row>
    <row r="41" spans="2:31">
      <c r="B41" t="s">
        <v>75</v>
      </c>
      <c r="D41" t="s">
        <v>335</v>
      </c>
      <c r="E41" t="s">
        <v>417</v>
      </c>
      <c r="N41" t="s">
        <v>485</v>
      </c>
      <c r="U41" t="s">
        <v>965</v>
      </c>
      <c r="V41">
        <f t="shared" si="0"/>
        <v>1</v>
      </c>
      <c r="W41">
        <f t="shared" si="1"/>
        <v>5</v>
      </c>
      <c r="X41">
        <f t="shared" si="1"/>
        <v>7</v>
      </c>
      <c r="Y41">
        <f t="shared" si="1"/>
        <v>8</v>
      </c>
      <c r="Z41">
        <f t="shared" si="1"/>
        <v>8</v>
      </c>
      <c r="AA41">
        <v>1</v>
      </c>
      <c r="AB41">
        <v>4</v>
      </c>
      <c r="AC41">
        <v>2</v>
      </c>
      <c r="AD41">
        <v>1</v>
      </c>
    </row>
    <row r="42" spans="2:31">
      <c r="B42" t="s">
        <v>76</v>
      </c>
      <c r="D42" t="s">
        <v>336</v>
      </c>
      <c r="E42" t="s">
        <v>417</v>
      </c>
      <c r="N42" t="s">
        <v>486</v>
      </c>
      <c r="U42" t="s">
        <v>966</v>
      </c>
      <c r="V42">
        <f t="shared" si="0"/>
        <v>1</v>
      </c>
      <c r="W42">
        <f t="shared" si="1"/>
        <v>3</v>
      </c>
      <c r="X42">
        <f t="shared" si="1"/>
        <v>6</v>
      </c>
      <c r="Y42">
        <f t="shared" si="1"/>
        <v>6</v>
      </c>
      <c r="Z42">
        <f t="shared" si="1"/>
        <v>6</v>
      </c>
      <c r="AA42">
        <v>1</v>
      </c>
      <c r="AB42">
        <v>2</v>
      </c>
      <c r="AC42">
        <v>3</v>
      </c>
    </row>
    <row r="43" spans="2:31">
      <c r="B43" t="s">
        <v>77</v>
      </c>
      <c r="D43" t="s">
        <v>337</v>
      </c>
      <c r="E43" t="s">
        <v>417</v>
      </c>
      <c r="N43" t="s">
        <v>487</v>
      </c>
      <c r="U43" t="s">
        <v>947</v>
      </c>
      <c r="V43">
        <f t="shared" si="0"/>
        <v>2</v>
      </c>
      <c r="W43">
        <f t="shared" si="1"/>
        <v>6</v>
      </c>
      <c r="X43">
        <f t="shared" si="1"/>
        <v>10</v>
      </c>
      <c r="Y43">
        <f t="shared" si="1"/>
        <v>10</v>
      </c>
      <c r="Z43">
        <f t="shared" si="1"/>
        <v>10</v>
      </c>
      <c r="AA43">
        <v>2</v>
      </c>
      <c r="AB43">
        <v>4</v>
      </c>
      <c r="AC43">
        <v>4</v>
      </c>
    </row>
    <row r="44" spans="2:31">
      <c r="B44" t="s">
        <v>78</v>
      </c>
      <c r="D44" t="s">
        <v>338</v>
      </c>
      <c r="E44" t="s">
        <v>417</v>
      </c>
      <c r="N44" t="s">
        <v>488</v>
      </c>
      <c r="U44" t="s">
        <v>942</v>
      </c>
      <c r="V44">
        <f t="shared" si="0"/>
        <v>2</v>
      </c>
      <c r="W44">
        <f t="shared" si="1"/>
        <v>8</v>
      </c>
      <c r="X44">
        <f t="shared" si="1"/>
        <v>14</v>
      </c>
      <c r="Y44">
        <f t="shared" si="1"/>
        <v>19</v>
      </c>
      <c r="Z44">
        <f t="shared" si="1"/>
        <v>22</v>
      </c>
      <c r="AA44">
        <v>2</v>
      </c>
      <c r="AB44">
        <v>6</v>
      </c>
      <c r="AC44">
        <v>6</v>
      </c>
      <c r="AD44">
        <v>5</v>
      </c>
      <c r="AE44">
        <v>3</v>
      </c>
    </row>
    <row r="45" spans="2:31">
      <c r="B45" t="s">
        <v>79</v>
      </c>
      <c r="D45" t="s">
        <v>339</v>
      </c>
      <c r="E45" t="s">
        <v>417</v>
      </c>
      <c r="N45" t="s">
        <v>489</v>
      </c>
      <c r="U45" t="s">
        <v>805</v>
      </c>
      <c r="V45">
        <f t="shared" si="0"/>
        <v>1</v>
      </c>
      <c r="W45">
        <f t="shared" si="1"/>
        <v>3</v>
      </c>
      <c r="X45">
        <f t="shared" si="1"/>
        <v>9</v>
      </c>
      <c r="Y45">
        <f t="shared" si="1"/>
        <v>9</v>
      </c>
      <c r="Z45">
        <f t="shared" si="1"/>
        <v>9</v>
      </c>
      <c r="AA45">
        <v>1</v>
      </c>
      <c r="AB45">
        <v>2</v>
      </c>
      <c r="AC45">
        <v>6</v>
      </c>
    </row>
    <row r="46" spans="2:31">
      <c r="B46" t="s">
        <v>80</v>
      </c>
      <c r="D46" t="s">
        <v>340</v>
      </c>
      <c r="E46" t="s">
        <v>417</v>
      </c>
      <c r="N46" t="s">
        <v>490</v>
      </c>
      <c r="U46" t="s">
        <v>943</v>
      </c>
      <c r="V46">
        <f t="shared" si="0"/>
        <v>1</v>
      </c>
      <c r="W46">
        <f t="shared" si="1"/>
        <v>4</v>
      </c>
      <c r="X46">
        <f t="shared" si="1"/>
        <v>11</v>
      </c>
      <c r="Y46">
        <f t="shared" si="1"/>
        <v>11</v>
      </c>
      <c r="Z46">
        <f t="shared" si="1"/>
        <v>11</v>
      </c>
      <c r="AA46">
        <v>1</v>
      </c>
      <c r="AB46">
        <v>3</v>
      </c>
      <c r="AC46">
        <v>7</v>
      </c>
    </row>
    <row r="47" spans="2:31">
      <c r="B47" t="s">
        <v>81</v>
      </c>
      <c r="D47" t="s">
        <v>341</v>
      </c>
      <c r="E47" t="s">
        <v>417</v>
      </c>
      <c r="N47" t="s">
        <v>491</v>
      </c>
      <c r="U47" t="s">
        <v>944</v>
      </c>
      <c r="V47">
        <f t="shared" si="0"/>
        <v>3</v>
      </c>
      <c r="W47">
        <f t="shared" si="1"/>
        <v>5</v>
      </c>
      <c r="X47">
        <f t="shared" si="1"/>
        <v>11</v>
      </c>
      <c r="Y47">
        <f t="shared" si="1"/>
        <v>11</v>
      </c>
      <c r="Z47">
        <f t="shared" si="1"/>
        <v>11</v>
      </c>
      <c r="AA47">
        <v>3</v>
      </c>
      <c r="AB47">
        <v>2</v>
      </c>
      <c r="AC47">
        <v>6</v>
      </c>
    </row>
    <row r="48" spans="2:31">
      <c r="B48" t="s">
        <v>82</v>
      </c>
      <c r="D48" t="s">
        <v>342</v>
      </c>
      <c r="E48" t="s">
        <v>417</v>
      </c>
      <c r="N48" t="s">
        <v>492</v>
      </c>
      <c r="U48" t="s">
        <v>937</v>
      </c>
      <c r="V48">
        <f t="shared" si="0"/>
        <v>1</v>
      </c>
      <c r="W48">
        <f t="shared" si="1"/>
        <v>7</v>
      </c>
      <c r="X48">
        <f t="shared" si="1"/>
        <v>10</v>
      </c>
      <c r="Y48">
        <f t="shared" si="1"/>
        <v>10</v>
      </c>
      <c r="Z48">
        <f t="shared" si="1"/>
        <v>10</v>
      </c>
      <c r="AA48">
        <v>1</v>
      </c>
      <c r="AB48">
        <v>6</v>
      </c>
      <c r="AC48">
        <v>3</v>
      </c>
    </row>
    <row r="49" spans="2:30">
      <c r="B49" t="s">
        <v>83</v>
      </c>
      <c r="D49" t="s">
        <v>343</v>
      </c>
      <c r="E49" t="s">
        <v>417</v>
      </c>
      <c r="N49" t="s">
        <v>493</v>
      </c>
      <c r="U49" t="s">
        <v>948</v>
      </c>
      <c r="V49">
        <f t="shared" si="0"/>
        <v>2</v>
      </c>
      <c r="W49">
        <f t="shared" si="1"/>
        <v>10</v>
      </c>
      <c r="X49">
        <f t="shared" si="1"/>
        <v>14</v>
      </c>
      <c r="Y49">
        <f t="shared" si="1"/>
        <v>15</v>
      </c>
      <c r="Z49">
        <f t="shared" si="1"/>
        <v>15</v>
      </c>
      <c r="AA49">
        <v>2</v>
      </c>
      <c r="AB49">
        <v>8</v>
      </c>
      <c r="AC49">
        <v>4</v>
      </c>
      <c r="AD49">
        <v>1</v>
      </c>
    </row>
    <row r="50" spans="2:30">
      <c r="B50" t="s">
        <v>281</v>
      </c>
      <c r="D50" t="s">
        <v>344</v>
      </c>
      <c r="E50" t="s">
        <v>417</v>
      </c>
      <c r="N50" t="s">
        <v>494</v>
      </c>
      <c r="U50" t="s">
        <v>889</v>
      </c>
      <c r="V50">
        <f t="shared" si="0"/>
        <v>1</v>
      </c>
      <c r="W50">
        <f t="shared" si="1"/>
        <v>5</v>
      </c>
      <c r="X50">
        <f t="shared" si="1"/>
        <v>6</v>
      </c>
      <c r="Y50">
        <f t="shared" si="1"/>
        <v>6</v>
      </c>
      <c r="Z50">
        <f t="shared" si="1"/>
        <v>6</v>
      </c>
      <c r="AA50">
        <v>1</v>
      </c>
      <c r="AB50">
        <v>4</v>
      </c>
      <c r="AC50">
        <v>1</v>
      </c>
    </row>
    <row r="51" spans="2:30">
      <c r="B51" t="s">
        <v>84</v>
      </c>
      <c r="D51" t="s">
        <v>345</v>
      </c>
      <c r="E51" t="s">
        <v>417</v>
      </c>
      <c r="N51" t="s">
        <v>587</v>
      </c>
      <c r="U51" t="s">
        <v>939</v>
      </c>
      <c r="V51">
        <f t="shared" si="0"/>
        <v>1</v>
      </c>
      <c r="W51">
        <f t="shared" si="1"/>
        <v>5</v>
      </c>
      <c r="X51">
        <f t="shared" si="1"/>
        <v>6</v>
      </c>
      <c r="Y51">
        <f t="shared" si="1"/>
        <v>6</v>
      </c>
      <c r="Z51">
        <f t="shared" si="1"/>
        <v>6</v>
      </c>
      <c r="AA51">
        <v>1</v>
      </c>
      <c r="AB51">
        <v>4</v>
      </c>
      <c r="AC51">
        <v>1</v>
      </c>
    </row>
    <row r="52" spans="2:30">
      <c r="B52" t="s">
        <v>85</v>
      </c>
      <c r="D52" t="s">
        <v>346</v>
      </c>
      <c r="E52" t="s">
        <v>417</v>
      </c>
      <c r="N52" t="s">
        <v>586</v>
      </c>
      <c r="U52" t="s">
        <v>940</v>
      </c>
      <c r="V52">
        <f t="shared" si="0"/>
        <v>1</v>
      </c>
      <c r="W52">
        <f t="shared" si="1"/>
        <v>7</v>
      </c>
      <c r="X52">
        <f t="shared" si="1"/>
        <v>14</v>
      </c>
      <c r="Y52">
        <f t="shared" si="1"/>
        <v>14</v>
      </c>
      <c r="Z52">
        <f t="shared" si="1"/>
        <v>14</v>
      </c>
      <c r="AA52">
        <v>1</v>
      </c>
      <c r="AB52">
        <v>6</v>
      </c>
      <c r="AC52">
        <v>7</v>
      </c>
    </row>
    <row r="53" spans="2:30">
      <c r="B53" t="s">
        <v>24</v>
      </c>
      <c r="D53" t="s">
        <v>347</v>
      </c>
      <c r="E53" t="s">
        <v>417</v>
      </c>
      <c r="N53" t="s">
        <v>585</v>
      </c>
      <c r="U53" t="s">
        <v>945</v>
      </c>
      <c r="V53">
        <f t="shared" si="0"/>
        <v>1</v>
      </c>
      <c r="W53">
        <f t="shared" si="1"/>
        <v>3</v>
      </c>
      <c r="X53">
        <f t="shared" si="1"/>
        <v>8</v>
      </c>
      <c r="Y53">
        <f t="shared" si="1"/>
        <v>8</v>
      </c>
      <c r="Z53">
        <f t="shared" si="1"/>
        <v>8</v>
      </c>
      <c r="AA53">
        <v>1</v>
      </c>
      <c r="AB53">
        <v>2</v>
      </c>
      <c r="AC53">
        <v>5</v>
      </c>
    </row>
    <row r="54" spans="2:30">
      <c r="B54" t="s">
        <v>86</v>
      </c>
      <c r="D54" t="s">
        <v>348</v>
      </c>
      <c r="E54" t="s">
        <v>417</v>
      </c>
      <c r="N54" t="s">
        <v>584</v>
      </c>
      <c r="U54" t="s">
        <v>951</v>
      </c>
      <c r="V54">
        <f t="shared" si="0"/>
        <v>3</v>
      </c>
      <c r="W54">
        <f t="shared" si="1"/>
        <v>7</v>
      </c>
      <c r="X54">
        <f t="shared" si="1"/>
        <v>9</v>
      </c>
      <c r="Y54">
        <f t="shared" si="1"/>
        <v>9</v>
      </c>
      <c r="Z54">
        <f t="shared" si="1"/>
        <v>9</v>
      </c>
      <c r="AA54">
        <v>3</v>
      </c>
      <c r="AB54">
        <v>4</v>
      </c>
      <c r="AC54">
        <v>2</v>
      </c>
    </row>
    <row r="55" spans="2:30">
      <c r="B55" t="s">
        <v>87</v>
      </c>
      <c r="D55" t="s">
        <v>349</v>
      </c>
      <c r="E55" t="s">
        <v>417</v>
      </c>
      <c r="N55" t="s">
        <v>583</v>
      </c>
      <c r="U55" t="s">
        <v>938</v>
      </c>
      <c r="V55">
        <f t="shared" si="0"/>
        <v>1</v>
      </c>
      <c r="W55">
        <f t="shared" si="1"/>
        <v>4</v>
      </c>
      <c r="X55">
        <f t="shared" si="1"/>
        <v>10</v>
      </c>
      <c r="Y55">
        <f t="shared" si="1"/>
        <v>10</v>
      </c>
      <c r="Z55">
        <f t="shared" si="1"/>
        <v>10</v>
      </c>
      <c r="AA55">
        <v>1</v>
      </c>
      <c r="AB55">
        <v>3</v>
      </c>
      <c r="AC55">
        <v>6</v>
      </c>
    </row>
    <row r="56" spans="2:30">
      <c r="B56" t="s">
        <v>88</v>
      </c>
      <c r="D56" t="s">
        <v>350</v>
      </c>
      <c r="E56" t="s">
        <v>417</v>
      </c>
      <c r="N56" t="s">
        <v>582</v>
      </c>
      <c r="U56" t="s">
        <v>941</v>
      </c>
      <c r="V56">
        <f t="shared" si="0"/>
        <v>2</v>
      </c>
      <c r="W56">
        <f t="shared" si="1"/>
        <v>5</v>
      </c>
      <c r="X56">
        <f t="shared" si="1"/>
        <v>7</v>
      </c>
      <c r="Y56">
        <f t="shared" si="1"/>
        <v>7</v>
      </c>
      <c r="Z56">
        <f t="shared" si="1"/>
        <v>7</v>
      </c>
      <c r="AA56">
        <v>2</v>
      </c>
      <c r="AB56">
        <v>3</v>
      </c>
      <c r="AC56">
        <v>2</v>
      </c>
    </row>
    <row r="57" spans="2:30">
      <c r="B57" t="s">
        <v>89</v>
      </c>
      <c r="D57" t="s">
        <v>351</v>
      </c>
      <c r="E57" t="s">
        <v>417</v>
      </c>
      <c r="N57" t="s">
        <v>581</v>
      </c>
    </row>
    <row r="58" spans="2:30">
      <c r="B58" t="s">
        <v>90</v>
      </c>
      <c r="D58" t="s">
        <v>352</v>
      </c>
      <c r="E58" t="s">
        <v>417</v>
      </c>
      <c r="N58" t="s">
        <v>580</v>
      </c>
    </row>
    <row r="59" spans="2:30">
      <c r="B59" t="s">
        <v>91</v>
      </c>
      <c r="D59" t="s">
        <v>353</v>
      </c>
      <c r="E59" t="s">
        <v>417</v>
      </c>
      <c r="N59" t="s">
        <v>579</v>
      </c>
    </row>
    <row r="60" spans="2:30">
      <c r="B60" t="s">
        <v>92</v>
      </c>
      <c r="D60" t="s">
        <v>354</v>
      </c>
      <c r="E60" t="s">
        <v>417</v>
      </c>
      <c r="N60" t="s">
        <v>578</v>
      </c>
    </row>
    <row r="61" spans="2:30">
      <c r="B61" t="s">
        <v>93</v>
      </c>
      <c r="D61" t="s">
        <v>355</v>
      </c>
      <c r="E61" t="s">
        <v>417</v>
      </c>
      <c r="N61" t="s">
        <v>577</v>
      </c>
    </row>
    <row r="62" spans="2:30">
      <c r="B62" t="s">
        <v>291</v>
      </c>
      <c r="D62" t="s">
        <v>356</v>
      </c>
      <c r="E62" t="s">
        <v>417</v>
      </c>
      <c r="N62" t="s">
        <v>576</v>
      </c>
    </row>
    <row r="63" spans="2:30">
      <c r="B63" t="s">
        <v>94</v>
      </c>
      <c r="D63" t="s">
        <v>357</v>
      </c>
      <c r="E63" t="s">
        <v>417</v>
      </c>
      <c r="N63" t="s">
        <v>575</v>
      </c>
    </row>
    <row r="64" spans="2:30">
      <c r="B64" t="s">
        <v>95</v>
      </c>
      <c r="D64" t="s">
        <v>358</v>
      </c>
      <c r="E64" t="s">
        <v>417</v>
      </c>
      <c r="N64" t="s">
        <v>574</v>
      </c>
    </row>
    <row r="65" spans="2:14">
      <c r="B65" t="s">
        <v>290</v>
      </c>
      <c r="D65" t="s">
        <v>359</v>
      </c>
      <c r="E65" t="s">
        <v>417</v>
      </c>
      <c r="N65" t="s">
        <v>573</v>
      </c>
    </row>
    <row r="66" spans="2:14">
      <c r="B66" t="s">
        <v>96</v>
      </c>
      <c r="D66" t="s">
        <v>360</v>
      </c>
      <c r="E66" t="s">
        <v>417</v>
      </c>
      <c r="N66" t="s">
        <v>572</v>
      </c>
    </row>
    <row r="67" spans="2:14">
      <c r="B67" t="s">
        <v>97</v>
      </c>
      <c r="D67" t="s">
        <v>361</v>
      </c>
      <c r="E67" t="s">
        <v>417</v>
      </c>
      <c r="N67" t="s">
        <v>571</v>
      </c>
    </row>
    <row r="68" spans="2:14">
      <c r="B68" t="s">
        <v>98</v>
      </c>
      <c r="D68" t="s">
        <v>362</v>
      </c>
      <c r="E68" t="s">
        <v>417</v>
      </c>
      <c r="N68" t="s">
        <v>570</v>
      </c>
    </row>
    <row r="69" spans="2:14">
      <c r="B69" t="s">
        <v>99</v>
      </c>
      <c r="D69" t="s">
        <v>363</v>
      </c>
      <c r="E69" t="s">
        <v>417</v>
      </c>
      <c r="N69" t="s">
        <v>569</v>
      </c>
    </row>
    <row r="70" spans="2:14">
      <c r="B70" t="s">
        <v>100</v>
      </c>
      <c r="D70" t="s">
        <v>364</v>
      </c>
      <c r="E70" t="s">
        <v>417</v>
      </c>
      <c r="N70" t="s">
        <v>568</v>
      </c>
    </row>
    <row r="71" spans="2:14">
      <c r="B71" t="s">
        <v>101</v>
      </c>
      <c r="D71" t="s">
        <v>365</v>
      </c>
      <c r="E71" t="s">
        <v>417</v>
      </c>
      <c r="N71" t="s">
        <v>567</v>
      </c>
    </row>
    <row r="72" spans="2:14">
      <c r="B72" t="s">
        <v>102</v>
      </c>
      <c r="D72" t="s">
        <v>366</v>
      </c>
      <c r="E72" t="s">
        <v>417</v>
      </c>
      <c r="N72" t="s">
        <v>566</v>
      </c>
    </row>
    <row r="73" spans="2:14">
      <c r="B73" t="s">
        <v>103</v>
      </c>
      <c r="D73" t="s">
        <v>367</v>
      </c>
      <c r="E73" t="s">
        <v>417</v>
      </c>
      <c r="N73" t="s">
        <v>565</v>
      </c>
    </row>
    <row r="74" spans="2:14">
      <c r="B74" t="s">
        <v>104</v>
      </c>
      <c r="D74" t="s">
        <v>368</v>
      </c>
      <c r="E74" t="s">
        <v>417</v>
      </c>
      <c r="N74" t="s">
        <v>564</v>
      </c>
    </row>
    <row r="75" spans="2:14">
      <c r="B75" t="s">
        <v>105</v>
      </c>
      <c r="D75" t="s">
        <v>369</v>
      </c>
      <c r="E75" t="s">
        <v>417</v>
      </c>
      <c r="N75" t="s">
        <v>563</v>
      </c>
    </row>
    <row r="76" spans="2:14">
      <c r="B76" t="s">
        <v>106</v>
      </c>
      <c r="D76" t="s">
        <v>370</v>
      </c>
      <c r="E76" t="s">
        <v>417</v>
      </c>
      <c r="N76" t="s">
        <v>562</v>
      </c>
    </row>
    <row r="77" spans="2:14">
      <c r="B77" t="s">
        <v>107</v>
      </c>
      <c r="D77" t="s">
        <v>371</v>
      </c>
      <c r="E77" t="s">
        <v>417</v>
      </c>
      <c r="N77" t="s">
        <v>561</v>
      </c>
    </row>
    <row r="78" spans="2:14">
      <c r="B78" t="s">
        <v>108</v>
      </c>
      <c r="D78" t="s">
        <v>372</v>
      </c>
      <c r="E78" t="s">
        <v>417</v>
      </c>
      <c r="N78" t="s">
        <v>560</v>
      </c>
    </row>
    <row r="79" spans="2:14">
      <c r="B79" t="s">
        <v>109</v>
      </c>
      <c r="D79" t="s">
        <v>373</v>
      </c>
      <c r="E79" t="s">
        <v>417</v>
      </c>
      <c r="N79" t="s">
        <v>559</v>
      </c>
    </row>
    <row r="80" spans="2:14">
      <c r="B80" t="s">
        <v>110</v>
      </c>
      <c r="D80" t="s">
        <v>374</v>
      </c>
      <c r="E80" t="s">
        <v>417</v>
      </c>
      <c r="N80" t="s">
        <v>558</v>
      </c>
    </row>
    <row r="81" spans="2:14">
      <c r="B81" t="s">
        <v>111</v>
      </c>
      <c r="D81" t="s">
        <v>375</v>
      </c>
      <c r="E81" t="s">
        <v>417</v>
      </c>
      <c r="N81" t="s">
        <v>557</v>
      </c>
    </row>
    <row r="82" spans="2:14">
      <c r="B82" t="s">
        <v>112</v>
      </c>
      <c r="D82" t="s">
        <v>376</v>
      </c>
      <c r="E82" t="s">
        <v>417</v>
      </c>
      <c r="N82" t="s">
        <v>556</v>
      </c>
    </row>
    <row r="83" spans="2:14">
      <c r="B83" t="s">
        <v>113</v>
      </c>
      <c r="D83" t="s">
        <v>377</v>
      </c>
      <c r="E83" t="s">
        <v>417</v>
      </c>
      <c r="N83" t="s">
        <v>555</v>
      </c>
    </row>
    <row r="84" spans="2:14">
      <c r="B84" t="s">
        <v>114</v>
      </c>
      <c r="D84" t="s">
        <v>378</v>
      </c>
      <c r="E84" t="s">
        <v>417</v>
      </c>
      <c r="N84" t="s">
        <v>554</v>
      </c>
    </row>
    <row r="85" spans="2:14">
      <c r="B85" t="s">
        <v>115</v>
      </c>
      <c r="D85" t="s">
        <v>379</v>
      </c>
      <c r="E85" t="s">
        <v>417</v>
      </c>
      <c r="N85" t="s">
        <v>553</v>
      </c>
    </row>
    <row r="86" spans="2:14">
      <c r="B86" t="s">
        <v>116</v>
      </c>
      <c r="D86" t="s">
        <v>380</v>
      </c>
      <c r="E86" t="s">
        <v>417</v>
      </c>
      <c r="N86" t="s">
        <v>552</v>
      </c>
    </row>
    <row r="87" spans="2:14">
      <c r="B87" t="s">
        <v>117</v>
      </c>
      <c r="D87" t="s">
        <v>381</v>
      </c>
      <c r="E87" t="s">
        <v>417</v>
      </c>
      <c r="N87" t="s">
        <v>551</v>
      </c>
    </row>
    <row r="88" spans="2:14">
      <c r="B88" t="s">
        <v>118</v>
      </c>
      <c r="D88" t="s">
        <v>382</v>
      </c>
      <c r="E88" t="s">
        <v>417</v>
      </c>
      <c r="N88" t="s">
        <v>550</v>
      </c>
    </row>
    <row r="89" spans="2:14">
      <c r="B89" t="s">
        <v>119</v>
      </c>
      <c r="D89" t="s">
        <v>383</v>
      </c>
      <c r="E89" t="s">
        <v>417</v>
      </c>
      <c r="N89" t="s">
        <v>549</v>
      </c>
    </row>
    <row r="90" spans="2:14">
      <c r="B90" t="s">
        <v>120</v>
      </c>
      <c r="D90" t="s">
        <v>384</v>
      </c>
      <c r="E90" t="s">
        <v>417</v>
      </c>
      <c r="N90" t="s">
        <v>548</v>
      </c>
    </row>
    <row r="91" spans="2:14">
      <c r="B91" t="s">
        <v>121</v>
      </c>
      <c r="D91" t="s">
        <v>385</v>
      </c>
      <c r="E91" t="s">
        <v>417</v>
      </c>
      <c r="N91" t="s">
        <v>547</v>
      </c>
    </row>
    <row r="92" spans="2:14">
      <c r="B92" t="s">
        <v>122</v>
      </c>
      <c r="D92" t="s">
        <v>386</v>
      </c>
      <c r="E92" t="s">
        <v>417</v>
      </c>
      <c r="N92" t="s">
        <v>546</v>
      </c>
    </row>
    <row r="93" spans="2:14">
      <c r="B93" t="s">
        <v>123</v>
      </c>
      <c r="N93" t="s">
        <v>545</v>
      </c>
    </row>
    <row r="94" spans="2:14">
      <c r="B94" t="s">
        <v>124</v>
      </c>
      <c r="N94" t="s">
        <v>544</v>
      </c>
    </row>
    <row r="95" spans="2:14">
      <c r="B95" t="s">
        <v>125</v>
      </c>
      <c r="N95" t="s">
        <v>543</v>
      </c>
    </row>
    <row r="96" spans="2:14">
      <c r="B96" t="s">
        <v>126</v>
      </c>
      <c r="N96" t="s">
        <v>542</v>
      </c>
    </row>
    <row r="97" spans="2:14">
      <c r="B97" t="s">
        <v>127</v>
      </c>
      <c r="N97" t="s">
        <v>541</v>
      </c>
    </row>
    <row r="98" spans="2:14">
      <c r="B98" t="s">
        <v>128</v>
      </c>
      <c r="N98" t="s">
        <v>540</v>
      </c>
    </row>
    <row r="99" spans="2:14">
      <c r="B99" t="s">
        <v>129</v>
      </c>
      <c r="N99" t="s">
        <v>539</v>
      </c>
    </row>
    <row r="100" spans="2:14">
      <c r="B100" t="s">
        <v>130</v>
      </c>
      <c r="N100" t="s">
        <v>538</v>
      </c>
    </row>
    <row r="101" spans="2:14">
      <c r="B101" t="s">
        <v>131</v>
      </c>
      <c r="N101" t="s">
        <v>537</v>
      </c>
    </row>
    <row r="102" spans="2:14">
      <c r="B102" t="s">
        <v>132</v>
      </c>
      <c r="N102" t="s">
        <v>536</v>
      </c>
    </row>
    <row r="103" spans="2:14">
      <c r="B103" t="s">
        <v>133</v>
      </c>
      <c r="N103" t="s">
        <v>535</v>
      </c>
    </row>
    <row r="104" spans="2:14">
      <c r="B104" t="s">
        <v>134</v>
      </c>
      <c r="N104" t="s">
        <v>534</v>
      </c>
    </row>
    <row r="105" spans="2:14">
      <c r="B105" t="s">
        <v>135</v>
      </c>
      <c r="N105" t="s">
        <v>533</v>
      </c>
    </row>
    <row r="106" spans="2:14">
      <c r="B106" t="s">
        <v>136</v>
      </c>
      <c r="N106" t="s">
        <v>532</v>
      </c>
    </row>
    <row r="107" spans="2:14">
      <c r="B107" t="s">
        <v>137</v>
      </c>
      <c r="N107" t="s">
        <v>531</v>
      </c>
    </row>
    <row r="108" spans="2:14">
      <c r="B108" t="s">
        <v>138</v>
      </c>
      <c r="N108" t="s">
        <v>530</v>
      </c>
    </row>
    <row r="109" spans="2:14">
      <c r="B109" t="s">
        <v>139</v>
      </c>
      <c r="N109" t="s">
        <v>529</v>
      </c>
    </row>
    <row r="110" spans="2:14">
      <c r="B110" t="s">
        <v>140</v>
      </c>
      <c r="N110" t="s">
        <v>528</v>
      </c>
    </row>
    <row r="111" spans="2:14">
      <c r="B111" t="s">
        <v>141</v>
      </c>
      <c r="N111" t="s">
        <v>527</v>
      </c>
    </row>
    <row r="112" spans="2:14">
      <c r="B112" t="s">
        <v>142</v>
      </c>
      <c r="N112" t="s">
        <v>526</v>
      </c>
    </row>
    <row r="113" spans="2:14">
      <c r="B113" t="s">
        <v>143</v>
      </c>
      <c r="N113" t="s">
        <v>525</v>
      </c>
    </row>
    <row r="114" spans="2:14">
      <c r="B114" t="s">
        <v>144</v>
      </c>
      <c r="N114" t="s">
        <v>524</v>
      </c>
    </row>
    <row r="115" spans="2:14">
      <c r="B115" t="s">
        <v>145</v>
      </c>
      <c r="N115" t="s">
        <v>523</v>
      </c>
    </row>
    <row r="116" spans="2:14">
      <c r="B116" t="s">
        <v>146</v>
      </c>
      <c r="N116" t="s">
        <v>522</v>
      </c>
    </row>
    <row r="117" spans="2:14">
      <c r="B117" t="s">
        <v>147</v>
      </c>
      <c r="N117" t="s">
        <v>521</v>
      </c>
    </row>
    <row r="118" spans="2:14">
      <c r="B118" t="s">
        <v>148</v>
      </c>
      <c r="N118" t="s">
        <v>520</v>
      </c>
    </row>
    <row r="119" spans="2:14">
      <c r="B119" t="s">
        <v>149</v>
      </c>
      <c r="N119" t="s">
        <v>519</v>
      </c>
    </row>
    <row r="120" spans="2:14">
      <c r="B120" t="s">
        <v>150</v>
      </c>
      <c r="N120" t="s">
        <v>518</v>
      </c>
    </row>
    <row r="121" spans="2:14">
      <c r="B121" t="s">
        <v>151</v>
      </c>
      <c r="N121" t="s">
        <v>517</v>
      </c>
    </row>
    <row r="122" spans="2:14">
      <c r="B122" t="s">
        <v>152</v>
      </c>
      <c r="N122" t="s">
        <v>516</v>
      </c>
    </row>
    <row r="123" spans="2:14">
      <c r="B123" t="s">
        <v>153</v>
      </c>
      <c r="N123" t="s">
        <v>515</v>
      </c>
    </row>
    <row r="124" spans="2:14">
      <c r="B124" t="s">
        <v>154</v>
      </c>
      <c r="N124" t="s">
        <v>514</v>
      </c>
    </row>
    <row r="125" spans="2:14">
      <c r="B125" t="s">
        <v>155</v>
      </c>
      <c r="N125" t="s">
        <v>513</v>
      </c>
    </row>
    <row r="126" spans="2:14">
      <c r="B126" t="s">
        <v>156</v>
      </c>
      <c r="N126" t="s">
        <v>512</v>
      </c>
    </row>
    <row r="127" spans="2:14">
      <c r="B127" t="s">
        <v>157</v>
      </c>
      <c r="N127" t="s">
        <v>511</v>
      </c>
    </row>
    <row r="128" spans="2:14">
      <c r="B128" t="s">
        <v>158</v>
      </c>
      <c r="N128" t="s">
        <v>510</v>
      </c>
    </row>
    <row r="129" spans="2:14">
      <c r="B129" t="s">
        <v>159</v>
      </c>
      <c r="N129" t="s">
        <v>509</v>
      </c>
    </row>
    <row r="130" spans="2:14">
      <c r="B130" t="s">
        <v>160</v>
      </c>
      <c r="N130" t="s">
        <v>508</v>
      </c>
    </row>
    <row r="131" spans="2:14">
      <c r="B131" t="s">
        <v>161</v>
      </c>
      <c r="N131" t="s">
        <v>507</v>
      </c>
    </row>
    <row r="132" spans="2:14">
      <c r="B132" t="s">
        <v>162</v>
      </c>
      <c r="N132" t="s">
        <v>506</v>
      </c>
    </row>
    <row r="133" spans="2:14">
      <c r="B133" t="s">
        <v>163</v>
      </c>
      <c r="N133" t="s">
        <v>505</v>
      </c>
    </row>
    <row r="134" spans="2:14">
      <c r="B134" t="s">
        <v>164</v>
      </c>
      <c r="N134" t="s">
        <v>504</v>
      </c>
    </row>
    <row r="135" spans="2:14">
      <c r="B135" t="s">
        <v>165</v>
      </c>
      <c r="N135" t="s">
        <v>503</v>
      </c>
    </row>
    <row r="136" spans="2:14">
      <c r="B136" t="s">
        <v>166</v>
      </c>
      <c r="N136" t="s">
        <v>502</v>
      </c>
    </row>
    <row r="137" spans="2:14">
      <c r="B137" t="s">
        <v>167</v>
      </c>
      <c r="N137" t="s">
        <v>501</v>
      </c>
    </row>
    <row r="138" spans="2:14">
      <c r="B138" t="s">
        <v>168</v>
      </c>
      <c r="N138" t="s">
        <v>500</v>
      </c>
    </row>
    <row r="139" spans="2:14">
      <c r="B139" t="s">
        <v>169</v>
      </c>
      <c r="N139" t="s">
        <v>499</v>
      </c>
    </row>
    <row r="140" spans="2:14">
      <c r="B140" t="s">
        <v>170</v>
      </c>
      <c r="N140" t="s">
        <v>498</v>
      </c>
    </row>
    <row r="141" spans="2:14">
      <c r="B141" t="s">
        <v>171</v>
      </c>
      <c r="N141" t="s">
        <v>497</v>
      </c>
    </row>
    <row r="142" spans="2:14">
      <c r="B142" t="s">
        <v>172</v>
      </c>
      <c r="N142" t="s">
        <v>496</v>
      </c>
    </row>
    <row r="143" spans="2:14">
      <c r="B143" t="s">
        <v>173</v>
      </c>
      <c r="N143" t="s">
        <v>495</v>
      </c>
    </row>
    <row r="144" spans="2:14">
      <c r="B144" t="s">
        <v>174</v>
      </c>
    </row>
    <row r="145" spans="2:2">
      <c r="B145" t="s">
        <v>175</v>
      </c>
    </row>
    <row r="146" spans="2:2">
      <c r="B146" t="s">
        <v>176</v>
      </c>
    </row>
    <row r="147" spans="2:2">
      <c r="B147" t="s">
        <v>177</v>
      </c>
    </row>
    <row r="148" spans="2:2">
      <c r="B148" t="s">
        <v>178</v>
      </c>
    </row>
    <row r="149" spans="2:2">
      <c r="B149" t="s">
        <v>179</v>
      </c>
    </row>
    <row r="150" spans="2:2">
      <c r="B150" t="s">
        <v>180</v>
      </c>
    </row>
    <row r="151" spans="2:2">
      <c r="B151" t="s">
        <v>181</v>
      </c>
    </row>
    <row r="152" spans="2:2">
      <c r="B152" t="s">
        <v>182</v>
      </c>
    </row>
    <row r="153" spans="2:2">
      <c r="B153" t="s">
        <v>183</v>
      </c>
    </row>
    <row r="154" spans="2:2">
      <c r="B154" t="s">
        <v>184</v>
      </c>
    </row>
    <row r="155" spans="2:2">
      <c r="B155" t="s">
        <v>185</v>
      </c>
    </row>
    <row r="156" spans="2:2">
      <c r="B156" t="s">
        <v>186</v>
      </c>
    </row>
    <row r="157" spans="2:2">
      <c r="B157" t="s">
        <v>187</v>
      </c>
    </row>
    <row r="158" spans="2:2">
      <c r="B158" t="s">
        <v>188</v>
      </c>
    </row>
    <row r="159" spans="2:2">
      <c r="B159" t="s">
        <v>189</v>
      </c>
    </row>
    <row r="160" spans="2:2">
      <c r="B160" t="s">
        <v>190</v>
      </c>
    </row>
    <row r="161" spans="2:2">
      <c r="B161" t="s">
        <v>191</v>
      </c>
    </row>
    <row r="162" spans="2:2">
      <c r="B162" t="s">
        <v>192</v>
      </c>
    </row>
    <row r="163" spans="2:2">
      <c r="B163" t="s">
        <v>193</v>
      </c>
    </row>
    <row r="164" spans="2:2">
      <c r="B164" t="s">
        <v>194</v>
      </c>
    </row>
    <row r="165" spans="2:2">
      <c r="B165" t="s">
        <v>195</v>
      </c>
    </row>
    <row r="166" spans="2:2">
      <c r="B166" t="s">
        <v>196</v>
      </c>
    </row>
    <row r="167" spans="2:2">
      <c r="B167" t="s">
        <v>197</v>
      </c>
    </row>
    <row r="168" spans="2:2">
      <c r="B168" t="s">
        <v>198</v>
      </c>
    </row>
    <row r="169" spans="2:2">
      <c r="B169" t="s">
        <v>199</v>
      </c>
    </row>
    <row r="170" spans="2:2">
      <c r="B170" t="s">
        <v>200</v>
      </c>
    </row>
    <row r="171" spans="2:2">
      <c r="B171" t="s">
        <v>201</v>
      </c>
    </row>
    <row r="172" spans="2:2">
      <c r="B172" t="s">
        <v>202</v>
      </c>
    </row>
    <row r="173" spans="2:2">
      <c r="B173" t="s">
        <v>203</v>
      </c>
    </row>
    <row r="174" spans="2:2">
      <c r="B174" t="s">
        <v>204</v>
      </c>
    </row>
    <row r="175" spans="2:2">
      <c r="B175" t="s">
        <v>205</v>
      </c>
    </row>
    <row r="176" spans="2:2">
      <c r="B176" t="s">
        <v>206</v>
      </c>
    </row>
    <row r="177" spans="2:2">
      <c r="B177" t="s">
        <v>207</v>
      </c>
    </row>
    <row r="178" spans="2:2">
      <c r="B178" t="s">
        <v>208</v>
      </c>
    </row>
    <row r="179" spans="2:2">
      <c r="B179" t="s">
        <v>209</v>
      </c>
    </row>
    <row r="180" spans="2:2">
      <c r="B180" t="s">
        <v>210</v>
      </c>
    </row>
    <row r="181" spans="2:2">
      <c r="B181" t="s">
        <v>211</v>
      </c>
    </row>
    <row r="182" spans="2:2">
      <c r="B182" t="s">
        <v>212</v>
      </c>
    </row>
    <row r="183" spans="2:2">
      <c r="B183" t="s">
        <v>213</v>
      </c>
    </row>
    <row r="184" spans="2:2">
      <c r="B184" t="s">
        <v>214</v>
      </c>
    </row>
    <row r="185" spans="2:2">
      <c r="B185" t="s">
        <v>215</v>
      </c>
    </row>
    <row r="186" spans="2:2">
      <c r="B186" t="s">
        <v>216</v>
      </c>
    </row>
    <row r="187" spans="2:2">
      <c r="B187" t="s">
        <v>217</v>
      </c>
    </row>
    <row r="188" spans="2:2">
      <c r="B188" t="s">
        <v>292</v>
      </c>
    </row>
    <row r="189" spans="2:2">
      <c r="B189" t="s">
        <v>218</v>
      </c>
    </row>
    <row r="190" spans="2:2">
      <c r="B190" t="s">
        <v>219</v>
      </c>
    </row>
    <row r="191" spans="2:2">
      <c r="B191" t="s">
        <v>220</v>
      </c>
    </row>
    <row r="192" spans="2:2">
      <c r="B192" t="s">
        <v>221</v>
      </c>
    </row>
    <row r="193" spans="2:2">
      <c r="B193" t="s">
        <v>222</v>
      </c>
    </row>
    <row r="194" spans="2:2">
      <c r="B194" t="s">
        <v>293</v>
      </c>
    </row>
    <row r="195" spans="2:2">
      <c r="B195" t="s">
        <v>223</v>
      </c>
    </row>
    <row r="196" spans="2:2">
      <c r="B196" t="s">
        <v>224</v>
      </c>
    </row>
    <row r="197" spans="2:2">
      <c r="B197" t="s">
        <v>225</v>
      </c>
    </row>
    <row r="198" spans="2:2">
      <c r="B198" t="s">
        <v>226</v>
      </c>
    </row>
    <row r="199" spans="2:2">
      <c r="B199" t="s">
        <v>227</v>
      </c>
    </row>
    <row r="200" spans="2:2">
      <c r="B200" t="s">
        <v>228</v>
      </c>
    </row>
    <row r="201" spans="2:2">
      <c r="B201" t="s">
        <v>229</v>
      </c>
    </row>
    <row r="202" spans="2:2">
      <c r="B202" t="s">
        <v>230</v>
      </c>
    </row>
    <row r="203" spans="2:2">
      <c r="B203" t="s">
        <v>231</v>
      </c>
    </row>
    <row r="204" spans="2:2">
      <c r="B204" t="s">
        <v>232</v>
      </c>
    </row>
    <row r="205" spans="2:2">
      <c r="B205" t="s">
        <v>233</v>
      </c>
    </row>
    <row r="206" spans="2:2">
      <c r="B206" t="s">
        <v>234</v>
      </c>
    </row>
    <row r="207" spans="2:2">
      <c r="B207" t="s">
        <v>282</v>
      </c>
    </row>
    <row r="208" spans="2:2">
      <c r="B208" t="s">
        <v>235</v>
      </c>
    </row>
    <row r="209" spans="2:2">
      <c r="B209" t="s">
        <v>236</v>
      </c>
    </row>
    <row r="210" spans="2:2">
      <c r="B210" t="s">
        <v>237</v>
      </c>
    </row>
    <row r="211" spans="2:2">
      <c r="B211" t="s">
        <v>238</v>
      </c>
    </row>
    <row r="212" spans="2:2">
      <c r="B212" t="s">
        <v>294</v>
      </c>
    </row>
    <row r="213" spans="2:2">
      <c r="B213" t="s">
        <v>239</v>
      </c>
    </row>
    <row r="214" spans="2:2">
      <c r="B214" t="s">
        <v>283</v>
      </c>
    </row>
    <row r="215" spans="2:2">
      <c r="B215" t="s">
        <v>240</v>
      </c>
    </row>
    <row r="216" spans="2:2">
      <c r="B216" t="s">
        <v>241</v>
      </c>
    </row>
    <row r="217" spans="2:2">
      <c r="B217" t="s">
        <v>284</v>
      </c>
    </row>
    <row r="218" spans="2:2">
      <c r="B218" t="s">
        <v>285</v>
      </c>
    </row>
    <row r="219" spans="2:2">
      <c r="B219" t="s">
        <v>242</v>
      </c>
    </row>
    <row r="220" spans="2:2">
      <c r="B220" t="s">
        <v>243</v>
      </c>
    </row>
    <row r="221" spans="2:2">
      <c r="B221" t="s">
        <v>286</v>
      </c>
    </row>
    <row r="222" spans="2:2">
      <c r="B222" t="s">
        <v>244</v>
      </c>
    </row>
    <row r="223" spans="2:2">
      <c r="B223" t="s">
        <v>245</v>
      </c>
    </row>
    <row r="224" spans="2:2">
      <c r="B224" t="s">
        <v>246</v>
      </c>
    </row>
    <row r="225" spans="2:2">
      <c r="B225" t="s">
        <v>247</v>
      </c>
    </row>
    <row r="226" spans="2:2">
      <c r="B226" t="s">
        <v>248</v>
      </c>
    </row>
    <row r="227" spans="2:2">
      <c r="B227" t="s">
        <v>249</v>
      </c>
    </row>
    <row r="228" spans="2:2">
      <c r="B228" t="s">
        <v>250</v>
      </c>
    </row>
    <row r="229" spans="2:2">
      <c r="B229" t="s">
        <v>251</v>
      </c>
    </row>
    <row r="230" spans="2:2">
      <c r="B230" t="s">
        <v>252</v>
      </c>
    </row>
    <row r="231" spans="2:2">
      <c r="B231" t="s">
        <v>253</v>
      </c>
    </row>
    <row r="232" spans="2:2">
      <c r="B232" t="s">
        <v>254</v>
      </c>
    </row>
    <row r="233" spans="2:2">
      <c r="B233" t="s">
        <v>255</v>
      </c>
    </row>
    <row r="234" spans="2:2">
      <c r="B234" t="s">
        <v>287</v>
      </c>
    </row>
    <row r="235" spans="2:2">
      <c r="B235" t="s">
        <v>256</v>
      </c>
    </row>
    <row r="236" spans="2:2">
      <c r="B236" t="s">
        <v>257</v>
      </c>
    </row>
    <row r="237" spans="2:2">
      <c r="B237" t="s">
        <v>258</v>
      </c>
    </row>
    <row r="238" spans="2:2">
      <c r="B238" t="s">
        <v>259</v>
      </c>
    </row>
    <row r="239" spans="2:2">
      <c r="B239" t="s">
        <v>288</v>
      </c>
    </row>
    <row r="240" spans="2:2">
      <c r="B240" t="s">
        <v>260</v>
      </c>
    </row>
    <row r="241" spans="2:2">
      <c r="B241" t="s">
        <v>261</v>
      </c>
    </row>
    <row r="242" spans="2:2">
      <c r="B242" t="s">
        <v>262</v>
      </c>
    </row>
    <row r="243" spans="2:2">
      <c r="B243" t="s">
        <v>263</v>
      </c>
    </row>
    <row r="244" spans="2:2">
      <c r="B244" t="s">
        <v>264</v>
      </c>
    </row>
    <row r="245" spans="2:2">
      <c r="B245" t="s">
        <v>265</v>
      </c>
    </row>
    <row r="246" spans="2:2">
      <c r="B246" t="s">
        <v>266</v>
      </c>
    </row>
    <row r="247" spans="2:2">
      <c r="B247" t="s">
        <v>267</v>
      </c>
    </row>
    <row r="248" spans="2:2">
      <c r="B248" t="s">
        <v>268</v>
      </c>
    </row>
    <row r="249" spans="2:2">
      <c r="B249" t="s">
        <v>269</v>
      </c>
    </row>
    <row r="250" spans="2:2">
      <c r="B250" t="s">
        <v>270</v>
      </c>
    </row>
    <row r="251" spans="2:2">
      <c r="B251" t="s">
        <v>271</v>
      </c>
    </row>
    <row r="252" spans="2:2">
      <c r="B252" t="s">
        <v>272</v>
      </c>
    </row>
    <row r="253" spans="2:2">
      <c r="B253" t="s">
        <v>273</v>
      </c>
    </row>
    <row r="254" spans="2:2">
      <c r="B254" t="s">
        <v>289</v>
      </c>
    </row>
    <row r="255" spans="2:2">
      <c r="B255" t="s">
        <v>274</v>
      </c>
    </row>
    <row r="256" spans="2:2">
      <c r="B256" t="s">
        <v>275</v>
      </c>
    </row>
    <row r="257" spans="2:2">
      <c r="B257" t="s">
        <v>276</v>
      </c>
    </row>
    <row r="258" spans="2:2">
      <c r="B258" t="s">
        <v>277</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FA7B7BDC-16B5-441E-98B0-F91EE00D9B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32</vt:i4>
      </vt:variant>
    </vt:vector>
  </HeadingPairs>
  <TitlesOfParts>
    <vt:vector size="7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PvtCheck</vt:lpstr>
      <vt:lpstr>Responsibilities</vt:lpstr>
      <vt:lpstr>P1PA-SS</vt:lpstr>
      <vt:lpstr>P1PA-RSG</vt:lpstr>
      <vt:lpstr>P1PA-R</vt:lpstr>
      <vt:lpstr>P2CA</vt:lpstr>
      <vt:lpstr>P3RF</vt:lpstr>
      <vt:lpstr>Schedule</vt:lpstr>
      <vt:lpstr>PvtCheck1</vt:lpstr>
      <vt:lpstr>PvtCheck2</vt:lpstr>
      <vt:lpstr>Schedule2</vt:lpstr>
      <vt:lpstr>PvtPartDistinct</vt:lpstr>
      <vt:lpstr>PvtPart_PA</vt:lpstr>
      <vt:lpstr>PvtPart_PrjSup</vt:lpstr>
      <vt:lpstr>PvtPart_Session</vt:lpstr>
      <vt:lpstr>Schedule3</vt:lpstr>
      <vt:lpstr>ATM_PA</vt:lpstr>
      <vt:lpstr>Schedule4</vt:lpstr>
      <vt:lpstr>Schedule4Actual</vt:lpstr>
      <vt:lpstr>pptxCertificate</vt:lpstr>
      <vt:lpstr>pptxCover</vt:lpstr>
      <vt:lpstr>Standard</vt:lpstr>
      <vt:lpstr>Standard2</vt:lpstr>
      <vt:lpstr>Standard3</vt:lpstr>
      <vt:lpstr>OULC</vt:lpstr>
      <vt:lpstr>Tables</vt:lpstr>
      <vt:lpstr>ATM_PA!Print_Area</vt:lpstr>
      <vt:lpstr>'Project&amp;Support'!Print_Area</vt:lpstr>
      <vt:lpstr>PvtStaffDistinct!Print_Area</vt:lpstr>
      <vt:lpstr>Schedule2!Print_Area</vt:lpstr>
      <vt:lpstr>Schedule4!Print_Area</vt:lpstr>
      <vt:lpstr>Schedule4Actual!Print_Area</vt:lpstr>
      <vt:lpstr>Staff!Print_Area</vt:lpstr>
      <vt:lpstr>StaffGuide!Print_Area</vt:lpstr>
      <vt:lpstr>Standard3!Print_Area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2021-01-19T08:04:06Z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