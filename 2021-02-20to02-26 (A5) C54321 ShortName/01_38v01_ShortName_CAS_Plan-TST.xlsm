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736C5901-AF4B-4BDB-8BA2-766DE706C88F}" xr6:coauthVersionLast="46" xr6:coauthVersionMax="46" xr10:uidLastSave="{00000000-0000-0000-0000-000000000000}"/>
  <bookViews>
    <workbookView xWindow="-110" yWindow="-110" windowWidth="19420" windowHeight="10420" tabRatio="881" firstSheet="2" activeTab="6"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<sst xmlns="http://schemas.openxmlformats.org/spreadsheetml/2006/main" count="4755" uniqueCount="1573">
  <si>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</si>
  <si>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</si>
  <si>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</si>
  <si>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</si>
  <si>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</si>
  <si>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</si>
  <si>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</si>
  <si>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</si>
  <si>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</si>
  <si>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</si>
  <si>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</si>
  <si>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</si>
  <si>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</si>
  <si>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</si>
  <si>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</si>
  <si>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</si>
  <si>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</si>
  <si>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</si>
  <si>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</si>
  <si>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</si>
  <si>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</si>
  <si>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</si>
  <si>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</si>
  <si>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</si>
  <si>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</si>
  <si>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</si>
  <si>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</si>
  <si>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</si>
  <si>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</si>
  <si>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</si>
  <si>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</si>
  <si>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</si>
  <si>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</si>
  <si>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</si>
  <si>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</si>
  <si>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</si>
  <si>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</si>
  <si>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</si>
  <si>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</si>
  <si>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</si>
  <si>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</si>
  <si>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</si>
  <si>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</si>
  <si>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</si>
  <si>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</si>
  <si>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</si>
  <si>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</si>
  <si>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</si>
  <si>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</si>
  <si>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</si>
  <si>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</si>
  <si>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</si>
  <si>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</si>
  <si>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</si>
  <si>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</si>
  <si>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</si>
  <si>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</si>
  <si>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</si>
  <si>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</si>
  <si>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</si>
  <si>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</si>
  <si>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</si>
  <si>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</si>
  <si>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</si>
  <si>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</si>
  <si>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</si>
  <si>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</si>
  <si>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</si>
  <si>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</si>
  <si>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</si>
  <si>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</si>
  <si>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</si>
  <si>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</si>
  <si>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</si>
  <si>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</si>
  <si>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</si>
  <si>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</si>
  <si>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</si>
  <si>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</si>
  <si>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</si>
  <si>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</si>
  <si>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</si>
  <si>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</si>
  <si>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</si>
  <si>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</si>
  <si>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</si>
  <si>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</si>
  <si>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</si>
  <si>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</si>
  <si>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</si>
  <si>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</si>
  <si>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</si>
  <si>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</si>
  <si>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</si>
  <si>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</si>
  <si>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</si>
  <si>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</si>
  <si>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</si>
  <si>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</si>
  <si>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</si>
  <si>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</si>
  <si>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</si>
  <si>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</si>
  <si>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</si>
  <si>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</si>
  <si>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</si>
  <si>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</si>
  <si>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</si>
  <si>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</si>
  <si>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</si>
  <si>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</si>
  <si>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</si>
  <si>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</si>
  <si>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</si>
  <si>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</si>
  <si>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</si>
  <si>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</si>
  <si>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</si>
  <si>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</si>
  <si>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</si>
  <si>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</si>
  <si>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</si>
  <si>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</si>
  <si>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</si>
  <si>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</si>
  <si>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</si>
  <si>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</si>
  <si>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</si>
  <si>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</si>
  <si>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</si>
  <si>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</si>
  <si>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</si>
  <si>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</si>
  <si>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</si>
  <si>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</si>
  <si>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</si>
  <si>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</si>
  <si>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</si>
  <si>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</si>
  <si>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</si>
  <si>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</si>
  <si>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</si>
  <si>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</si>
  <si>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</si>
  <si>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</si>
  <si>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</si>
  <si>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</si>
  <si>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</si>
  <si>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</si>
  <si>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</si>
  <si>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</si>
  <si>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</si>
  <si>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</si>
  <si>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</si>
  <si>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</si>
  <si>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</si>
  <si>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</si>
  <si>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</si>
  <si>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</si>
  <si>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</si>
  <si>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</si>
  <si>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</si>
  <si>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</si>
  <si>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</si>
  <si>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</si>
  <si>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</si>
  <si>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</si>
  <si>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</si>
  <si>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</si>
  <si>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</si>
  <si>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</si>
  <si>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</si>
  <si>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</si>
  <si>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</si>
  <si>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</si>
  <si>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</si>
  <si>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</si>
  <si>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</si>
  <si>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</si>
  <si>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</si>
  <si>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</si>
  <si>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</si>
  <si>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</si>
  <si>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</si>
  <si>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</si>
  <si>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</si>
  <si>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</si>
  <si>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</si>
  <si>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</si>
  <si>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</si>
  <si>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</si>
  <si>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</si>
  <si>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</si>
  <si>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</si>
  <si>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</si>
  <si>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</si>
  <si>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</si>
  <si>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</si>
  <si>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</si>
  <si>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</si>
  <si>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</si>
  <si>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</si>
  <si>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</si>
  <si>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</si>
  <si>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</si>
  <si>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</si>
  <si>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</si>
  <si>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</si>
  <si>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</si>
  <si>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</si>
  <si>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</si>
  <si>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</si>
  <si>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</si>
  <si>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</si>
  <si>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</si>
  <si>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</si>
  <si>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</si>
  <si>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</si>
  <si>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</si>
  <si>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</si>
  <si>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</si>
  <si>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</si>
  <si>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</si>
  <si>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</si>
  <si>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</si>
  <si>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</si>
  <si>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</si>
  <si>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</si>
  <si>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</si>
  <si>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</si>
  <si>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</si>
  <si>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</si>
  <si>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</si>
  <si>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</si>
  <si>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</si>
  <si>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</si>
  <si>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</si>
  <si>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</si>
  <si>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</si>
  <si>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</si>
  <si>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</si>
  <si>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</si>
  <si>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</si>
  <si>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</si>
  <si>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</si>
  <si>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</si>
  <si>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</si>
  <si>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</si>
  <si>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</si>
  <si>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</si>
  <si>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</si>
  <si>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</si>
  <si>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</si>
  <si>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</si>
  <si>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</si>
  <si>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</si>
  <si>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</si>
  <si>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</si>
  <si>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</si>
  <si>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</si>
  <si>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</si>
  <si>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</si>
  <si>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</si>
  <si>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</si>
  <si>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</si>
  <si>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</si>
  <si>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</si>
  <si>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</si>
  <si>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</si>
  <si>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</si>
  <si>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</si>
  <si>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</si>
  <si>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</si>
  <si>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</si>
  <si>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</si>
  <si>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</si>
  <si>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</si>
  <si>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</si>
  <si>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</si>
  <si>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</si>
  <si>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</si>
  <si>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</si>
  <si>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</si>
  <si>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</si>
  <si>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</si>
  <si>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</si>
  <si>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</si>
  <si>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</si>
  <si>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</si>
  <si>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</si>
  <si>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</si>
  <si>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</si>
  <si>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</si>
  <si>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</si>
  <si>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</si>
  <si>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</si>
  <si>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</si>
  <si>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</si>
  <si>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</si>
  <si>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</si>
  <si>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</si>
  <si>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</si>
  <si>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</si>
  <si>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</si>
  <si>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</si>
  <si>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</si>
  <si>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</si>
  <si>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</si>
  <si>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</si>
  <si>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</si>
  <si>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</si>
  <si>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</si>
  <si>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</si>
  <si>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</si>
  <si>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</si>
  <si>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</si>
  <si>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</si>
  <si>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</si>
  <si>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</si>
  <si>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</si>
  <si>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</si>
  <si>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</si>
  <si>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</si>
  <si>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</si>
  <si>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</si>
  <si>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</si>
  <si>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</si>
  <si>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</si>
  <si>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</si>
  <si>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</si>
  <si>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</si>
  <si>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</si>
  <si>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</si>
  <si>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</si>
  <si>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</si>
  <si>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</si>
  <si>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</si>
  <si>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</si>
  <si>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</si>
  <si>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</si>
  <si>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</si>
  <si>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</si>
  <si>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</si>
  <si>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</si>
  <si>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</si>
  <si>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</si>
  <si>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</si>
  <si>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</si>
  <si>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</si>
  <si>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</si>
  <si>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</si>
  <si>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</si>
  <si>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</si>
  <si>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</si>
  <si>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</si>
  <si>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</si>
  <si>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</si>
  <si>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</si>
  <si>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</si>
  <si>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</si>
  <si>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</si>
  <si>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</si>
  <si>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</si>
  <si>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</si>
  <si>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</si>
  <si>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</si>
  <si>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</si>
  <si>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</si>
  <si>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</si>
  <si>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</si>
  <si>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</si>
  <si>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</si>
  <si>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</si>
  <si>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</si>
  <si>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</si>
  <si>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</si>
  <si>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</si>
  <si>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</si>
  <si>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</si>
  <si>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</si>
  <si>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</si>
  <si>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</si>
  <si>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</si>
  <si>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</si>
  <si>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</si>
  <si>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</si>
  <si>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</si>
  <si>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</si>
  <si>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</si>
  <si>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</si>
  <si>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</si>
  <si>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</si>
  <si>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</si>
  <si>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</si>
  <si>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</si>
  <si>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</si>
  <si>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</si>
  <si>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</si>
  <si>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</si>
  <si>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</si>
  <si>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</si>
  <si>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</si>
  <si>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</si>
  <si>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</si>
  <si>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</si>
  <si>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</si>
  <si>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</si>
  <si>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</si>
  <si>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</si>
  <si>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</si>
  <si>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</si>
  <si>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</si>
  <si>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</si>
  <si>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</si>
  <si>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</si>
  <si>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</si>
  <si>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</si>
  <si>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</si>
  <si>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</si>
  <si>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</si>
  <si>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</si>
  <si>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</si>
  <si>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</si>
  <si>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</si>
  <si>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</si>
  <si>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</si>
  <si>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</si>
  <si>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</si>
  <si>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</si>
  <si>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</si>
  <si>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</si>
  <si>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</si>
  <si>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</si>
  <si>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</si>
  <si>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</si>
  <si>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</si>
  <si>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</si>
  <si>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</si>
  <si>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</si>
  <si>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</si>
  <si>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</si>
  <si>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</si>
  <si>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</si>
  <si>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</si>
  <si>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</si>
  <si>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</si>
  <si>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</si>
  <si>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</si>
  <si>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</si>
  <si>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</si>
  <si>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</si>
  <si>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</si>
  <si>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</si>
  <si>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</si>
  <si>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</si>
  <si>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</si>
  <si>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</si>
  <si>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</si>
  <si>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</si>
  <si>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</si>
  <si>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</si>
  <si>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</si>
  <si>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</si>
  <si>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</si>
  <si>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</si>
  <si>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</si>
  <si>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</si>
  <si>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</si>
  <si>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</si>
  <si>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</si>
  <si>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</si>
  <si>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</si>
  <si>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</si>
  <si>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</si>
  <si>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</si>
  <si>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</si>
  <si>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</si>
  <si>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</si>
  <si>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</si>
  <si>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</si>
  <si>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</si>
  <si>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</si>
  <si>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</si>
  <si>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</si>
  <si>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</si>
  <si>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</si>
  <si>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</si>
  <si>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</si>
  <si>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</si>
  <si>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</si>
  <si>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</si>
  <si>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</si>
  <si>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</si>
  <si>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</si>
  <si>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</si>
  <si>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</si>
  <si>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</si>
  <si>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</si>
  <si>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</si>
  <si>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</si>
  <si>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</si>
  <si>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</si>
  <si>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</si>
  <si>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</si>
  <si>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</si>
  <si>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</si>
  <si>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</si>
  <si>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</si>
  <si>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</si>
  <si>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</si>
  <si>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</si>
  <si>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</si>
  <si>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</si>
  <si>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</si>
  <si>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</si>
  <si>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</si>
  <si>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</si>
  <si>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</si>
  <si>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</si>
  <si>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</si>
  <si>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</si>
  <si>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</si>
  <si>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</si>
  <si>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</si>
  <si>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</si>
  <si>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</si>
  <si>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</si>
  <si>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</si>
  <si>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</si>
  <si>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</si>
  <si>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</si>
  <si>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</si>
  <si>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</si>
  <si>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</si>
  <si>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</si>
  <si>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</si>
  <si>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</si>
  <si>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</si>
  <si>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</si>
  <si>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</si>
  <si>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</si>
  <si>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</si>
  <si>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</si>
  <si>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</si>
  <si>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</si>
  <si>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</si>
  <si>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</si>
  <si>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</si>
  <si>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</si>
  <si>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</si>
  <si>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</si>
  <si>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</si>
  <si>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</si>
  <si>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</si>
  <si>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</si>
  <si>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</si>
  <si>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</si>
  <si>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</si>
  <si>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</si>
  <si>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</si>
  <si>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</si>
  <si>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</si>
  <si>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</si>
  <si>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</si>
  <si>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</si>
  <si>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</si>
  <si>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</si>
  <si>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</si>
  <si>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</si>
  <si>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</si>
  <si>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</si>
  <si>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</si>
  <si>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</si>
  <si>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</si>
  <si>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</si>
  <si>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</si>
  <si>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</si>
  <si>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</si>
  <si>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</si>
  <si>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</si>
  <si>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</si>
  <si>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</si>
  <si>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</si>
  <si>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</si>
  <si>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</si>
  <si>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</si>
  <si>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</si>
  <si>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</si>
  <si>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</si>
  <si>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</si>
  <si>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</si>
  <si>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</si>
  <si>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</si>
  <si>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</si>
  <si>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</si>
  <si>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</si>
  <si>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</si>
  <si>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</si>
  <si>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</si>
  <si>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</si>
  <si>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</si>
  <si>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</si>
  <si>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</si>
  <si>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</si>
  <si>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</si>
  <si>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</si>
  <si>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</si>
  <si>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</si>
  <si>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</si>
  <si>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</si>
  <si>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</si>
  <si>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</si>
  <si>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</si>
  <si>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</si>
  <si>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</si>
  <si>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</si>
  <si>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</si>
  <si>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</si>
  <si>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</si>
  <si>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</si>
  <si>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</si>
  <si>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</si>
  <si>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</si>
  <si>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</si>
  <si>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</si>
  <si>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</si>
  <si>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</si>
  <si>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</si>
  <si>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</si>
  <si>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</si>
  <si>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</si>
  <si>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</si>
  <si>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</si>
  <si>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</si>
  <si>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</si>
  <si>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</si>
  <si>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</si>
  <si>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</si>
  <si>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</si>
  <si>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</si>
  <si>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</si>
  <si>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</si>
  <si>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</si>
  <si>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</si>
  <si>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</si>
  <si>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</si>
  <si>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</si>
  <si>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</si>
  <si>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</si>
  <si>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</si>
  <si>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</si>
  <si>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</si>
  <si>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</si>
  <si>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</si>
  <si>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</si>
  <si>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</si>
  <si>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</si>
  <si>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</si>
  <si>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</si>
  <si>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</si>
  <si>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</si>
  <si>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</si>
  <si>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</si>
  <si>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</si>
  <si>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</si>
  <si>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</si>
  <si>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</si>
  <si>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</si>
  <si>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</si>
  <si>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</si>
  <si>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</si>
  <si>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</si>
  <si>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</si>
  <si>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</si>
  <si>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</si>
  <si>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</si>
  <si>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</si>
  <si>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</si>
  <si>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</si>
  <si>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</si>
  <si>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</si>
  <si>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</si>
  <si>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</si>
  <si>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</si>
  <si>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</si>
  <si>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</si>
  <si>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</si>
  <si>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</si>
  <si>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</si>
  <si>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</si>
  <si>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</si>
  <si>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</si>
  <si>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</si>
  <si>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</si>
  <si>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</si>
  <si>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</si>
  <si>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</si>
  <si>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</si>
  <si>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</si>
  <si>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</si>
  <si>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</si>
  <si>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</si>
  <si>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</si>
  <si>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</si>
  <si>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</si>
  <si>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</si>
  <si>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</si>
  <si>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</si>
  <si>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</si>
  <si>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</si>
  <si>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</si>
  <si>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</si>
  <si>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</si>
  <si>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</si>
  <si>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</si>
  <si>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</si>
  <si>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</si>
  <si>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</si>
  <si>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</si>
  <si>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</si>
  <si>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</si>
  <si>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</si>
  <si>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</si>
  <si>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</si>
  <si>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</si>
  <si>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</si>
  <si>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</si>
  <si>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</si>
  <si>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</si>
  <si>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</si>
  <si>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</si>
  <si>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</si>
  <si>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</si>
  <si>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</si>
  <si>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</si>
  <si>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</si>
  <si>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</si>
  <si>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</si>
  <si>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</si>
  <si>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</si>
  <si>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</si>
  <si>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</si>
  <si>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</si>
  <si>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</si>
  <si>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</si>
  <si>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</si>
  <si>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</si>
  <si>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</si>
  <si>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</si>
  <si>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</si>
  <si>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</si>
  <si>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</si>
  <si>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</si>
  <si>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</si>
  <si>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</si>
  <si>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</si>
  <si>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</si>
  <si>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</si>
  <si>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</si>
  <si>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</si>
  <si>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</si>
  <si>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</si>
  <si>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</si>
  <si>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</si>
  <si>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</si>
  <si>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</si>
  <si>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</si>
  <si>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</si>
  <si>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</si>
  <si>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</si>
  <si>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</si>
  <si>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</si>
  <si>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</si>
  <si>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</si>
  <si>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</si>
  <si>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</si>
  <si>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</si>
  <si>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</si>
  <si>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</si>
  <si>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</si>
  <si>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</si>
  <si>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</si>
  <si>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</si>
  <si>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</si>
  <si>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</si>
  <si>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</si>
  <si>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</si>
  <si>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</si>
  <si>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</si>
  <si>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</si>
  <si>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</si>
  <si>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</si>
  <si>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</si>
  <si>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</si>
  <si>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</si>
  <si>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</si>
  <si>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</si>
  <si>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</si>
  <si>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</si>
  <si>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</si>
  <si>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</si>
  <si>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</si>
  <si>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</si>
  <si>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</si>
  <si>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</si>
  <si>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</si>
  <si>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</si>
  <si>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</si>
  <si>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</si>
  <si>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</si>
  <si>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</si>
  <si>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</si>
  <si>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</si>
  <si>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</si>
  <si>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</si>
  <si>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</si>
  <si>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</si>
  <si>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</si>
  <si>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</si>
  <si>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</si>
  <si>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</si>
  <si>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</si>
  <si>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</si>
  <si>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</si>
  <si>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</si>
  <si>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</si>
  <si>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</si>
  <si>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</si>
  <si>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</si>
  <si>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</si>
  <si>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</si>
  <si>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</si>
  <si>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</si>
  <si>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</si>
  <si>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</si>
  <si>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</si>
  <si>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</si>
  <si>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</si>
  <si>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</si>
  <si>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</si>
  <si>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</si>
  <si>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</si>
  <si>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</si>
  <si>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</si>
  <si>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</si>
  <si>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</si>
  <si>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</si>
  <si>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</si>
  <si>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</si>
  <si>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</si>
  <si>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</si>
  <si>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</si>
  <si>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</si>
  <si>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</si>
  <si>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</si>
  <si>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</si>
  <si>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</si>
  <si>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</si>
  <si>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</si>
  <si>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</si>
  <si>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</si>
  <si>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</si>
  <si>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</si>
  <si>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</si>
  <si>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</si>
  <si>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</si>
  <si>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</si>
  <si>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</si>
  <si>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</si>
  <si>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</si>
  <si>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</si>
  <si>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</si>
  <si>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</si>
  <si>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</si>
  <si>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</si>
  <si>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</si>
  <si>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</si>
  <si>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</si>
  <si>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</si>
  <si>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</si>
  <si>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</si>
  <si>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</si>
  <si>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</si>
  <si>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</si>
  <si>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</si>
  <si>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</si>
  <si>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</si>
  <si>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</si>
  <si>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</si>
  <si>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</si>
  <si>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</si>
  <si>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</si>
  <si>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</si>
  <si>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</si>
  <si>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</si>
  <si>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</si>
  <si>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</si>
  <si>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</si>
  <si>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</si>
  <si>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</si>
  <si>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</si>
  <si>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</si>
  <si>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</si>
  <si>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</si>
  <si>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</si>
  <si>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</si>
  <si>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</si>
  <si>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</si>
  <si>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</si>
  <si>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</si>
  <si>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</si>
  <si>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</si>
  <si>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</si>
  <si>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</si>
  <si>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</si>
  <si>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</si>
  <si>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</si>
  <si>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</si>
  <si>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</si>
  <si>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</si>
  <si>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</si>
  <si>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</si>
  <si>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</si>
  <si>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</si>
  <si>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</si>
  <si>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</si>
  <si>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</si>
  <si>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</si>
  <si>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</si>
  <si>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</si>
  <si>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</si>
  <si>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</si>
  <si>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</si>
  <si>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</si>
  <si>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</si>
  <si>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</si>
  <si>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</si>
  <si>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</si>
  <si>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</si>
  <si>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</si>
  <si>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</si>
  <si>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</si>
  <si>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</si>
  <si>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</si>
  <si>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</si>
  <si>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</si>
  <si>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</si>
  <si>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</si>
  <si>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</si>
  <si>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</si>
  <si>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</si>
  <si>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</si>
  <si>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</si>
  <si>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</si>
  <si>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</si>
  <si>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</si>
  <si>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</si>
  <si>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</si>
  <si>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</si>
  <si>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</si>
  <si>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</si>
  <si>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</si>
  <si>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</si>
  <si>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</si>
  <si>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</si>
  <si>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</si>
  <si>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</si>
  <si>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</si>
  <si>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</si>
  <si>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</si>
  <si>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</si>
  <si>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</si>
  <si>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</si>
  <si>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</si>
  <si>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</si>
  <si>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</si>
  <si>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</si>
  <si>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</si>
  <si>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</si>
  <si>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</si>
  <si>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</si>
  <si>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</si>
  <si>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</si>
  <si>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</si>
  <si>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</si>
  <si>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</si>
  <si>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</si>
  <si>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</si>
  <si>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</si>
  <si>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</si>
  <si>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</si>
  <si>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</si>
  <si>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</si>
  <si>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</si>
  <si>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</si>
  <si>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</si>
  <si>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</si>
  <si>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</si>
  <si>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</si>
  <si>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</si>
  <si>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</si>
  <si>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</si>
  <si>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</si>
  <si>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</si>
  <si>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</si>
  <si>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</si>
  <si>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</si>
  <si>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</si>
  <si>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</si>
  <si>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</si>
  <si>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</si>
  <si>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</si>
  <si>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</si>
  <si>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</si>
  <si>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</si>
  <si>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</si>
  <si>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</si>
  <si>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</si>
  <si>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</si>
  <si>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</si>
  <si>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</si>
  <si>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</si>
  <si>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</si>
  <si>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</si>
  <si>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</si>
  <si>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</si>
  <si>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</si>
  <si>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</si>
  <si>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</si>
  <si>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</si>
  <si>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</si>
  <si>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</si>
  <si>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</si>
  <si>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</si>
  <si>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</si>
  <si>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</si>
  <si>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</si>
  <si>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</si>
  <si>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</si>
  <si>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</si>
  <si>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</si>
  <si>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</si>
  <si>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</si>
  <si>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</si>
  <si>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</si>
  <si>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</si>
  <si>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</si>
  <si>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</si>
  <si>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</si>
  <si>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</si>
  <si>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</si>
  <si>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</si>
  <si>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</si>
  <si>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</si>
  <si>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</si>
  <si>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</si>
  <si>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</si>
  <si>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</si>
  <si>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</si>
  <si>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</si>
  <si>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</si>
  <si>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</si>
  <si>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</si>
  <si>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</si>
  <si>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</si>
  <si>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</si>
  <si>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</si>
  <si>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</si>
  <si>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</si>
  <si>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</si>
  <si>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</si>
  <si>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</si>
  <si>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</si>
  <si>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</si>
  <si>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</si>
  <si>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</si>
  <si>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</si>
  <si>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</si>
  <si>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</si>
  <si>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</si>
  <si>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</si>
  <si>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</si>
  <si>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</si>
  <si>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</si>
  <si>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</si>
  <si>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</si>
  <si>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</si>
  <si>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</si>
  <si>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</si>
  <si>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</si>
  <si>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</si>
  <si>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</si>
  <si>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</si>
  <si>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</si>
  <si>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</si>
  <si>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</si>
  <si>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</si>
  <si>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</si>
  <si>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</si>
  <si>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</si>
  <si>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</si>
  <si>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</si>
  <si>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</si>
  <si>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</si>
  <si>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</si>
  <si>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</si>
  <si>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</si>
  <si>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</si>
  <si>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</si>
  <si>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</si>
  <si>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</si>
  <si>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</si>
  <si>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</si>
  <si>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</si>
  <si>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</si>
  <si>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</si>
  <si>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</si>
  <si>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</si>
  <si>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</si>
  <si>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</si>
  <si>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</si>
  <si>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</si>
  <si>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</si>
  <si>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</si>
  <si>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</si>
  <si>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</si>
  <si>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</si>
  <si>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</si>
  <si>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</si>
  <si>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</si>
  <si>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</si>
  <si>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</si>
  <si>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</si>
  <si>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</si>
  <si>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</si>
  <si>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</si>
  <si>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</si>
  <si>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</si>
  <si>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</si>
  <si>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</si>
  <si>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</si>
  <si>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</si>
  <si>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</si>
  <si>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</si>
  <si>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</si>
  <si>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</si>
  <si>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</si>
  <si>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</si>
  <si>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</si>
  <si>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</si>
  <si>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</si>
  <si>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</si>
  <si>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</si>
  <si>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</si>
  <si>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</si>
  <si>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</si>
  <si>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</si>
  <si>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</si>
  <si>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</si>
  <si>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</si>
  <si>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</si>
  <si>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</si>
  <si>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</si>
  <si>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</si>
  <si>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</si>
  <si>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</si>
  <si>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</si>
  <si>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</si>
  <si>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</si>
  <si>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</si>
  <si>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</si>
  <si>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</si>
  <si>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</si>
  <si>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</si>
  <si>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</si>
  <si>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</si>
  <si>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</si>
  <si>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</si>
  <si>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</si>
  <si>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</si>
  <si>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</si>
  <si>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</si>
  <si>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</si>
  <si>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</si>
  <si>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</si>
  <si>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</si>
  <si>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</si>
  <si>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</si>
  <si>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</si>
  <si>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</si>
  <si>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</si>
  <si>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</si>
  <si>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</si>
  <si>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</si>
  <si>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</si>
  <si>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</si>
  <si>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</si>
  <si>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</si>
  <si>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</si>
  <si>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</si>
  <si>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</si>
  <si>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</si>
  <si>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</si>
  <si>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</si>
  <si>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</si>
  <si>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</si>
  <si>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</si>
  <si>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</si>
  <si>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</si>
  <si>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</si>
  <si>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</si>
  <si>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</si>
  <si>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</si>
  <si>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</si>
  <si>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</si>
  <si>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</si>
  <si>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</si>
  <si>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</si>
  <si>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</si>
  <si>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</si>
  <si>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</si>
  <si>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</si>
  <si>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</si>
  <si>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</si>
  <si>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</si>
  <si>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</si>
  <si>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</si>
  <si>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</si>
  <si>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</si>
  <si>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</si>
  <si>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</si>
  <si>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</si>
  <si>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</si>
  <si>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</si>
  <si>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</si>
  <si>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</si>
  <si>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</si>
  <si>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</si>
  <si>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</si>
  <si>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</si>
  <si>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</si>
  <si>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</si>
  <si>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</si>
  <si>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</si>
  <si>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</si>
  <si>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</si>
  <si>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</si>
  <si>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</si>
  <si>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</si>
  <si>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</si>
  <si>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</si>
  <si>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</si>
  <si>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</si>
  <si>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</si>
  <si>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</si>
  <si>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</si>
  <si>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</si>
  <si>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</si>
  <si>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</si>
  <si>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</si>
  <si>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</si>
  <si>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</si>
  <si>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</si>
  <si>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</si>
  <si>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</si>
  <si>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</si>
  <si>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</si>
  <si>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</si>
  <si>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</si>
  <si>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</si>
  <si>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</si>
  <si>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</si>
  <si>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</si>
  <si>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</si>
  <si>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</si>
  <si>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</si>
  <si>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</si>
  <si>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</si>
  <si>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</si>
  <si>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</si>
  <si>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</si>
  <si>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</si>
  <si>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</si>
  <si>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</si>
  <si>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</si>
  <si>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</si>
  <si>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</si>
  <si>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</si>
  <si>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</si>
  <si>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</si>
  <si>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</si>
  <si>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</si>
  <si>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</si>
  <si>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</si>
  <si>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</si>
  <si>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</si>
  <si>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</si>
  <si>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</si>
  <si>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</si>
  <si>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</si>
  <si>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</si>
  <si>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</si>
  <si>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</si>
  <si>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</si>
  <si>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</si>
  <si>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</si>
  <si>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</si>
  <si>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</si>
  <si>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</si>
  <si>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</si>
  <si>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</si>
  <si>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</si>
  <si>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</si>
  <si>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</si>
  <si>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</si>
  <si>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</si>
  <si>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</si>
  <si>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</si>
  <si>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</si>
  <si>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</si>
  <si>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</si>
  <si>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</si>
  <si>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</si>
  <si>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</si>
  <si>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</si>
  <si>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</si>
  <si>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</si>
  <si>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</si>
  <si>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</si>
  <si>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Ou Xiuyun</t>
  </si>
  <si>
    <t>Pan Zhenhong</t>
  </si>
  <si>
    <t>Li Xuebin</t>
  </si>
  <si>
    <t>Zhang Hongtong</t>
  </si>
  <si>
    <t>Zhou Huali</t>
  </si>
  <si>
    <t>Li Yanfen</t>
  </si>
  <si>
    <t>Lu Zhiwei</t>
  </si>
  <si>
    <t>Zhu Liudan</t>
  </si>
  <si>
    <t>Chen Wucong</t>
  </si>
  <si>
    <t>Mai Jinchao 1</t>
  </si>
  <si>
    <t>Liang Jingwen</t>
  </si>
  <si>
    <t>Quality Assurance Staff</t>
  </si>
  <si>
    <t>Tan Zhicong</t>
  </si>
  <si>
    <t>Pan Yingqi</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</si>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</sst>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2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2000-00000A000000}"/>
                </a:ext>
              </a:extLst>
            </xdr:cNvPr>
            <xdr:cNvPicPr>
              <a:picLocks noChangeAspect="1" noChangeArrowheads="1"/>
              <a:extLst>
                <a:ext uri="{84589F7E-364E-4C9E-8A38-B11213B215E9}">
                  <a14:cameraTool cellRange="StartupInfo!$B$16" spid="_x0000_s8370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21" sqref="A21"/>
    </sheetView>
  </sheetViews>
  <sheetFormatPr defaultRowHeight="14.5"/>
  <cols>
    <col min="1" max="1" width="86.81640625" style="168" customWidth="1"/>
    <col min="2" max="16384" width="8.7265625" style="9"/>
  </cols>
  <sheetData>
    <row r="2" spans="1:1">
      <c r="A2" s="168" t="s">
        <v>1427</v>
      </c>
    </row>
    <row r="3" spans="1:1">
      <c r="A3" s="169" t="s">
        <v>1428</v>
      </c>
    </row>
    <row r="4" spans="1:1">
      <c r="A4" s="169"/>
    </row>
    <row r="5" spans="1:1">
      <c r="A5" s="168" t="s">
        <v>1434</v>
      </c>
    </row>
    <row r="6" spans="1:1" s="168" customFormat="1">
      <c r="A6" s="169" t="s">
        <v>1435</v>
      </c>
    </row>
    <row r="8" spans="1:1">
      <c r="A8" s="168" t="s">
        <v>1437</v>
      </c>
    </row>
    <row r="9" spans="1:1">
      <c r="A9" s="169" t="s">
        <v>1433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1396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1436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1395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1537</v>
      </c>
      <c r="B1" s="357"/>
    </row>
    <row r="2" spans="1:2" ht="43.5">
      <c r="A2" s="126" t="s">
        <v>1538</v>
      </c>
      <c r="B2" s="126" t="s">
        <v>1539</v>
      </c>
    </row>
    <row r="3" spans="1:2">
      <c r="B3" s="358" t="s">
        <v>1540</v>
      </c>
    </row>
    <row r="4" spans="1:2">
      <c r="B4" s="359" t="s">
        <v>1541</v>
      </c>
    </row>
    <row r="5" spans="1:2" ht="29">
      <c r="B5" s="360" t="s">
        <v>1542</v>
      </c>
    </row>
    <row r="7" spans="1:2" ht="72.5">
      <c r="A7" s="126" t="s">
        <v>1543</v>
      </c>
      <c r="B7" s="126" t="s">
        <v>1544</v>
      </c>
    </row>
    <row r="9" spans="1:2" ht="29">
      <c r="A9" s="126" t="s">
        <v>1545</v>
      </c>
      <c r="B9" s="126" t="s">
        <v>1546</v>
      </c>
    </row>
    <row r="11" spans="1:2">
      <c r="A11" s="357" t="s">
        <v>1547</v>
      </c>
      <c r="B11" s="357"/>
    </row>
    <row r="12" spans="1:2">
      <c r="A12" s="126" t="s">
        <v>1430</v>
      </c>
      <c r="B12" s="126" t="s">
        <v>1548</v>
      </c>
    </row>
    <row r="13" spans="1:2" ht="43.5">
      <c r="A13" s="126" t="s">
        <v>1397</v>
      </c>
      <c r="B13" s="126" t="s">
        <v>1549</v>
      </c>
    </row>
    <row r="14" spans="1:2">
      <c r="A14" s="126" t="s">
        <v>1550</v>
      </c>
      <c r="B14" s="126" t="s">
        <v>1551</v>
      </c>
    </row>
    <row r="15" spans="1:2" ht="58">
      <c r="A15" s="126" t="s">
        <v>1010</v>
      </c>
      <c r="B15" s="126" t="s">
        <v>1552</v>
      </c>
    </row>
    <row r="16" spans="1:2" ht="43.5">
      <c r="A16" s="136" t="s">
        <v>1011</v>
      </c>
      <c r="B16" s="126" t="s">
        <v>1553</v>
      </c>
    </row>
    <row r="17" spans="1:2">
      <c r="A17" s="136" t="s">
        <v>1024</v>
      </c>
      <c r="B17" s="126" t="s">
        <v>1554</v>
      </c>
    </row>
    <row r="18" spans="1:2" ht="29">
      <c r="A18" s="136" t="s">
        <v>1012</v>
      </c>
      <c r="B18" s="126" t="s">
        <v>1555</v>
      </c>
    </row>
    <row r="19" spans="1:2" ht="43.5">
      <c r="A19" s="136" t="s">
        <v>1355</v>
      </c>
      <c r="B19" s="126" t="s">
        <v>1556</v>
      </c>
    </row>
    <row r="20" spans="1:2">
      <c r="A20" s="136" t="s">
        <v>1077</v>
      </c>
      <c r="B20" s="126" t="s">
        <v>1557</v>
      </c>
    </row>
    <row r="21" spans="1:2">
      <c r="A21" s="136" t="s">
        <v>1558</v>
      </c>
    </row>
    <row r="22" spans="1:2">
      <c r="A22" s="136" t="s">
        <v>1559</v>
      </c>
    </row>
    <row r="23" spans="1:2">
      <c r="A23" s="136" t="s">
        <v>1560</v>
      </c>
    </row>
    <row r="24" spans="1:2">
      <c r="A24" s="136" t="s">
        <v>1561</v>
      </c>
    </row>
    <row r="25" spans="1:2">
      <c r="A25" s="136" t="s">
        <v>1017</v>
      </c>
    </row>
    <row r="26" spans="1:2">
      <c r="A26" s="136" t="s">
        <v>1018</v>
      </c>
    </row>
    <row r="27" spans="1:2">
      <c r="A27" s="136" t="s">
        <v>1019</v>
      </c>
    </row>
    <row r="28" spans="1:2">
      <c r="A28" s="136" t="s">
        <v>1431</v>
      </c>
    </row>
    <row r="29" spans="1:2">
      <c r="A29" s="136" t="s">
        <v>1432</v>
      </c>
    </row>
    <row r="30" spans="1:2">
      <c r="A30" s="136" t="s">
        <v>709</v>
      </c>
    </row>
    <row r="31" spans="1:2">
      <c r="A31" s="136" t="s">
        <v>1562</v>
      </c>
    </row>
    <row r="32" spans="1:2">
      <c r="A32" s="136" t="s">
        <v>1015</v>
      </c>
    </row>
    <row r="33" spans="1:1">
      <c r="A33" s="136" t="s">
        <v>1563</v>
      </c>
    </row>
    <row r="34" spans="1:1">
      <c r="A34" s="136" t="s">
        <v>1564</v>
      </c>
    </row>
    <row r="35" spans="1:1">
      <c r="A35" s="136" t="s">
        <v>1565</v>
      </c>
    </row>
    <row r="36" spans="1:1">
      <c r="A36" s="136" t="s">
        <v>1566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1429</v>
      </c>
      <c r="G2" s="147" t="s">
        <v>1371</v>
      </c>
      <c r="H2" s="147" t="s">
        <v>1372</v>
      </c>
    </row>
    <row r="7" spans="1:31" s="82" customFormat="1">
      <c r="A7" t="s">
        <v>1430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1397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1355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1358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1359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1360</v>
      </c>
      <c r="B17" s="147"/>
      <c r="C17" s="147"/>
      <c r="D17" s="147"/>
      <c r="E17" s="147"/>
      <c r="F17" s="147"/>
      <c r="G17" s="147"/>
      <c r="H17" s="147"/>
      <c r="I17" s="140">
        <f t="shared" si="0"/>
        <v>0</v>
      </c>
      <c r="K17" s="141"/>
      <c r="AD17" s="82"/>
      <c r="AE17" s="82"/>
      <c r="AF17" s="82"/>
    </row>
    <row r="18" spans="1:32" s="140" customFormat="1">
      <c r="A18" t="s">
        <v>1361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1431</v>
      </c>
      <c r="B23" s="147"/>
      <c r="C23" s="147"/>
      <c r="D23" s="147" t="s">
        <v>417</v>
      </c>
      <c r="E23" s="147"/>
      <c r="F23" s="147"/>
      <c r="G23" s="147"/>
      <c r="H23" s="147"/>
      <c r="I23" s="140">
        <f t="shared" si="0"/>
        <v>1</v>
      </c>
      <c r="K23" s="141"/>
      <c r="AD23" s="82"/>
      <c r="AE23" s="82"/>
      <c r="AF23" s="82"/>
    </row>
    <row r="24" spans="1:32" s="140" customFormat="1">
      <c r="A24" t="s">
        <v>1432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1343</v>
      </c>
      <c r="B26" s="147"/>
      <c r="C26" s="147"/>
      <c r="D26" s="147"/>
      <c r="E26" s="147"/>
      <c r="F26" s="147"/>
      <c r="G26" s="147"/>
      <c r="H26" s="147"/>
      <c r="I26" s="140">
        <f t="shared" si="0"/>
        <v>0</v>
      </c>
      <c r="K26" s="141"/>
      <c r="AD26" s="82"/>
      <c r="AE26" s="82"/>
      <c r="AF26" s="82"/>
    </row>
    <row r="27" spans="1:32" s="140" customFormat="1">
      <c r="A27" t="s">
        <v>1344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1370</v>
      </c>
      <c r="B29" s="147"/>
      <c r="C29" s="147"/>
      <c r="D29" s="147"/>
      <c r="E29" s="147"/>
      <c r="F29" s="147"/>
      <c r="G29" s="147"/>
      <c r="H29" s="147"/>
      <c r="I29" s="140">
        <f t="shared" si="0"/>
        <v>0</v>
      </c>
      <c r="K29" s="141"/>
      <c r="AD29" s="82"/>
      <c r="AE29" s="82"/>
      <c r="AF29" s="82"/>
    </row>
    <row r="30" spans="1:32">
      <c r="A30" t="s">
        <v>1362</v>
      </c>
      <c r="I30" s="140">
        <f t="shared" si="0"/>
        <v>0</v>
      </c>
    </row>
    <row r="31" spans="1:32">
      <c r="A31" t="s">
        <v>1363</v>
      </c>
    </row>
    <row r="32" spans="1:32">
      <c r="A32" t="s">
        <v>1364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D44" sqref="D44:E47"/>
    </sheetView>
  </sheetViews>
  <sheetFormatPr defaultRowHeight="14.5"/>
  <cols>
    <col min="1" max="1" width="54.26953125" style="9" customWidth="1"/>
    <col min="2" max="2" width="56" style="9" customWidth="1"/>
  </cols>
  <sheetData>
    <row r="1" spans="1:2">
      <c r="A1" s="1" t="s">
        <v>0</v>
      </c>
      <c r="B1" s="24" t="s">
        <v>762</v>
      </c>
    </row>
    <row r="2" spans="1:2">
      <c r="A2" s="2" t="s">
        <v>1</v>
      </c>
      <c r="B2" s="3" t="s">
        <v>1438</v>
      </c>
    </row>
    <row r="3" spans="1:2">
      <c r="A3" s="2" t="s">
        <v>2</v>
      </c>
      <c r="B3" s="3">
        <v>11</v>
      </c>
    </row>
    <row r="4" spans="1:2">
      <c r="A4" s="2" t="s">
        <v>769</v>
      </c>
      <c r="B4" s="3" t="s">
        <v>1439</v>
      </c>
    </row>
    <row r="5" spans="1:2">
      <c r="A5" s="2" t="s">
        <v>3</v>
      </c>
      <c r="B5" s="4">
        <v>54321</v>
      </c>
    </row>
    <row r="6" spans="1:2">
      <c r="A6" s="5" t="s">
        <v>4</v>
      </c>
      <c r="B6" s="5"/>
    </row>
    <row r="7" spans="1:2">
      <c r="A7" s="2" t="s">
        <v>5</v>
      </c>
      <c r="B7" s="6" t="s">
        <v>6</v>
      </c>
    </row>
    <row r="8" spans="1:2">
      <c r="A8" s="2" t="s">
        <v>7</v>
      </c>
      <c r="B8" s="6" t="s">
        <v>8</v>
      </c>
    </row>
    <row r="9" spans="1:2">
      <c r="A9" s="2" t="s">
        <v>9</v>
      </c>
      <c r="B9" s="6" t="s">
        <v>1375</v>
      </c>
    </row>
    <row r="10" spans="1:2" ht="52">
      <c r="A10" s="2" t="s">
        <v>10</v>
      </c>
      <c r="B10" s="6" t="s">
        <v>1376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1440</v>
      </c>
    </row>
    <row r="17" spans="1:2">
      <c r="A17" s="2" t="s">
        <v>20</v>
      </c>
      <c r="B17" s="28" t="s">
        <v>1441</v>
      </c>
    </row>
    <row r="18" spans="1:2">
      <c r="A18" s="2" t="s">
        <v>21</v>
      </c>
      <c r="B18" s="6" t="s">
        <v>1442</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1443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1444</v>
      </c>
    </row>
    <row r="29" spans="1:2">
      <c r="A29" s="2" t="s">
        <v>9</v>
      </c>
      <c r="B29" s="6" t="s">
        <v>1445</v>
      </c>
    </row>
    <row r="30" spans="1:2">
      <c r="A30" s="2" t="s">
        <v>12</v>
      </c>
      <c r="B30" s="104" t="s">
        <v>1446</v>
      </c>
    </row>
    <row r="31" spans="1:2">
      <c r="A31" s="2" t="s">
        <v>14</v>
      </c>
      <c r="B31" s="29" t="s">
        <v>1447</v>
      </c>
    </row>
    <row r="32" spans="1:2">
      <c r="A32" s="5" t="s">
        <v>32</v>
      </c>
      <c r="B32" s="5"/>
    </row>
    <row r="33" spans="1:5">
      <c r="A33" s="2" t="s">
        <v>5</v>
      </c>
      <c r="B33" s="6" t="s">
        <v>1448</v>
      </c>
    </row>
    <row r="34" spans="1:5">
      <c r="A34" s="2" t="s">
        <v>7</v>
      </c>
      <c r="B34" s="6" t="s">
        <v>1440</v>
      </c>
    </row>
    <row r="35" spans="1:5">
      <c r="A35" s="2" t="s">
        <v>12</v>
      </c>
      <c r="B35" s="104" t="s">
        <v>1449</v>
      </c>
    </row>
    <row r="36" spans="1:5">
      <c r="A36" s="2" t="s">
        <v>14</v>
      </c>
      <c r="B36" s="29" t="s">
        <v>1450</v>
      </c>
    </row>
    <row r="37" spans="1:5">
      <c r="A37" s="5" t="s">
        <v>33</v>
      </c>
      <c r="B37" s="5"/>
    </row>
    <row r="38" spans="1:5">
      <c r="A38" s="2" t="s">
        <v>5</v>
      </c>
      <c r="B38" s="6" t="s">
        <v>1451</v>
      </c>
    </row>
    <row r="39" spans="1:5">
      <c r="A39" s="2" t="s">
        <v>7</v>
      </c>
      <c r="B39" s="6" t="s">
        <v>787</v>
      </c>
    </row>
    <row r="40" spans="1:5">
      <c r="A40" s="2" t="s">
        <v>9</v>
      </c>
      <c r="B40" s="6" t="s">
        <v>1452</v>
      </c>
    </row>
    <row r="41" spans="1:5">
      <c r="A41" s="2" t="s">
        <v>12</v>
      </c>
      <c r="B41" s="104" t="s">
        <v>787</v>
      </c>
    </row>
    <row r="42" spans="1:5">
      <c r="A42" s="2" t="s">
        <v>14</v>
      </c>
      <c r="B42" s="93" t="s">
        <v>787</v>
      </c>
    </row>
    <row r="43" spans="1:5">
      <c r="A43" s="8" t="s">
        <v>34</v>
      </c>
      <c r="B43" s="5"/>
    </row>
    <row r="44" spans="1:5">
      <c r="A44" s="2" t="s">
        <v>5</v>
      </c>
      <c r="B44" s="6" t="s">
        <v>1453</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8" priority="2" operator="equal">
      <formula>"xxx"</formula>
    </cfRule>
  </conditionalFormatting>
  <conditionalFormatting sqref="B4">
    <cfRule type="cellIs" dxfId="127"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1454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1455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1456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1419</v>
      </c>
      <c r="C42" s="129" t="s">
        <v>939</v>
      </c>
      <c r="D42" s="136" t="s">
        <v>1181</v>
      </c>
    </row>
    <row r="43" spans="1:4" s="129" customFormat="1" ht="29">
      <c r="A43" s="129" t="s">
        <v>602</v>
      </c>
      <c r="B43" s="342" t="s">
        <v>1420</v>
      </c>
      <c r="C43" s="129" t="s">
        <v>939</v>
      </c>
      <c r="D43" s="136" t="s">
        <v>1181</v>
      </c>
    </row>
    <row r="44" spans="1:4" s="129" customFormat="1">
      <c r="A44" s="129" t="s">
        <v>603</v>
      </c>
      <c r="B44" s="341" t="s">
        <v>1390</v>
      </c>
      <c r="C44" s="129" t="s">
        <v>939</v>
      </c>
      <c r="D44" s="136" t="s">
        <v>1181</v>
      </c>
    </row>
    <row r="45" spans="1:4" s="136" customFormat="1">
      <c r="B45" s="341"/>
    </row>
    <row r="46" spans="1:4" s="136" customFormat="1">
      <c r="A46" s="136" t="s">
        <v>607</v>
      </c>
      <c r="B46" s="342" t="s">
        <v>1394</v>
      </c>
      <c r="C46" s="279" t="s">
        <v>939</v>
      </c>
      <c r="D46" s="136" t="s">
        <v>1181</v>
      </c>
    </row>
    <row r="47" spans="1:4" s="136" customFormat="1">
      <c r="A47" s="136" t="s">
        <v>608</v>
      </c>
      <c r="B47" s="343" t="s">
        <v>1391</v>
      </c>
      <c r="C47" s="279" t="s">
        <v>939</v>
      </c>
      <c r="D47" s="136" t="s">
        <v>1181</v>
      </c>
    </row>
    <row r="48" spans="1:4" s="136" customFormat="1">
      <c r="A48" s="136" t="s">
        <v>609</v>
      </c>
      <c r="B48" s="342" t="s">
        <v>1292</v>
      </c>
      <c r="C48" s="136" t="s">
        <v>939</v>
      </c>
    </row>
    <row r="49" spans="1:3" s="136" customFormat="1">
      <c r="A49" s="136" t="s">
        <v>610</v>
      </c>
      <c r="B49" s="342" t="s">
        <v>640</v>
      </c>
      <c r="C49" s="136" t="s">
        <v>939</v>
      </c>
    </row>
    <row r="50" spans="1:3" s="136" customFormat="1">
      <c r="A50" s="136" t="s">
        <v>611</v>
      </c>
      <c r="B50" s="342" t="s">
        <v>1392</v>
      </c>
      <c r="C50" s="136" t="s">
        <v>939</v>
      </c>
    </row>
    <row r="51" spans="1:3" s="136" customFormat="1">
      <c r="A51" s="136" t="s">
        <v>620</v>
      </c>
      <c r="B51" s="342" t="s">
        <v>1393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abSelected="1" topLeftCell="A19" workbookViewId="0">
      <selection activeCell="B11" sqref="B11"/>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1457</v>
      </c>
    </row>
    <row r="6" spans="1:3" s="89" customFormat="1" ht="14.5">
      <c r="A6" s="89" t="s">
        <v>38</v>
      </c>
      <c r="B6" s="89" t="s">
        <v>1458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110" t="str">
        <f>_xlfn.CONCAT(B5,", ",B6,", ",B7,", ",B8,", ",B9,", ",B10)</f>
        <v>Room 1, West Block, High-Tech Plaza, Some Street, Some District, Shenzhen, Guangdong, 200080, China</v>
      </c>
      <c r="C11" s="54" t="s">
        <v>1076</v>
      </c>
    </row>
    <row r="12" spans="1:3">
      <c r="A12" s="55" t="s">
        <v>910</v>
      </c>
      <c r="B12" s="351" t="s">
        <v>1459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1347</v>
      </c>
      <c r="AC1" s="361" t="s">
        <v>1348</v>
      </c>
      <c r="AD1" s="361"/>
      <c r="AE1" s="361"/>
      <c r="AF1" s="361"/>
      <c r="AG1" s="361"/>
      <c r="AH1" s="361"/>
      <c r="AI1" s="361"/>
    </row>
    <row r="2" spans="1:35" s="315" customFormat="1" ht="68">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1349</v>
      </c>
      <c r="AD2" s="313" t="s">
        <v>1350</v>
      </c>
      <c r="AE2" s="313" t="s">
        <v>1351</v>
      </c>
      <c r="AF2" s="313" t="s">
        <v>1352</v>
      </c>
      <c r="AG2" s="313" t="s">
        <v>1353</v>
      </c>
      <c r="AH2" s="313" t="s">
        <v>1280</v>
      </c>
      <c r="AI2" s="314" t="s">
        <v>1354</v>
      </c>
    </row>
    <row r="3" spans="1:35" s="315" customFormat="1" ht="23.5" customHeight="1">
      <c r="A3" s="316" t="s">
        <v>952</v>
      </c>
      <c r="B3" s="315" t="s">
        <v>1460</v>
      </c>
      <c r="C3" s="316" t="s">
        <v>1461</v>
      </c>
      <c r="D3" s="316" t="s">
        <v>1265</v>
      </c>
      <c r="E3" s="316" t="s">
        <v>1462</v>
      </c>
      <c r="F3" s="317">
        <v>44044</v>
      </c>
      <c r="G3" s="317">
        <v>44166</v>
      </c>
      <c r="H3" s="316" t="s">
        <v>1346</v>
      </c>
      <c r="I3" s="318"/>
      <c r="J3" s="319" t="s">
        <v>1345</v>
      </c>
      <c r="K3" s="319" t="s">
        <v>1345</v>
      </c>
      <c r="L3" s="319"/>
      <c r="M3" s="319" t="s">
        <v>1302</v>
      </c>
      <c r="N3" s="319" t="s">
        <v>1302</v>
      </c>
      <c r="O3" s="319" t="s">
        <v>1302</v>
      </c>
      <c r="P3" s="319"/>
      <c r="Q3" s="319"/>
      <c r="R3" s="319"/>
      <c r="S3" s="319"/>
      <c r="T3" s="319"/>
      <c r="U3" s="319" t="s">
        <v>1345</v>
      </c>
      <c r="V3" s="319" t="s">
        <v>1345</v>
      </c>
      <c r="W3" s="319" t="s">
        <v>1345</v>
      </c>
      <c r="X3" s="319"/>
      <c r="Y3" s="319"/>
      <c r="Z3" s="319"/>
      <c r="AA3" s="319"/>
      <c r="AB3" s="318">
        <v>8</v>
      </c>
      <c r="AC3" s="320" t="s">
        <v>417</v>
      </c>
      <c r="AD3" s="320" t="s">
        <v>417</v>
      </c>
      <c r="AE3" s="320"/>
      <c r="AF3" s="320"/>
      <c r="AG3" s="320"/>
      <c r="AH3" s="320"/>
      <c r="AI3" s="321"/>
    </row>
    <row r="4" spans="1:35" s="315" customFormat="1" ht="23.5" customHeight="1">
      <c r="A4" s="316" t="s">
        <v>953</v>
      </c>
      <c r="B4" s="315" t="s">
        <v>1463</v>
      </c>
      <c r="C4" s="316" t="s">
        <v>1464</v>
      </c>
      <c r="D4" s="316" t="s">
        <v>1265</v>
      </c>
      <c r="E4" s="316" t="s">
        <v>1462</v>
      </c>
      <c r="F4" s="322">
        <v>43966</v>
      </c>
      <c r="G4" s="322">
        <v>44148</v>
      </c>
      <c r="H4" s="316" t="s">
        <v>1346</v>
      </c>
      <c r="I4" s="318"/>
      <c r="J4" s="319"/>
      <c r="K4" s="319"/>
      <c r="L4" s="319"/>
      <c r="M4" s="319"/>
      <c r="N4" s="319"/>
      <c r="O4" s="319"/>
      <c r="P4" s="319"/>
      <c r="Q4" s="319"/>
      <c r="R4" s="319"/>
      <c r="S4" s="319" t="s">
        <v>1302</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1465</v>
      </c>
      <c r="C5" s="316" t="s">
        <v>1466</v>
      </c>
      <c r="D5" s="316" t="s">
        <v>1265</v>
      </c>
      <c r="E5" s="316" t="s">
        <v>1462</v>
      </c>
      <c r="F5" s="322">
        <v>43900</v>
      </c>
      <c r="G5" s="322">
        <v>44104</v>
      </c>
      <c r="H5" s="316" t="s">
        <v>1346</v>
      </c>
      <c r="I5" s="318"/>
      <c r="J5" s="319" t="s">
        <v>1302</v>
      </c>
      <c r="K5" s="319" t="s">
        <v>1302</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1467</v>
      </c>
      <c r="C6" s="322" t="s">
        <v>1468</v>
      </c>
      <c r="D6" s="316" t="s">
        <v>1265</v>
      </c>
      <c r="E6" s="316" t="s">
        <v>1469</v>
      </c>
      <c r="F6" s="322">
        <v>44086</v>
      </c>
      <c r="G6" s="322">
        <v>44237</v>
      </c>
      <c r="H6" s="316" t="s">
        <v>1346</v>
      </c>
      <c r="I6" s="318"/>
      <c r="J6" s="319"/>
      <c r="K6" s="319"/>
      <c r="L6" s="319"/>
      <c r="M6" s="319" t="s">
        <v>1345</v>
      </c>
      <c r="N6" s="319" t="s">
        <v>1345</v>
      </c>
      <c r="O6" s="319" t="s">
        <v>1345</v>
      </c>
      <c r="P6" s="319"/>
      <c r="Q6" s="319"/>
      <c r="R6" s="319"/>
      <c r="S6" s="319" t="s">
        <v>1345</v>
      </c>
      <c r="T6" s="319"/>
      <c r="U6" s="319" t="s">
        <v>1302</v>
      </c>
      <c r="V6" s="319" t="s">
        <v>1302</v>
      </c>
      <c r="W6" s="319" t="s">
        <v>1302</v>
      </c>
      <c r="X6" s="319"/>
      <c r="Y6" s="319"/>
      <c r="Z6" s="319"/>
      <c r="AA6" s="319"/>
      <c r="AB6" s="318">
        <v>7</v>
      </c>
      <c r="AC6" s="320" t="s">
        <v>417</v>
      </c>
      <c r="AD6" s="320" t="s">
        <v>417</v>
      </c>
      <c r="AE6" s="320"/>
      <c r="AF6" s="320"/>
      <c r="AG6" s="320"/>
      <c r="AH6" s="320"/>
      <c r="AI6" s="321"/>
    </row>
    <row r="7" spans="1:35" s="315" customFormat="1" ht="23.5" customHeight="1">
      <c r="A7" s="316" t="s">
        <v>956</v>
      </c>
      <c r="B7" s="315" t="s">
        <v>1470</v>
      </c>
      <c r="C7" s="322" t="s">
        <v>1471</v>
      </c>
      <c r="D7" s="316" t="s">
        <v>1265</v>
      </c>
      <c r="E7" s="322" t="s">
        <v>1472</v>
      </c>
      <c r="F7" s="322">
        <v>44150</v>
      </c>
      <c r="G7" s="322">
        <v>44279</v>
      </c>
      <c r="H7" s="316" t="s">
        <v>1346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1327</v>
      </c>
      <c r="B8" s="315" t="s">
        <v>1473</v>
      </c>
      <c r="C8" s="322" t="s">
        <v>1474</v>
      </c>
      <c r="D8" s="316" t="s">
        <v>1265</v>
      </c>
      <c r="E8" s="322" t="s">
        <v>1469</v>
      </c>
      <c r="F8" s="322">
        <v>44073</v>
      </c>
      <c r="G8" s="322">
        <v>44293</v>
      </c>
      <c r="H8" s="316" t="s">
        <v>1346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1346</v>
      </c>
      <c r="I9" s="319"/>
      <c r="J9" s="319"/>
      <c r="K9" s="319"/>
      <c r="L9" s="319"/>
      <c r="M9" s="319"/>
      <c r="N9" s="319"/>
      <c r="O9" s="319"/>
      <c r="P9" s="319"/>
      <c r="Q9" s="319"/>
      <c r="R9" s="319"/>
      <c r="S9" s="319"/>
      <c r="T9" s="319"/>
      <c r="U9" s="319"/>
      <c r="V9" s="319"/>
      <c r="W9" s="319"/>
      <c r="X9" s="319"/>
      <c r="Y9" s="319" t="s">
        <v>1302</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1346</v>
      </c>
      <c r="I10" s="319"/>
      <c r="J10" s="319"/>
      <c r="K10" s="319"/>
      <c r="L10" s="319"/>
      <c r="M10" s="319"/>
      <c r="N10" s="319"/>
      <c r="O10" s="319"/>
      <c r="P10" s="319" t="s">
        <v>1302</v>
      </c>
      <c r="Q10" s="319" t="s">
        <v>1302</v>
      </c>
      <c r="R10" s="319" t="s">
        <v>1302</v>
      </c>
      <c r="S10" s="319"/>
      <c r="T10" s="319"/>
      <c r="U10" s="319"/>
      <c r="V10" s="319"/>
      <c r="W10" s="319"/>
      <c r="X10" s="319" t="s">
        <v>1302</v>
      </c>
      <c r="Y10" s="319"/>
      <c r="Z10" s="319" t="s">
        <v>1302</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1346</v>
      </c>
      <c r="I11" s="319"/>
      <c r="J11" s="319"/>
      <c r="K11" s="319"/>
      <c r="L11" s="319"/>
      <c r="M11" s="319"/>
      <c r="N11" s="319"/>
      <c r="O11" s="319"/>
      <c r="P11" s="319"/>
      <c r="Q11" s="319"/>
      <c r="R11" s="319"/>
      <c r="S11" s="319"/>
      <c r="T11" s="319" t="s">
        <v>1302</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1346</v>
      </c>
      <c r="I12" s="319"/>
      <c r="J12" s="319"/>
      <c r="K12" s="319"/>
      <c r="L12" s="319" t="s">
        <v>1302</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1346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6" priority="5" operator="equal">
      <formula>"s"</formula>
    </cfRule>
    <cfRule type="cellIs" dxfId="125" priority="6" operator="equal">
      <formula>"a"</formula>
    </cfRule>
  </conditionalFormatting>
  <conditionalFormatting sqref="AC3:AH13">
    <cfRule type="cellIs" dxfId="124"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topLeftCell="D1" workbookViewId="0">
      <selection activeCell="X29" sqref="X29"/>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6</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1460</v>
      </c>
      <c r="C3" s="354" t="s">
        <v>1475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c r="Y3" s="355"/>
    </row>
    <row r="4" spans="1:25">
      <c r="A4" s="354" t="s">
        <v>952</v>
      </c>
      <c r="B4" s="354" t="s">
        <v>1460</v>
      </c>
      <c r="C4" s="354" t="s">
        <v>1476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1460</v>
      </c>
      <c r="C5" s="354" t="s">
        <v>1477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1463</v>
      </c>
      <c r="C6" s="354" t="s">
        <v>1478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1463</v>
      </c>
      <c r="C7" s="354" t="s">
        <v>1479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1463</v>
      </c>
      <c r="C8" s="354" t="s">
        <v>1480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c r="Y8" s="355"/>
    </row>
    <row r="9" spans="1:25">
      <c r="A9" s="354" t="s">
        <v>953</v>
      </c>
      <c r="B9" s="354" t="s">
        <v>1463</v>
      </c>
      <c r="C9" s="354" t="s">
        <v>1481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1463</v>
      </c>
      <c r="C10" s="354" t="s">
        <v>1482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1465</v>
      </c>
      <c r="C11" s="354" t="s">
        <v>1483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1465</v>
      </c>
      <c r="C12" s="354" t="s">
        <v>1484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1465</v>
      </c>
      <c r="C13" s="354" t="s">
        <v>1485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c r="Y13" s="355"/>
    </row>
    <row r="14" spans="1:25">
      <c r="A14" s="354" t="s">
        <v>954</v>
      </c>
      <c r="B14" s="354" t="s">
        <v>1465</v>
      </c>
      <c r="C14" s="354" t="s">
        <v>1486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1465</v>
      </c>
      <c r="C15" s="354" t="s">
        <v>1487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1467</v>
      </c>
      <c r="C16" s="354" t="s">
        <v>1488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1467</v>
      </c>
      <c r="C17" s="354" t="s">
        <v>1489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1467</v>
      </c>
      <c r="C18" s="354" t="s">
        <v>1490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c r="Y18" s="355"/>
    </row>
    <row r="19" spans="1:25">
      <c r="A19" s="354" t="s">
        <v>955</v>
      </c>
      <c r="B19" s="354" t="s">
        <v>1467</v>
      </c>
      <c r="C19" s="354" t="s">
        <v>1491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1467</v>
      </c>
      <c r="C20" s="354" t="s">
        <v>1492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1470</v>
      </c>
      <c r="C21" s="354" t="s">
        <v>1493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1470</v>
      </c>
      <c r="C22" s="354" t="s">
        <v>1494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1470</v>
      </c>
      <c r="C23" s="354" t="s">
        <v>1495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c r="Y23" s="355"/>
    </row>
    <row r="24" spans="1:25">
      <c r="A24" s="354" t="s">
        <v>956</v>
      </c>
      <c r="B24" s="354" t="s">
        <v>1470</v>
      </c>
      <c r="C24" s="354" t="s">
        <v>1496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1470</v>
      </c>
      <c r="C25" s="354" t="s">
        <v>1497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1327</v>
      </c>
      <c r="B26" s="354" t="s">
        <v>1473</v>
      </c>
      <c r="C26" s="354" t="s">
        <v>1498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1327</v>
      </c>
      <c r="B27" s="354" t="s">
        <v>1473</v>
      </c>
      <c r="C27" s="354" t="s">
        <v>1499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1327</v>
      </c>
      <c r="B28" s="354" t="s">
        <v>1473</v>
      </c>
      <c r="C28" s="354" t="s">
        <v>1500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c r="Y28" s="355"/>
    </row>
    <row r="29" spans="1:25">
      <c r="A29" s="354" t="s">
        <v>1327</v>
      </c>
      <c r="B29" s="354" t="s">
        <v>1473</v>
      </c>
      <c r="C29" s="354" t="s">
        <v>1501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1327</v>
      </c>
      <c r="B30" s="354" t="s">
        <v>1473</v>
      </c>
      <c r="C30" s="354" t="s">
        <v>1502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1503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1504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1505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1506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1507</v>
      </c>
      <c r="D35" s="354" t="s">
        <v>1508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3" priority="14" operator="equal">
      <formula>"x"</formula>
    </cfRule>
  </conditionalFormatting>
  <conditionalFormatting sqref="C35:C1048576 C1:C2">
    <cfRule type="duplicateValues" dxfId="122" priority="13"/>
  </conditionalFormatting>
  <conditionalFormatting sqref="F3:Y7 F28:Y28 F33:Y33 Y31 Y29">
    <cfRule type="cellIs" dxfId="121" priority="12" operator="equal">
      <formula>"x"</formula>
    </cfRule>
  </conditionalFormatting>
  <conditionalFormatting sqref="Y13:Y17">
    <cfRule type="cellIs" dxfId="120" priority="11" operator="equal">
      <formula>"x"</formula>
    </cfRule>
  </conditionalFormatting>
  <conditionalFormatting sqref="F13:X17">
    <cfRule type="cellIs" dxfId="119" priority="10" operator="equal">
      <formula>"x"</formula>
    </cfRule>
  </conditionalFormatting>
  <conditionalFormatting sqref="F18:Y22">
    <cfRule type="cellIs" dxfId="118" priority="9" operator="equal">
      <formula>"x"</formula>
    </cfRule>
  </conditionalFormatting>
  <conditionalFormatting sqref="F8:Y12">
    <cfRule type="cellIs" dxfId="117" priority="8" operator="equal">
      <formula>"x"</formula>
    </cfRule>
  </conditionalFormatting>
  <conditionalFormatting sqref="F23:Y27">
    <cfRule type="cellIs" dxfId="116" priority="7" operator="equal">
      <formula>"x"</formula>
    </cfRule>
  </conditionalFormatting>
  <conditionalFormatting sqref="F31:X31">
    <cfRule type="cellIs" dxfId="115" priority="6" operator="equal">
      <formula>"x"</formula>
    </cfRule>
  </conditionalFormatting>
  <conditionalFormatting sqref="F29:X29">
    <cfRule type="cellIs" dxfId="114" priority="5" operator="equal">
      <formula>"x"</formula>
    </cfRule>
  </conditionalFormatting>
  <conditionalFormatting sqref="F30:Y30">
    <cfRule type="cellIs" dxfId="113" priority="4" operator="equal">
      <formula>"x"</formula>
    </cfRule>
  </conditionalFormatting>
  <conditionalFormatting sqref="C3:C31 C33:C34">
    <cfRule type="duplicateValues" dxfId="112" priority="3"/>
  </conditionalFormatting>
  <conditionalFormatting sqref="F32:Y32">
    <cfRule type="cellIs" dxfId="111" priority="2" operator="equal">
      <formula>"x"</formula>
    </cfRule>
  </conditionalFormatting>
  <conditionalFormatting sqref="C32">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1357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1460</v>
      </c>
      <c r="B10" s="144">
        <v>3</v>
      </c>
      <c r="C10" s="144"/>
      <c r="D10" s="144"/>
      <c r="E10" s="144"/>
      <c r="F10" s="144"/>
      <c r="G10" s="144"/>
      <c r="H10" s="144"/>
      <c r="I10" s="144"/>
      <c r="J10" s="144"/>
      <c r="K10" s="144"/>
      <c r="L10" s="144"/>
      <c r="M10" s="144">
        <v>3</v>
      </c>
    </row>
    <row r="11" spans="1:13">
      <c r="A11" s="142" t="s">
        <v>1463</v>
      </c>
      <c r="B11" s="144"/>
      <c r="C11" s="144">
        <v>5</v>
      </c>
      <c r="D11" s="144"/>
      <c r="E11" s="144"/>
      <c r="F11" s="144"/>
      <c r="G11" s="144"/>
      <c r="H11" s="144"/>
      <c r="I11" s="144"/>
      <c r="J11" s="144"/>
      <c r="K11" s="144"/>
      <c r="L11" s="144"/>
      <c r="M11" s="144">
        <v>5</v>
      </c>
    </row>
    <row r="12" spans="1:13">
      <c r="A12" s="142" t="s">
        <v>1465</v>
      </c>
      <c r="B12" s="144"/>
      <c r="C12" s="144"/>
      <c r="D12" s="144">
        <v>5</v>
      </c>
      <c r="E12" s="144"/>
      <c r="F12" s="144"/>
      <c r="G12" s="144"/>
      <c r="H12" s="144"/>
      <c r="I12" s="144"/>
      <c r="J12" s="144"/>
      <c r="K12" s="144"/>
      <c r="L12" s="144"/>
      <c r="M12" s="144">
        <v>5</v>
      </c>
    </row>
    <row r="13" spans="1:13">
      <c r="A13" s="142" t="s">
        <v>1467</v>
      </c>
      <c r="B13" s="144"/>
      <c r="C13" s="144"/>
      <c r="D13" s="144"/>
      <c r="E13" s="144">
        <v>5</v>
      </c>
      <c r="F13" s="144"/>
      <c r="G13" s="144"/>
      <c r="H13" s="144"/>
      <c r="I13" s="144"/>
      <c r="J13" s="144"/>
      <c r="K13" s="144"/>
      <c r="L13" s="144"/>
      <c r="M13" s="144">
        <v>5</v>
      </c>
    </row>
    <row r="14" spans="1:13">
      <c r="A14" s="142" t="s">
        <v>1470</v>
      </c>
      <c r="B14" s="144"/>
      <c r="C14" s="144"/>
      <c r="D14" s="144"/>
      <c r="E14" s="144"/>
      <c r="F14" s="144">
        <v>5</v>
      </c>
      <c r="G14" s="144"/>
      <c r="H14" s="144"/>
      <c r="I14" s="144"/>
      <c r="J14" s="144"/>
      <c r="K14" s="144"/>
      <c r="L14" s="144"/>
      <c r="M14" s="144">
        <v>5</v>
      </c>
    </row>
    <row r="15" spans="1:13">
      <c r="A15" s="142" t="s">
        <v>1473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1475</v>
      </c>
      <c r="B6" s="144">
        <v>1</v>
      </c>
      <c r="C6" s="144"/>
      <c r="D6" s="144"/>
      <c r="E6" s="144"/>
      <c r="F6" s="144"/>
      <c r="G6" s="144"/>
      <c r="H6" s="144"/>
      <c r="I6" s="144"/>
      <c r="J6" s="144"/>
      <c r="K6" s="144"/>
      <c r="L6" s="144"/>
      <c r="M6" s="144">
        <v>1</v>
      </c>
    </row>
    <row r="7" spans="1:14">
      <c r="A7" s="142" t="s">
        <v>1476</v>
      </c>
      <c r="B7" s="144">
        <v>1</v>
      </c>
      <c r="C7" s="144"/>
      <c r="D7" s="144"/>
      <c r="E7" s="144"/>
      <c r="F7" s="144"/>
      <c r="G7" s="144"/>
      <c r="H7" s="144"/>
      <c r="I7" s="144"/>
      <c r="J7" s="144"/>
      <c r="K7" s="144"/>
      <c r="L7" s="144"/>
      <c r="M7" s="144">
        <v>1</v>
      </c>
    </row>
    <row r="8" spans="1:14">
      <c r="A8" s="142" t="s">
        <v>1477</v>
      </c>
      <c r="B8" s="144">
        <v>1</v>
      </c>
      <c r="C8" s="144"/>
      <c r="D8" s="144"/>
      <c r="E8" s="144"/>
      <c r="F8" s="144"/>
      <c r="G8" s="144"/>
      <c r="H8" s="144"/>
      <c r="I8" s="144"/>
      <c r="J8" s="144"/>
      <c r="K8" s="144"/>
      <c r="L8" s="144"/>
      <c r="M8" s="144">
        <v>1</v>
      </c>
    </row>
    <row r="9" spans="1:14">
      <c r="A9" s="142" t="s">
        <v>1478</v>
      </c>
      <c r="B9" s="144"/>
      <c r="C9" s="144">
        <v>1</v>
      </c>
      <c r="D9" s="144"/>
      <c r="E9" s="144"/>
      <c r="F9" s="144"/>
      <c r="G9" s="144"/>
      <c r="H9" s="144"/>
      <c r="I9" s="144"/>
      <c r="J9" s="144"/>
      <c r="K9" s="144"/>
      <c r="L9" s="144"/>
      <c r="M9" s="144">
        <v>1</v>
      </c>
    </row>
    <row r="10" spans="1:14">
      <c r="A10" s="142" t="s">
        <v>1479</v>
      </c>
      <c r="B10" s="144"/>
      <c r="C10" s="144">
        <v>1</v>
      </c>
      <c r="D10" s="144"/>
      <c r="E10" s="144"/>
      <c r="F10" s="144"/>
      <c r="G10" s="144"/>
      <c r="H10" s="144"/>
      <c r="I10" s="144"/>
      <c r="J10" s="144"/>
      <c r="K10" s="144"/>
      <c r="L10" s="144"/>
      <c r="M10" s="144">
        <v>1</v>
      </c>
    </row>
    <row r="11" spans="1:14">
      <c r="A11" s="142" t="s">
        <v>1480</v>
      </c>
      <c r="B11" s="144"/>
      <c r="C11" s="144">
        <v>1</v>
      </c>
      <c r="D11" s="144"/>
      <c r="E11" s="144"/>
      <c r="F11" s="144"/>
      <c r="G11" s="144"/>
      <c r="H11" s="144"/>
      <c r="I11" s="144"/>
      <c r="J11" s="144"/>
      <c r="K11" s="144"/>
      <c r="L11" s="144"/>
      <c r="M11" s="144">
        <v>1</v>
      </c>
    </row>
    <row r="12" spans="1:14">
      <c r="A12" s="142" t="s">
        <v>1481</v>
      </c>
      <c r="B12" s="144"/>
      <c r="C12" s="144">
        <v>1</v>
      </c>
      <c r="D12" s="144"/>
      <c r="E12" s="144"/>
      <c r="F12" s="144"/>
      <c r="G12" s="144"/>
      <c r="H12" s="144"/>
      <c r="I12" s="144"/>
      <c r="J12" s="144"/>
      <c r="K12" s="144"/>
      <c r="L12" s="144"/>
      <c r="M12" s="144">
        <v>1</v>
      </c>
    </row>
    <row r="13" spans="1:14">
      <c r="A13" s="142" t="s">
        <v>1482</v>
      </c>
      <c r="B13" s="144"/>
      <c r="C13" s="144">
        <v>1</v>
      </c>
      <c r="D13" s="144"/>
      <c r="E13" s="144"/>
      <c r="F13" s="144"/>
      <c r="G13" s="144"/>
      <c r="H13" s="144"/>
      <c r="I13" s="144"/>
      <c r="J13" s="144"/>
      <c r="K13" s="144"/>
      <c r="L13" s="144"/>
      <c r="M13" s="144">
        <v>1</v>
      </c>
    </row>
    <row r="14" spans="1:14">
      <c r="A14" s="142" t="s">
        <v>1483</v>
      </c>
      <c r="B14" s="144"/>
      <c r="C14" s="144"/>
      <c r="D14" s="144">
        <v>1</v>
      </c>
      <c r="E14" s="144"/>
      <c r="F14" s="144"/>
      <c r="G14" s="144"/>
      <c r="H14" s="144"/>
      <c r="I14" s="144"/>
      <c r="J14" s="144"/>
      <c r="K14" s="144"/>
      <c r="L14" s="144"/>
      <c r="M14" s="144">
        <v>1</v>
      </c>
    </row>
    <row r="15" spans="1:14">
      <c r="A15" s="142" t="s">
        <v>1484</v>
      </c>
      <c r="B15" s="144"/>
      <c r="C15" s="144"/>
      <c r="D15" s="144">
        <v>1</v>
      </c>
      <c r="E15" s="144"/>
      <c r="F15" s="144"/>
      <c r="G15" s="144"/>
      <c r="H15" s="144"/>
      <c r="I15" s="144"/>
      <c r="J15" s="144"/>
      <c r="K15" s="144"/>
      <c r="L15" s="144"/>
      <c r="M15" s="144">
        <v>1</v>
      </c>
    </row>
    <row r="16" spans="1:14">
      <c r="A16" s="142" t="s">
        <v>1485</v>
      </c>
      <c r="B16" s="144"/>
      <c r="C16" s="144"/>
      <c r="D16" s="144">
        <v>1</v>
      </c>
      <c r="E16" s="144"/>
      <c r="F16" s="144"/>
      <c r="G16" s="144"/>
      <c r="H16" s="144"/>
      <c r="I16" s="144"/>
      <c r="J16" s="144"/>
      <c r="K16" s="144"/>
      <c r="L16" s="144"/>
      <c r="M16" s="144">
        <v>1</v>
      </c>
    </row>
    <row r="17" spans="1:13">
      <c r="A17" s="142" t="s">
        <v>1486</v>
      </c>
      <c r="B17" s="144"/>
      <c r="C17" s="144"/>
      <c r="D17" s="144">
        <v>1</v>
      </c>
      <c r="E17" s="144"/>
      <c r="F17" s="144"/>
      <c r="G17" s="144"/>
      <c r="H17" s="144"/>
      <c r="I17" s="144"/>
      <c r="J17" s="144"/>
      <c r="K17" s="144"/>
      <c r="L17" s="144"/>
      <c r="M17" s="144">
        <v>1</v>
      </c>
    </row>
    <row r="18" spans="1:13">
      <c r="A18" s="142" t="s">
        <v>1487</v>
      </c>
      <c r="B18" s="144"/>
      <c r="C18" s="144"/>
      <c r="D18" s="144">
        <v>1</v>
      </c>
      <c r="E18" s="144"/>
      <c r="F18" s="144"/>
      <c r="G18" s="144"/>
      <c r="H18" s="144"/>
      <c r="I18" s="144"/>
      <c r="J18" s="144"/>
      <c r="K18" s="144"/>
      <c r="L18" s="144"/>
      <c r="M18" s="144">
        <v>1</v>
      </c>
    </row>
    <row r="19" spans="1:13">
      <c r="A19" s="142" t="s">
        <v>1488</v>
      </c>
      <c r="B19" s="144"/>
      <c r="C19" s="144"/>
      <c r="D19" s="144"/>
      <c r="E19" s="144">
        <v>1</v>
      </c>
      <c r="F19" s="144"/>
      <c r="G19" s="144"/>
      <c r="H19" s="144"/>
      <c r="I19" s="144"/>
      <c r="J19" s="144"/>
      <c r="K19" s="144"/>
      <c r="L19" s="144"/>
      <c r="M19" s="144">
        <v>1</v>
      </c>
    </row>
    <row r="20" spans="1:13">
      <c r="A20" s="142" t="s">
        <v>1489</v>
      </c>
      <c r="B20" s="144"/>
      <c r="C20" s="144"/>
      <c r="D20" s="144"/>
      <c r="E20" s="144">
        <v>1</v>
      </c>
      <c r="F20" s="144"/>
      <c r="G20" s="144"/>
      <c r="H20" s="144"/>
      <c r="I20" s="144"/>
      <c r="J20" s="144"/>
      <c r="K20" s="144"/>
      <c r="L20" s="144"/>
      <c r="M20" s="144">
        <v>1</v>
      </c>
    </row>
    <row r="21" spans="1:13">
      <c r="A21" s="142" t="s">
        <v>1490</v>
      </c>
      <c r="B21" s="144"/>
      <c r="C21" s="144"/>
      <c r="D21" s="144"/>
      <c r="E21" s="144">
        <v>1</v>
      </c>
      <c r="F21" s="144"/>
      <c r="G21" s="144"/>
      <c r="H21" s="144"/>
      <c r="I21" s="144"/>
      <c r="J21" s="144"/>
      <c r="K21" s="144"/>
      <c r="L21" s="144"/>
      <c r="M21" s="144">
        <v>1</v>
      </c>
    </row>
    <row r="22" spans="1:13">
      <c r="A22" s="142" t="s">
        <v>1491</v>
      </c>
      <c r="B22" s="144"/>
      <c r="C22" s="144"/>
      <c r="D22" s="144"/>
      <c r="E22" s="144">
        <v>1</v>
      </c>
      <c r="F22" s="144"/>
      <c r="G22" s="144"/>
      <c r="H22" s="144"/>
      <c r="I22" s="144"/>
      <c r="J22" s="144"/>
      <c r="K22" s="144"/>
      <c r="L22" s="144"/>
      <c r="M22" s="144">
        <v>1</v>
      </c>
    </row>
    <row r="23" spans="1:13">
      <c r="A23" s="142" t="s">
        <v>1492</v>
      </c>
      <c r="B23" s="144"/>
      <c r="C23" s="144"/>
      <c r="D23" s="144"/>
      <c r="E23" s="144">
        <v>1</v>
      </c>
      <c r="F23" s="144"/>
      <c r="G23" s="144"/>
      <c r="H23" s="144"/>
      <c r="I23" s="144"/>
      <c r="J23" s="144"/>
      <c r="K23" s="144"/>
      <c r="L23" s="144"/>
      <c r="M23" s="144">
        <v>1</v>
      </c>
    </row>
    <row r="24" spans="1:13">
      <c r="A24" s="142" t="s">
        <v>1493</v>
      </c>
      <c r="B24" s="144"/>
      <c r="C24" s="144"/>
      <c r="D24" s="144"/>
      <c r="E24" s="144"/>
      <c r="F24" s="144">
        <v>1</v>
      </c>
      <c r="G24" s="144"/>
      <c r="H24" s="144"/>
      <c r="I24" s="144"/>
      <c r="J24" s="144"/>
      <c r="K24" s="144"/>
      <c r="L24" s="144"/>
      <c r="M24" s="144">
        <v>1</v>
      </c>
    </row>
    <row r="25" spans="1:13">
      <c r="A25" s="142" t="s">
        <v>1494</v>
      </c>
      <c r="B25" s="144"/>
      <c r="C25" s="144"/>
      <c r="D25" s="144"/>
      <c r="E25" s="144"/>
      <c r="F25" s="144">
        <v>1</v>
      </c>
      <c r="G25" s="144"/>
      <c r="H25" s="144"/>
      <c r="I25" s="144"/>
      <c r="J25" s="144"/>
      <c r="K25" s="144"/>
      <c r="L25" s="144"/>
      <c r="M25" s="144">
        <v>1</v>
      </c>
    </row>
    <row r="26" spans="1:13">
      <c r="A26" s="142" t="s">
        <v>1495</v>
      </c>
      <c r="B26" s="144"/>
      <c r="C26" s="144"/>
      <c r="D26" s="144"/>
      <c r="E26" s="144"/>
      <c r="F26" s="144">
        <v>1</v>
      </c>
      <c r="G26" s="144"/>
      <c r="H26" s="144"/>
      <c r="I26" s="144"/>
      <c r="J26" s="144"/>
      <c r="K26" s="144"/>
      <c r="L26" s="144"/>
      <c r="M26" s="144">
        <v>1</v>
      </c>
    </row>
    <row r="27" spans="1:13">
      <c r="A27" s="142" t="s">
        <v>1496</v>
      </c>
      <c r="B27" s="144"/>
      <c r="C27" s="144"/>
      <c r="D27" s="144"/>
      <c r="E27" s="144"/>
      <c r="F27" s="144">
        <v>1</v>
      </c>
      <c r="G27" s="144"/>
      <c r="H27" s="144"/>
      <c r="I27" s="144"/>
      <c r="J27" s="144"/>
      <c r="K27" s="144"/>
      <c r="L27" s="144"/>
      <c r="M27" s="144">
        <v>1</v>
      </c>
    </row>
    <row r="28" spans="1:13">
      <c r="A28" s="142" t="s">
        <v>1497</v>
      </c>
      <c r="B28" s="144"/>
      <c r="C28" s="144"/>
      <c r="D28" s="144"/>
      <c r="E28" s="144"/>
      <c r="F28" s="144">
        <v>1</v>
      </c>
      <c r="G28" s="144"/>
      <c r="H28" s="144"/>
      <c r="I28" s="144"/>
      <c r="J28" s="144"/>
      <c r="K28" s="144"/>
      <c r="L28" s="144"/>
      <c r="M28" s="144">
        <v>1</v>
      </c>
    </row>
    <row r="29" spans="1:13">
      <c r="A29" s="142" t="s">
        <v>1498</v>
      </c>
      <c r="B29" s="144"/>
      <c r="C29" s="144"/>
      <c r="D29" s="144"/>
      <c r="E29" s="144"/>
      <c r="F29" s="144"/>
      <c r="G29" s="144">
        <v>1</v>
      </c>
      <c r="H29" s="144"/>
      <c r="I29" s="144"/>
      <c r="J29" s="144"/>
      <c r="K29" s="144"/>
      <c r="L29" s="144"/>
      <c r="M29" s="144">
        <v>1</v>
      </c>
    </row>
    <row r="30" spans="1:13">
      <c r="A30" s="142" t="s">
        <v>1499</v>
      </c>
      <c r="B30" s="144"/>
      <c r="C30" s="144"/>
      <c r="D30" s="144"/>
      <c r="E30" s="144"/>
      <c r="F30" s="144"/>
      <c r="G30" s="144">
        <v>1</v>
      </c>
      <c r="H30" s="144"/>
      <c r="I30" s="144"/>
      <c r="J30" s="144"/>
      <c r="K30" s="144"/>
      <c r="L30" s="144"/>
      <c r="M30" s="144">
        <v>1</v>
      </c>
    </row>
    <row r="31" spans="1:13">
      <c r="A31" s="142" t="s">
        <v>1500</v>
      </c>
      <c r="B31" s="144"/>
      <c r="C31" s="144"/>
      <c r="D31" s="144"/>
      <c r="E31" s="144"/>
      <c r="F31" s="144"/>
      <c r="G31" s="144">
        <v>1</v>
      </c>
      <c r="H31" s="144"/>
      <c r="I31" s="144"/>
      <c r="J31" s="144"/>
      <c r="K31" s="144"/>
      <c r="L31" s="144"/>
      <c r="M31" s="144">
        <v>1</v>
      </c>
    </row>
    <row r="32" spans="1:13">
      <c r="A32" s="142" t="s">
        <v>1501</v>
      </c>
      <c r="B32" s="144"/>
      <c r="C32" s="144"/>
      <c r="D32" s="144"/>
      <c r="E32" s="144"/>
      <c r="F32" s="144"/>
      <c r="G32" s="144">
        <v>1</v>
      </c>
      <c r="H32" s="144"/>
      <c r="I32" s="144"/>
      <c r="J32" s="144"/>
      <c r="K32" s="144"/>
      <c r="L32" s="144"/>
      <c r="M32" s="144">
        <v>1</v>
      </c>
    </row>
    <row r="33" spans="1:13">
      <c r="A33" s="142" t="s">
        <v>1502</v>
      </c>
      <c r="B33" s="144"/>
      <c r="C33" s="144"/>
      <c r="D33" s="144"/>
      <c r="E33" s="144"/>
      <c r="F33" s="144"/>
      <c r="G33" s="144">
        <v>1</v>
      </c>
      <c r="H33" s="144"/>
      <c r="I33" s="144"/>
      <c r="J33" s="144"/>
      <c r="K33" s="144"/>
      <c r="L33" s="144"/>
      <c r="M33" s="144">
        <v>1</v>
      </c>
    </row>
    <row r="34" spans="1:13">
      <c r="A34" s="142" t="s">
        <v>1503</v>
      </c>
      <c r="B34" s="144"/>
      <c r="C34" s="144"/>
      <c r="D34" s="144"/>
      <c r="E34" s="144"/>
      <c r="F34" s="144"/>
      <c r="G34" s="144"/>
      <c r="H34" s="144">
        <v>1</v>
      </c>
      <c r="I34" s="144"/>
      <c r="J34" s="144"/>
      <c r="K34" s="144"/>
      <c r="L34" s="144"/>
      <c r="M34" s="144">
        <v>1</v>
      </c>
    </row>
    <row r="35" spans="1:13">
      <c r="A35" s="142" t="s">
        <v>1504</v>
      </c>
      <c r="B35" s="144"/>
      <c r="C35" s="144"/>
      <c r="D35" s="144"/>
      <c r="E35" s="144"/>
      <c r="F35" s="144"/>
      <c r="G35" s="144"/>
      <c r="H35" s="144"/>
      <c r="I35" s="144">
        <v>1</v>
      </c>
      <c r="J35" s="144"/>
      <c r="K35" s="144"/>
      <c r="L35" s="144"/>
      <c r="M35" s="144">
        <v>1</v>
      </c>
    </row>
    <row r="36" spans="1:13">
      <c r="A36" s="142" t="s">
        <v>1505</v>
      </c>
      <c r="B36" s="144"/>
      <c r="C36" s="144"/>
      <c r="D36" s="144"/>
      <c r="E36" s="144"/>
      <c r="F36" s="144"/>
      <c r="G36" s="144"/>
      <c r="H36" s="144"/>
      <c r="I36" s="144">
        <v>1</v>
      </c>
      <c r="J36" s="144"/>
      <c r="K36" s="144"/>
      <c r="L36" s="144"/>
      <c r="M36" s="144">
        <v>1</v>
      </c>
    </row>
    <row r="37" spans="1:13">
      <c r="A37" s="142" t="s">
        <v>1506</v>
      </c>
      <c r="B37" s="144"/>
      <c r="C37" s="144"/>
      <c r="D37" s="144"/>
      <c r="E37" s="144"/>
      <c r="F37" s="144"/>
      <c r="G37" s="144"/>
      <c r="H37" s="144"/>
      <c r="I37" s="144"/>
      <c r="J37" s="144">
        <v>1</v>
      </c>
      <c r="K37" s="144"/>
      <c r="L37" s="144"/>
      <c r="M37" s="144">
        <v>1</v>
      </c>
    </row>
    <row r="38" spans="1:13">
      <c r="A38" s="142" t="s">
        <v>1507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44"/>
  <sheetViews>
    <sheetView workbookViewId="0"/>
  </sheetViews>
  <sheetFormatPr defaultRowHeight="14.5"/>
  <sheetData>
    <row r="2" spans="1:3">
      <c r="A2" t="s">
        <v>1478</v>
      </c>
    </row>
    <row r="3" spans="1:3">
      <c r="B3" t="s">
        <v>977</v>
      </c>
    </row>
    <row r="4" spans="1:3">
      <c r="C4" t="s">
        <v>1567</v>
      </c>
    </row>
    <row r="5" spans="1:3">
      <c r="B5" t="s">
        <v>978</v>
      </c>
    </row>
    <row r="6" spans="1:3">
      <c r="C6" t="s">
        <v>939</v>
      </c>
    </row>
    <row r="7" spans="1:3">
      <c r="C7" t="s">
        <v>940</v>
      </c>
    </row>
    <row r="8" spans="1:3">
      <c r="C8" t="s">
        <v>950</v>
      </c>
    </row>
    <row r="9" spans="1:3">
      <c r="A9" t="s">
        <v>1483</v>
      </c>
    </row>
    <row r="10" spans="1:3">
      <c r="B10" t="s">
        <v>977</v>
      </c>
    </row>
    <row r="11" spans="1:3">
      <c r="C11" t="s">
        <v>1568</v>
      </c>
    </row>
    <row r="12" spans="1:3">
      <c r="B12" t="s">
        <v>978</v>
      </c>
    </row>
    <row r="13" spans="1:3">
      <c r="C13" t="s">
        <v>939</v>
      </c>
    </row>
    <row r="14" spans="1:3">
      <c r="C14" t="s">
        <v>940</v>
      </c>
    </row>
    <row r="15" spans="1:3">
      <c r="C15" t="s">
        <v>950</v>
      </c>
    </row>
    <row r="16" spans="1:3">
      <c r="A16" t="s">
        <v>1488</v>
      </c>
    </row>
    <row r="17" spans="1:3">
      <c r="B17" t="s">
        <v>977</v>
      </c>
    </row>
    <row r="18" spans="1:3">
      <c r="C18" t="s">
        <v>1569</v>
      </c>
    </row>
    <row r="19" spans="1:3">
      <c r="B19" t="s">
        <v>978</v>
      </c>
    </row>
    <row r="20" spans="1:3">
      <c r="C20" t="s">
        <v>939</v>
      </c>
    </row>
    <row r="21" spans="1:3">
      <c r="C21" t="s">
        <v>940</v>
      </c>
    </row>
    <row r="22" spans="1:3">
      <c r="C22" t="s">
        <v>950</v>
      </c>
    </row>
    <row r="23" spans="1:3">
      <c r="A23" t="s">
        <v>1493</v>
      </c>
    </row>
    <row r="24" spans="1:3">
      <c r="B24" t="s">
        <v>977</v>
      </c>
    </row>
    <row r="25" spans="1:3">
      <c r="C25" t="s">
        <v>1570</v>
      </c>
    </row>
    <row r="26" spans="1:3">
      <c r="B26" t="s">
        <v>978</v>
      </c>
    </row>
    <row r="27" spans="1:3">
      <c r="C27" t="s">
        <v>939</v>
      </c>
    </row>
    <row r="28" spans="1:3">
      <c r="C28" t="s">
        <v>940</v>
      </c>
    </row>
    <row r="29" spans="1:3">
      <c r="C29" t="s">
        <v>950</v>
      </c>
    </row>
    <row r="30" spans="1:3">
      <c r="A30" t="s">
        <v>1498</v>
      </c>
    </row>
    <row r="31" spans="1:3">
      <c r="B31" t="s">
        <v>977</v>
      </c>
    </row>
    <row r="32" spans="1:3">
      <c r="C32" t="s">
        <v>1571</v>
      </c>
    </row>
    <row r="33" spans="1:3">
      <c r="B33" t="s">
        <v>978</v>
      </c>
    </row>
    <row r="34" spans="1:3">
      <c r="C34" t="s">
        <v>939</v>
      </c>
    </row>
    <row r="35" spans="1:3">
      <c r="C35" t="s">
        <v>940</v>
      </c>
    </row>
    <row r="36" spans="1:3">
      <c r="C36" t="s">
        <v>950</v>
      </c>
    </row>
    <row r="37" spans="1:3">
      <c r="A37" t="s">
        <v>1503</v>
      </c>
    </row>
    <row r="38" spans="1:3">
      <c r="B38" t="s">
        <v>977</v>
      </c>
    </row>
    <row r="39" spans="1:3">
      <c r="C39" t="s">
        <v>1285</v>
      </c>
    </row>
    <row r="40" spans="1:3">
      <c r="B40" t="s">
        <v>978</v>
      </c>
    </row>
    <row r="41" spans="1:3">
      <c r="C41" t="s">
        <v>803</v>
      </c>
    </row>
    <row r="42" spans="1:3">
      <c r="A42" t="s">
        <v>1479</v>
      </c>
    </row>
    <row r="43" spans="1:3">
      <c r="B43" t="s">
        <v>977</v>
      </c>
    </row>
    <row r="44" spans="1:3">
      <c r="C44" t="s">
        <v>1567</v>
      </c>
    </row>
    <row r="45" spans="1:3">
      <c r="B45" t="s">
        <v>978</v>
      </c>
    </row>
    <row r="46" spans="1:3">
      <c r="C46" t="s">
        <v>938</v>
      </c>
    </row>
    <row r="47" spans="1:3">
      <c r="C47" t="s">
        <v>939</v>
      </c>
    </row>
    <row r="48" spans="1:3">
      <c r="A48" t="s">
        <v>1484</v>
      </c>
    </row>
    <row r="49" spans="1:3">
      <c r="B49" t="s">
        <v>977</v>
      </c>
    </row>
    <row r="50" spans="1:3">
      <c r="C50" t="s">
        <v>1568</v>
      </c>
    </row>
    <row r="51" spans="1:3">
      <c r="B51" t="s">
        <v>978</v>
      </c>
    </row>
    <row r="52" spans="1:3">
      <c r="C52" t="s">
        <v>938</v>
      </c>
    </row>
    <row r="53" spans="1:3">
      <c r="C53" t="s">
        <v>939</v>
      </c>
    </row>
    <row r="54" spans="1:3">
      <c r="A54" t="s">
        <v>1494</v>
      </c>
    </row>
    <row r="55" spans="1:3">
      <c r="B55" t="s">
        <v>977</v>
      </c>
    </row>
    <row r="56" spans="1:3">
      <c r="C56" t="s">
        <v>1570</v>
      </c>
    </row>
    <row r="57" spans="1:3">
      <c r="B57" t="s">
        <v>978</v>
      </c>
    </row>
    <row r="58" spans="1:3">
      <c r="C58" t="s">
        <v>938</v>
      </c>
    </row>
    <row r="59" spans="1:3">
      <c r="C59" t="s">
        <v>939</v>
      </c>
    </row>
    <row r="60" spans="1:3">
      <c r="A60" t="s">
        <v>1499</v>
      </c>
    </row>
    <row r="61" spans="1:3">
      <c r="B61" t="s">
        <v>977</v>
      </c>
    </row>
    <row r="62" spans="1:3">
      <c r="C62" t="s">
        <v>1571</v>
      </c>
    </row>
    <row r="63" spans="1:3">
      <c r="B63" t="s">
        <v>978</v>
      </c>
    </row>
    <row r="64" spans="1:3">
      <c r="C64" t="s">
        <v>938</v>
      </c>
    </row>
    <row r="65" spans="1:3">
      <c r="C65" t="s">
        <v>939</v>
      </c>
    </row>
    <row r="66" spans="1:3">
      <c r="A66" t="s">
        <v>1475</v>
      </c>
    </row>
    <row r="67" spans="1:3">
      <c r="B67" t="s">
        <v>977</v>
      </c>
    </row>
    <row r="68" spans="1:3">
      <c r="C68" t="s">
        <v>1572</v>
      </c>
    </row>
    <row r="69" spans="1:3">
      <c r="B69" t="s">
        <v>978</v>
      </c>
    </row>
    <row r="70" spans="1:3">
      <c r="C70" t="s">
        <v>937</v>
      </c>
    </row>
    <row r="71" spans="1:3">
      <c r="C71" t="s">
        <v>938</v>
      </c>
    </row>
    <row r="72" spans="1:3">
      <c r="C72" t="s">
        <v>939</v>
      </c>
    </row>
    <row r="73" spans="1:3">
      <c r="C73" t="s">
        <v>940</v>
      </c>
    </row>
    <row r="74" spans="1:3">
      <c r="A74" t="s">
        <v>1480</v>
      </c>
    </row>
    <row r="75" spans="1:3">
      <c r="B75" t="s">
        <v>977</v>
      </c>
    </row>
    <row r="76" spans="1:3">
      <c r="C76" t="s">
        <v>1567</v>
      </c>
    </row>
    <row r="77" spans="1:3">
      <c r="B77" t="s">
        <v>978</v>
      </c>
    </row>
    <row r="78" spans="1:3">
      <c r="C78" t="s">
        <v>937</v>
      </c>
    </row>
    <row r="79" spans="1:3">
      <c r="C79" t="s">
        <v>938</v>
      </c>
    </row>
    <row r="80" spans="1:3">
      <c r="C80" t="s">
        <v>939</v>
      </c>
    </row>
    <row r="81" spans="1:3">
      <c r="A81" t="s">
        <v>1485</v>
      </c>
    </row>
    <row r="82" spans="1:3">
      <c r="B82" t="s">
        <v>977</v>
      </c>
    </row>
    <row r="83" spans="1:3">
      <c r="C83" t="s">
        <v>1568</v>
      </c>
    </row>
    <row r="84" spans="1:3">
      <c r="B84" t="s">
        <v>978</v>
      </c>
    </row>
    <row r="85" spans="1:3">
      <c r="C85" t="s">
        <v>937</v>
      </c>
    </row>
    <row r="86" spans="1:3">
      <c r="C86" t="s">
        <v>938</v>
      </c>
    </row>
    <row r="87" spans="1:3">
      <c r="C87" t="s">
        <v>939</v>
      </c>
    </row>
    <row r="88" spans="1:3">
      <c r="A88" t="s">
        <v>1490</v>
      </c>
    </row>
    <row r="89" spans="1:3">
      <c r="B89" t="s">
        <v>977</v>
      </c>
    </row>
    <row r="90" spans="1:3">
      <c r="C90" t="s">
        <v>1569</v>
      </c>
    </row>
    <row r="91" spans="1:3">
      <c r="B91" t="s">
        <v>978</v>
      </c>
    </row>
    <row r="92" spans="1:3">
      <c r="C92" t="s">
        <v>937</v>
      </c>
    </row>
    <row r="93" spans="1:3">
      <c r="C93" t="s">
        <v>938</v>
      </c>
    </row>
    <row r="94" spans="1:3">
      <c r="C94" t="s">
        <v>939</v>
      </c>
    </row>
    <row r="95" spans="1:3">
      <c r="A95" t="s">
        <v>1495</v>
      </c>
    </row>
    <row r="96" spans="1:3">
      <c r="B96" t="s">
        <v>977</v>
      </c>
    </row>
    <row r="97" spans="1:3">
      <c r="C97" t="s">
        <v>1570</v>
      </c>
    </row>
    <row r="98" spans="1:3">
      <c r="B98" t="s">
        <v>978</v>
      </c>
    </row>
    <row r="99" spans="1:3">
      <c r="C99" t="s">
        <v>937</v>
      </c>
    </row>
    <row r="100" spans="1:3">
      <c r="C100" t="s">
        <v>938</v>
      </c>
    </row>
    <row r="101" spans="1:3">
      <c r="C101" t="s">
        <v>939</v>
      </c>
    </row>
    <row r="102" spans="1:3">
      <c r="A102" t="s">
        <v>1500</v>
      </c>
    </row>
    <row r="103" spans="1:3">
      <c r="B103" t="s">
        <v>977</v>
      </c>
    </row>
    <row r="104" spans="1:3">
      <c r="C104" t="s">
        <v>1571</v>
      </c>
    </row>
    <row r="105" spans="1:3">
      <c r="B105" t="s">
        <v>978</v>
      </c>
    </row>
    <row r="106" spans="1:3">
      <c r="C106" t="s">
        <v>937</v>
      </c>
    </row>
    <row r="107" spans="1:3">
      <c r="C107" t="s">
        <v>938</v>
      </c>
    </row>
    <row r="108" spans="1:3">
      <c r="C108" t="s">
        <v>939</v>
      </c>
    </row>
    <row r="109" spans="1:3">
      <c r="A109" t="s">
        <v>1507</v>
      </c>
    </row>
    <row r="110" spans="1:3">
      <c r="B110" t="s">
        <v>977</v>
      </c>
    </row>
    <row r="111" spans="1:3">
      <c r="C111" t="s">
        <v>1283</v>
      </c>
    </row>
    <row r="112" spans="1:3">
      <c r="B112" t="s">
        <v>978</v>
      </c>
    </row>
    <row r="113" spans="1:3">
      <c r="C113" t="s">
        <v>889</v>
      </c>
    </row>
    <row r="114" spans="1:3">
      <c r="A114" t="s">
        <v>1505</v>
      </c>
    </row>
    <row r="115" spans="1:3">
      <c r="B115" t="s">
        <v>977</v>
      </c>
    </row>
    <row r="116" spans="1:3">
      <c r="C116" t="s">
        <v>1284</v>
      </c>
    </row>
    <row r="117" spans="1:3">
      <c r="B117" t="s">
        <v>978</v>
      </c>
    </row>
    <row r="118" spans="1:3">
      <c r="C118" t="s">
        <v>942</v>
      </c>
    </row>
    <row r="119" spans="1:3">
      <c r="C119" t="s">
        <v>943</v>
      </c>
    </row>
    <row r="120" spans="1:3">
      <c r="C120" t="s">
        <v>944</v>
      </c>
    </row>
    <row r="121" spans="1:3">
      <c r="C121" t="s">
        <v>949</v>
      </c>
    </row>
    <row r="122" spans="1:3">
      <c r="C122" t="s">
        <v>950</v>
      </c>
    </row>
    <row r="123" spans="1:3">
      <c r="A123" t="s">
        <v>1504</v>
      </c>
    </row>
    <row r="124" spans="1:3">
      <c r="B124" t="s">
        <v>977</v>
      </c>
    </row>
    <row r="125" spans="1:3">
      <c r="C125" t="s">
        <v>1284</v>
      </c>
    </row>
    <row r="126" spans="1:3">
      <c r="B126" t="s">
        <v>978</v>
      </c>
    </row>
    <row r="127" spans="1:3">
      <c r="C127" t="s">
        <v>942</v>
      </c>
    </row>
    <row r="128" spans="1:3">
      <c r="C128" t="s">
        <v>943</v>
      </c>
    </row>
    <row r="129" spans="1:3">
      <c r="C129" t="s">
        <v>944</v>
      </c>
    </row>
    <row r="130" spans="1:3">
      <c r="C130" t="s">
        <v>949</v>
      </c>
    </row>
    <row r="131" spans="1:3">
      <c r="C131" t="s">
        <v>950</v>
      </c>
    </row>
    <row r="132" spans="1:3">
      <c r="A132" t="s">
        <v>1476</v>
      </c>
    </row>
    <row r="133" spans="1:3">
      <c r="B133" t="s">
        <v>977</v>
      </c>
    </row>
    <row r="134" spans="1:3">
      <c r="C134" t="s">
        <v>1572</v>
      </c>
    </row>
    <row r="135" spans="1:3">
      <c r="B135" t="s">
        <v>978</v>
      </c>
    </row>
    <row r="136" spans="1:3">
      <c r="C136" t="s">
        <v>939</v>
      </c>
    </row>
    <row r="137" spans="1:3">
      <c r="C137" t="s">
        <v>945</v>
      </c>
    </row>
    <row r="138" spans="1:3">
      <c r="C138" t="s">
        <v>946</v>
      </c>
    </row>
    <row r="139" spans="1:3">
      <c r="C139" t="s">
        <v>947</v>
      </c>
    </row>
    <row r="140" spans="1:3">
      <c r="C140" t="s">
        <v>948</v>
      </c>
    </row>
    <row r="141" spans="1:3">
      <c r="C141" t="s">
        <v>949</v>
      </c>
    </row>
    <row r="142" spans="1:3">
      <c r="C142" t="s">
        <v>950</v>
      </c>
    </row>
    <row r="143" spans="1:3">
      <c r="A143" t="s">
        <v>1481</v>
      </c>
    </row>
    <row r="144" spans="1:3">
      <c r="B144" t="s">
        <v>977</v>
      </c>
    </row>
    <row r="145" spans="1:3">
      <c r="C145" t="s">
        <v>1567</v>
      </c>
    </row>
    <row r="146" spans="1:3">
      <c r="B146" t="s">
        <v>978</v>
      </c>
    </row>
    <row r="147" spans="1:3">
      <c r="C147" t="s">
        <v>939</v>
      </c>
    </row>
    <row r="148" spans="1:3">
      <c r="C148" t="s">
        <v>945</v>
      </c>
    </row>
    <row r="149" spans="1:3">
      <c r="C149" t="s">
        <v>946</v>
      </c>
    </row>
    <row r="150" spans="1:3">
      <c r="C150" t="s">
        <v>947</v>
      </c>
    </row>
    <row r="151" spans="1:3">
      <c r="C151" t="s">
        <v>948</v>
      </c>
    </row>
    <row r="152" spans="1:3">
      <c r="C152" t="s">
        <v>949</v>
      </c>
    </row>
    <row r="153" spans="1:3">
      <c r="C153" t="s">
        <v>950</v>
      </c>
    </row>
    <row r="154" spans="1:3">
      <c r="A154" t="s">
        <v>1486</v>
      </c>
    </row>
    <row r="155" spans="1:3">
      <c r="B155" t="s">
        <v>977</v>
      </c>
    </row>
    <row r="156" spans="1:3">
      <c r="C156" t="s">
        <v>1568</v>
      </c>
    </row>
    <row r="157" spans="1:3">
      <c r="B157" t="s">
        <v>978</v>
      </c>
    </row>
    <row r="158" spans="1:3">
      <c r="C158" t="s">
        <v>939</v>
      </c>
    </row>
    <row r="159" spans="1:3">
      <c r="C159" t="s">
        <v>945</v>
      </c>
    </row>
    <row r="160" spans="1:3">
      <c r="C160" t="s">
        <v>946</v>
      </c>
    </row>
    <row r="161" spans="1:3">
      <c r="C161" t="s">
        <v>947</v>
      </c>
    </row>
    <row r="162" spans="1:3">
      <c r="C162" t="s">
        <v>948</v>
      </c>
    </row>
    <row r="163" spans="1:3">
      <c r="C163" t="s">
        <v>949</v>
      </c>
    </row>
    <row r="164" spans="1:3">
      <c r="C164" t="s">
        <v>950</v>
      </c>
    </row>
    <row r="165" spans="1:3">
      <c r="A165" t="s">
        <v>1491</v>
      </c>
    </row>
    <row r="166" spans="1:3">
      <c r="B166" t="s">
        <v>977</v>
      </c>
    </row>
    <row r="167" spans="1:3">
      <c r="C167" t="s">
        <v>1569</v>
      </c>
    </row>
    <row r="168" spans="1:3">
      <c r="B168" t="s">
        <v>978</v>
      </c>
    </row>
    <row r="169" spans="1:3">
      <c r="C169" t="s">
        <v>939</v>
      </c>
    </row>
    <row r="170" spans="1:3">
      <c r="C170" t="s">
        <v>945</v>
      </c>
    </row>
    <row r="171" spans="1:3">
      <c r="C171" t="s">
        <v>946</v>
      </c>
    </row>
    <row r="172" spans="1:3">
      <c r="C172" t="s">
        <v>947</v>
      </c>
    </row>
    <row r="173" spans="1:3">
      <c r="C173" t="s">
        <v>948</v>
      </c>
    </row>
    <row r="174" spans="1:3">
      <c r="C174" t="s">
        <v>949</v>
      </c>
    </row>
    <row r="175" spans="1:3">
      <c r="C175" t="s">
        <v>950</v>
      </c>
    </row>
    <row r="176" spans="1:3">
      <c r="A176" t="s">
        <v>1496</v>
      </c>
    </row>
    <row r="177" spans="1:3">
      <c r="B177" t="s">
        <v>977</v>
      </c>
    </row>
    <row r="178" spans="1:3">
      <c r="C178" t="s">
        <v>1570</v>
      </c>
    </row>
    <row r="179" spans="1:3">
      <c r="B179" t="s">
        <v>978</v>
      </c>
    </row>
    <row r="180" spans="1:3">
      <c r="C180" t="s">
        <v>939</v>
      </c>
    </row>
    <row r="181" spans="1:3">
      <c r="C181" t="s">
        <v>945</v>
      </c>
    </row>
    <row r="182" spans="1:3">
      <c r="C182" t="s">
        <v>946</v>
      </c>
    </row>
    <row r="183" spans="1:3">
      <c r="C183" t="s">
        <v>947</v>
      </c>
    </row>
    <row r="184" spans="1:3">
      <c r="C184" t="s">
        <v>948</v>
      </c>
    </row>
    <row r="185" spans="1:3">
      <c r="C185" t="s">
        <v>949</v>
      </c>
    </row>
    <row r="186" spans="1:3">
      <c r="C186" t="s">
        <v>950</v>
      </c>
    </row>
    <row r="187" spans="1:3">
      <c r="A187" t="s">
        <v>1501</v>
      </c>
    </row>
    <row r="188" spans="1:3">
      <c r="B188" t="s">
        <v>977</v>
      </c>
    </row>
    <row r="189" spans="1:3">
      <c r="C189" t="s">
        <v>1571</v>
      </c>
    </row>
    <row r="190" spans="1:3">
      <c r="B190" t="s">
        <v>978</v>
      </c>
    </row>
    <row r="191" spans="1:3">
      <c r="C191" t="s">
        <v>939</v>
      </c>
    </row>
    <row r="192" spans="1:3">
      <c r="C192" t="s">
        <v>945</v>
      </c>
    </row>
    <row r="193" spans="1:3">
      <c r="C193" t="s">
        <v>946</v>
      </c>
    </row>
    <row r="194" spans="1:3">
      <c r="C194" t="s">
        <v>947</v>
      </c>
    </row>
    <row r="195" spans="1:3">
      <c r="C195" t="s">
        <v>948</v>
      </c>
    </row>
    <row r="196" spans="1:3">
      <c r="C196" t="s">
        <v>949</v>
      </c>
    </row>
    <row r="197" spans="1:3">
      <c r="C197" t="s">
        <v>950</v>
      </c>
    </row>
    <row r="198" spans="1:3">
      <c r="A198" t="s">
        <v>1477</v>
      </c>
    </row>
    <row r="199" spans="1:3">
      <c r="B199" t="s">
        <v>977</v>
      </c>
    </row>
    <row r="200" spans="1:3">
      <c r="C200" t="s">
        <v>1572</v>
      </c>
    </row>
    <row r="201" spans="1:3">
      <c r="B201" t="s">
        <v>978</v>
      </c>
    </row>
    <row r="202" spans="1:3">
      <c r="C202" t="s">
        <v>939</v>
      </c>
    </row>
    <row r="203" spans="1:3">
      <c r="C203" t="s">
        <v>941</v>
      </c>
    </row>
    <row r="204" spans="1:3">
      <c r="A204" t="s">
        <v>1482</v>
      </c>
    </row>
    <row r="205" spans="1:3">
      <c r="B205" t="s">
        <v>977</v>
      </c>
    </row>
    <row r="206" spans="1:3">
      <c r="C206" t="s">
        <v>1567</v>
      </c>
    </row>
    <row r="207" spans="1:3">
      <c r="B207" t="s">
        <v>978</v>
      </c>
    </row>
    <row r="208" spans="1:3">
      <c r="C208" t="s">
        <v>939</v>
      </c>
    </row>
    <row r="209" spans="1:3">
      <c r="C209" t="s">
        <v>941</v>
      </c>
    </row>
    <row r="210" spans="1:3">
      <c r="A210" t="s">
        <v>1487</v>
      </c>
    </row>
    <row r="211" spans="1:3">
      <c r="B211" t="s">
        <v>977</v>
      </c>
    </row>
    <row r="212" spans="1:3">
      <c r="C212" t="s">
        <v>1568</v>
      </c>
    </row>
    <row r="213" spans="1:3">
      <c r="B213" t="s">
        <v>978</v>
      </c>
    </row>
    <row r="214" spans="1:3">
      <c r="C214" t="s">
        <v>939</v>
      </c>
    </row>
    <row r="215" spans="1:3">
      <c r="C215" t="s">
        <v>941</v>
      </c>
    </row>
    <row r="216" spans="1:3">
      <c r="A216" t="s">
        <v>1492</v>
      </c>
    </row>
    <row r="217" spans="1:3">
      <c r="B217" t="s">
        <v>977</v>
      </c>
    </row>
    <row r="218" spans="1:3">
      <c r="C218" t="s">
        <v>1569</v>
      </c>
    </row>
    <row r="219" spans="1:3">
      <c r="B219" t="s">
        <v>978</v>
      </c>
    </row>
    <row r="220" spans="1:3">
      <c r="C220" t="s">
        <v>939</v>
      </c>
    </row>
    <row r="221" spans="1:3">
      <c r="C221" t="s">
        <v>941</v>
      </c>
    </row>
    <row r="222" spans="1:3">
      <c r="A222" t="s">
        <v>1497</v>
      </c>
    </row>
    <row r="223" spans="1:3">
      <c r="B223" t="s">
        <v>977</v>
      </c>
    </row>
    <row r="224" spans="1:3">
      <c r="C224" t="s">
        <v>1570</v>
      </c>
    </row>
    <row r="225" spans="1:3">
      <c r="B225" t="s">
        <v>978</v>
      </c>
    </row>
    <row r="226" spans="1:3">
      <c r="C226" t="s">
        <v>939</v>
      </c>
    </row>
    <row r="227" spans="1:3">
      <c r="C227" t="s">
        <v>941</v>
      </c>
    </row>
    <row r="228" spans="1:3">
      <c r="A228" t="s">
        <v>1502</v>
      </c>
    </row>
    <row r="229" spans="1:3">
      <c r="B229" t="s">
        <v>977</v>
      </c>
    </row>
    <row r="230" spans="1:3">
      <c r="C230" t="s">
        <v>1571</v>
      </c>
    </row>
    <row r="231" spans="1:3">
      <c r="B231" t="s">
        <v>978</v>
      </c>
    </row>
    <row r="232" spans="1:3">
      <c r="C232" t="s">
        <v>939</v>
      </c>
    </row>
    <row r="233" spans="1:3">
      <c r="C233" t="s">
        <v>941</v>
      </c>
    </row>
    <row r="234" spans="1:3">
      <c r="A234" t="s">
        <v>1506</v>
      </c>
    </row>
    <row r="235" spans="1:3">
      <c r="B235" t="s">
        <v>977</v>
      </c>
    </row>
    <row r="236" spans="1:3">
      <c r="C236" t="s">
        <v>1282</v>
      </c>
    </row>
    <row r="237" spans="1:3">
      <c r="B237" t="s">
        <v>978</v>
      </c>
    </row>
    <row r="238" spans="1:3">
      <c r="C238" t="s">
        <v>805</v>
      </c>
    </row>
    <row r="239" spans="1:3">
      <c r="A239" t="s">
        <v>1489</v>
      </c>
    </row>
    <row r="240" spans="1:3">
      <c r="B240" t="s">
        <v>977</v>
      </c>
    </row>
    <row r="241" spans="2:3">
      <c r="C241" t="s">
        <v>1569</v>
      </c>
    </row>
    <row r="242" spans="2:3">
      <c r="B242" t="s">
        <v>978</v>
      </c>
    </row>
    <row r="243" spans="2:3">
      <c r="C243" t="s">
        <v>938</v>
      </c>
    </row>
    <row r="244" spans="2:3">
      <c r="C244"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13"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1356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1373</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1377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1509</v>
      </c>
      <c r="C91" s="136" t="s">
        <v>1286</v>
      </c>
      <c r="D91" s="136" t="s">
        <v>8</v>
      </c>
      <c r="E91" s="136" t="s">
        <v>1086</v>
      </c>
      <c r="F91" s="136" t="s">
        <v>1256</v>
      </c>
      <c r="G91" s="136"/>
      <c r="H91" s="136" t="s">
        <v>1042</v>
      </c>
      <c r="I91" s="136" t="s">
        <v>1510</v>
      </c>
      <c r="J91" s="136" t="s">
        <v>1173</v>
      </c>
      <c r="K91" s="136" t="s">
        <v>1174</v>
      </c>
      <c r="L91" s="136">
        <v>8</v>
      </c>
      <c r="M91" s="219">
        <v>44137</v>
      </c>
      <c r="N91" s="136"/>
      <c r="O91" s="136">
        <v>17</v>
      </c>
      <c r="P91" s="136" t="s">
        <v>432</v>
      </c>
      <c r="Q91" s="136" t="s">
        <v>1153</v>
      </c>
      <c r="R91" s="136">
        <v>13</v>
      </c>
      <c r="S91" s="136">
        <v>9</v>
      </c>
      <c r="T91" s="136" t="s">
        <v>1154</v>
      </c>
      <c r="U91" s="136" t="s">
        <v>1155</v>
      </c>
      <c r="V91" s="35" t="s">
        <v>1511</v>
      </c>
      <c r="W91" s="136"/>
      <c r="AA91" s="356"/>
    </row>
    <row r="92" spans="1:36" s="126" customFormat="1">
      <c r="A92" s="126" t="s">
        <v>1210</v>
      </c>
      <c r="B92" s="283" t="s">
        <v>1512</v>
      </c>
      <c r="C92" s="136" t="s">
        <v>1286</v>
      </c>
      <c r="D92" s="136" t="s">
        <v>8</v>
      </c>
      <c r="E92" s="136" t="s">
        <v>1086</v>
      </c>
      <c r="F92" s="136" t="s">
        <v>1256</v>
      </c>
      <c r="G92" s="136"/>
      <c r="H92" s="136" t="s">
        <v>1042</v>
      </c>
      <c r="I92" s="136" t="s">
        <v>1513</v>
      </c>
      <c r="J92" s="136" t="s">
        <v>1173</v>
      </c>
      <c r="K92" s="136"/>
      <c r="L92" s="136">
        <v>8</v>
      </c>
      <c r="M92" s="219">
        <v>44202</v>
      </c>
      <c r="N92" s="136"/>
      <c r="O92" s="136">
        <v>17</v>
      </c>
      <c r="P92" s="136" t="s">
        <v>432</v>
      </c>
      <c r="Q92" s="136" t="s">
        <v>1153</v>
      </c>
      <c r="R92" s="136">
        <v>13</v>
      </c>
      <c r="S92" s="136">
        <v>1</v>
      </c>
      <c r="T92" s="136" t="s">
        <v>1154</v>
      </c>
      <c r="U92" s="136" t="s">
        <v>1155</v>
      </c>
      <c r="V92" s="35" t="s">
        <v>1514</v>
      </c>
      <c r="W92" s="136"/>
      <c r="AA92" s="356"/>
    </row>
    <row r="93" spans="1:36" s="126" customFormat="1">
      <c r="A93" s="126" t="s">
        <v>1210</v>
      </c>
      <c r="B93" s="283" t="s">
        <v>1515</v>
      </c>
      <c r="C93" s="136" t="s">
        <v>1286</v>
      </c>
      <c r="D93" s="136" t="s">
        <v>8</v>
      </c>
      <c r="E93" s="136" t="s">
        <v>1086</v>
      </c>
      <c r="F93" s="136" t="s">
        <v>1256</v>
      </c>
      <c r="G93" s="136"/>
      <c r="H93" s="136" t="s">
        <v>1042</v>
      </c>
      <c r="I93" s="136" t="s">
        <v>1516</v>
      </c>
      <c r="J93" s="136" t="s">
        <v>1152</v>
      </c>
      <c r="K93" s="136"/>
      <c r="L93" s="136">
        <v>8</v>
      </c>
      <c r="M93" s="219">
        <v>44202</v>
      </c>
      <c r="N93" s="136"/>
      <c r="O93" s="136">
        <v>15</v>
      </c>
      <c r="P93" s="136" t="s">
        <v>432</v>
      </c>
      <c r="Q93" s="136" t="s">
        <v>1153</v>
      </c>
      <c r="R93" s="136">
        <v>16</v>
      </c>
      <c r="S93" s="136">
        <v>4</v>
      </c>
      <c r="T93" s="136" t="s">
        <v>1154</v>
      </c>
      <c r="U93" s="136" t="s">
        <v>1155</v>
      </c>
      <c r="V93" s="35" t="s">
        <v>1517</v>
      </c>
      <c r="W93" s="136"/>
      <c r="AA93" s="356"/>
    </row>
    <row r="94" spans="1:36" s="126" customFormat="1">
      <c r="A94" s="126" t="s">
        <v>1210</v>
      </c>
      <c r="B94" s="283" t="s">
        <v>1518</v>
      </c>
      <c r="C94" s="136" t="s">
        <v>1286</v>
      </c>
      <c r="D94" s="136" t="s">
        <v>8</v>
      </c>
      <c r="E94" s="136" t="s">
        <v>1086</v>
      </c>
      <c r="F94" s="136" t="s">
        <v>1256</v>
      </c>
      <c r="G94" s="136"/>
      <c r="H94" s="136" t="s">
        <v>1042</v>
      </c>
      <c r="I94" s="136" t="s">
        <v>1519</v>
      </c>
      <c r="J94" s="136" t="s">
        <v>1152</v>
      </c>
      <c r="K94" s="136"/>
      <c r="L94" s="136">
        <v>8</v>
      </c>
      <c r="M94" s="219">
        <v>44148</v>
      </c>
      <c r="N94" s="136"/>
      <c r="O94" s="136">
        <v>12</v>
      </c>
      <c r="P94" s="136" t="s">
        <v>432</v>
      </c>
      <c r="Q94" s="136" t="s">
        <v>1153</v>
      </c>
      <c r="R94" s="136">
        <v>19</v>
      </c>
      <c r="S94" s="136">
        <v>5</v>
      </c>
      <c r="T94" s="136" t="s">
        <v>1154</v>
      </c>
      <c r="U94" s="136" t="s">
        <v>1155</v>
      </c>
      <c r="V94" s="35" t="s">
        <v>1520</v>
      </c>
      <c r="W94" s="136"/>
      <c r="AA94" s="356"/>
    </row>
    <row r="95" spans="1:36" s="126" customFormat="1">
      <c r="A95" s="126" t="s">
        <v>1210</v>
      </c>
      <c r="B95" s="283" t="s">
        <v>1521</v>
      </c>
      <c r="C95" s="136" t="s">
        <v>1286</v>
      </c>
      <c r="D95" s="136" t="s">
        <v>8</v>
      </c>
      <c r="E95" s="136" t="s">
        <v>1086</v>
      </c>
      <c r="F95" s="136" t="s">
        <v>1256</v>
      </c>
      <c r="G95" s="136"/>
      <c r="H95" s="136" t="s">
        <v>1042</v>
      </c>
      <c r="I95" s="136" t="s">
        <v>1522</v>
      </c>
      <c r="J95" s="136" t="s">
        <v>1173</v>
      </c>
      <c r="K95" s="136" t="s">
        <v>1174</v>
      </c>
      <c r="L95" s="136">
        <v>8</v>
      </c>
      <c r="M95" s="219">
        <v>44137</v>
      </c>
      <c r="N95" s="136"/>
      <c r="O95" s="136">
        <v>16</v>
      </c>
      <c r="P95" s="136" t="s">
        <v>432</v>
      </c>
      <c r="Q95" s="136" t="s">
        <v>1153</v>
      </c>
      <c r="R95" s="136">
        <v>17</v>
      </c>
      <c r="S95" s="136">
        <v>2</v>
      </c>
      <c r="T95" s="136" t="s">
        <v>1154</v>
      </c>
      <c r="U95" s="136" t="s">
        <v>1155</v>
      </c>
      <c r="V95" s="35" t="s">
        <v>1523</v>
      </c>
      <c r="W95" s="136"/>
      <c r="AA95" s="356"/>
    </row>
    <row r="96" spans="1:36" s="126" customFormat="1">
      <c r="A96" s="126" t="s">
        <v>1210</v>
      </c>
      <c r="B96" s="283" t="s">
        <v>1524</v>
      </c>
      <c r="C96" s="136" t="s">
        <v>1286</v>
      </c>
      <c r="D96" s="136" t="s">
        <v>8</v>
      </c>
      <c r="E96" s="136" t="s">
        <v>1086</v>
      </c>
      <c r="F96" s="136" t="s">
        <v>1256</v>
      </c>
      <c r="G96" s="136"/>
      <c r="H96" s="136" t="s">
        <v>1042</v>
      </c>
      <c r="I96" s="136" t="s">
        <v>1525</v>
      </c>
      <c r="J96" s="136" t="s">
        <v>1173</v>
      </c>
      <c r="K96" s="136"/>
      <c r="L96" s="136">
        <v>8</v>
      </c>
      <c r="M96" s="219">
        <v>44202</v>
      </c>
      <c r="N96" s="136"/>
      <c r="O96" s="136">
        <v>18</v>
      </c>
      <c r="P96" s="136" t="s">
        <v>432</v>
      </c>
      <c r="Q96" s="136" t="s">
        <v>1153</v>
      </c>
      <c r="R96" s="136">
        <v>15</v>
      </c>
      <c r="S96" s="136">
        <v>1</v>
      </c>
      <c r="T96" s="136" t="s">
        <v>1154</v>
      </c>
      <c r="U96" s="136" t="s">
        <v>1155</v>
      </c>
      <c r="V96" s="35" t="s">
        <v>1526</v>
      </c>
      <c r="W96" s="136"/>
      <c r="AA96" s="356"/>
    </row>
    <row r="97" spans="1:27" s="126" customFormat="1">
      <c r="A97" s="126" t="s">
        <v>1210</v>
      </c>
      <c r="B97" s="283" t="s">
        <v>1527</v>
      </c>
      <c r="C97" s="136" t="s">
        <v>1286</v>
      </c>
      <c r="D97" s="136" t="s">
        <v>8</v>
      </c>
      <c r="E97" s="136" t="s">
        <v>777</v>
      </c>
      <c r="F97" s="136" t="s">
        <v>772</v>
      </c>
      <c r="G97" s="136"/>
      <c r="H97" s="136" t="s">
        <v>1445</v>
      </c>
      <c r="I97" s="136" t="s">
        <v>1528</v>
      </c>
      <c r="J97" s="136" t="s">
        <v>1152</v>
      </c>
      <c r="K97" s="136" t="s">
        <v>1174</v>
      </c>
      <c r="L97" s="136">
        <v>8</v>
      </c>
      <c r="M97" s="219">
        <v>44144</v>
      </c>
      <c r="N97" s="136"/>
      <c r="O97" s="136">
        <v>20</v>
      </c>
      <c r="P97" s="136" t="s">
        <v>432</v>
      </c>
      <c r="Q97" s="136" t="s">
        <v>1153</v>
      </c>
      <c r="R97" s="136">
        <v>14</v>
      </c>
      <c r="S97" s="136">
        <v>2</v>
      </c>
      <c r="T97" s="136" t="s">
        <v>1154</v>
      </c>
      <c r="U97" s="136" t="s">
        <v>1155</v>
      </c>
      <c r="V97" s="35" t="s">
        <v>1529</v>
      </c>
      <c r="W97" s="136"/>
      <c r="AA97" s="356"/>
    </row>
    <row r="98" spans="1:27" s="126" customFormat="1">
      <c r="A98" s="126" t="s">
        <v>1210</v>
      </c>
      <c r="B98" s="283" t="s">
        <v>1530</v>
      </c>
      <c r="C98" s="136" t="s">
        <v>1286</v>
      </c>
      <c r="D98" s="136" t="s">
        <v>8</v>
      </c>
      <c r="E98" s="136" t="s">
        <v>777</v>
      </c>
      <c r="F98" s="136" t="s">
        <v>772</v>
      </c>
      <c r="G98" s="136"/>
      <c r="H98" s="136" t="s">
        <v>1445</v>
      </c>
      <c r="I98" s="136" t="s">
        <v>1531</v>
      </c>
      <c r="J98" s="136" t="s">
        <v>1173</v>
      </c>
      <c r="K98" s="136" t="s">
        <v>1174</v>
      </c>
      <c r="L98" s="136">
        <v>8</v>
      </c>
      <c r="M98" s="219">
        <v>44144</v>
      </c>
      <c r="N98" s="136"/>
      <c r="O98" s="136">
        <v>5</v>
      </c>
      <c r="P98" s="136" t="s">
        <v>432</v>
      </c>
      <c r="Q98" s="136" t="s">
        <v>1153</v>
      </c>
      <c r="R98" s="136">
        <v>14</v>
      </c>
      <c r="S98" s="136">
        <v>3</v>
      </c>
      <c r="T98" s="136" t="s">
        <v>1154</v>
      </c>
      <c r="U98" s="136" t="s">
        <v>1155</v>
      </c>
      <c r="V98" s="35" t="s">
        <v>1532</v>
      </c>
      <c r="W98" s="136"/>
      <c r="AA98" s="356"/>
    </row>
    <row r="99" spans="1:27" s="126" customFormat="1">
      <c r="A99" s="126" t="s">
        <v>1210</v>
      </c>
      <c r="B99" s="283" t="s">
        <v>1533</v>
      </c>
      <c r="C99" s="136" t="s">
        <v>1286</v>
      </c>
      <c r="D99" s="136" t="s">
        <v>8</v>
      </c>
      <c r="E99" s="136" t="s">
        <v>1086</v>
      </c>
      <c r="F99" s="136" t="s">
        <v>1256</v>
      </c>
      <c r="G99" s="136"/>
      <c r="H99" s="136" t="s">
        <v>1042</v>
      </c>
      <c r="I99" s="136" t="s">
        <v>1534</v>
      </c>
      <c r="J99" s="136" t="s">
        <v>1173</v>
      </c>
      <c r="K99" s="136" t="s">
        <v>1174</v>
      </c>
      <c r="L99" s="136">
        <v>8</v>
      </c>
      <c r="M99" s="219">
        <v>44202</v>
      </c>
      <c r="N99" s="136"/>
      <c r="O99" s="136">
        <v>17</v>
      </c>
      <c r="P99" s="136" t="s">
        <v>432</v>
      </c>
      <c r="Q99" s="136" t="s">
        <v>1153</v>
      </c>
      <c r="R99" s="136">
        <v>17</v>
      </c>
      <c r="S99" s="136">
        <v>1</v>
      </c>
      <c r="T99" s="136" t="s">
        <v>1154</v>
      </c>
      <c r="U99" s="136" t="s">
        <v>1155</v>
      </c>
      <c r="V99" s="35" t="s">
        <v>1535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1536</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1365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1366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1294</v>
      </c>
    </row>
    <row r="147" spans="1:3" ht="15" thickBot="1">
      <c r="A147" s="366"/>
      <c r="B147" s="368"/>
      <c r="C147" s="299" t="s">
        <v>1297</v>
      </c>
    </row>
    <row r="148" spans="1:3">
      <c r="A148" s="300" t="s">
        <v>803</v>
      </c>
      <c r="B148" s="300" t="s">
        <v>1295</v>
      </c>
      <c r="C148" s="298"/>
    </row>
    <row r="149" spans="1:3" ht="15" thickBot="1">
      <c r="A149" s="301" t="s">
        <v>886</v>
      </c>
      <c r="B149" s="301" t="s">
        <v>887</v>
      </c>
      <c r="C149" s="298"/>
    </row>
    <row r="150" spans="1:3">
      <c r="A150" s="302" t="s">
        <v>802</v>
      </c>
      <c r="B150" s="302" t="s">
        <v>1298</v>
      </c>
      <c r="C150" s="298"/>
    </row>
    <row r="151" spans="1:3" ht="15" thickBot="1">
      <c r="A151" s="301" t="s">
        <v>886</v>
      </c>
      <c r="B151" s="301" t="s">
        <v>887</v>
      </c>
      <c r="C151" s="298"/>
    </row>
    <row r="152" spans="1:3">
      <c r="A152" s="302" t="s">
        <v>888</v>
      </c>
      <c r="B152" s="302" t="s">
        <v>1299</v>
      </c>
      <c r="C152" s="298"/>
    </row>
    <row r="153" spans="1:3" ht="15" thickBot="1">
      <c r="A153" s="301" t="s">
        <v>886</v>
      </c>
      <c r="B153" s="301" t="s">
        <v>887</v>
      </c>
      <c r="C153" s="298"/>
    </row>
    <row r="154" spans="1:3">
      <c r="A154" s="302" t="s">
        <v>804</v>
      </c>
      <c r="B154" s="302" t="s">
        <v>1296</v>
      </c>
      <c r="C154" s="303"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1367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1368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1315</v>
      </c>
      <c r="B219" s="130" t="s">
        <v>1314</v>
      </c>
      <c r="C219" s="126" t="s">
        <v>390</v>
      </c>
    </row>
    <row r="221" spans="1:3">
      <c r="A221" s="108" t="s">
        <v>871</v>
      </c>
      <c r="B221" s="108"/>
    </row>
    <row r="222" spans="1:3">
      <c r="A222" s="33" t="s">
        <v>872</v>
      </c>
      <c r="B222" s="34"/>
      <c r="C222" s="35"/>
    </row>
    <row r="223" spans="1:3" ht="87">
      <c r="A223" s="305" t="s">
        <v>1369</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1421</v>
      </c>
      <c r="B1" s="108"/>
    </row>
    <row r="2" spans="1:3">
      <c r="A2" s="33" t="s">
        <v>1422</v>
      </c>
      <c r="B2" s="34"/>
      <c r="C2" s="35"/>
    </row>
    <row r="3" spans="1:3" s="136" customFormat="1">
      <c r="A3" s="135" t="s">
        <v>1424</v>
      </c>
      <c r="B3" s="126"/>
    </row>
    <row r="4" spans="1:3" s="136" customFormat="1">
      <c r="B4" s="126"/>
    </row>
    <row r="5" spans="1:3">
      <c r="A5" s="33" t="s">
        <v>1423</v>
      </c>
      <c r="B5" s="34"/>
      <c r="C5" s="35"/>
    </row>
    <row r="6" spans="1:3" s="136" customFormat="1">
      <c r="A6" s="135" t="s">
        <v>1425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1426</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39"/>
  <sheetViews>
    <sheetView workbookViewId="0">
      <selection activeCell="G27" sqref="A2:G27"/>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959</v>
      </c>
      <c r="B2" t="s">
        <v>1035</v>
      </c>
      <c r="C2" t="s">
        <v>949</v>
      </c>
      <c r="D2" t="s">
        <v>1504</v>
      </c>
      <c r="E2" t="s">
        <v>1279</v>
      </c>
      <c r="F2" t="s">
        <v>959</v>
      </c>
      <c r="G2" t="s">
        <v>417</v>
      </c>
    </row>
    <row r="3" spans="1:7">
      <c r="A3" t="s">
        <v>958</v>
      </c>
      <c r="B3" t="s">
        <v>1034</v>
      </c>
      <c r="C3" t="s">
        <v>803</v>
      </c>
      <c r="D3" t="s">
        <v>1503</v>
      </c>
      <c r="E3" t="s">
        <v>1275</v>
      </c>
      <c r="F3" t="s">
        <v>958</v>
      </c>
      <c r="G3" t="s">
        <v>417</v>
      </c>
    </row>
    <row r="4" spans="1:7">
      <c r="A4" t="s">
        <v>959</v>
      </c>
      <c r="B4" t="s">
        <v>1035</v>
      </c>
      <c r="C4" t="s">
        <v>950</v>
      </c>
      <c r="D4" t="s">
        <v>1504</v>
      </c>
      <c r="E4" t="s">
        <v>1279</v>
      </c>
      <c r="F4" t="s">
        <v>959</v>
      </c>
      <c r="G4" t="s">
        <v>417</v>
      </c>
    </row>
    <row r="5" spans="1:7">
      <c r="A5" t="s">
        <v>952</v>
      </c>
      <c r="B5" t="s">
        <v>1460</v>
      </c>
      <c r="C5" t="s">
        <v>946</v>
      </c>
      <c r="D5" t="s">
        <v>1476</v>
      </c>
      <c r="E5" t="s">
        <v>1276</v>
      </c>
      <c r="F5" t="s">
        <v>952</v>
      </c>
      <c r="G5" t="s">
        <v>417</v>
      </c>
    </row>
    <row r="6" spans="1:7">
      <c r="A6" t="s">
        <v>955</v>
      </c>
      <c r="B6" t="s">
        <v>1467</v>
      </c>
      <c r="C6" t="s">
        <v>946</v>
      </c>
      <c r="D6" t="s">
        <v>1491</v>
      </c>
      <c r="E6" t="s">
        <v>1276</v>
      </c>
      <c r="F6" t="s">
        <v>955</v>
      </c>
      <c r="G6" t="s">
        <v>417</v>
      </c>
    </row>
    <row r="7" spans="1:7">
      <c r="A7" t="s">
        <v>952</v>
      </c>
      <c r="B7" t="s">
        <v>1460</v>
      </c>
      <c r="C7" t="s">
        <v>947</v>
      </c>
      <c r="D7" t="s">
        <v>1476</v>
      </c>
      <c r="E7" t="s">
        <v>1276</v>
      </c>
      <c r="F7" t="s">
        <v>952</v>
      </c>
      <c r="G7" t="s">
        <v>417</v>
      </c>
    </row>
    <row r="8" spans="1:7">
      <c r="A8" t="s">
        <v>955</v>
      </c>
      <c r="B8" t="s">
        <v>1467</v>
      </c>
      <c r="C8" t="s">
        <v>947</v>
      </c>
      <c r="D8" t="s">
        <v>1491</v>
      </c>
      <c r="E8" t="s">
        <v>1276</v>
      </c>
      <c r="F8" t="s">
        <v>955</v>
      </c>
      <c r="G8" t="s">
        <v>417</v>
      </c>
    </row>
    <row r="9" spans="1:7">
      <c r="A9" t="s">
        <v>959</v>
      </c>
      <c r="B9" t="s">
        <v>1035</v>
      </c>
      <c r="C9" t="s">
        <v>942</v>
      </c>
      <c r="D9" t="s">
        <v>1504</v>
      </c>
      <c r="E9" t="s">
        <v>1279</v>
      </c>
      <c r="F9" t="s">
        <v>959</v>
      </c>
      <c r="G9" t="s">
        <v>417</v>
      </c>
    </row>
    <row r="10" spans="1:7">
      <c r="A10" t="s">
        <v>960</v>
      </c>
      <c r="B10" t="s">
        <v>1036</v>
      </c>
      <c r="C10" t="s">
        <v>805</v>
      </c>
      <c r="D10" t="s">
        <v>1506</v>
      </c>
      <c r="E10" t="s">
        <v>1274</v>
      </c>
      <c r="F10" t="s">
        <v>960</v>
      </c>
      <c r="G10" t="s">
        <v>417</v>
      </c>
    </row>
    <row r="11" spans="1:7">
      <c r="A11" t="s">
        <v>959</v>
      </c>
      <c r="B11" t="s">
        <v>1035</v>
      </c>
      <c r="C11" t="s">
        <v>943</v>
      </c>
      <c r="D11" t="s">
        <v>1504</v>
      </c>
      <c r="E11" t="s">
        <v>1279</v>
      </c>
      <c r="F11" t="s">
        <v>959</v>
      </c>
      <c r="G11" t="s">
        <v>417</v>
      </c>
    </row>
    <row r="12" spans="1:7">
      <c r="A12" t="s">
        <v>959</v>
      </c>
      <c r="B12" t="s">
        <v>1035</v>
      </c>
      <c r="C12" t="s">
        <v>944</v>
      </c>
      <c r="D12" t="s">
        <v>1504</v>
      </c>
      <c r="E12" t="s">
        <v>1279</v>
      </c>
      <c r="F12" t="s">
        <v>959</v>
      </c>
      <c r="G12" t="s">
        <v>417</v>
      </c>
    </row>
    <row r="13" spans="1:7">
      <c r="A13" t="s">
        <v>952</v>
      </c>
      <c r="B13" t="s">
        <v>1460</v>
      </c>
      <c r="C13" t="s">
        <v>937</v>
      </c>
      <c r="D13" t="s">
        <v>1475</v>
      </c>
      <c r="E13" t="s">
        <v>1277</v>
      </c>
      <c r="F13" t="s">
        <v>952</v>
      </c>
      <c r="G13" t="s">
        <v>417</v>
      </c>
    </row>
    <row r="14" spans="1:7">
      <c r="A14" t="s">
        <v>954</v>
      </c>
      <c r="B14" t="s">
        <v>1465</v>
      </c>
      <c r="C14" t="s">
        <v>937</v>
      </c>
      <c r="D14" t="s">
        <v>1485</v>
      </c>
      <c r="E14" t="s">
        <v>1277</v>
      </c>
      <c r="F14" t="s">
        <v>954</v>
      </c>
      <c r="G14" t="s">
        <v>417</v>
      </c>
    </row>
    <row r="15" spans="1:7">
      <c r="A15" t="s">
        <v>952</v>
      </c>
      <c r="B15" t="s">
        <v>1460</v>
      </c>
      <c r="C15" t="s">
        <v>948</v>
      </c>
      <c r="D15" t="s">
        <v>1476</v>
      </c>
      <c r="E15" t="s">
        <v>1276</v>
      </c>
      <c r="F15" t="s">
        <v>952</v>
      </c>
      <c r="G15" t="s">
        <v>417</v>
      </c>
    </row>
    <row r="16" spans="1:7">
      <c r="A16" t="s">
        <v>955</v>
      </c>
      <c r="B16" t="s">
        <v>1467</v>
      </c>
      <c r="C16" t="s">
        <v>948</v>
      </c>
      <c r="D16" t="s">
        <v>1491</v>
      </c>
      <c r="E16" t="s">
        <v>1276</v>
      </c>
      <c r="F16" t="s">
        <v>955</v>
      </c>
      <c r="G16" t="s">
        <v>417</v>
      </c>
    </row>
    <row r="17" spans="1:7">
      <c r="A17" t="s">
        <v>961</v>
      </c>
      <c r="B17" t="s">
        <v>1037</v>
      </c>
      <c r="C17" t="s">
        <v>889</v>
      </c>
      <c r="D17" t="s">
        <v>1507</v>
      </c>
      <c r="E17" t="s">
        <v>1508</v>
      </c>
      <c r="F17" t="s">
        <v>961</v>
      </c>
      <c r="G17" t="s">
        <v>417</v>
      </c>
    </row>
    <row r="18" spans="1:7">
      <c r="A18" t="s">
        <v>952</v>
      </c>
      <c r="B18" t="s">
        <v>1460</v>
      </c>
      <c r="C18" t="s">
        <v>939</v>
      </c>
      <c r="D18" t="s">
        <v>1475</v>
      </c>
      <c r="E18" t="s">
        <v>1277</v>
      </c>
      <c r="F18" t="s">
        <v>952</v>
      </c>
      <c r="G18" t="s">
        <v>417</v>
      </c>
    </row>
    <row r="19" spans="1:7">
      <c r="A19" t="s">
        <v>955</v>
      </c>
      <c r="B19" t="s">
        <v>1467</v>
      </c>
      <c r="C19" t="s">
        <v>939</v>
      </c>
      <c r="D19" t="s">
        <v>1488</v>
      </c>
      <c r="E19" t="s">
        <v>967</v>
      </c>
      <c r="F19" t="s">
        <v>955</v>
      </c>
      <c r="G19" t="s">
        <v>417</v>
      </c>
    </row>
    <row r="20" spans="1:7">
      <c r="A20" t="s">
        <v>952</v>
      </c>
      <c r="B20" t="s">
        <v>1460</v>
      </c>
      <c r="C20" t="s">
        <v>940</v>
      </c>
      <c r="D20" t="s">
        <v>1475</v>
      </c>
      <c r="E20" t="s">
        <v>1277</v>
      </c>
      <c r="F20" t="s">
        <v>952</v>
      </c>
      <c r="G20" t="s">
        <v>417</v>
      </c>
    </row>
    <row r="21" spans="1:7">
      <c r="A21" t="s">
        <v>955</v>
      </c>
      <c r="B21" t="s">
        <v>1467</v>
      </c>
      <c r="C21" t="s">
        <v>940</v>
      </c>
      <c r="D21" t="s">
        <v>1488</v>
      </c>
      <c r="E21" t="s">
        <v>967</v>
      </c>
      <c r="F21" t="s">
        <v>955</v>
      </c>
      <c r="G21" t="s">
        <v>417</v>
      </c>
    </row>
    <row r="22" spans="1:7">
      <c r="A22" t="s">
        <v>953</v>
      </c>
      <c r="B22" t="s">
        <v>1463</v>
      </c>
      <c r="C22" t="s">
        <v>945</v>
      </c>
      <c r="D22" t="s">
        <v>1481</v>
      </c>
      <c r="E22" t="s">
        <v>1276</v>
      </c>
      <c r="F22" t="s">
        <v>953</v>
      </c>
      <c r="G22" t="s">
        <v>417</v>
      </c>
    </row>
    <row r="23" spans="1:7">
      <c r="A23" t="s">
        <v>955</v>
      </c>
      <c r="B23" t="s">
        <v>1467</v>
      </c>
      <c r="C23" t="s">
        <v>945</v>
      </c>
      <c r="D23" t="s">
        <v>1491</v>
      </c>
      <c r="E23" t="s">
        <v>1276</v>
      </c>
      <c r="F23" t="s">
        <v>955</v>
      </c>
      <c r="G23" t="s">
        <v>417</v>
      </c>
    </row>
    <row r="24" spans="1:7">
      <c r="A24" t="s">
        <v>952</v>
      </c>
      <c r="B24" t="s">
        <v>1460</v>
      </c>
      <c r="C24" t="s">
        <v>938</v>
      </c>
      <c r="D24" t="s">
        <v>1475</v>
      </c>
      <c r="E24" t="s">
        <v>1277</v>
      </c>
      <c r="F24" t="s">
        <v>952</v>
      </c>
      <c r="G24" t="s">
        <v>417</v>
      </c>
    </row>
    <row r="25" spans="1:7">
      <c r="A25" t="s">
        <v>954</v>
      </c>
      <c r="B25" t="s">
        <v>1465</v>
      </c>
      <c r="C25" t="s">
        <v>938</v>
      </c>
      <c r="D25" t="s">
        <v>1484</v>
      </c>
      <c r="E25" t="s">
        <v>969</v>
      </c>
      <c r="F25" t="s">
        <v>954</v>
      </c>
      <c r="G25" t="s">
        <v>417</v>
      </c>
    </row>
    <row r="26" spans="1:7">
      <c r="A26" t="s">
        <v>952</v>
      </c>
      <c r="B26" t="s">
        <v>1460</v>
      </c>
      <c r="C26" t="s">
        <v>941</v>
      </c>
      <c r="D26" t="s">
        <v>1477</v>
      </c>
      <c r="E26" t="s">
        <v>1278</v>
      </c>
      <c r="F26" t="s">
        <v>952</v>
      </c>
      <c r="G26" t="s">
        <v>417</v>
      </c>
    </row>
    <row r="27" spans="1:7">
      <c r="A27" t="s">
        <v>955</v>
      </c>
      <c r="B27" t="s">
        <v>1467</v>
      </c>
      <c r="C27" t="s">
        <v>941</v>
      </c>
      <c r="D27" t="s">
        <v>1492</v>
      </c>
      <c r="E27" t="s">
        <v>1278</v>
      </c>
      <c r="F27" t="s">
        <v>955</v>
      </c>
      <c r="G27" t="s">
        <v>417</v>
      </c>
    </row>
    <row r="28" spans="1:7">
      <c r="A28" t="s">
        <v>959</v>
      </c>
      <c r="B28" t="s">
        <v>1035</v>
      </c>
      <c r="C28" t="s">
        <v>949</v>
      </c>
      <c r="D28" t="s">
        <v>1505</v>
      </c>
      <c r="E28" t="s">
        <v>1279</v>
      </c>
      <c r="F28" t="s">
        <v>959</v>
      </c>
    </row>
    <row r="29" spans="1:7">
      <c r="A29" t="s">
        <v>959</v>
      </c>
      <c r="B29" t="s">
        <v>1035</v>
      </c>
      <c r="C29" t="s">
        <v>950</v>
      </c>
      <c r="D29" t="s">
        <v>1505</v>
      </c>
      <c r="E29" t="s">
        <v>1279</v>
      </c>
      <c r="F29" t="s">
        <v>959</v>
      </c>
    </row>
    <row r="30" spans="1:7">
      <c r="A30" t="s">
        <v>959</v>
      </c>
      <c r="B30" t="s">
        <v>1035</v>
      </c>
      <c r="C30" t="s">
        <v>942</v>
      </c>
      <c r="D30" t="s">
        <v>1505</v>
      </c>
      <c r="E30" t="s">
        <v>1279</v>
      </c>
      <c r="F30" t="s">
        <v>959</v>
      </c>
    </row>
    <row r="31" spans="1:7">
      <c r="A31" t="s">
        <v>959</v>
      </c>
      <c r="B31" t="s">
        <v>1035</v>
      </c>
      <c r="C31" t="s">
        <v>943</v>
      </c>
      <c r="D31" t="s">
        <v>1505</v>
      </c>
      <c r="E31" t="s">
        <v>1279</v>
      </c>
      <c r="F31" t="s">
        <v>959</v>
      </c>
    </row>
    <row r="32" spans="1:7">
      <c r="A32" t="s">
        <v>959</v>
      </c>
      <c r="B32" t="s">
        <v>1035</v>
      </c>
      <c r="C32" t="s">
        <v>944</v>
      </c>
      <c r="D32" t="s">
        <v>1505</v>
      </c>
      <c r="E32" t="s">
        <v>1279</v>
      </c>
      <c r="F32" t="s">
        <v>959</v>
      </c>
    </row>
    <row r="33" spans="1:6">
      <c r="A33" t="s">
        <v>952</v>
      </c>
      <c r="B33" t="s">
        <v>1460</v>
      </c>
      <c r="C33" t="s">
        <v>939</v>
      </c>
      <c r="D33" t="s">
        <v>1476</v>
      </c>
      <c r="E33" t="s">
        <v>1276</v>
      </c>
      <c r="F33" t="s">
        <v>952</v>
      </c>
    </row>
    <row r="34" spans="1:6">
      <c r="A34" t="s">
        <v>952</v>
      </c>
      <c r="B34" t="s">
        <v>1460</v>
      </c>
      <c r="C34" t="s">
        <v>939</v>
      </c>
      <c r="D34" t="s">
        <v>1477</v>
      </c>
      <c r="E34" t="s">
        <v>1278</v>
      </c>
      <c r="F34" t="s">
        <v>952</v>
      </c>
    </row>
    <row r="35" spans="1:6">
      <c r="A35" t="s">
        <v>955</v>
      </c>
      <c r="B35" t="s">
        <v>1467</v>
      </c>
      <c r="C35" t="s">
        <v>939</v>
      </c>
      <c r="D35" t="s">
        <v>1490</v>
      </c>
      <c r="E35" t="s">
        <v>1277</v>
      </c>
      <c r="F35" t="s">
        <v>955</v>
      </c>
    </row>
    <row r="36" spans="1:6">
      <c r="A36" t="s">
        <v>955</v>
      </c>
      <c r="B36" t="s">
        <v>1467</v>
      </c>
      <c r="C36" t="s">
        <v>939</v>
      </c>
      <c r="D36" t="s">
        <v>1491</v>
      </c>
      <c r="E36" t="s">
        <v>1276</v>
      </c>
      <c r="F36" t="s">
        <v>955</v>
      </c>
    </row>
    <row r="37" spans="1:6">
      <c r="A37" t="s">
        <v>955</v>
      </c>
      <c r="B37" t="s">
        <v>1467</v>
      </c>
      <c r="C37" t="s">
        <v>939</v>
      </c>
      <c r="D37" t="s">
        <v>1492</v>
      </c>
      <c r="E37" t="s">
        <v>1278</v>
      </c>
      <c r="F37" t="s">
        <v>955</v>
      </c>
    </row>
    <row r="38" spans="1:6">
      <c r="A38" t="s">
        <v>955</v>
      </c>
      <c r="B38" t="s">
        <v>1467</v>
      </c>
      <c r="C38" t="s">
        <v>939</v>
      </c>
      <c r="D38" t="s">
        <v>1489</v>
      </c>
      <c r="E38" t="s">
        <v>969</v>
      </c>
      <c r="F38" t="s">
        <v>955</v>
      </c>
    </row>
    <row r="39" spans="1:6">
      <c r="A39" t="s">
        <v>954</v>
      </c>
      <c r="B39" t="s">
        <v>1465</v>
      </c>
      <c r="C39" t="s">
        <v>938</v>
      </c>
      <c r="D39" t="s">
        <v>1485</v>
      </c>
      <c r="E39" t="s">
        <v>1277</v>
      </c>
      <c r="F39" t="s">
        <v>954</v>
      </c>
    </row>
  </sheetData>
  <sortState xmlns:xlrd2="http://schemas.microsoft.com/office/spreadsheetml/2017/richdata2" ref="A2:G42">
    <sortCondition ref="G2:G42"/>
    <sortCondition ref="C2:C42"/>
    <sortCondition ref="A2:A42"/>
    <sortCondition ref="D2:D42"/>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1323</v>
      </c>
      <c r="C2" s="167" t="s">
        <v>946</v>
      </c>
      <c r="D2" s="120" t="s">
        <v>1336</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1323</v>
      </c>
      <c r="C3" s="167" t="s">
        <v>947</v>
      </c>
      <c r="D3" s="120" t="s">
        <v>1336</v>
      </c>
      <c r="E3" s="120" t="s">
        <v>1276</v>
      </c>
      <c r="F3" s="167" t="s">
        <v>952</v>
      </c>
      <c r="G3" s="121" t="s">
        <v>417</v>
      </c>
      <c r="H3" s="120" t="s">
        <v>1060</v>
      </c>
      <c r="I3" s="145">
        <f>VLOOKUP(C3,tbl_PAcount,6,FALSE)</f>
        <v>10</v>
      </c>
      <c r="J3" s="145"/>
      <c r="K3" s="145"/>
      <c r="L3" s="145"/>
      <c r="M3" s="145"/>
      <c r="N3" s="145"/>
    </row>
    <row r="4" spans="1:14" s="136" customFormat="1">
      <c r="A4" s="120" t="s">
        <v>952</v>
      </c>
      <c r="B4" s="120" t="s">
        <v>1323</v>
      </c>
      <c r="C4" s="167" t="s">
        <v>948</v>
      </c>
      <c r="D4" s="120" t="s">
        <v>1336</v>
      </c>
      <c r="E4" s="120" t="s">
        <v>1276</v>
      </c>
      <c r="F4" s="167" t="s">
        <v>952</v>
      </c>
      <c r="G4" s="121" t="s">
        <v>417</v>
      </c>
      <c r="H4" s="120" t="s">
        <v>1060</v>
      </c>
      <c r="I4" s="145">
        <f>VLOOKUP(C4,tbl_PAcount,6,FALSE)</f>
        <v>15</v>
      </c>
      <c r="J4" s="145"/>
      <c r="K4" s="145"/>
      <c r="L4" s="145"/>
      <c r="M4" s="145"/>
      <c r="N4" s="145"/>
    </row>
    <row r="5" spans="1:14" s="136" customFormat="1">
      <c r="A5" s="120" t="s">
        <v>952</v>
      </c>
      <c r="B5" s="120" t="s">
        <v>1323</v>
      </c>
      <c r="C5" s="167" t="s">
        <v>939</v>
      </c>
      <c r="D5" s="120" t="s">
        <v>1336</v>
      </c>
      <c r="E5" s="120" t="s">
        <v>1276</v>
      </c>
      <c r="F5" s="167" t="s">
        <v>952</v>
      </c>
      <c r="G5" s="121" t="s">
        <v>417</v>
      </c>
      <c r="H5" s="120" t="s">
        <v>1060</v>
      </c>
      <c r="I5" s="145">
        <f>VLOOKUP(C5,tbl_PAcount,6,FALSE)</f>
        <v>6</v>
      </c>
      <c r="J5" s="145"/>
      <c r="K5" s="145"/>
      <c r="L5" s="145"/>
      <c r="M5" s="145"/>
      <c r="N5" s="145"/>
    </row>
    <row r="6" spans="1:14" s="136" customFormat="1">
      <c r="A6" s="120" t="s">
        <v>953</v>
      </c>
      <c r="B6" s="120" t="s">
        <v>1324</v>
      </c>
      <c r="C6" s="167" t="s">
        <v>945</v>
      </c>
      <c r="D6" s="120" t="s">
        <v>1337</v>
      </c>
      <c r="E6" s="120" t="s">
        <v>1276</v>
      </c>
      <c r="F6" s="167" t="s">
        <v>953</v>
      </c>
      <c r="G6" s="121" t="s">
        <v>417</v>
      </c>
      <c r="H6" s="120" t="s">
        <v>1060</v>
      </c>
      <c r="I6" s="145">
        <f>VLOOKUP(C6,tbl_PAcount,6,FALSE)</f>
        <v>8</v>
      </c>
      <c r="J6" s="145"/>
      <c r="K6" s="145"/>
      <c r="L6" s="145"/>
      <c r="M6" s="145"/>
      <c r="N6" s="145"/>
    </row>
    <row r="7" spans="1:14" s="136" customFormat="1">
      <c r="A7" s="120" t="s">
        <v>955</v>
      </c>
      <c r="B7" s="120" t="s">
        <v>1326</v>
      </c>
      <c r="C7" s="167" t="s">
        <v>946</v>
      </c>
      <c r="D7" s="120" t="s">
        <v>1338</v>
      </c>
      <c r="E7" s="120" t="s">
        <v>1276</v>
      </c>
      <c r="F7" s="167" t="s">
        <v>955</v>
      </c>
      <c r="G7" s="121" t="s">
        <v>417</v>
      </c>
      <c r="H7" s="120" t="s">
        <v>1060</v>
      </c>
      <c r="I7" s="145"/>
      <c r="J7" s="145"/>
      <c r="K7" s="145"/>
      <c r="L7" s="145"/>
      <c r="M7" s="145"/>
      <c r="N7" s="145"/>
    </row>
    <row r="8" spans="1:14" s="136" customFormat="1">
      <c r="A8" s="120" t="s">
        <v>955</v>
      </c>
      <c r="B8" s="120" t="s">
        <v>1326</v>
      </c>
      <c r="C8" s="167" t="s">
        <v>947</v>
      </c>
      <c r="D8" s="120" t="s">
        <v>1338</v>
      </c>
      <c r="E8" s="120" t="s">
        <v>1276</v>
      </c>
      <c r="F8" s="167" t="s">
        <v>955</v>
      </c>
      <c r="G8" s="121" t="s">
        <v>417</v>
      </c>
      <c r="H8" s="120" t="s">
        <v>1060</v>
      </c>
      <c r="I8" s="145"/>
      <c r="J8" s="145"/>
      <c r="K8" s="145"/>
      <c r="L8" s="145"/>
      <c r="M8" s="145"/>
      <c r="N8" s="145"/>
    </row>
    <row r="9" spans="1:14" s="136" customFormat="1">
      <c r="A9" s="120" t="s">
        <v>955</v>
      </c>
      <c r="B9" s="120" t="s">
        <v>1326</v>
      </c>
      <c r="C9" s="167" t="s">
        <v>948</v>
      </c>
      <c r="D9" s="120" t="s">
        <v>1338</v>
      </c>
      <c r="E9" s="120" t="s">
        <v>1276</v>
      </c>
      <c r="F9" s="167" t="s">
        <v>955</v>
      </c>
      <c r="G9" s="121" t="s">
        <v>417</v>
      </c>
      <c r="H9" s="120" t="s">
        <v>1060</v>
      </c>
      <c r="I9" s="145"/>
      <c r="J9" s="145"/>
      <c r="K9" s="145"/>
      <c r="L9" s="145"/>
      <c r="M9" s="145"/>
      <c r="N9" s="145"/>
    </row>
    <row r="10" spans="1:14" s="136" customFormat="1">
      <c r="A10" s="120" t="s">
        <v>955</v>
      </c>
      <c r="B10" s="120" t="s">
        <v>1326</v>
      </c>
      <c r="C10" s="167" t="s">
        <v>939</v>
      </c>
      <c r="D10" s="120" t="s">
        <v>1338</v>
      </c>
      <c r="E10" s="120" t="s">
        <v>1276</v>
      </c>
      <c r="F10" s="167" t="s">
        <v>955</v>
      </c>
      <c r="G10" s="121" t="s">
        <v>417</v>
      </c>
      <c r="H10" s="120" t="s">
        <v>1060</v>
      </c>
      <c r="I10" s="145"/>
      <c r="J10" s="145"/>
      <c r="K10" s="145"/>
      <c r="L10" s="145"/>
      <c r="M10" s="145"/>
      <c r="N10" s="145"/>
    </row>
    <row r="11" spans="1:14" s="136" customFormat="1">
      <c r="A11" s="120" t="s">
        <v>955</v>
      </c>
      <c r="B11" s="120" t="s">
        <v>1326</v>
      </c>
      <c r="C11" s="167" t="s">
        <v>945</v>
      </c>
      <c r="D11" s="120" t="s">
        <v>1338</v>
      </c>
      <c r="E11" s="120" t="s">
        <v>1276</v>
      </c>
      <c r="F11" s="167" t="s">
        <v>955</v>
      </c>
      <c r="G11" s="121" t="s">
        <v>417</v>
      </c>
      <c r="H11" s="120" t="s">
        <v>1060</v>
      </c>
      <c r="I11" s="145"/>
      <c r="J11" s="145"/>
      <c r="K11" s="145"/>
      <c r="L11" s="145"/>
      <c r="M11" s="145"/>
      <c r="N11" s="145"/>
    </row>
    <row r="12" spans="1:14" s="136" customFormat="1">
      <c r="A12" s="120" t="s">
        <v>952</v>
      </c>
      <c r="B12" s="120" t="s">
        <v>1323</v>
      </c>
      <c r="C12" s="167" t="s">
        <v>940</v>
      </c>
      <c r="D12" s="120" t="s">
        <v>1328</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1323</v>
      </c>
      <c r="C13" s="167" t="s">
        <v>938</v>
      </c>
      <c r="D13" s="120" t="s">
        <v>1331</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1323</v>
      </c>
      <c r="C14" s="167" t="s">
        <v>937</v>
      </c>
      <c r="D14" s="120" t="s">
        <v>1332</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1323</v>
      </c>
      <c r="C15" s="167" t="s">
        <v>941</v>
      </c>
      <c r="D15" s="120" t="s">
        <v>1341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1325</v>
      </c>
      <c r="C16" s="167" t="s">
        <v>937</v>
      </c>
      <c r="D16" s="120" t="s">
        <v>1333</v>
      </c>
      <c r="E16" s="120" t="s">
        <v>1277</v>
      </c>
      <c r="F16" s="167" t="s">
        <v>954</v>
      </c>
      <c r="G16" s="121" t="s">
        <v>417</v>
      </c>
      <c r="H16" s="120" t="s">
        <v>1061</v>
      </c>
      <c r="I16" s="145"/>
      <c r="J16" s="145"/>
      <c r="K16" s="145"/>
      <c r="L16" s="145"/>
      <c r="M16" s="145"/>
      <c r="N16" s="145"/>
    </row>
    <row r="17" spans="1:14" s="136" customFormat="1">
      <c r="A17" s="120" t="s">
        <v>954</v>
      </c>
      <c r="B17" s="120" t="s">
        <v>1325</v>
      </c>
      <c r="C17" s="167" t="s">
        <v>938</v>
      </c>
      <c r="D17" s="120" t="s">
        <v>1333</v>
      </c>
      <c r="E17" s="120" t="s">
        <v>1277</v>
      </c>
      <c r="F17" s="167" t="s">
        <v>954</v>
      </c>
      <c r="G17" s="121" t="s">
        <v>417</v>
      </c>
      <c r="H17" s="120" t="s">
        <v>1061</v>
      </c>
      <c r="I17" s="145"/>
      <c r="J17" s="145"/>
      <c r="K17" s="145"/>
      <c r="L17" s="145"/>
      <c r="M17" s="145"/>
      <c r="N17" s="145"/>
    </row>
    <row r="18" spans="1:14" s="136" customFormat="1">
      <c r="A18" s="120" t="s">
        <v>955</v>
      </c>
      <c r="B18" s="120" t="s">
        <v>1326</v>
      </c>
      <c r="C18" s="167" t="s">
        <v>940</v>
      </c>
      <c r="D18" s="120" t="s">
        <v>1329</v>
      </c>
      <c r="E18" s="120" t="s">
        <v>967</v>
      </c>
      <c r="F18" s="167" t="s">
        <v>955</v>
      </c>
      <c r="G18" s="121" t="s">
        <v>417</v>
      </c>
      <c r="H18" s="120" t="s">
        <v>1061</v>
      </c>
      <c r="I18" s="145"/>
      <c r="J18" s="145"/>
      <c r="K18" s="145"/>
      <c r="L18" s="145"/>
      <c r="M18" s="145"/>
      <c r="N18" s="145"/>
    </row>
    <row r="19" spans="1:14" s="141" customFormat="1">
      <c r="A19" s="141" t="s">
        <v>955</v>
      </c>
      <c r="B19" s="141" t="s">
        <v>1326</v>
      </c>
      <c r="C19" s="141" t="s">
        <v>941</v>
      </c>
      <c r="D19" s="141" t="s">
        <v>1342</v>
      </c>
      <c r="E19" s="141" t="s">
        <v>1278</v>
      </c>
      <c r="F19" s="140" t="s">
        <v>955</v>
      </c>
      <c r="G19" s="121" t="s">
        <v>417</v>
      </c>
      <c r="H19" s="120" t="s">
        <v>1061</v>
      </c>
      <c r="I19" s="145"/>
      <c r="J19" s="145"/>
    </row>
    <row r="20" spans="1:14" s="136" customFormat="1">
      <c r="A20" s="120" t="s">
        <v>958</v>
      </c>
      <c r="B20" s="120" t="s">
        <v>1034</v>
      </c>
      <c r="C20" s="167" t="s">
        <v>803</v>
      </c>
      <c r="D20" s="120" t="s">
        <v>1330</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1335</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1335</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1335</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1335</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1335</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1334</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1339</v>
      </c>
      <c r="E27" s="136" t="s">
        <v>1340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1328</v>
      </c>
      <c r="B6" s="144">
        <v>1</v>
      </c>
    </row>
    <row r="7" spans="1:2">
      <c r="A7" s="332" t="s">
        <v>1329</v>
      </c>
      <c r="B7" s="144">
        <v>1</v>
      </c>
    </row>
    <row r="8" spans="1:2">
      <c r="A8" s="137" t="s">
        <v>1275</v>
      </c>
      <c r="B8" s="144">
        <v>1</v>
      </c>
    </row>
    <row r="9" spans="1:2">
      <c r="A9" s="332" t="s">
        <v>1330</v>
      </c>
      <c r="B9" s="144">
        <v>1</v>
      </c>
    </row>
    <row r="10" spans="1:2">
      <c r="A10" s="137" t="s">
        <v>969</v>
      </c>
      <c r="B10" s="144">
        <v>1</v>
      </c>
    </row>
    <row r="11" spans="1:2">
      <c r="A11" s="332" t="s">
        <v>1331</v>
      </c>
      <c r="B11" s="144">
        <v>1</v>
      </c>
    </row>
    <row r="12" spans="1:2">
      <c r="A12" s="137" t="s">
        <v>1277</v>
      </c>
      <c r="B12" s="144">
        <v>3</v>
      </c>
    </row>
    <row r="13" spans="1:2">
      <c r="A13" s="332" t="s">
        <v>1332</v>
      </c>
      <c r="B13" s="144">
        <v>1</v>
      </c>
    </row>
    <row r="14" spans="1:2">
      <c r="A14" s="332" t="s">
        <v>1333</v>
      </c>
      <c r="B14" s="144">
        <v>2</v>
      </c>
    </row>
    <row r="15" spans="1:2">
      <c r="A15" s="137" t="s">
        <v>1274</v>
      </c>
      <c r="B15" s="144">
        <v>1</v>
      </c>
    </row>
    <row r="16" spans="1:2">
      <c r="A16" s="332" t="s">
        <v>1334</v>
      </c>
      <c r="B16" s="144">
        <v>1</v>
      </c>
    </row>
    <row r="17" spans="1:2">
      <c r="A17" s="137" t="s">
        <v>1279</v>
      </c>
      <c r="B17" s="144">
        <v>5</v>
      </c>
    </row>
    <row r="18" spans="1:2">
      <c r="A18" s="332" t="s">
        <v>1335</v>
      </c>
      <c r="B18" s="144">
        <v>5</v>
      </c>
    </row>
    <row r="19" spans="1:2">
      <c r="A19" s="137" t="s">
        <v>1276</v>
      </c>
      <c r="B19" s="144">
        <v>10</v>
      </c>
    </row>
    <row r="20" spans="1:2">
      <c r="A20" s="332" t="s">
        <v>1337</v>
      </c>
      <c r="B20" s="144">
        <v>1</v>
      </c>
    </row>
    <row r="21" spans="1:2">
      <c r="A21" s="332" t="s">
        <v>1338</v>
      </c>
      <c r="B21" s="144">
        <v>5</v>
      </c>
    </row>
    <row r="22" spans="1:2">
      <c r="A22" s="332" t="s">
        <v>1336</v>
      </c>
      <c r="B22" s="144">
        <v>4</v>
      </c>
    </row>
    <row r="23" spans="1:2">
      <c r="A23" s="137" t="s">
        <v>1340</v>
      </c>
      <c r="B23" s="144">
        <v>1</v>
      </c>
    </row>
    <row r="24" spans="1:2">
      <c r="A24" s="332" t="s">
        <v>1339</v>
      </c>
      <c r="B24" s="144">
        <v>1</v>
      </c>
    </row>
    <row r="25" spans="1:2">
      <c r="A25" s="137" t="s">
        <v>1278</v>
      </c>
      <c r="B25" s="144">
        <v>2</v>
      </c>
    </row>
    <row r="26" spans="1:2">
      <c r="A26" s="332" t="s">
        <v>1342</v>
      </c>
      <c r="B26" s="144">
        <v>1</v>
      </c>
    </row>
    <row r="27" spans="1:2">
      <c r="A27" s="332" t="s">
        <v>1341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1337</v>
      </c>
    </row>
    <row r="5" spans="1:6">
      <c r="A5" s="137" t="s">
        <v>945</v>
      </c>
    </row>
    <row r="6" spans="1:6">
      <c r="A6" s="142" t="s">
        <v>1328</v>
      </c>
    </row>
    <row r="7" spans="1:6">
      <c r="A7" s="137" t="s">
        <v>940</v>
      </c>
    </row>
    <row r="8" spans="1:6">
      <c r="A8" s="142" t="s">
        <v>1331</v>
      </c>
    </row>
    <row r="9" spans="1:6">
      <c r="A9" s="137" t="s">
        <v>938</v>
      </c>
    </row>
    <row r="10" spans="1:6">
      <c r="A10" s="142" t="s">
        <v>1334</v>
      </c>
    </row>
    <row r="11" spans="1:6">
      <c r="A11" s="137" t="s">
        <v>805</v>
      </c>
    </row>
    <row r="12" spans="1:6">
      <c r="A12" s="142" t="s">
        <v>1339</v>
      </c>
    </row>
    <row r="13" spans="1:6">
      <c r="A13" s="137" t="s">
        <v>889</v>
      </c>
    </row>
    <row r="14" spans="1:6">
      <c r="A14" s="142" t="s">
        <v>1335</v>
      </c>
    </row>
    <row r="15" spans="1:6">
      <c r="A15" s="137" t="s">
        <v>949</v>
      </c>
    </row>
    <row r="16" spans="1:6">
      <c r="A16" s="137" t="s">
        <v>950</v>
      </c>
    </row>
    <row r="17" spans="1:1">
      <c r="A17" s="137" t="s">
        <v>942</v>
      </c>
    </row>
    <row r="18" spans="1:1">
      <c r="A18" s="137" t="s">
        <v>943</v>
      </c>
    </row>
    <row r="19" spans="1:1">
      <c r="A19" s="137" t="s">
        <v>944</v>
      </c>
    </row>
    <row r="20" spans="1:1">
      <c r="A20" s="142" t="s">
        <v>1338</v>
      </c>
    </row>
    <row r="21" spans="1:1">
      <c r="A21" s="137" t="s">
        <v>946</v>
      </c>
    </row>
    <row r="22" spans="1:1">
      <c r="A22" s="137" t="s">
        <v>947</v>
      </c>
    </row>
    <row r="23" spans="1:1">
      <c r="A23" s="137" t="s">
        <v>948</v>
      </c>
    </row>
    <row r="24" spans="1:1">
      <c r="A24" s="137" t="s">
        <v>939</v>
      </c>
    </row>
    <row r="25" spans="1:1">
      <c r="A25" s="137" t="s">
        <v>945</v>
      </c>
    </row>
    <row r="26" spans="1:1">
      <c r="A26" s="142" t="s">
        <v>1329</v>
      </c>
    </row>
    <row r="27" spans="1:1">
      <c r="A27" s="137" t="s">
        <v>940</v>
      </c>
    </row>
    <row r="28" spans="1:1">
      <c r="A28" s="142" t="s">
        <v>1342</v>
      </c>
    </row>
    <row r="29" spans="1:1">
      <c r="A29" s="137" t="s">
        <v>941</v>
      </c>
    </row>
    <row r="30" spans="1:1">
      <c r="A30" s="142" t="s">
        <v>1330</v>
      </c>
    </row>
    <row r="31" spans="1:1">
      <c r="A31" s="137" t="s">
        <v>803</v>
      </c>
    </row>
    <row r="32" spans="1:1">
      <c r="A32" s="142" t="s">
        <v>1341</v>
      </c>
    </row>
    <row r="33" spans="1:1">
      <c r="A33" s="137" t="s">
        <v>941</v>
      </c>
    </row>
    <row r="34" spans="1:1">
      <c r="A34" s="142" t="s">
        <v>1332</v>
      </c>
    </row>
    <row r="35" spans="1:1">
      <c r="A35" s="137" t="s">
        <v>937</v>
      </c>
    </row>
    <row r="36" spans="1:1">
      <c r="A36" s="142" t="s">
        <v>1333</v>
      </c>
    </row>
    <row r="37" spans="1:1">
      <c r="A37" s="137" t="s">
        <v>937</v>
      </c>
    </row>
    <row r="38" spans="1:1">
      <c r="A38" s="137" t="s">
        <v>938</v>
      </c>
    </row>
    <row r="39" spans="1:1">
      <c r="A39" s="142" t="s">
        <v>1336</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1330</v>
      </c>
    </row>
    <row r="6" spans="1:6">
      <c r="A6" s="142" t="s">
        <v>1035</v>
      </c>
    </row>
    <row r="7" spans="1:6">
      <c r="A7" s="137" t="s">
        <v>1335</v>
      </c>
    </row>
    <row r="8" spans="1:6">
      <c r="A8" s="142" t="s">
        <v>1036</v>
      </c>
    </row>
    <row r="9" spans="1:6">
      <c r="A9" s="137" t="s">
        <v>1334</v>
      </c>
    </row>
    <row r="10" spans="1:6">
      <c r="A10" s="142" t="s">
        <v>1037</v>
      </c>
    </row>
    <row r="11" spans="1:6">
      <c r="A11" s="137" t="s">
        <v>1339</v>
      </c>
    </row>
    <row r="12" spans="1:6">
      <c r="A12" s="142" t="s">
        <v>975</v>
      </c>
    </row>
    <row r="13" spans="1:6">
      <c r="A13" s="137" t="s">
        <v>975</v>
      </c>
    </row>
    <row r="14" spans="1:6">
      <c r="A14" s="142" t="s">
        <v>1323</v>
      </c>
    </row>
    <row r="15" spans="1:6">
      <c r="A15" s="137" t="s">
        <v>1336</v>
      </c>
    </row>
    <row r="16" spans="1:6">
      <c r="A16" s="137" t="s">
        <v>1328</v>
      </c>
    </row>
    <row r="17" spans="1:1">
      <c r="A17" s="137" t="s">
        <v>1331</v>
      </c>
    </row>
    <row r="18" spans="1:1">
      <c r="A18" s="137" t="s">
        <v>1332</v>
      </c>
    </row>
    <row r="19" spans="1:1">
      <c r="A19" s="137" t="s">
        <v>1341</v>
      </c>
    </row>
    <row r="20" spans="1:1">
      <c r="A20" s="142" t="s">
        <v>1324</v>
      </c>
    </row>
    <row r="21" spans="1:1">
      <c r="A21" s="137" t="s">
        <v>1337</v>
      </c>
    </row>
    <row r="22" spans="1:1">
      <c r="A22" s="142" t="s">
        <v>1326</v>
      </c>
    </row>
    <row r="23" spans="1:1">
      <c r="A23" s="137" t="s">
        <v>1338</v>
      </c>
    </row>
    <row r="24" spans="1:1">
      <c r="A24" s="137" t="s">
        <v>1329</v>
      </c>
    </row>
    <row r="25" spans="1:1">
      <c r="A25" s="137" t="s">
        <v>1342</v>
      </c>
    </row>
    <row r="26" spans="1:1">
      <c r="A26" s="142" t="s">
        <v>1325</v>
      </c>
    </row>
    <row r="27" spans="1:1">
      <c r="A27" s="137" t="s">
        <v>1333</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1336</v>
      </c>
    </row>
    <row r="8" spans="1:1">
      <c r="A8" s="137" t="s">
        <v>1337</v>
      </c>
    </row>
    <row r="9" spans="1:1">
      <c r="A9" s="137" t="s">
        <v>1338</v>
      </c>
    </row>
    <row r="10" spans="1:1">
      <c r="A10" s="142" t="s">
        <v>1061</v>
      </c>
    </row>
    <row r="11" spans="1:1">
      <c r="A11" s="137" t="s">
        <v>1328</v>
      </c>
    </row>
    <row r="12" spans="1:1">
      <c r="A12" s="137" t="s">
        <v>1331</v>
      </c>
    </row>
    <row r="13" spans="1:1">
      <c r="A13" s="137" t="s">
        <v>1332</v>
      </c>
    </row>
    <row r="14" spans="1:1">
      <c r="A14" s="137" t="s">
        <v>1341</v>
      </c>
    </row>
    <row r="15" spans="1:1">
      <c r="A15" s="137" t="s">
        <v>1333</v>
      </c>
    </row>
    <row r="16" spans="1:1">
      <c r="A16" s="137" t="s">
        <v>1329</v>
      </c>
    </row>
    <row r="17" spans="1:1">
      <c r="A17" s="137" t="s">
        <v>1342</v>
      </c>
    </row>
    <row r="18" spans="1:1">
      <c r="A18" s="142" t="s">
        <v>1062</v>
      </c>
    </row>
    <row r="19" spans="1:1">
      <c r="A19" s="137" t="s">
        <v>1330</v>
      </c>
    </row>
    <row r="20" spans="1:1">
      <c r="A20" s="142" t="s">
        <v>1063</v>
      </c>
    </row>
    <row r="21" spans="1:1">
      <c r="A21" s="137" t="s">
        <v>1335</v>
      </c>
    </row>
    <row r="22" spans="1:1">
      <c r="A22" s="142" t="s">
        <v>1064</v>
      </c>
    </row>
    <row r="23" spans="1:1">
      <c r="A23" s="137" t="s">
        <v>1334</v>
      </c>
    </row>
    <row r="24" spans="1:1">
      <c r="A24" s="142" t="s">
        <v>1070</v>
      </c>
    </row>
    <row r="25" spans="1:1">
      <c r="A25" s="137" t="s">
        <v>1339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1388</v>
      </c>
      <c r="D13" s="140"/>
      <c r="E13" s="212"/>
      <c r="F13" s="212"/>
      <c r="G13" s="212"/>
      <c r="H13" s="327"/>
      <c r="I13" s="212" t="s">
        <v>1387</v>
      </c>
      <c r="J13" s="212"/>
      <c r="K13" s="212"/>
      <c r="L13" s="212"/>
      <c r="M13" s="212"/>
      <c r="N13" s="327"/>
      <c r="O13" s="212"/>
      <c r="P13" s="212"/>
      <c r="Q13" s="212"/>
      <c r="R13" s="212"/>
      <c r="S13" s="212"/>
      <c r="T13" s="212" t="s">
        <v>1389</v>
      </c>
      <c r="U13" s="327"/>
      <c r="V13" s="212"/>
      <c r="W13" s="212"/>
      <c r="X13" s="212"/>
    </row>
    <row r="14" spans="1:24" s="335" customFormat="1" ht="43.5">
      <c r="B14" s="336"/>
      <c r="C14" s="335" t="s">
        <v>1385</v>
      </c>
      <c r="D14" s="112"/>
      <c r="E14" s="337" t="s">
        <v>1380</v>
      </c>
      <c r="F14" s="337" t="s">
        <v>1380</v>
      </c>
      <c r="G14" s="337"/>
      <c r="H14" s="338"/>
      <c r="I14" s="337" t="s">
        <v>1381</v>
      </c>
      <c r="J14" s="337" t="s">
        <v>1382</v>
      </c>
      <c r="K14" s="337"/>
      <c r="L14" s="337"/>
      <c r="M14" s="337"/>
      <c r="N14" s="338"/>
      <c r="O14" s="337"/>
      <c r="P14" s="337"/>
      <c r="Q14" s="337"/>
      <c r="R14" s="337"/>
      <c r="S14" s="337"/>
      <c r="T14" s="337" t="s">
        <v>1386</v>
      </c>
      <c r="U14" s="338"/>
      <c r="V14" s="337"/>
      <c r="W14" s="337"/>
      <c r="X14" s="337" t="s">
        <v>1387</v>
      </c>
    </row>
    <row r="15" spans="1:24" s="335" customFormat="1" ht="29">
      <c r="B15" s="336"/>
      <c r="C15" s="335" t="s">
        <v>1383</v>
      </c>
      <c r="D15" s="112"/>
      <c r="E15" s="337" t="s">
        <v>1384</v>
      </c>
      <c r="F15" s="337" t="s">
        <v>1381</v>
      </c>
      <c r="G15" s="337"/>
      <c r="H15" s="338"/>
      <c r="I15" s="337" t="s">
        <v>1384</v>
      </c>
      <c r="J15" s="337" t="s">
        <v>1381</v>
      </c>
      <c r="K15" s="337"/>
      <c r="L15" s="337"/>
      <c r="M15" s="337"/>
      <c r="N15" s="338"/>
      <c r="O15" s="337"/>
      <c r="P15" s="337"/>
      <c r="Q15" s="337"/>
      <c r="R15" s="337"/>
      <c r="S15" s="337"/>
      <c r="T15" s="337" t="s">
        <v>1384</v>
      </c>
      <c r="U15" s="338"/>
      <c r="V15" s="337"/>
      <c r="W15" s="337"/>
      <c r="X15" s="337" t="s">
        <v>1384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1374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1378</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73" t="str">
        <f>J11</f>
        <v>Mini team 1:ATM-5 / ATM-6 / ATM-7</v>
      </c>
      <c r="D4" s="73" t="str">
        <f>M11</f>
        <v>Mini team 2: ATM-1 / ATM-2 / ATM-3 / ATM-4</v>
      </c>
      <c r="E4" s="73" t="str">
        <f>CONCATENATE("LA team: ",'Agreement 3'!B7," and ATMs if applicable")</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4"/>
      <c r="D12" s="374"/>
      <c r="E12" s="374"/>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4"/>
      <c r="D13" s="374"/>
      <c r="E13" s="374"/>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5" t="str">
        <f>CONCATENATE("Schedule above includes ",Planning!B28," non-working day(s).")</f>
        <v>Schedule above includes 0 non-working day(s).</v>
      </c>
      <c r="B15" s="375"/>
      <c r="C15" s="375"/>
      <c r="D15" s="375"/>
      <c r="E15" s="375"/>
      <c r="F15" s="375"/>
      <c r="G15" s="375"/>
      <c r="H15" s="70"/>
      <c r="I15" s="150"/>
      <c r="K15" s="154"/>
      <c r="L15" s="150"/>
      <c r="M15" s="151"/>
      <c r="N15" s="72"/>
      <c r="O15" s="72"/>
      <c r="P15" s="72"/>
    </row>
    <row r="16" spans="1:16">
      <c r="A16" s="376" t="str">
        <f>J4</f>
        <v>Day 3</v>
      </c>
      <c r="B16" s="376"/>
      <c r="C16" s="377">
        <f>I4</f>
        <v>44249</v>
      </c>
      <c r="D16" s="377"/>
      <c r="E16" s="377"/>
      <c r="F16" s="376" t="str">
        <f>A16</f>
        <v>Day 3</v>
      </c>
      <c r="G16" s="376"/>
      <c r="H16" s="70"/>
      <c r="I16" s="150"/>
      <c r="K16" s="154"/>
      <c r="L16" s="151"/>
      <c r="M16" s="151"/>
      <c r="N16" s="72"/>
      <c r="O16" s="72"/>
      <c r="P16" s="72"/>
    </row>
    <row r="17" spans="1:18" ht="29">
      <c r="A17" s="376" t="s">
        <v>992</v>
      </c>
      <c r="B17" s="376"/>
      <c r="C17" s="76" t="str">
        <f>C4</f>
        <v>Mini team 1:ATM-5 / ATM-6 / ATM-7</v>
      </c>
      <c r="D17" s="76" t="str">
        <f>D4</f>
        <v>Mini team 2: ATM-1 / ATM-2 / ATM-3 / ATM-4</v>
      </c>
      <c r="E17" s="76"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1000</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76" t="str">
        <f>C17</f>
        <v>Mini team 1:ATM-5 / ATM-6 / ATM-7</v>
      </c>
      <c r="D36" s="76" t="str">
        <f>D17</f>
        <v>Mini team 2: ATM-1 / ATM-2 / ATM-3 / ATM-4</v>
      </c>
      <c r="E36" s="76" t="str">
        <f>E17</f>
        <v>LA team: van Zyl, Pieter and ATMs if applicable</v>
      </c>
      <c r="F36" s="376" t="s">
        <v>993</v>
      </c>
      <c r="G36" s="376"/>
      <c r="H36" s="79"/>
    </row>
    <row r="37" spans="1:16" ht="18" customHeight="1">
      <c r="A37" s="75">
        <v>0.41666666666666669</v>
      </c>
      <c r="B37" s="75">
        <v>0.4375</v>
      </c>
      <c r="C37" s="374" t="s">
        <v>1000</v>
      </c>
      <c r="D37" s="374"/>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1000</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73" t="str">
        <f>C36</f>
        <v>Mini team 1:ATM-5 / ATM-6 / ATM-7</v>
      </c>
      <c r="D55" s="73" t="str">
        <f>D36</f>
        <v>Mini team 2: ATM-1 / ATM-2 / ATM-3 / ATM-4</v>
      </c>
      <c r="E55" s="73" t="str">
        <f>E36</f>
        <v>LA team: van Zyl, Pieter and ATMs if applicable</v>
      </c>
      <c r="F55" s="370" t="s">
        <v>993</v>
      </c>
      <c r="G55" s="370"/>
      <c r="H55" s="79"/>
    </row>
    <row r="56" spans="1:8" ht="18" customHeight="1">
      <c r="A56" s="75">
        <v>0.41666666666666669</v>
      </c>
      <c r="B56" s="75">
        <v>0.4375</v>
      </c>
      <c r="C56" s="374" t="s">
        <v>1002</v>
      </c>
      <c r="D56" s="374"/>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4" t="s">
        <v>1000</v>
      </c>
      <c r="D71" s="374"/>
      <c r="E71" s="374"/>
      <c r="F71" s="75">
        <v>0.47916666666666669</v>
      </c>
      <c r="G71" s="75">
        <v>0.5</v>
      </c>
      <c r="H71" s="79"/>
    </row>
    <row r="72" spans="1:8" ht="18" customHeight="1">
      <c r="A72" s="75">
        <v>0.75</v>
      </c>
      <c r="B72" s="75">
        <v>0.83333333333333337</v>
      </c>
      <c r="C72" s="374" t="s">
        <v>1001</v>
      </c>
      <c r="D72" s="374"/>
      <c r="E72" s="37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73" t="str">
        <f>C55</f>
        <v>Mini team 1:ATM-5 / ATM-6 / ATM-7</v>
      </c>
      <c r="D74" s="73" t="str">
        <f>D55</f>
        <v>Mini team 2: ATM-1 / ATM-2 / ATM-3 / ATM-4</v>
      </c>
      <c r="E74" s="73"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2" t="s">
        <v>1003</v>
      </c>
      <c r="D81" s="382"/>
      <c r="E81" s="382"/>
      <c r="F81" s="75">
        <v>0.29166666666666669</v>
      </c>
      <c r="G81" s="75">
        <v>0.3125</v>
      </c>
      <c r="H81" s="79"/>
    </row>
    <row r="82" spans="1:8" ht="18" customHeight="1">
      <c r="A82" s="75">
        <v>0.5625</v>
      </c>
      <c r="B82" s="75">
        <v>0.58333333333333337</v>
      </c>
      <c r="C82" s="382"/>
      <c r="D82" s="382"/>
      <c r="E82" s="382"/>
      <c r="F82" s="75">
        <v>0.3125</v>
      </c>
      <c r="G82" s="75">
        <v>0.33333333333333331</v>
      </c>
      <c r="H82" s="79"/>
    </row>
    <row r="83" spans="1:8" ht="18" customHeight="1">
      <c r="A83" s="75">
        <v>0.58333333333333337</v>
      </c>
      <c r="B83" s="75">
        <v>0.60416666666666663</v>
      </c>
      <c r="C83" s="382"/>
      <c r="D83" s="382"/>
      <c r="E83" s="382"/>
      <c r="F83" s="75">
        <v>0.33333333333333331</v>
      </c>
      <c r="G83" s="75">
        <v>0.35416666666666669</v>
      </c>
      <c r="H83" s="79"/>
    </row>
    <row r="84" spans="1:8" ht="18" customHeight="1">
      <c r="A84" s="75">
        <v>0.60416666666666663</v>
      </c>
      <c r="B84" s="75">
        <v>0.625</v>
      </c>
      <c r="C84" s="382"/>
      <c r="D84" s="382"/>
      <c r="E84" s="382"/>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73" t="str">
        <f>C74</f>
        <v>Mini team 1:ATM-5 / ATM-6 / ATM-7</v>
      </c>
      <c r="D93" s="73" t="str">
        <f>D74</f>
        <v>Mini team 2: ATM-1 / ATM-2 / ATM-3 / ATM-4</v>
      </c>
      <c r="E93" s="73"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1379</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269" t="str">
        <f>Schedule4!C4</f>
        <v>Mini team 1:ATM-5 / ATM-6 / ATM-7</v>
      </c>
      <c r="D4" s="269" t="str">
        <f>Schedule4!D4</f>
        <v>Mini team 2: ATM-1 / ATM-2 / ATM-3 / ATM-4</v>
      </c>
      <c r="E4" s="269" t="str">
        <f>Schedule4!E4</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4"/>
      <c r="D12" s="374"/>
      <c r="E12" s="374"/>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4"/>
      <c r="D13" s="374"/>
      <c r="E13" s="374"/>
      <c r="F13" s="75">
        <v>0.5</v>
      </c>
      <c r="G13" s="75">
        <v>0.54166666666666663</v>
      </c>
      <c r="H13" s="70"/>
      <c r="I13" s="150" t="str">
        <f>'P1PA-SS'!B95</f>
        <v>ATM-5</v>
      </c>
      <c r="K13" s="153"/>
      <c r="L13" s="150"/>
      <c r="M13" s="154"/>
      <c r="N13" s="72"/>
      <c r="O13" s="72"/>
      <c r="P13" s="72"/>
    </row>
    <row r="14" spans="1:16">
      <c r="I14" s="150"/>
      <c r="K14" s="48"/>
      <c r="L14" s="150"/>
      <c r="M14" s="154"/>
    </row>
    <row r="15" spans="1:16">
      <c r="A15" s="375" t="str">
        <f>CONCATENATE("Schedule above includes ",Planning!B28," non-working day(s).")</f>
        <v>Schedule above includes 0 non-working day(s).</v>
      </c>
      <c r="B15" s="375"/>
      <c r="C15" s="375"/>
      <c r="D15" s="375"/>
      <c r="E15" s="375"/>
      <c r="F15" s="375"/>
      <c r="G15" s="375"/>
      <c r="H15" s="70"/>
      <c r="K15" s="154"/>
      <c r="L15" s="151"/>
      <c r="M15" s="151"/>
      <c r="N15" s="72"/>
      <c r="O15" s="72"/>
      <c r="P15" s="72"/>
    </row>
    <row r="16" spans="1:16">
      <c r="A16" s="376" t="str">
        <f>J4</f>
        <v>Day 3</v>
      </c>
      <c r="B16" s="376"/>
      <c r="C16" s="377">
        <f>I4</f>
        <v>44249</v>
      </c>
      <c r="D16" s="377"/>
      <c r="E16" s="377"/>
      <c r="F16" s="376" t="str">
        <f>A16</f>
        <v>Day 3</v>
      </c>
      <c r="G16" s="376"/>
      <c r="H16" s="70"/>
      <c r="K16" s="154"/>
      <c r="L16" s="151"/>
      <c r="M16" s="151"/>
      <c r="N16" s="72"/>
      <c r="O16" s="72"/>
      <c r="P16" s="72"/>
    </row>
    <row r="17" spans="1:18" ht="29">
      <c r="A17" s="376" t="s">
        <v>992</v>
      </c>
      <c r="B17" s="376"/>
      <c r="C17" s="271" t="str">
        <f>C4</f>
        <v>Mini team 1:ATM-5 / ATM-6 / ATM-7</v>
      </c>
      <c r="D17" s="271" t="str">
        <f>D4</f>
        <v>Mini team 2: ATM-1 / ATM-2 / ATM-3 / ATM-4</v>
      </c>
      <c r="E17" s="271"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1241</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271" t="str">
        <f>C17</f>
        <v>Mini team 1:ATM-5 / ATM-6 / ATM-7</v>
      </c>
      <c r="D36" s="271" t="str">
        <f>D17</f>
        <v>Mini team 2: ATM-1 / ATM-2 / ATM-3 / ATM-4</v>
      </c>
      <c r="E36" s="271" t="str">
        <f>E17</f>
        <v>LA team: van Zyl, Pieter and ATMs if applicable</v>
      </c>
      <c r="F36" s="376" t="s">
        <v>993</v>
      </c>
      <c r="G36" s="376"/>
      <c r="H36" s="79"/>
    </row>
    <row r="37" spans="1:16" ht="18" customHeight="1">
      <c r="A37" s="75">
        <v>0.41666666666666669</v>
      </c>
      <c r="B37" s="75">
        <v>0.4375</v>
      </c>
      <c r="C37" s="374" t="s">
        <v>1000</v>
      </c>
      <c r="D37" s="374"/>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1241</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269" t="str">
        <f>C36</f>
        <v>Mini team 1:ATM-5 / ATM-6 / ATM-7</v>
      </c>
      <c r="D55" s="269" t="str">
        <f>D36</f>
        <v>Mini team 2: ATM-1 / ATM-2 / ATM-3 / ATM-4</v>
      </c>
      <c r="E55" s="269" t="str">
        <f>E36</f>
        <v>LA team: van Zyl, Pieter and ATMs if applicable</v>
      </c>
      <c r="F55" s="370" t="s">
        <v>993</v>
      </c>
      <c r="G55" s="370"/>
      <c r="H55" s="79"/>
    </row>
    <row r="56" spans="1:8" ht="18" customHeight="1">
      <c r="A56" s="75">
        <v>0.41666666666666669</v>
      </c>
      <c r="B56" s="75">
        <v>0.4375</v>
      </c>
      <c r="C56" s="374" t="s">
        <v>1002</v>
      </c>
      <c r="D56" s="374"/>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9" t="s">
        <v>1240</v>
      </c>
      <c r="D71" s="390"/>
      <c r="E71" s="391"/>
      <c r="F71" s="75">
        <v>0.47916666666666669</v>
      </c>
      <c r="G71" s="75">
        <v>0.5</v>
      </c>
      <c r="H71" s="79"/>
    </row>
    <row r="72" spans="1:8" ht="18" customHeight="1">
      <c r="A72" s="75">
        <v>0.75</v>
      </c>
      <c r="B72" s="75">
        <v>0.83333333333333337</v>
      </c>
      <c r="C72" s="392"/>
      <c r="D72" s="393"/>
      <c r="E72" s="39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269" t="str">
        <f>C55</f>
        <v>Mini team 1:ATM-5 / ATM-6 / ATM-7</v>
      </c>
      <c r="D74" s="269" t="str">
        <f>D55</f>
        <v>Mini team 2: ATM-1 / ATM-2 / ATM-3 / ATM-4</v>
      </c>
      <c r="E74" s="269"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9" t="s">
        <v>1240</v>
      </c>
      <c r="D81" s="390"/>
      <c r="E81" s="391"/>
      <c r="F81" s="75">
        <v>0.29166666666666669</v>
      </c>
      <c r="G81" s="75">
        <v>0.3125</v>
      </c>
      <c r="H81" s="79"/>
    </row>
    <row r="82" spans="1:8" ht="18" customHeight="1">
      <c r="A82" s="75">
        <v>0.5625</v>
      </c>
      <c r="B82" s="75">
        <v>0.58333333333333337</v>
      </c>
      <c r="C82" s="392"/>
      <c r="D82" s="393"/>
      <c r="E82" s="394"/>
      <c r="F82" s="75">
        <v>0.3125</v>
      </c>
      <c r="G82" s="75">
        <v>0.33333333333333331</v>
      </c>
      <c r="H82" s="79"/>
    </row>
    <row r="83" spans="1:8" ht="18" customHeight="1">
      <c r="A83" s="75">
        <v>0.58333333333333337</v>
      </c>
      <c r="B83" s="75">
        <v>0.60416666666666663</v>
      </c>
      <c r="C83" s="383" t="s">
        <v>1003</v>
      </c>
      <c r="D83" s="384"/>
      <c r="E83" s="385"/>
      <c r="F83" s="75">
        <v>0.33333333333333331</v>
      </c>
      <c r="G83" s="75">
        <v>0.35416666666666669</v>
      </c>
      <c r="H83" s="79"/>
    </row>
    <row r="84" spans="1:8" ht="18" customHeight="1">
      <c r="A84" s="75">
        <v>0.60416666666666663</v>
      </c>
      <c r="B84" s="75">
        <v>0.625</v>
      </c>
      <c r="C84" s="386"/>
      <c r="D84" s="387"/>
      <c r="E84" s="388"/>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269" t="str">
        <f>C74</f>
        <v>Mini team 1:ATM-5 / ATM-6 / ATM-7</v>
      </c>
      <c r="D93" s="269" t="str">
        <f>D74</f>
        <v>Mini team 2: ATM-1 / ATM-2 / ATM-3 / ATM-4</v>
      </c>
      <c r="E93" s="269"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1302</v>
      </c>
      <c r="D94" s="273" t="s">
        <v>1398</v>
      </c>
      <c r="F94" s="289" t="s">
        <v>1345</v>
      </c>
      <c r="G94" s="168" t="s">
        <v>1399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1401</v>
      </c>
      <c r="J15" s="233" t="s">
        <v>1402</v>
      </c>
    </row>
    <row r="16" spans="2:19" ht="42">
      <c r="H16" s="233" t="s">
        <v>1217</v>
      </c>
      <c r="I16" s="233" t="s">
        <v>1403</v>
      </c>
      <c r="J16" s="233" t="s">
        <v>1404</v>
      </c>
    </row>
    <row r="17" spans="8:10" ht="42">
      <c r="H17" s="233" t="s">
        <v>1218</v>
      </c>
      <c r="I17" s="233" t="s">
        <v>1405</v>
      </c>
      <c r="J17" s="233" t="s">
        <v>1406</v>
      </c>
    </row>
    <row r="18" spans="8:10" ht="21">
      <c r="H18" s="233" t="s">
        <v>1219</v>
      </c>
      <c r="I18" s="233" t="s">
        <v>1231</v>
      </c>
      <c r="J18" s="233" t="s">
        <v>1232</v>
      </c>
    </row>
    <row r="19" spans="8:10" ht="42">
      <c r="H19" s="233" t="s">
        <v>1220</v>
      </c>
      <c r="I19" s="233" t="s">
        <v>1407</v>
      </c>
      <c r="J19" s="233" t="s">
        <v>1408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1409</v>
      </c>
      <c r="J31" s="233" t="s">
        <v>1410</v>
      </c>
    </row>
    <row r="32" spans="8:10" ht="84">
      <c r="H32" s="233" t="s">
        <v>1217</v>
      </c>
      <c r="I32" s="233" t="s">
        <v>1411</v>
      </c>
      <c r="J32" s="233" t="s">
        <v>1412</v>
      </c>
    </row>
    <row r="33" spans="8:10" ht="84">
      <c r="H33" s="233" t="s">
        <v>1218</v>
      </c>
      <c r="I33" s="233" t="s">
        <v>1413</v>
      </c>
      <c r="J33" s="233" t="s">
        <v>1414</v>
      </c>
    </row>
    <row r="34" spans="8:10" ht="63">
      <c r="H34" s="233" t="s">
        <v>1219</v>
      </c>
      <c r="I34" s="233" t="s">
        <v>1415</v>
      </c>
      <c r="J34" s="233" t="s">
        <v>1416</v>
      </c>
    </row>
    <row r="35" spans="8:10" ht="84">
      <c r="H35" s="233" t="s">
        <v>1220</v>
      </c>
      <c r="I35" s="233" t="s">
        <v>1417</v>
      </c>
      <c r="J35" s="233" t="s">
        <v>1418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3" t="s">
        <v>1185</v>
      </c>
      <c r="C2" s="433" t="s">
        <v>1186</v>
      </c>
      <c r="D2" s="424" t="s">
        <v>1187</v>
      </c>
      <c r="E2" s="426"/>
      <c r="F2" s="427" t="s">
        <v>1188</v>
      </c>
      <c r="G2" s="429"/>
      <c r="H2" s="424" t="s">
        <v>1189</v>
      </c>
      <c r="I2" s="425"/>
      <c r="J2" s="425"/>
      <c r="K2" s="426"/>
      <c r="L2" s="427" t="s">
        <v>1190</v>
      </c>
      <c r="M2" s="428"/>
      <c r="N2" s="429"/>
      <c r="O2" s="240" t="s">
        <v>1191</v>
      </c>
      <c r="P2" s="241" t="s">
        <v>1192</v>
      </c>
      <c r="Q2" s="424" t="s">
        <v>1193</v>
      </c>
      <c r="R2" s="425"/>
      <c r="S2" s="426"/>
      <c r="T2" s="427" t="s">
        <v>1194</v>
      </c>
      <c r="U2" s="428"/>
      <c r="V2" s="429"/>
      <c r="W2" s="237" t="s">
        <v>1195</v>
      </c>
    </row>
    <row r="3" spans="2:28" ht="15.5">
      <c r="B3" s="434"/>
      <c r="C3" s="434"/>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0"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31"/>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31"/>
      <c r="C7" s="346">
        <v>1.2</v>
      </c>
      <c r="D7" s="349"/>
      <c r="E7" s="349"/>
      <c r="F7" s="349"/>
      <c r="G7" s="349"/>
      <c r="H7" s="349"/>
      <c r="I7" s="349" t="s">
        <v>1197</v>
      </c>
      <c r="J7" s="349"/>
      <c r="K7" s="349"/>
      <c r="L7" s="349" t="s">
        <v>1197</v>
      </c>
      <c r="M7" s="349"/>
      <c r="N7" s="349" t="s">
        <v>1197</v>
      </c>
      <c r="O7" s="349"/>
      <c r="P7" s="349"/>
      <c r="Q7" s="349" t="s">
        <v>1197</v>
      </c>
      <c r="R7" s="349" t="s">
        <v>1197</v>
      </c>
      <c r="S7" s="349"/>
      <c r="T7" s="349" t="s">
        <v>1400</v>
      </c>
      <c r="U7" s="349" t="s">
        <v>1197</v>
      </c>
      <c r="V7" s="349" t="s">
        <v>1400</v>
      </c>
      <c r="W7" s="225" t="s">
        <v>971</v>
      </c>
      <c r="Z7" s="224" t="s">
        <v>1198</v>
      </c>
      <c r="AB7" s="224" t="s">
        <v>1201</v>
      </c>
    </row>
    <row r="8" spans="2:28" ht="15.5">
      <c r="B8" s="431"/>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32"/>
      <c r="C9" s="346">
        <v>1.4</v>
      </c>
      <c r="D9" s="349"/>
      <c r="E9" s="349"/>
      <c r="F9" s="349" t="s">
        <v>1400</v>
      </c>
      <c r="G9" s="349" t="s">
        <v>1400</v>
      </c>
      <c r="H9" s="349" t="s">
        <v>1400</v>
      </c>
      <c r="I9" s="349" t="s">
        <v>1400</v>
      </c>
      <c r="J9" s="349" t="s">
        <v>1400</v>
      </c>
      <c r="K9" s="349" t="s">
        <v>1400</v>
      </c>
      <c r="L9" s="349"/>
      <c r="M9" s="349" t="s">
        <v>1400</v>
      </c>
      <c r="N9" s="349" t="s">
        <v>1400</v>
      </c>
      <c r="O9" s="349" t="s">
        <v>1400</v>
      </c>
      <c r="P9" s="349" t="s">
        <v>1400</v>
      </c>
      <c r="Q9" s="349" t="s">
        <v>1400</v>
      </c>
      <c r="R9" s="349" t="s">
        <v>1400</v>
      </c>
      <c r="S9" s="349" t="s">
        <v>1400</v>
      </c>
      <c r="T9" s="349" t="s">
        <v>1400</v>
      </c>
      <c r="U9" s="349" t="s">
        <v>1400</v>
      </c>
      <c r="V9" s="349" t="s">
        <v>1400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0"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31"/>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1"/>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1"/>
      <c r="C14" s="346">
        <v>2.2999999999999998</v>
      </c>
      <c r="D14" s="244" t="s">
        <v>1197</v>
      </c>
      <c r="E14" s="244"/>
      <c r="F14" s="244" t="s">
        <v>1197</v>
      </c>
      <c r="G14" s="244" t="s">
        <v>1197</v>
      </c>
      <c r="H14" s="244" t="s">
        <v>1197</v>
      </c>
      <c r="I14" s="244" t="s">
        <v>1197</v>
      </c>
      <c r="J14" s="244" t="s">
        <v>1197</v>
      </c>
      <c r="K14" s="244" t="s">
        <v>1197</v>
      </c>
      <c r="L14" s="244" t="s">
        <v>1400</v>
      </c>
      <c r="M14" s="244" t="s">
        <v>1197</v>
      </c>
      <c r="N14" s="244" t="s">
        <v>1197</v>
      </c>
      <c r="O14" s="244" t="s">
        <v>1400</v>
      </c>
      <c r="P14" s="244" t="s">
        <v>1400</v>
      </c>
      <c r="Q14" s="244" t="s">
        <v>1197</v>
      </c>
      <c r="R14" s="244" t="s">
        <v>1197</v>
      </c>
      <c r="S14" s="244" t="s">
        <v>1197</v>
      </c>
      <c r="T14" s="244" t="s">
        <v>1400</v>
      </c>
      <c r="U14" s="244" t="s">
        <v>1197</v>
      </c>
      <c r="V14" s="244" t="s">
        <v>1197</v>
      </c>
      <c r="W14" s="225" t="s">
        <v>1197</v>
      </c>
    </row>
    <row r="15" spans="2:28" ht="15.5">
      <c r="B15" s="431"/>
      <c r="C15" s="346">
        <v>2.4</v>
      </c>
      <c r="D15" s="244" t="s">
        <v>1197</v>
      </c>
      <c r="E15" s="244"/>
      <c r="F15" s="244" t="s">
        <v>1400</v>
      </c>
      <c r="G15" s="244" t="s">
        <v>1197</v>
      </c>
      <c r="H15" s="244" t="s">
        <v>1197</v>
      </c>
      <c r="I15" s="244" t="s">
        <v>1400</v>
      </c>
      <c r="J15" s="244" t="s">
        <v>1197</v>
      </c>
      <c r="K15" s="244" t="s">
        <v>1197</v>
      </c>
      <c r="L15" s="244" t="s">
        <v>1400</v>
      </c>
      <c r="M15" s="244" t="s">
        <v>1400</v>
      </c>
      <c r="N15" s="244" t="s">
        <v>1197</v>
      </c>
      <c r="O15" s="244" t="s">
        <v>1400</v>
      </c>
      <c r="P15" s="244" t="s">
        <v>1400</v>
      </c>
      <c r="Q15" s="244" t="s">
        <v>1197</v>
      </c>
      <c r="R15" s="244" t="s">
        <v>1197</v>
      </c>
      <c r="S15" s="244"/>
      <c r="T15" s="244" t="s">
        <v>1400</v>
      </c>
      <c r="U15" s="244" t="s">
        <v>1197</v>
      </c>
      <c r="V15" s="244" t="s">
        <v>1197</v>
      </c>
      <c r="W15" s="225" t="s">
        <v>1198</v>
      </c>
    </row>
    <row r="16" spans="2:28" ht="15.5">
      <c r="B16" s="431"/>
      <c r="C16" s="346">
        <v>2.5</v>
      </c>
      <c r="D16" s="244"/>
      <c r="E16" s="244"/>
      <c r="F16" s="244" t="s">
        <v>1400</v>
      </c>
      <c r="G16" s="244" t="s">
        <v>1197</v>
      </c>
      <c r="H16" s="244" t="s">
        <v>1400</v>
      </c>
      <c r="I16" s="244" t="s">
        <v>1400</v>
      </c>
      <c r="J16" s="244" t="s">
        <v>1400</v>
      </c>
      <c r="K16" s="244" t="s">
        <v>1197</v>
      </c>
      <c r="L16" s="244" t="s">
        <v>1400</v>
      </c>
      <c r="M16" s="244" t="s">
        <v>1400</v>
      </c>
      <c r="N16" s="244" t="s">
        <v>1197</v>
      </c>
      <c r="O16" s="244" t="s">
        <v>1400</v>
      </c>
      <c r="P16" s="244" t="s">
        <v>1400</v>
      </c>
      <c r="Q16" s="244" t="s">
        <v>1400</v>
      </c>
      <c r="R16" s="244" t="s">
        <v>1197</v>
      </c>
      <c r="S16" s="244" t="s">
        <v>1400</v>
      </c>
      <c r="T16" s="244" t="s">
        <v>1400</v>
      </c>
      <c r="U16" s="244" t="s">
        <v>1197</v>
      </c>
      <c r="V16" s="244" t="s">
        <v>1197</v>
      </c>
      <c r="W16" s="225"/>
    </row>
    <row r="17" spans="2:23" ht="15.5">
      <c r="B17" s="431"/>
      <c r="C17" s="346">
        <v>2.6</v>
      </c>
      <c r="D17" s="244"/>
      <c r="E17" s="244"/>
      <c r="F17" s="244" t="s">
        <v>1400</v>
      </c>
      <c r="G17" s="244" t="s">
        <v>1197</v>
      </c>
      <c r="H17" s="244" t="s">
        <v>1400</v>
      </c>
      <c r="I17" s="244" t="s">
        <v>1400</v>
      </c>
      <c r="J17" s="244" t="s">
        <v>1400</v>
      </c>
      <c r="K17" s="244" t="s">
        <v>1197</v>
      </c>
      <c r="L17" s="244" t="s">
        <v>1400</v>
      </c>
      <c r="M17" s="244" t="s">
        <v>1400</v>
      </c>
      <c r="N17" s="244" t="s">
        <v>1197</v>
      </c>
      <c r="O17" s="244" t="s">
        <v>1400</v>
      </c>
      <c r="P17" s="244" t="s">
        <v>1400</v>
      </c>
      <c r="Q17" s="244" t="s">
        <v>1400</v>
      </c>
      <c r="R17" s="244" t="s">
        <v>1197</v>
      </c>
      <c r="S17" s="244" t="s">
        <v>1400</v>
      </c>
      <c r="T17" s="244" t="s">
        <v>1400</v>
      </c>
      <c r="U17" s="244" t="s">
        <v>1400</v>
      </c>
      <c r="V17" s="244" t="s">
        <v>1197</v>
      </c>
      <c r="W17" s="225"/>
    </row>
    <row r="18" spans="2:23" ht="15.5">
      <c r="B18" s="431"/>
      <c r="C18" s="346">
        <v>2.7</v>
      </c>
      <c r="D18" s="244"/>
      <c r="E18" s="244"/>
      <c r="F18" s="244" t="s">
        <v>1400</v>
      </c>
      <c r="G18" s="244" t="s">
        <v>1400</v>
      </c>
      <c r="H18" s="244" t="s">
        <v>1400</v>
      </c>
      <c r="I18" s="244" t="s">
        <v>1400</v>
      </c>
      <c r="J18" s="244" t="s">
        <v>1400</v>
      </c>
      <c r="K18" s="244" t="s">
        <v>1400</v>
      </c>
      <c r="L18" s="244" t="s">
        <v>1400</v>
      </c>
      <c r="M18" s="244" t="s">
        <v>1400</v>
      </c>
      <c r="N18" s="244" t="s">
        <v>1400</v>
      </c>
      <c r="O18" s="244" t="s">
        <v>1400</v>
      </c>
      <c r="P18" s="244" t="s">
        <v>1400</v>
      </c>
      <c r="Q18" s="244" t="s">
        <v>1400</v>
      </c>
      <c r="R18" s="244" t="s">
        <v>1197</v>
      </c>
      <c r="S18" s="244" t="s">
        <v>1400</v>
      </c>
      <c r="T18" s="244" t="s">
        <v>1400</v>
      </c>
      <c r="U18" s="244" t="s">
        <v>1400</v>
      </c>
      <c r="V18" s="244" t="s">
        <v>1400</v>
      </c>
      <c r="W18" s="225"/>
    </row>
    <row r="19" spans="2:23" ht="15.5">
      <c r="B19" s="432"/>
      <c r="C19" s="346">
        <v>2.8</v>
      </c>
      <c r="D19" s="244"/>
      <c r="E19" s="244"/>
      <c r="F19" s="244" t="s">
        <v>1400</v>
      </c>
      <c r="G19" s="244" t="s">
        <v>1400</v>
      </c>
      <c r="H19" s="244" t="s">
        <v>1400</v>
      </c>
      <c r="I19" s="244" t="s">
        <v>1400</v>
      </c>
      <c r="J19" s="244" t="s">
        <v>1400</v>
      </c>
      <c r="K19" s="244" t="s">
        <v>1400</v>
      </c>
      <c r="L19" s="244" t="s">
        <v>1400</v>
      </c>
      <c r="M19" s="244" t="s">
        <v>1400</v>
      </c>
      <c r="N19" s="244" t="s">
        <v>1400</v>
      </c>
      <c r="O19" s="244" t="s">
        <v>1400</v>
      </c>
      <c r="P19" s="244" t="s">
        <v>1400</v>
      </c>
      <c r="Q19" s="244" t="s">
        <v>1400</v>
      </c>
      <c r="R19" s="244" t="s">
        <v>1198</v>
      </c>
      <c r="S19" s="244" t="s">
        <v>1400</v>
      </c>
      <c r="T19" s="244" t="s">
        <v>1400</v>
      </c>
      <c r="U19" s="244" t="s">
        <v>1400</v>
      </c>
      <c r="V19" s="244" t="s">
        <v>1400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0"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31"/>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1400</v>
      </c>
      <c r="W22" s="225" t="s">
        <v>1199</v>
      </c>
    </row>
    <row r="23" spans="2:23" ht="15.5">
      <c r="B23" s="431"/>
      <c r="C23" s="346">
        <v>3.2</v>
      </c>
      <c r="D23" s="244" t="s">
        <v>1197</v>
      </c>
      <c r="E23" s="244" t="s">
        <v>1197</v>
      </c>
      <c r="F23" s="244" t="s">
        <v>1197</v>
      </c>
      <c r="G23" s="244" t="s">
        <v>1197</v>
      </c>
      <c r="H23" s="244" t="s">
        <v>1400</v>
      </c>
      <c r="I23" s="244" t="s">
        <v>1197</v>
      </c>
      <c r="J23" s="244" t="s">
        <v>1400</v>
      </c>
      <c r="K23" s="244" t="s">
        <v>1197</v>
      </c>
      <c r="L23" s="244" t="s">
        <v>1197</v>
      </c>
      <c r="M23" s="244" t="s">
        <v>1198</v>
      </c>
      <c r="N23" s="244" t="s">
        <v>1197</v>
      </c>
      <c r="O23" s="244" t="s">
        <v>1197</v>
      </c>
      <c r="P23" s="244" t="s">
        <v>1197</v>
      </c>
      <c r="Q23" s="244" t="s">
        <v>1197</v>
      </c>
      <c r="R23" s="244" t="s">
        <v>1197</v>
      </c>
      <c r="S23" s="244" t="s">
        <v>1197</v>
      </c>
      <c r="T23" s="244" t="s">
        <v>1198</v>
      </c>
      <c r="U23" s="244" t="s">
        <v>1400</v>
      </c>
      <c r="V23" s="244" t="s">
        <v>1400</v>
      </c>
      <c r="W23" s="225" t="s">
        <v>1199</v>
      </c>
    </row>
    <row r="24" spans="2:23" ht="15.5">
      <c r="B24" s="431"/>
      <c r="C24" s="346">
        <v>3.3</v>
      </c>
      <c r="D24" s="244"/>
      <c r="E24" s="244" t="s">
        <v>1197</v>
      </c>
      <c r="F24" s="244" t="s">
        <v>1197</v>
      </c>
      <c r="G24" s="244" t="s">
        <v>1197</v>
      </c>
      <c r="H24" s="244" t="s">
        <v>1400</v>
      </c>
      <c r="I24" s="244" t="s">
        <v>1400</v>
      </c>
      <c r="J24" s="244" t="s">
        <v>1400</v>
      </c>
      <c r="K24" s="244" t="s">
        <v>1197</v>
      </c>
      <c r="L24" s="244" t="s">
        <v>1197</v>
      </c>
      <c r="M24" s="244" t="s">
        <v>1197</v>
      </c>
      <c r="N24" s="244" t="s">
        <v>1197</v>
      </c>
      <c r="O24" s="244" t="s">
        <v>1198</v>
      </c>
      <c r="P24" s="244" t="s">
        <v>1197</v>
      </c>
      <c r="Q24" s="244" t="s">
        <v>1197</v>
      </c>
      <c r="R24" s="244" t="s">
        <v>1197</v>
      </c>
      <c r="S24" s="244" t="s">
        <v>1400</v>
      </c>
      <c r="T24" s="244" t="s">
        <v>1198</v>
      </c>
      <c r="U24" s="244" t="s">
        <v>1400</v>
      </c>
      <c r="V24" s="244" t="s">
        <v>1400</v>
      </c>
      <c r="W24" s="225"/>
    </row>
    <row r="25" spans="2:23" ht="15.5">
      <c r="B25" s="431"/>
      <c r="C25" s="346">
        <v>3.4</v>
      </c>
      <c r="D25" s="244"/>
      <c r="E25" s="244"/>
      <c r="F25" s="244" t="s">
        <v>1197</v>
      </c>
      <c r="G25" s="244" t="s">
        <v>1400</v>
      </c>
      <c r="H25" s="244" t="s">
        <v>1400</v>
      </c>
      <c r="I25" s="244" t="s">
        <v>1400</v>
      </c>
      <c r="J25" s="244" t="s">
        <v>1400</v>
      </c>
      <c r="K25" s="244" t="s">
        <v>1197</v>
      </c>
      <c r="L25" s="244" t="s">
        <v>1197</v>
      </c>
      <c r="M25" s="244" t="s">
        <v>1197</v>
      </c>
      <c r="N25" s="244" t="s">
        <v>1197</v>
      </c>
      <c r="O25" s="244" t="s">
        <v>1197</v>
      </c>
      <c r="P25" s="244" t="s">
        <v>1197</v>
      </c>
      <c r="Q25" s="244" t="s">
        <v>1197</v>
      </c>
      <c r="R25" s="244" t="s">
        <v>1197</v>
      </c>
      <c r="S25" s="244" t="s">
        <v>1400</v>
      </c>
      <c r="T25" s="244" t="s">
        <v>1197</v>
      </c>
      <c r="U25" s="244" t="s">
        <v>1400</v>
      </c>
      <c r="V25" s="244" t="s">
        <v>1400</v>
      </c>
      <c r="W25" s="225"/>
    </row>
    <row r="26" spans="2:23" ht="15.5">
      <c r="B26" s="431"/>
      <c r="C26" s="346">
        <v>3.5</v>
      </c>
      <c r="D26" s="244"/>
      <c r="E26" s="244"/>
      <c r="F26" s="244" t="s">
        <v>1197</v>
      </c>
      <c r="G26" s="244" t="s">
        <v>1400</v>
      </c>
      <c r="H26" s="244" t="s">
        <v>1400</v>
      </c>
      <c r="I26" s="244" t="s">
        <v>1400</v>
      </c>
      <c r="J26" s="244" t="s">
        <v>1400</v>
      </c>
      <c r="K26" s="244" t="s">
        <v>1197</v>
      </c>
      <c r="L26" s="244" t="s">
        <v>1197</v>
      </c>
      <c r="M26" s="244" t="s">
        <v>1197</v>
      </c>
      <c r="N26" s="244" t="s">
        <v>1197</v>
      </c>
      <c r="O26" s="244" t="s">
        <v>1198</v>
      </c>
      <c r="P26" s="244" t="s">
        <v>1197</v>
      </c>
      <c r="Q26" s="244" t="s">
        <v>1400</v>
      </c>
      <c r="R26" s="244" t="s">
        <v>1400</v>
      </c>
      <c r="S26" s="244" t="s">
        <v>1400</v>
      </c>
      <c r="T26" s="244" t="s">
        <v>1197</v>
      </c>
      <c r="U26" s="244" t="s">
        <v>1400</v>
      </c>
      <c r="V26" s="244" t="s">
        <v>1400</v>
      </c>
      <c r="W26" s="225"/>
    </row>
    <row r="27" spans="2:23" ht="15.5">
      <c r="B27" s="431"/>
      <c r="C27" s="346">
        <v>3.6</v>
      </c>
      <c r="D27" s="244"/>
      <c r="E27" s="244"/>
      <c r="F27" s="244" t="s">
        <v>1197</v>
      </c>
      <c r="G27" s="244" t="s">
        <v>1400</v>
      </c>
      <c r="H27" s="244" t="s">
        <v>1400</v>
      </c>
      <c r="I27" s="244" t="s">
        <v>1400</v>
      </c>
      <c r="J27" s="244" t="s">
        <v>1400</v>
      </c>
      <c r="K27" s="244" t="s">
        <v>1197</v>
      </c>
      <c r="L27" s="244" t="s">
        <v>1197</v>
      </c>
      <c r="M27" s="244" t="s">
        <v>1197</v>
      </c>
      <c r="N27" s="244" t="s">
        <v>1197</v>
      </c>
      <c r="O27" s="244" t="s">
        <v>1400</v>
      </c>
      <c r="P27" s="244" t="s">
        <v>1197</v>
      </c>
      <c r="Q27" s="244" t="s">
        <v>1400</v>
      </c>
      <c r="R27" s="244" t="s">
        <v>1400</v>
      </c>
      <c r="S27" s="244" t="s">
        <v>1400</v>
      </c>
      <c r="T27" s="244" t="s">
        <v>1400</v>
      </c>
      <c r="U27" s="244" t="s">
        <v>1400</v>
      </c>
      <c r="V27" s="244" t="s">
        <v>1400</v>
      </c>
      <c r="W27" s="225"/>
    </row>
    <row r="28" spans="2:23" ht="15.5">
      <c r="B28" s="432"/>
      <c r="C28" s="346">
        <v>3.7</v>
      </c>
      <c r="D28" s="244"/>
      <c r="E28" s="244"/>
      <c r="F28" s="244" t="s">
        <v>1400</v>
      </c>
      <c r="G28" s="244" t="s">
        <v>1400</v>
      </c>
      <c r="H28" s="244" t="s">
        <v>1400</v>
      </c>
      <c r="I28" s="244" t="s">
        <v>1400</v>
      </c>
      <c r="J28" s="244" t="s">
        <v>1400</v>
      </c>
      <c r="K28" s="244" t="s">
        <v>1197</v>
      </c>
      <c r="L28" s="244" t="s">
        <v>1400</v>
      </c>
      <c r="M28" s="244" t="s">
        <v>1197</v>
      </c>
      <c r="N28" s="244" t="s">
        <v>1400</v>
      </c>
      <c r="O28" s="244" t="s">
        <v>1400</v>
      </c>
      <c r="P28" s="244" t="s">
        <v>1400</v>
      </c>
      <c r="Q28" s="244" t="s">
        <v>1400</v>
      </c>
      <c r="R28" s="244" t="s">
        <v>1400</v>
      </c>
      <c r="S28" s="244" t="s">
        <v>1400</v>
      </c>
      <c r="T28" s="244" t="s">
        <v>1400</v>
      </c>
      <c r="U28" s="244" t="s">
        <v>1400</v>
      </c>
      <c r="V28" s="244" t="s">
        <v>1400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0"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31"/>
      <c r="C31" s="346">
        <v>4.0999999999999996</v>
      </c>
      <c r="D31" s="244" t="s">
        <v>1197</v>
      </c>
      <c r="E31" s="244"/>
      <c r="F31" s="244" t="s">
        <v>1400</v>
      </c>
      <c r="G31" s="244" t="s">
        <v>1400</v>
      </c>
      <c r="H31" s="244" t="s">
        <v>1400</v>
      </c>
      <c r="I31" s="244" t="s">
        <v>1400</v>
      </c>
      <c r="J31" s="244" t="s">
        <v>1400</v>
      </c>
      <c r="K31" s="244" t="s">
        <v>1400</v>
      </c>
      <c r="L31" s="244" t="s">
        <v>1197</v>
      </c>
      <c r="M31" s="244" t="s">
        <v>1400</v>
      </c>
      <c r="N31" s="244" t="s">
        <v>1198</v>
      </c>
      <c r="O31" s="244" t="s">
        <v>1400</v>
      </c>
      <c r="P31" s="244" t="s">
        <v>1400</v>
      </c>
      <c r="Q31" s="244" t="s">
        <v>1400</v>
      </c>
      <c r="R31" s="244" t="s">
        <v>1197</v>
      </c>
      <c r="S31" s="244" t="s">
        <v>1400</v>
      </c>
      <c r="T31" s="244" t="s">
        <v>1197</v>
      </c>
      <c r="U31" s="244" t="s">
        <v>1400</v>
      </c>
      <c r="V31" s="244" t="s">
        <v>1400</v>
      </c>
      <c r="W31" s="225" t="s">
        <v>1199</v>
      </c>
    </row>
    <row r="32" spans="2:23" ht="15.5">
      <c r="B32" s="431"/>
      <c r="C32" s="346">
        <v>4.2</v>
      </c>
      <c r="D32" s="244"/>
      <c r="E32" s="244"/>
      <c r="F32" s="244" t="s">
        <v>1400</v>
      </c>
      <c r="G32" s="244" t="s">
        <v>1400</v>
      </c>
      <c r="H32" s="244" t="s">
        <v>1400</v>
      </c>
      <c r="I32" s="244" t="s">
        <v>1400</v>
      </c>
      <c r="J32" s="244" t="s">
        <v>1400</v>
      </c>
      <c r="K32" s="244" t="s">
        <v>1400</v>
      </c>
      <c r="L32" s="244" t="s">
        <v>1400</v>
      </c>
      <c r="M32" s="244" t="s">
        <v>1400</v>
      </c>
      <c r="N32" s="244" t="s">
        <v>1197</v>
      </c>
      <c r="O32" s="244" t="s">
        <v>1400</v>
      </c>
      <c r="P32" s="244" t="s">
        <v>1400</v>
      </c>
      <c r="Q32" s="244" t="s">
        <v>1400</v>
      </c>
      <c r="R32" s="244" t="s">
        <v>1400</v>
      </c>
      <c r="S32" s="244" t="s">
        <v>1400</v>
      </c>
      <c r="T32" s="244" t="s">
        <v>1197</v>
      </c>
      <c r="U32" s="244" t="s">
        <v>1400</v>
      </c>
      <c r="V32" s="244" t="s">
        <v>1400</v>
      </c>
      <c r="W32" s="225"/>
    </row>
    <row r="33" spans="2:23" ht="15.5">
      <c r="B33" s="431"/>
      <c r="C33" s="346">
        <v>4.3</v>
      </c>
      <c r="D33" s="244"/>
      <c r="E33" s="244"/>
      <c r="F33" s="244" t="s">
        <v>1400</v>
      </c>
      <c r="G33" s="244" t="s">
        <v>1400</v>
      </c>
      <c r="H33" s="244" t="s">
        <v>1400</v>
      </c>
      <c r="I33" s="244" t="s">
        <v>1400</v>
      </c>
      <c r="J33" s="244" t="s">
        <v>1400</v>
      </c>
      <c r="K33" s="244" t="s">
        <v>1400</v>
      </c>
      <c r="L33" s="244" t="s">
        <v>1400</v>
      </c>
      <c r="M33" s="244" t="s">
        <v>1400</v>
      </c>
      <c r="N33" s="244" t="s">
        <v>1197</v>
      </c>
      <c r="O33" s="244" t="s">
        <v>1400</v>
      </c>
      <c r="P33" s="244" t="s">
        <v>1400</v>
      </c>
      <c r="Q33" s="244" t="s">
        <v>1400</v>
      </c>
      <c r="R33" s="244" t="s">
        <v>1400</v>
      </c>
      <c r="S33" s="244" t="s">
        <v>1400</v>
      </c>
      <c r="T33" s="244" t="s">
        <v>1400</v>
      </c>
      <c r="U33" s="244" t="s">
        <v>1400</v>
      </c>
      <c r="V33" s="244" t="s">
        <v>1400</v>
      </c>
      <c r="W33" s="225"/>
    </row>
    <row r="34" spans="2:23" ht="15.5">
      <c r="B34" s="431"/>
      <c r="C34" s="346">
        <v>4.4000000000000004</v>
      </c>
      <c r="D34" s="244"/>
      <c r="E34" s="244"/>
      <c r="F34" s="244" t="s">
        <v>1400</v>
      </c>
      <c r="G34" s="244" t="s">
        <v>1400</v>
      </c>
      <c r="H34" s="244" t="s">
        <v>1400</v>
      </c>
      <c r="I34" s="244" t="s">
        <v>1400</v>
      </c>
      <c r="J34" s="244" t="s">
        <v>1400</v>
      </c>
      <c r="K34" s="244" t="s">
        <v>1400</v>
      </c>
      <c r="L34" s="244" t="s">
        <v>1400</v>
      </c>
      <c r="M34" s="244" t="s">
        <v>1400</v>
      </c>
      <c r="N34" s="244" t="s">
        <v>1198</v>
      </c>
      <c r="O34" s="244" t="s">
        <v>1400</v>
      </c>
      <c r="P34" s="244" t="s">
        <v>1400</v>
      </c>
      <c r="Q34" s="244" t="s">
        <v>1400</v>
      </c>
      <c r="R34" s="244" t="s">
        <v>1400</v>
      </c>
      <c r="S34" s="244" t="s">
        <v>1400</v>
      </c>
      <c r="T34" s="244" t="s">
        <v>1400</v>
      </c>
      <c r="U34" s="244" t="s">
        <v>1400</v>
      </c>
      <c r="V34" s="244" t="s">
        <v>1400</v>
      </c>
      <c r="W34" s="225"/>
    </row>
    <row r="35" spans="2:23" ht="15.5">
      <c r="B35" s="432"/>
      <c r="C35" s="346">
        <v>4.5</v>
      </c>
      <c r="D35" s="244"/>
      <c r="E35" s="244"/>
      <c r="F35" s="244" t="s">
        <v>1400</v>
      </c>
      <c r="G35" s="244" t="s">
        <v>1400</v>
      </c>
      <c r="H35" s="244" t="s">
        <v>1400</v>
      </c>
      <c r="I35" s="244" t="s">
        <v>1400</v>
      </c>
      <c r="J35" s="244" t="s">
        <v>1400</v>
      </c>
      <c r="K35" s="244" t="s">
        <v>1400</v>
      </c>
      <c r="L35" s="244" t="s">
        <v>1400</v>
      </c>
      <c r="M35" s="244" t="s">
        <v>1400</v>
      </c>
      <c r="N35" s="244" t="s">
        <v>1197</v>
      </c>
      <c r="O35" s="244" t="s">
        <v>1400</v>
      </c>
      <c r="P35" s="244" t="s">
        <v>1400</v>
      </c>
      <c r="Q35" s="244" t="s">
        <v>1400</v>
      </c>
      <c r="R35" s="244" t="s">
        <v>1400</v>
      </c>
      <c r="S35" s="244" t="s">
        <v>1400</v>
      </c>
      <c r="T35" s="244" t="s">
        <v>1400</v>
      </c>
      <c r="U35" s="244" t="s">
        <v>1400</v>
      </c>
      <c r="V35" s="244" t="s">
        <v>1400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0"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20"/>
      <c r="C38" s="243">
        <v>5.0999999999999996</v>
      </c>
      <c r="D38" s="244"/>
      <c r="E38" s="244"/>
      <c r="F38" s="244" t="s">
        <v>1400</v>
      </c>
      <c r="G38" s="244" t="s">
        <v>1400</v>
      </c>
      <c r="H38" s="244" t="s">
        <v>1400</v>
      </c>
      <c r="I38" s="244" t="s">
        <v>1400</v>
      </c>
      <c r="J38" s="244" t="s">
        <v>1400</v>
      </c>
      <c r="K38" s="244" t="s">
        <v>1400</v>
      </c>
      <c r="L38" s="244" t="s">
        <v>1400</v>
      </c>
      <c r="M38" s="244" t="s">
        <v>1400</v>
      </c>
      <c r="N38" s="244" t="s">
        <v>1197</v>
      </c>
      <c r="O38" s="244" t="s">
        <v>1400</v>
      </c>
      <c r="P38" s="244" t="s">
        <v>1400</v>
      </c>
      <c r="Q38" s="244" t="s">
        <v>1400</v>
      </c>
      <c r="R38" s="244" t="s">
        <v>1400</v>
      </c>
      <c r="S38" s="244" t="s">
        <v>1400</v>
      </c>
      <c r="T38" s="244" t="s">
        <v>1197</v>
      </c>
      <c r="U38" s="244" t="s">
        <v>1400</v>
      </c>
      <c r="V38" s="244" t="s">
        <v>1400</v>
      </c>
      <c r="W38" s="225"/>
    </row>
    <row r="39" spans="2:23" ht="15.5">
      <c r="B39" s="420"/>
      <c r="C39" s="243">
        <v>5.2</v>
      </c>
      <c r="D39" s="244"/>
      <c r="E39" s="244"/>
      <c r="F39" s="244" t="s">
        <v>1400</v>
      </c>
      <c r="G39" s="244" t="s">
        <v>1400</v>
      </c>
      <c r="H39" s="244" t="s">
        <v>1400</v>
      </c>
      <c r="I39" s="244" t="s">
        <v>1400</v>
      </c>
      <c r="J39" s="244" t="s">
        <v>1400</v>
      </c>
      <c r="K39" s="244" t="s">
        <v>1400</v>
      </c>
      <c r="L39" s="244" t="s">
        <v>1400</v>
      </c>
      <c r="M39" s="244" t="s">
        <v>1400</v>
      </c>
      <c r="N39" s="244" t="s">
        <v>1197</v>
      </c>
      <c r="O39" s="244" t="s">
        <v>1400</v>
      </c>
      <c r="P39" s="244" t="s">
        <v>1400</v>
      </c>
      <c r="Q39" s="244" t="s">
        <v>1400</v>
      </c>
      <c r="R39" s="244" t="s">
        <v>1400</v>
      </c>
      <c r="S39" s="244" t="s">
        <v>1400</v>
      </c>
      <c r="T39" s="244" t="s">
        <v>1400</v>
      </c>
      <c r="U39" s="244" t="s">
        <v>1400</v>
      </c>
      <c r="V39" s="244" t="s">
        <v>1400</v>
      </c>
      <c r="W39" s="225"/>
    </row>
    <row r="40" spans="2:23" ht="15.5">
      <c r="B40" s="420"/>
      <c r="C40" s="243">
        <v>5.3</v>
      </c>
      <c r="D40" s="244"/>
      <c r="E40" s="244"/>
      <c r="F40" s="244" t="s">
        <v>1400</v>
      </c>
      <c r="G40" s="244" t="s">
        <v>1400</v>
      </c>
      <c r="H40" s="244" t="s">
        <v>1400</v>
      </c>
      <c r="I40" s="244" t="s">
        <v>1400</v>
      </c>
      <c r="J40" s="244" t="s">
        <v>1400</v>
      </c>
      <c r="K40" s="244" t="s">
        <v>1400</v>
      </c>
      <c r="L40" s="244" t="s">
        <v>1400</v>
      </c>
      <c r="M40" s="244" t="s">
        <v>1400</v>
      </c>
      <c r="N40" s="244" t="s">
        <v>1197</v>
      </c>
      <c r="O40" s="244" t="s">
        <v>1400</v>
      </c>
      <c r="P40" s="244" t="s">
        <v>1400</v>
      </c>
      <c r="Q40" s="244" t="s">
        <v>1400</v>
      </c>
      <c r="R40" s="244" t="s">
        <v>1400</v>
      </c>
      <c r="S40" s="244" t="s">
        <v>1400</v>
      </c>
      <c r="T40" s="244" t="s">
        <v>1400</v>
      </c>
      <c r="U40" s="244" t="s">
        <v>1400</v>
      </c>
      <c r="V40" s="244" t="s">
        <v>1400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3" t="s">
        <v>1185</v>
      </c>
      <c r="C50" s="423" t="s">
        <v>1186</v>
      </c>
      <c r="D50" s="421" t="s">
        <v>1187</v>
      </c>
      <c r="E50" s="421"/>
      <c r="F50" s="422" t="s">
        <v>1188</v>
      </c>
      <c r="G50" s="422"/>
      <c r="H50" s="421" t="s">
        <v>1189</v>
      </c>
      <c r="I50" s="421"/>
      <c r="J50" s="421"/>
      <c r="K50" s="421"/>
      <c r="L50" s="422" t="s">
        <v>1190</v>
      </c>
      <c r="M50" s="422"/>
      <c r="N50" s="422"/>
      <c r="O50" s="240" t="s">
        <v>1191</v>
      </c>
      <c r="P50" s="241" t="s">
        <v>1192</v>
      </c>
      <c r="Q50" s="421" t="s">
        <v>1193</v>
      </c>
      <c r="R50" s="421"/>
      <c r="S50" s="421"/>
      <c r="T50" s="422" t="s">
        <v>1194</v>
      </c>
      <c r="U50" s="422"/>
      <c r="V50" s="422"/>
      <c r="W50" s="237" t="s">
        <v>1195</v>
      </c>
    </row>
    <row r="51" spans="2:28" ht="15.5">
      <c r="B51" s="423"/>
      <c r="C51" s="423"/>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0"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0"/>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0"/>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0"/>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0"/>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0"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0"/>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0"/>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0"/>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0"/>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0"/>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0"/>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0"/>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0"/>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0"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0"/>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0"/>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0"/>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0"/>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0"/>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0"/>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0"/>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0"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0"/>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0"/>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0"/>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0"/>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0"/>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0"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0"/>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0"/>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0"/>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2021-01-19T12:52:27Z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