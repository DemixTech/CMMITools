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E419411A-4AF6-43D6-A981-F4DD444BB2D9}" xr6:coauthVersionLast="47" xr6:coauthVersionMax="47" xr10:uidLastSave="{00000000-0000-0000-0000-000000000000}"/>
  <bookViews>
    <workbookView xWindow="-120" yWindow="-16320" windowWidth="29040" windowHeight="15720" tabRatio="859" firstSheet="1" activeTab="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iterateDelta="1E-4"/>
  <pivotCaches>
    <pivotCache cacheId="6" r:id="rId57"/>
    <pivotCache cacheId="7" r:id="rId58"/>
    <pivotCache cacheId="8" r:id="rId59"/>
    <pivotCache cacheId="9" r:id="rId60"/>
    <pivotCache cacheId="10" r:id="rId61"/>
    <pivotCache cacheId="11"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0" i="19" l="1"/>
  <c r="A4" i="75" s="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A3" i="77"/>
  <c r="B49" i="24"/>
  <c r="B8" i="85"/>
  <c r="B31" i="74"/>
  <c r="B22" i="74"/>
  <c r="B23" i="74"/>
  <c r="B24" i="74"/>
  <c r="B25" i="74"/>
  <c r="B26" i="74"/>
  <c r="B27" i="74"/>
  <c r="B28" i="74"/>
  <c r="B29" i="74"/>
  <c r="B21" i="74"/>
  <c r="B9" i="85"/>
  <c r="B110" i="15"/>
  <c r="B99" i="15"/>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s="1"/>
  <c r="E8" i="80" s="1"/>
  <c r="E9" i="80" s="1"/>
  <c r="E10" i="80" s="1"/>
  <c r="E11" i="80" s="1"/>
  <c r="E12" i="80" s="1"/>
  <c r="E13" i="80" s="1"/>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 r="B14" i="2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<sst xmlns="http://schemas.openxmlformats.org/spreadsheetml/2006/main" count="4612" uniqueCount="1815">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</sst>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1"/>
      </font>
      <fill>
        <patternFill patternType="solid">
          <bgColor rgb="FF00CC00"/>
        </patternFill>
      </fill>
    </dxf>
    <dxf>
      <font>
        <b/>
        <i val="0"/>
        <color theme="1"/>
      </font>
      <fill>
        <patternFill patternType="solid">
          <bgColor rgb="FFFFFF00"/>
        </patternFill>
      </fill>
    </dxf>
    <dxf>
      <font>
        <b/>
        <i val="0"/>
        <color theme="0"/>
      </font>
      <fill>
        <patternFill patternType="solid">
          <bgColor rgb="FFFF00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D347"/>
        </patternFill>
      </fill>
    </dxf>
    <dxf>
      <font>
        <b/>
        <i val="0"/>
        <color theme="1"/>
      </font>
      <fill>
        <patternFill>
          <bgColor rgb="FFFFFF00"/>
        </patternFill>
      </fill>
    </dxf>
    <dxf>
      <font>
        <b/>
        <i val="0"/>
        <color theme="1"/>
      </font>
      <fill>
        <patternFill>
          <bgColor rgb="FF33CC33"/>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000000"/>
      </font>
      <fill>
        <patternFill>
          <bgColor rgb="FF00CC00"/>
        </patternFill>
      </fill>
    </dxf>
    <dxf>
      <font>
        <b/>
        <i val="0"/>
        <color rgb="FF000000"/>
      </font>
      <fill>
        <patternFill>
          <bgColor rgb="FF33CC33"/>
        </patternFill>
      </fill>
    </dxf>
    <dxf>
      <font>
        <b/>
        <i val="0"/>
        <color rgb="FF000000"/>
      </font>
      <fill>
        <patternFill>
          <bgColor rgb="FFFFD347"/>
        </patternFill>
      </fill>
    </dxf>
    <dxf>
      <font>
        <b/>
        <i val="0"/>
        <color rgb="FF000000"/>
      </font>
      <fill>
        <patternFill>
          <bgColor rgb="FFFFFF00"/>
        </patternFill>
      </fill>
    </dxf>
    <dxf>
      <font>
        <b/>
        <i val="0"/>
        <color rgb="FFFFFFFF"/>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11"/>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1195</v>
      </c>
    </row>
    <row r="3" spans="1:1">
      <c r="A3" s="126" t="s">
        <v>1196</v>
      </c>
    </row>
    <row r="4" spans="1:1">
      <c r="A4" s="126"/>
    </row>
    <row r="5" spans="1:1">
      <c r="A5" s="125" t="s">
        <v>1201</v>
      </c>
    </row>
    <row r="6" spans="1:1" s="125" customFormat="1">
      <c r="A6" s="126" t="s">
        <v>1202</v>
      </c>
    </row>
    <row r="8" spans="1:1">
      <c r="A8" s="125" t="s">
        <v>1204</v>
      </c>
    </row>
    <row r="9" spans="1:1">
      <c r="A9" s="126" t="s">
        <v>1200</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1167</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1203</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1131</v>
      </c>
      <c r="G14" s="125"/>
      <c r="H14" s="125"/>
      <c r="I14" s="125"/>
      <c r="J14" s="125"/>
      <c r="K14" s="125"/>
      <c r="L14" s="125"/>
      <c r="M14" s="125"/>
      <c r="N14" s="125"/>
      <c r="O14" s="125"/>
      <c r="P14" s="8"/>
      <c r="Q14" s="8"/>
      <c r="R14" s="8"/>
      <c r="S14" s="8"/>
    </row>
    <row r="15" spans="1:32">
      <c r="A15" s="40">
        <v>38</v>
      </c>
      <c r="B15" s="41">
        <v>44175</v>
      </c>
      <c r="C15" s="40" t="s">
        <v>823</v>
      </c>
      <c r="D15" s="52" t="s">
        <v>1166</v>
      </c>
      <c r="G15" s="125"/>
      <c r="H15" s="125"/>
      <c r="I15" s="125"/>
      <c r="J15" s="125"/>
      <c r="K15" s="125"/>
      <c r="L15" s="125"/>
      <c r="M15" s="125"/>
      <c r="N15" s="125"/>
      <c r="O15" s="125"/>
      <c r="P15" s="8"/>
      <c r="Q15" s="8"/>
      <c r="R15" s="8"/>
      <c r="S15" s="8"/>
    </row>
    <row r="16" spans="1:32" ht="28.8">
      <c r="A16" s="40">
        <v>43</v>
      </c>
      <c r="B16" s="41">
        <v>44231</v>
      </c>
      <c r="C16" s="40" t="s">
        <v>1308</v>
      </c>
      <c r="D16" s="52" t="s">
        <v>1581</v>
      </c>
      <c r="G16" s="125"/>
      <c r="H16" s="125"/>
      <c r="I16" s="125"/>
      <c r="J16" s="125"/>
      <c r="K16" s="125"/>
      <c r="L16" s="125"/>
      <c r="M16" s="125"/>
      <c r="N16" s="125"/>
      <c r="O16" s="125"/>
      <c r="P16" s="8"/>
      <c r="Q16" s="8"/>
      <c r="R16" s="8"/>
      <c r="S16" s="8"/>
    </row>
    <row r="17" spans="1:19" ht="28.8">
      <c r="A17" s="40">
        <v>50</v>
      </c>
      <c r="B17" s="41">
        <v>44314</v>
      </c>
      <c r="C17" s="40" t="s">
        <v>823</v>
      </c>
      <c r="D17" s="52" t="s">
        <v>1580</v>
      </c>
      <c r="G17" s="125"/>
      <c r="H17" s="125"/>
      <c r="I17" s="125"/>
      <c r="J17" s="125"/>
      <c r="K17" s="125"/>
      <c r="L17" s="125"/>
      <c r="M17" s="125"/>
      <c r="N17" s="125"/>
      <c r="O17" s="125"/>
      <c r="P17" s="8"/>
      <c r="Q17" s="8"/>
      <c r="R17" s="8"/>
      <c r="S17" s="8"/>
    </row>
    <row r="18" spans="1:19" ht="28.8">
      <c r="A18" s="40">
        <v>51</v>
      </c>
      <c r="B18" s="41">
        <v>44318</v>
      </c>
      <c r="C18" s="40" t="s">
        <v>823</v>
      </c>
      <c r="D18" s="52" t="s">
        <v>1587</v>
      </c>
      <c r="G18" s="125"/>
      <c r="H18" s="125"/>
      <c r="I18" s="125"/>
      <c r="J18" s="125"/>
      <c r="K18" s="125"/>
      <c r="L18" s="125"/>
      <c r="M18" s="125"/>
      <c r="N18" s="125"/>
      <c r="O18" s="125"/>
      <c r="P18" s="8"/>
      <c r="Q18" s="8"/>
      <c r="R18" s="8"/>
      <c r="S18" s="8"/>
    </row>
    <row r="19" spans="1:19">
      <c r="A19" s="40">
        <v>52</v>
      </c>
      <c r="B19" s="41">
        <v>44324</v>
      </c>
      <c r="C19" s="40" t="s">
        <v>823</v>
      </c>
      <c r="D19" s="52" t="s">
        <v>1588</v>
      </c>
      <c r="G19" s="125"/>
      <c r="H19" s="125"/>
      <c r="I19" s="125"/>
      <c r="J19" s="125"/>
      <c r="K19" s="125"/>
      <c r="L19" s="125"/>
      <c r="M19" s="125"/>
    </row>
    <row r="20" spans="1:19" ht="28.8">
      <c r="A20" s="40">
        <v>53</v>
      </c>
      <c r="B20" s="41">
        <v>44343</v>
      </c>
      <c r="C20" s="40" t="s">
        <v>823</v>
      </c>
      <c r="D20" s="52" t="s">
        <v>1590</v>
      </c>
    </row>
    <row r="21" spans="1:19">
      <c r="A21" s="40">
        <v>53</v>
      </c>
      <c r="B21" s="41">
        <v>44354</v>
      </c>
      <c r="C21" s="40" t="s">
        <v>1594</v>
      </c>
      <c r="D21" s="52" t="s">
        <v>1602</v>
      </c>
    </row>
    <row r="22" spans="1:19">
      <c r="A22" s="40">
        <v>56</v>
      </c>
      <c r="B22" s="41">
        <v>44463</v>
      </c>
      <c r="C22" s="40" t="s">
        <v>823</v>
      </c>
      <c r="D22" s="52" t="s">
        <v>1601</v>
      </c>
    </row>
    <row r="23" spans="1:19">
      <c r="A23" s="40">
        <v>57</v>
      </c>
      <c r="B23" s="41">
        <v>44566</v>
      </c>
      <c r="C23" s="40" t="s">
        <v>1594</v>
      </c>
      <c r="D23" s="52" t="s">
        <v>1603</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1430</v>
      </c>
      <c r="D45" s="294" t="s">
        <v>1429</v>
      </c>
      <c r="H45" s="293" t="s">
        <v>1061</v>
      </c>
      <c r="I45" s="293"/>
      <c r="J45" s="293"/>
      <c r="K45" s="293"/>
      <c r="L45" s="293"/>
    </row>
    <row r="64" spans="2:19">
      <c r="B64" s="296" t="s">
        <v>1063</v>
      </c>
      <c r="C64" s="296"/>
      <c r="D64" s="297" t="s">
        <v>1064</v>
      </c>
      <c r="F64" s="298" t="s">
        <v>1066</v>
      </c>
      <c r="G64" s="298"/>
      <c r="H64" s="298"/>
      <c r="I64" s="298"/>
      <c r="K64" s="299" t="s">
        <v>1431</v>
      </c>
      <c r="L64" s="299"/>
      <c r="M64" s="299"/>
      <c r="N64" s="299"/>
      <c r="P64" s="301" t="s">
        <v>1062</v>
      </c>
      <c r="Q64" s="300"/>
      <c r="R64" s="300"/>
      <c r="S64" s="300"/>
    </row>
    <row r="84" spans="6:8">
      <c r="F84" s="304" t="s">
        <v>1444</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1222</v>
      </c>
      <c r="B1" s="254"/>
    </row>
    <row r="2" spans="1:2" ht="43.2">
      <c r="A2" s="11" t="s">
        <v>1223</v>
      </c>
      <c r="B2" s="11" t="s">
        <v>1224</v>
      </c>
    </row>
    <row r="3" spans="1:2">
      <c r="B3" s="255" t="s">
        <v>1225</v>
      </c>
    </row>
    <row r="4" spans="1:2">
      <c r="B4" s="256" t="s">
        <v>1226</v>
      </c>
    </row>
    <row r="5" spans="1:2" ht="28.8">
      <c r="B5" s="257" t="s">
        <v>1227</v>
      </c>
    </row>
    <row r="7" spans="1:2" ht="72">
      <c r="A7" s="11" t="s">
        <v>1228</v>
      </c>
      <c r="B7" s="11" t="s">
        <v>1229</v>
      </c>
    </row>
    <row r="9" spans="1:2" ht="28.8">
      <c r="A9" s="11" t="s">
        <v>1230</v>
      </c>
      <c r="B9" s="11" t="s">
        <v>1231</v>
      </c>
    </row>
    <row r="11" spans="1:2">
      <c r="A11" s="254" t="s">
        <v>1232</v>
      </c>
      <c r="B11" s="254"/>
    </row>
    <row r="12" spans="1:2">
      <c r="A12" s="11" t="s">
        <v>1197</v>
      </c>
      <c r="B12" s="11" t="s">
        <v>1233</v>
      </c>
    </row>
    <row r="13" spans="1:2" ht="43.2">
      <c r="A13" s="11" t="s">
        <v>1168</v>
      </c>
      <c r="B13" s="11" t="s">
        <v>1234</v>
      </c>
    </row>
    <row r="14" spans="1:2">
      <c r="A14" s="11" t="s">
        <v>1235</v>
      </c>
      <c r="B14" s="11" t="s">
        <v>1236</v>
      </c>
    </row>
    <row r="15" spans="1:2" ht="57.6">
      <c r="A15" s="11" t="s">
        <v>925</v>
      </c>
      <c r="B15" s="11" t="s">
        <v>1237</v>
      </c>
    </row>
    <row r="16" spans="1:2" ht="43.2">
      <c r="A16" s="16" t="s">
        <v>926</v>
      </c>
      <c r="B16" s="11" t="s">
        <v>1238</v>
      </c>
    </row>
    <row r="17" spans="1:2">
      <c r="A17" s="16" t="s">
        <v>938</v>
      </c>
      <c r="B17" s="11" t="s">
        <v>1239</v>
      </c>
    </row>
    <row r="18" spans="1:2" ht="28.8">
      <c r="A18" s="16" t="s">
        <v>927</v>
      </c>
      <c r="B18" s="11" t="s">
        <v>1240</v>
      </c>
    </row>
    <row r="19" spans="1:2" ht="43.2">
      <c r="A19" s="16" t="s">
        <v>1149</v>
      </c>
      <c r="B19" s="11" t="s">
        <v>1241</v>
      </c>
    </row>
    <row r="20" spans="1:2">
      <c r="A20" s="16" t="s">
        <v>979</v>
      </c>
      <c r="B20" s="11" t="s">
        <v>1242</v>
      </c>
    </row>
    <row r="21" spans="1:2">
      <c r="A21" s="16" t="s">
        <v>1243</v>
      </c>
    </row>
    <row r="22" spans="1:2">
      <c r="A22" s="16" t="s">
        <v>1244</v>
      </c>
    </row>
    <row r="23" spans="1:2">
      <c r="A23" s="16" t="s">
        <v>1245</v>
      </c>
    </row>
    <row r="24" spans="1:2">
      <c r="A24" s="16" t="s">
        <v>1246</v>
      </c>
    </row>
    <row r="25" spans="1:2">
      <c r="A25" s="16" t="s">
        <v>931</v>
      </c>
    </row>
    <row r="26" spans="1:2">
      <c r="A26" s="16" t="s">
        <v>932</v>
      </c>
    </row>
    <row r="27" spans="1:2">
      <c r="A27" s="16" t="s">
        <v>933</v>
      </c>
    </row>
    <row r="28" spans="1:2">
      <c r="A28" s="16" t="s">
        <v>1198</v>
      </c>
    </row>
    <row r="29" spans="1:2">
      <c r="A29" s="16" t="s">
        <v>1199</v>
      </c>
    </row>
    <row r="30" spans="1:2">
      <c r="A30" s="16" t="s">
        <v>658</v>
      </c>
    </row>
    <row r="31" spans="1:2">
      <c r="A31" s="16" t="s">
        <v>1247</v>
      </c>
    </row>
    <row r="32" spans="1:2">
      <c r="A32" s="16" t="s">
        <v>929</v>
      </c>
    </row>
    <row r="33" spans="1:1">
      <c r="A33" s="16" t="s">
        <v>1248</v>
      </c>
    </row>
    <row r="34" spans="1:1">
      <c r="A34" s="16" t="s">
        <v>1249</v>
      </c>
    </row>
    <row r="35" spans="1:1">
      <c r="A35" s="16" t="s">
        <v>1250</v>
      </c>
    </row>
    <row r="36" spans="1:1">
      <c r="A36" s="16" t="s">
        <v>1251</v>
      </c>
    </row>
    <row r="37" spans="1:1">
      <c r="A37" s="16" t="s">
        <v>930</v>
      </c>
    </row>
    <row r="38" spans="1:1">
      <c r="A38" s="16" t="s">
        <v>1024</v>
      </c>
    </row>
    <row r="39" spans="1:1">
      <c r="A39" s="16" t="s">
        <v>1109</v>
      </c>
    </row>
    <row r="40" spans="1:1">
      <c r="A40" s="16" t="s">
        <v>1022</v>
      </c>
    </row>
    <row r="41" spans="1:1">
      <c r="A41" s="16" t="s">
        <v>1023</v>
      </c>
    </row>
    <row r="42" spans="1:1">
      <c r="A42" s="16" t="s">
        <v>975</v>
      </c>
    </row>
    <row r="43" spans="1:1">
      <c r="A43" s="16" t="s">
        <v>1110</v>
      </c>
    </row>
    <row r="44" spans="1:1">
      <c r="A44" s="16" t="s">
        <v>1111</v>
      </c>
    </row>
    <row r="45" spans="1:1">
      <c r="A45" s="16" t="s">
        <v>1112</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1546</v>
      </c>
      <c r="C2" s="91" t="s">
        <v>1547</v>
      </c>
      <c r="D2" s="91" t="s">
        <v>1257</v>
      </c>
      <c r="E2" s="91" t="s">
        <v>1258</v>
      </c>
      <c r="F2" s="91" t="s">
        <v>1267</v>
      </c>
      <c r="G2" s="91" t="s">
        <v>1259</v>
      </c>
      <c r="H2" s="91" t="s">
        <v>1162</v>
      </c>
      <c r="AD2" s="266"/>
      <c r="AE2" s="266"/>
      <c r="AF2" s="266"/>
    </row>
    <row r="7" spans="1:32" s="73" customFormat="1">
      <c r="A7" t="s">
        <v>1197</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1168</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1235</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1149</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1152</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1153</v>
      </c>
      <c r="I17" s="53">
        <f t="shared" si="0"/>
        <v>0</v>
      </c>
      <c r="K17"/>
    </row>
    <row r="18" spans="1:11">
      <c r="A18" t="s">
        <v>1154</v>
      </c>
      <c r="I18" s="53">
        <f t="shared" si="0"/>
        <v>0</v>
      </c>
      <c r="K18"/>
    </row>
    <row r="19" spans="1:11">
      <c r="A19" t="s">
        <v>1526</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1198</v>
      </c>
      <c r="I23" s="53">
        <f t="shared" si="0"/>
        <v>0</v>
      </c>
      <c r="K23"/>
    </row>
    <row r="24" spans="1:11">
      <c r="A24" t="s">
        <v>1199</v>
      </c>
      <c r="I24" s="53">
        <f t="shared" si="0"/>
        <v>0</v>
      </c>
      <c r="K24"/>
    </row>
    <row r="25" spans="1:11">
      <c r="A25" t="s">
        <v>658</v>
      </c>
      <c r="B25" s="110" t="s">
        <v>406</v>
      </c>
      <c r="C25" s="110" t="s">
        <v>406</v>
      </c>
      <c r="E25" s="110" t="s">
        <v>406</v>
      </c>
      <c r="I25" s="53">
        <f t="shared" si="0"/>
        <v>3</v>
      </c>
      <c r="K25"/>
    </row>
    <row r="26" spans="1:11">
      <c r="A26" t="s">
        <v>1141</v>
      </c>
      <c r="I26" s="53">
        <f t="shared" si="0"/>
        <v>0</v>
      </c>
      <c r="K26"/>
    </row>
    <row r="27" spans="1:11">
      <c r="A27" t="s">
        <v>929</v>
      </c>
      <c r="B27" s="110" t="s">
        <v>406</v>
      </c>
      <c r="C27" s="110" t="s">
        <v>406</v>
      </c>
      <c r="E27" s="110" t="s">
        <v>406</v>
      </c>
      <c r="F27" s="110" t="s">
        <v>406</v>
      </c>
      <c r="I27" s="53">
        <f t="shared" si="0"/>
        <v>4</v>
      </c>
      <c r="K27"/>
    </row>
    <row r="28" spans="1:11">
      <c r="A28" t="s">
        <v>1268</v>
      </c>
      <c r="F28" s="110" t="s">
        <v>406</v>
      </c>
      <c r="I28" s="53">
        <f t="shared" si="0"/>
        <v>1</v>
      </c>
      <c r="K28"/>
    </row>
    <row r="29" spans="1:11">
      <c r="A29" t="s">
        <v>1460</v>
      </c>
      <c r="I29" s="53">
        <f t="shared" si="0"/>
        <v>0</v>
      </c>
      <c r="K29"/>
    </row>
    <row r="30" spans="1:11">
      <c r="A30" t="s">
        <v>1461</v>
      </c>
      <c r="I30" s="53">
        <f t="shared" si="0"/>
        <v>0</v>
      </c>
    </row>
    <row r="31" spans="1:11">
      <c r="A31" t="s">
        <v>1462</v>
      </c>
      <c r="I31" s="53">
        <f t="shared" si="0"/>
        <v>0</v>
      </c>
    </row>
    <row r="32" spans="1:11">
      <c r="A32" t="s">
        <v>1024</v>
      </c>
      <c r="I32" s="53">
        <f t="shared" si="0"/>
        <v>0</v>
      </c>
    </row>
    <row r="33" spans="1:9">
      <c r="A33" t="s">
        <v>1459</v>
      </c>
      <c r="I33" s="53">
        <f t="shared" si="0"/>
        <v>0</v>
      </c>
    </row>
    <row r="34" spans="1:9">
      <c r="A34" t="s">
        <v>1303</v>
      </c>
      <c r="B34" s="110" t="s">
        <v>406</v>
      </c>
      <c r="I34" s="53">
        <f t="shared" si="0"/>
        <v>1</v>
      </c>
    </row>
    <row r="35" spans="1:9">
      <c r="A35" t="s">
        <v>1304</v>
      </c>
      <c r="B35" s="110" t="s">
        <v>406</v>
      </c>
      <c r="I35" s="53">
        <f t="shared" si="0"/>
        <v>1</v>
      </c>
    </row>
    <row r="36" spans="1:9">
      <c r="A36" t="s">
        <v>1305</v>
      </c>
      <c r="C36" s="110" t="s">
        <v>406</v>
      </c>
      <c r="I36" s="53">
        <f t="shared" si="0"/>
        <v>1</v>
      </c>
    </row>
    <row r="37" spans="1:9">
      <c r="A37" t="s">
        <v>1306</v>
      </c>
      <c r="C37" s="110" t="s">
        <v>406</v>
      </c>
      <c r="I37" s="53">
        <f t="shared" si="0"/>
        <v>1</v>
      </c>
    </row>
    <row r="38" spans="1:9">
      <c r="A38" t="s">
        <v>1307</v>
      </c>
      <c r="C38" s="110" t="s">
        <v>406</v>
      </c>
      <c r="I38" s="53">
        <f t="shared" si="0"/>
        <v>1</v>
      </c>
    </row>
    <row r="39" spans="1:9">
      <c r="A39" t="s">
        <v>1112</v>
      </c>
      <c r="I39" s="53">
        <f t="shared" si="0"/>
        <v>0</v>
      </c>
    </row>
    <row r="40" spans="1:9">
      <c r="A40" t="s">
        <v>1161</v>
      </c>
      <c r="I40" s="53">
        <f t="shared" si="0"/>
        <v>0</v>
      </c>
    </row>
    <row r="41" spans="1:9">
      <c r="A41" t="s">
        <v>1155</v>
      </c>
      <c r="I41" s="53">
        <f t="shared" si="0"/>
        <v>0</v>
      </c>
    </row>
    <row r="42" spans="1:9">
      <c r="A42" t="s">
        <v>1156</v>
      </c>
      <c r="I42" s="53">
        <f t="shared" si="0"/>
        <v>0</v>
      </c>
    </row>
    <row r="43" spans="1:9">
      <c r="A43" t="s">
        <v>1157</v>
      </c>
      <c r="I43" s="53">
        <f t="shared" si="0"/>
        <v>0</v>
      </c>
    </row>
    <row r="44" spans="1:9">
      <c r="A44" t="s">
        <v>1022</v>
      </c>
      <c r="I44" s="53">
        <f t="shared" si="0"/>
        <v>0</v>
      </c>
    </row>
    <row r="45" spans="1:9">
      <c r="A45" t="s">
        <v>1023</v>
      </c>
      <c r="I45" s="53">
        <f t="shared" si="0"/>
        <v>0</v>
      </c>
    </row>
    <row r="46" spans="1:9">
      <c r="A46" t="s">
        <v>1463</v>
      </c>
      <c r="I46" s="53">
        <f t="shared" si="0"/>
        <v>0</v>
      </c>
    </row>
    <row r="47" spans="1:9">
      <c r="A47" t="s">
        <v>1464</v>
      </c>
      <c r="I47" s="53">
        <f t="shared" si="0"/>
        <v>0</v>
      </c>
    </row>
    <row r="48" spans="1:9">
      <c r="A48" t="s">
        <v>1465</v>
      </c>
      <c r="I48" s="53">
        <f t="shared" si="0"/>
        <v>0</v>
      </c>
    </row>
    <row r="49" spans="1:9">
      <c r="A49" t="s">
        <v>1466</v>
      </c>
      <c r="I49" s="53">
        <f t="shared" si="0"/>
        <v>0</v>
      </c>
    </row>
    <row r="50" spans="1:9">
      <c r="A50" t="s">
        <v>1467</v>
      </c>
      <c r="I50" s="53">
        <f t="shared" si="0"/>
        <v>0</v>
      </c>
    </row>
    <row r="51" spans="1:9">
      <c r="A51" t="s">
        <v>1468</v>
      </c>
      <c r="I51" s="53">
        <f t="shared" si="0"/>
        <v>0</v>
      </c>
    </row>
    <row r="52" spans="1:9">
      <c r="A52" t="s">
        <v>1469</v>
      </c>
      <c r="I52" s="53">
        <f t="shared" si="0"/>
        <v>0</v>
      </c>
    </row>
    <row r="53" spans="1:9">
      <c r="A53" t="s">
        <v>934</v>
      </c>
      <c r="I53" s="53">
        <f t="shared" si="0"/>
        <v>0</v>
      </c>
    </row>
    <row r="54" spans="1:9">
      <c r="A54" t="s">
        <v>1258</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1659</v>
      </c>
      <c r="B1" s="393"/>
    </row>
    <row r="2" spans="1:3" s="46" customFormat="1" ht="15.6">
      <c r="A2" s="47" t="s">
        <v>1652</v>
      </c>
      <c r="B2" s="47" t="s">
        <v>1660</v>
      </c>
      <c r="C2" s="45"/>
    </row>
    <row r="3" spans="1:3" s="46" customFormat="1" ht="15.6">
      <c r="A3" s="45" t="s">
        <v>1661</v>
      </c>
      <c r="B3" s="394" t="str">
        <f>'Agreement 3'!B43</f>
        <v>barbara.land@email.com</v>
      </c>
      <c r="C3" s="45"/>
    </row>
    <row r="4" spans="1:3" s="46" customFormat="1" ht="15.6">
      <c r="A4" s="45" t="s">
        <v>1662</v>
      </c>
      <c r="B4" s="394" t="str">
        <f>_xlfn.CONCAT('Agreement 3'!B31,"; ",'Agreement 3'!B37)</f>
        <v>donald.kessler@email.com; nathalie.lake@email.com</v>
      </c>
      <c r="C4" s="45"/>
    </row>
    <row r="5" spans="1:3" s="16" customFormat="1">
      <c r="A5" s="16" t="s">
        <v>1653</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Barbara Land</v>
      </c>
    </row>
    <row r="7" spans="1:3" s="16" customFormat="1">
      <c r="B7" s="161"/>
    </row>
    <row r="8" spans="1:3" s="16" customFormat="1">
      <c r="A8" s="16" t="s">
        <v>1663</v>
      </c>
      <c r="B8" s="161" t="str">
        <f>'Agreement 3'!B28</f>
        <v>Prof Donald Kessler</v>
      </c>
    </row>
    <row r="9" spans="1:3" s="16" customFormat="1">
      <c r="A9" s="16" t="s">
        <v>1664</v>
      </c>
      <c r="B9" s="161" t="str">
        <f>'Agreement 3'!B16</f>
        <v>Software for Mars (Pty) Ltd</v>
      </c>
    </row>
    <row r="10" spans="1:3" s="16" customFormat="1">
      <c r="A10" s="16" t="s">
        <v>1665</v>
      </c>
      <c r="B10" s="161" t="str">
        <f>'Agreement 3'!B29</f>
        <v>The Boss</v>
      </c>
    </row>
    <row r="11" spans="1:3" s="16" customFormat="1">
      <c r="A11" s="16" t="s">
        <v>1666</v>
      </c>
      <c r="B11" s="161" t="str">
        <f>'Agreement 3'!B30</f>
        <v>+000 1111 2222</v>
      </c>
    </row>
    <row r="12" spans="1:3" s="16" customFormat="1">
      <c r="A12" s="16" t="s">
        <v>1667</v>
      </c>
      <c r="B12" s="161" t="str">
        <f>'Agreement 3'!B31</f>
        <v>donald.kessler@email.com</v>
      </c>
    </row>
    <row r="13" spans="1:3" s="16" customFormat="1">
      <c r="B13" s="161"/>
    </row>
    <row r="14" spans="1:3" s="16" customFormat="1">
      <c r="A14" s="16" t="s">
        <v>1668</v>
      </c>
      <c r="B14" s="161" t="str">
        <f>'Agreement 3'!B33</f>
        <v>Miss Nathalie Lake</v>
      </c>
    </row>
    <row r="15" spans="1:3" s="16" customFormat="1">
      <c r="A15" s="16" t="s">
        <v>1669</v>
      </c>
      <c r="B15" s="16">
        <f ca="1">Planning!B42-TODAY()</f>
        <v>-962</v>
      </c>
    </row>
    <row r="16" spans="1:3" s="16" customFormat="1"/>
    <row r="17" spans="1:3" s="46" customFormat="1" ht="15.6">
      <c r="A17" s="47" t="s">
        <v>1670</v>
      </c>
      <c r="B17" s="47" t="s">
        <v>1671</v>
      </c>
      <c r="C17" s="45"/>
    </row>
    <row r="18" spans="1:3" s="16" customFormat="1">
      <c r="A18" s="16" t="s">
        <v>1672</v>
      </c>
      <c r="B18" s="16" t="str">
        <f>_xlfn.CONCAT('P1-Personnel'!B13,"; ",'P1-Personnel'!B14)</f>
        <v>ATM-1; ATM-2</v>
      </c>
    </row>
    <row r="19" spans="1:3" s="16" customFormat="1">
      <c r="A19" s="16" t="s">
        <v>1653</v>
      </c>
      <c r="B19" s="16" t="str">
        <f>_xlfn.CONCAT('Agreement 3'!B16, " (CASID",'Agreement 3'!B5,") | CAS review before submission")</f>
        <v>Software for Mars (Pty) Ltd (CASID53517) | CAS review before submission</v>
      </c>
    </row>
    <row r="20" spans="1:3" s="16" customFormat="1">
      <c r="A20" s="16" t="s">
        <v>1673</v>
      </c>
      <c r="B20" s="16" t="e">
        <f>_xlfn.CONCAT('P1-OrgScope'!#REF!," and ",'P1-OrgScope'!#REF!)</f>
        <v>#REF!</v>
      </c>
    </row>
    <row r="21" spans="1:3" s="16" customFormat="1">
      <c r="A21" s="16" t="s">
        <v>1674</v>
      </c>
      <c r="B21" s="16" t="str">
        <f>Planning!B7</f>
        <v>2021-04-12to04-16 (A5) C53517 SoftMARS</v>
      </c>
    </row>
    <row r="22" spans="1:3" s="16" customFormat="1">
      <c r="A22" s="16" t="s">
        <v>27</v>
      </c>
      <c r="B22" s="161" t="str">
        <f>'Agreement 3'!B39</f>
        <v>Miss Barbara Land</v>
      </c>
    </row>
    <row r="23" spans="1:3" s="16" customFormat="1"/>
    <row r="24" spans="1:3" s="46" customFormat="1" ht="15.6">
      <c r="A24" s="47" t="s">
        <v>1675</v>
      </c>
      <c r="B24" s="47" t="s">
        <v>1676</v>
      </c>
      <c r="C24" s="45"/>
    </row>
    <row r="25" spans="1:3" s="16" customFormat="1">
      <c r="A25" s="16" t="s">
        <v>1661</v>
      </c>
      <c r="B25" s="161" t="str">
        <f>'Agreement 3'!B43</f>
        <v>barbara.land@email.com</v>
      </c>
    </row>
    <row r="26" spans="1:3" s="16" customFormat="1">
      <c r="A26" s="16" t="s">
        <v>1677</v>
      </c>
      <c r="B26" s="16" t="e">
        <f>_xlfn.CONCAT('Agreement 3'!B31,"; ",'Agreement 3'!B37,"; ",'P1-OrgScope'!#REF!,"; ",'P1-OrgScope'!#REF!)</f>
        <v>#REF!</v>
      </c>
    </row>
    <row r="27" spans="1:3" s="16" customFormat="1">
      <c r="A27" s="16" t="s">
        <v>1653</v>
      </c>
      <c r="B27" s="16" t="str">
        <f>_xlfn.CONCAT('Agreement 3'!B16," (CASID",'Agreement 3'!B5,") | Random sample and OEdb")</f>
        <v>Software for Mars (Pty) Ltd (CASID53517) | Random sample and OEdb</v>
      </c>
    </row>
    <row r="28" spans="1:3" s="16" customFormat="1">
      <c r="A28" s="16" t="s">
        <v>1678</v>
      </c>
      <c r="B28" s="161" t="str">
        <f>'Agreement 3'!B39</f>
        <v>Miss Barbara Land</v>
      </c>
    </row>
    <row r="29" spans="1:3" s="16" customFormat="1">
      <c r="A29" s="16" t="s">
        <v>1679</v>
      </c>
      <c r="B29" s="161" t="str">
        <f>'Agreement 3'!B33</f>
        <v>Miss Nathalie Lake</v>
      </c>
    </row>
    <row r="30" spans="1:3" s="16" customFormat="1"/>
    <row r="31" spans="1:3" s="16" customFormat="1">
      <c r="A31" s="16" t="s">
        <v>1680</v>
      </c>
      <c r="B31" s="16" t="e">
        <f>'P1-OrgScope'!#REF!</f>
        <v>#REF!</v>
      </c>
    </row>
    <row r="32" spans="1:3" s="16" customFormat="1"/>
    <row r="33" spans="1:3" s="46" customFormat="1" ht="15.6">
      <c r="A33" s="47" t="s">
        <v>1656</v>
      </c>
      <c r="B33" s="47" t="s">
        <v>1681</v>
      </c>
      <c r="C33" s="45"/>
    </row>
    <row r="34" spans="1:3" s="16" customFormat="1">
      <c r="A34" s="16" t="s">
        <v>1682</v>
      </c>
      <c r="B34" s="161" t="e">
        <f>_xlfn.CONCAT('P1-OrgScope'!#REF!,"; ",'P1-OrgScope'!#REF!,"; ",'P1-OrgScope'!#REF!,"; ",'P1-OrgScope'!#REF!,"; ",'P1-OrgScope'!#REF!,"; ",'P1-OrgScope'!#REF!,"; ",'P1-OrgScope'!#REF!,"; ",'P1-OrgScope'!#REF!,"; ",'P1-OrgScope'!#REF!,"; ",'P1-OrgScope'!#REF!,"; ",'P1-OrgScope'!#REF!,"; ",'P1-OrgScope'!#REF!)</f>
        <v>#REF!</v>
      </c>
    </row>
    <row r="35" spans="1:3" s="16" customFormat="1">
      <c r="A35" s="16" t="s">
        <v>1653</v>
      </c>
      <c r="B35" s="161" t="str">
        <f>_xlfn.CONCAT('Agreement 3'!B16," (CASID",'Agreement 3'!B5,") | Please sign CAS documents")</f>
        <v>Software for Mars (Pty) Ltd (CASID53517) | Please sign CAS documents</v>
      </c>
    </row>
    <row r="36" spans="1:3" s="16" customFormat="1">
      <c r="B36" s="161"/>
    </row>
    <row r="37" spans="1:3" s="16" customFormat="1">
      <c r="A37" s="16" t="s">
        <v>1663</v>
      </c>
      <c r="B37" s="161" t="str">
        <f>'Agreement 3'!B28</f>
        <v>Prof Donald Kessler</v>
      </c>
    </row>
    <row r="38" spans="1:3" s="16" customFormat="1">
      <c r="A38" s="16" t="s">
        <v>1683</v>
      </c>
      <c r="B38" s="161" t="str">
        <f>_xlfn.CONCAT("https://cmmiinstitute.com/appraisals-sys/appraisals/",'Agreement 3'!B5,"/roles-responsibilities")</f>
        <v>https://cmmiinstitute.com/appraisals-sys/appraisals/53517/roles-responsibilities</v>
      </c>
    </row>
    <row r="39" spans="1:3" s="16" customFormat="1">
      <c r="A39" s="16" t="s">
        <v>1657</v>
      </c>
      <c r="B39" s="161" t="str">
        <f>_xlfn.CONCAT("https://cmmiinstitute.com/appraisals-sys/appraisals/",'Agreement 3'!B5,"/confidentiality-agreement")</f>
        <v>https://cmmiinstitute.com/appraisals-sys/appraisals/53517/confidentiality-agreement</v>
      </c>
    </row>
    <row r="40" spans="1:3" s="16" customFormat="1">
      <c r="A40" s="16" t="s">
        <v>1658</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1684</v>
      </c>
      <c r="B42" s="161" t="str">
        <f>_xlfn.CONCAT('Agreement 3'!B33," and ",'Agreement 3'!B39)</f>
        <v>Miss Nathalie Lake and Miss Barbara Land</v>
      </c>
    </row>
    <row r="43" spans="1:3" s="16" customFormat="1">
      <c r="A43" s="16" t="s">
        <v>1657</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1685</v>
      </c>
      <c r="B45" s="161" t="e">
        <f>_xlfn.CONCAT('P1-OrgScope'!#REF!,", ",'P1-OrgScope'!#REF!,", ",'P1-OrgScope'!#REF!,", ",'P1-OrgScope'!#REF!,", ",'P1-OrgScope'!#REF!,", ",'P1-OrgScope'!#REF!,", ",'P1-OrgScope'!#REF!,", ",'P1-OrgScope'!#REF!,", and ",'P1-OrgScope'!#REF!)</f>
        <v>#REF!</v>
      </c>
    </row>
    <row r="46" spans="1:3" s="16" customFormat="1">
      <c r="A46" s="16" t="s">
        <v>1657</v>
      </c>
      <c r="B46" s="161" t="str">
        <f>_xlfn.CONCAT("https://cmmiinstitute.com/appraisals-sys/appraisals/",'Agreement 3'!B5,"/confidentiality-agreement")</f>
        <v>https://cmmiinstitute.com/appraisals-sys/appraisals/53517/confidentiality-agreement</v>
      </c>
    </row>
    <row r="47" spans="1:3" s="16" customFormat="1">
      <c r="A47" s="16" t="s">
        <v>1658</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1654</v>
      </c>
      <c r="B49" s="47" t="s">
        <v>1686</v>
      </c>
      <c r="C49" s="45"/>
    </row>
    <row r="50" spans="1:3" s="16" customFormat="1">
      <c r="A50" s="16" t="s">
        <v>1687</v>
      </c>
      <c r="B50" s="161" t="str">
        <f>'Agreement 3'!B31</f>
        <v>donald.kessler@email.com</v>
      </c>
    </row>
    <row r="51" spans="1:3" s="16" customFormat="1">
      <c r="A51" s="16" t="s">
        <v>1688</v>
      </c>
      <c r="B51" s="16" t="e">
        <f>_xlfn.CONCAT('Agreement 3'!B43,"; ",'Agreement 3'!B37,"; ",'P1-OrgScope'!#REF!,"; ",'P1-OrgScope'!#REF!,"; ",'P1-OrgScope'!#REF!,"; ",'P1-OrgScope'!#REF!,"; ",'P1-OrgScope'!#REF!,"; ",'P1-OrgScope'!#REF!,"; ",'P1-OrgScope'!#REF!,"; ",'P1-OrgScope'!#REF!,"; ",'P1-OrgScope'!#REF!)</f>
        <v>#REF!</v>
      </c>
    </row>
    <row r="52" spans="1:3" s="16" customFormat="1">
      <c r="A52" s="16" t="s">
        <v>1653</v>
      </c>
      <c r="B52" s="16" t="str">
        <f>_xlfn.CONCAT('Agreement 3'!B16," (CASID",'Agreement 3'!B5,") | Readiness review completed")</f>
        <v>Software for Mars (Pty) Ltd (CASID53517) | Readiness review completed</v>
      </c>
    </row>
    <row r="53" spans="1:3" s="16" customFormat="1">
      <c r="A53" s="16" t="s">
        <v>1655</v>
      </c>
      <c r="B53" s="161" t="str">
        <f>'Agreement 3'!B28</f>
        <v>Prof Donald Kessler</v>
      </c>
    </row>
    <row r="54" spans="1:3" s="16" customFormat="1">
      <c r="A54" s="16" t="s">
        <v>1695</v>
      </c>
      <c r="B54" s="161" t="str">
        <f>_xlfn.CONCAT("https://cmmiinstitute.com/appraisals-sys/appraisals/",'Agreement 3'!B5,"/roles-responsibilities")</f>
        <v>https://cmmiinstitute.com/appraisals-sys/appraisals/53517/roles-responsibilities</v>
      </c>
    </row>
    <row r="55" spans="1:3" s="16" customFormat="1">
      <c r="A55" s="16" t="s">
        <v>1697</v>
      </c>
      <c r="B55" s="161" t="str">
        <f>_xlfn.CONCAT("https://cmmiinstitute.com/appraisals-sys/appraisals/",'Agreement 3'!B5,"/confidentiality-agreement")</f>
        <v>https://cmmiinstitute.com/appraisals-sys/appraisals/53517/confidentiality-agreement</v>
      </c>
    </row>
    <row r="56" spans="1:3" s="16" customFormat="1">
      <c r="A56" s="16" t="s">
        <v>1696</v>
      </c>
      <c r="B56" s="161" t="str">
        <f>_xlfn.CONCAT("https://cmmiinstitute.com/appraisals-sys/appraisals/",'Agreement 3'!B5,"/appraisal-plan-summary")</f>
        <v>https://cmmiinstitute.com/appraisals-sys/appraisals/53517/appraisal-plan-summary</v>
      </c>
    </row>
    <row r="57" spans="1:3" s="16" customFormat="1">
      <c r="A57" s="16" t="s">
        <v>1713</v>
      </c>
      <c r="B57" s="161" t="str">
        <f>_xlfn.CONCAT("https://cmmiinstitute.com/appraisals-sys/appraisals/",'Agreement 3'!B5,"/sign-final-findings")</f>
        <v>https://cmmiinstitute.com/appraisals-sys/appraisals/53517/sign-final-findings</v>
      </c>
    </row>
    <row r="58" spans="1:3" s="16" customFormat="1">
      <c r="A58" s="16" t="s">
        <v>1714</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1670</v>
      </c>
      <c r="B60" s="47" t="s">
        <v>1690</v>
      </c>
      <c r="C60" s="45"/>
    </row>
    <row r="61" spans="1:3" s="16" customFormat="1">
      <c r="A61" s="16" t="s">
        <v>1672</v>
      </c>
      <c r="B61" s="16" t="e">
        <f>_xlfn.CONCAT('P1-OrgScope'!#REF!,"; ",'P1-OrgScope'!#REF!)</f>
        <v>#REF!</v>
      </c>
    </row>
    <row r="62" spans="1:3" s="16" customFormat="1">
      <c r="A62" s="16" t="s">
        <v>1653</v>
      </c>
      <c r="B62" s="16" t="str">
        <f>_xlfn.CONCAT('Agreement 3'!B16, " (CASID",'Agreement 3'!B5,") | CAS review before submission")</f>
        <v>Software for Mars (Pty) Ltd (CASID53517) | CAS review before submission</v>
      </c>
    </row>
    <row r="63" spans="1:3" s="16" customFormat="1">
      <c r="A63" s="16" t="s">
        <v>1673</v>
      </c>
      <c r="B63" s="16" t="e">
        <f>_xlfn.CONCAT('P1-OrgScope'!#REF!," and ",'P1-OrgScope'!#REF!,", please review the appraisal for me before I submitt it. The SPS file and CAS link is below.")</f>
        <v>#REF!</v>
      </c>
    </row>
    <row r="64" spans="1:3" s="16" customFormat="1">
      <c r="A64" s="16" t="s">
        <v>1674</v>
      </c>
      <c r="B64" s="16" t="str">
        <f>Planning!B7</f>
        <v>2021-04-12to04-16 (A5) C53517 SoftMARS</v>
      </c>
    </row>
    <row r="65" spans="1:2" s="16" customFormat="1">
      <c r="A65" s="16" t="s">
        <v>1691</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1694</v>
      </c>
      <c r="C2" s="402">
        <v>0.3</v>
      </c>
      <c r="D2" s="402">
        <v>0.5</v>
      </c>
      <c r="E2" s="402">
        <v>1</v>
      </c>
    </row>
    <row r="3" spans="1:13">
      <c r="A3" s="16" t="s">
        <v>611</v>
      </c>
      <c r="B3" s="16" t="s">
        <v>1695</v>
      </c>
      <c r="C3" s="60" t="s">
        <v>388</v>
      </c>
      <c r="M3" s="29" t="str">
        <f>HYPERLINK(_xlfn.CONCAT("https://cmmiinstitute.com/appraisals-sys/appraisals/",'Agreement 3'!B5,"/roles-responsibilities"))</f>
        <v>https://cmmiinstitute.com/appraisals-sys/appraisals/53517/roles-responsibilities</v>
      </c>
    </row>
    <row r="4" spans="1:13">
      <c r="B4" s="16" t="s">
        <v>1696</v>
      </c>
      <c r="C4" s="60" t="s">
        <v>388</v>
      </c>
      <c r="M4" s="29" t="str">
        <f>HYPERLINK(_xlfn.CONCAT("https://cmmiinstitute.com/appraisals-sys/appraisals/",'Agreement 3'!B5,"/appraisal-plan-summary"))</f>
        <v>https://cmmiinstitute.com/appraisals-sys/appraisals/53517/appraisal-plan-summary</v>
      </c>
    </row>
    <row r="5" spans="1:13">
      <c r="B5" s="16" t="s">
        <v>1697</v>
      </c>
      <c r="C5" s="60" t="s">
        <v>388</v>
      </c>
      <c r="M5" s="29" t="str">
        <f>HYPERLINK(_xlfn.CONCAT("https://cmmiinstitute.com/appraisals-sys/appraisals/",'Agreement 3'!B5,"/confidentiality-agreement"))</f>
        <v>https://cmmiinstitute.com/appraisals-sys/appraisals/53517/confidentiality-agreement</v>
      </c>
    </row>
    <row r="6" spans="1:13">
      <c r="B6" s="16" t="s">
        <v>1698</v>
      </c>
      <c r="C6" s="60" t="s">
        <v>388</v>
      </c>
      <c r="M6" s="29" t="str">
        <f>HYPERLINK(_xlfn.CONCAT("https://cmmiinstitute.com/appraisals-sys/appraisals/",'Agreement 3'!B5,"/appraisal-team"))</f>
        <v>https://cmmiinstitute.com/appraisals-sys/appraisals/53517/appraisal-team</v>
      </c>
    </row>
    <row r="8" spans="1:13">
      <c r="A8" s="16" t="s">
        <v>586</v>
      </c>
      <c r="B8" s="16" t="s">
        <v>1695</v>
      </c>
      <c r="C8" s="60" t="s">
        <v>388</v>
      </c>
      <c r="M8" s="29" t="str">
        <f>HYPERLINK(_xlfn.CONCAT("https://cmmiinstitute.com/appraisals-sys/appraisals/",'Agreement 3'!B5,"/roles-responsibilities"))</f>
        <v>https://cmmiinstitute.com/appraisals-sys/appraisals/53517/roles-responsibilities</v>
      </c>
    </row>
    <row r="9" spans="1:13">
      <c r="B9" s="16" t="s">
        <v>1696</v>
      </c>
      <c r="C9" s="60" t="s">
        <v>388</v>
      </c>
      <c r="M9" s="29" t="str">
        <f>HYPERLINK(_xlfn.CONCAT("https://cmmiinstitute.com/appraisals-sys/appraisals/",'Agreement 3'!B5,"/appraisal-plan-summary"))</f>
        <v>https://cmmiinstitute.com/appraisals-sys/appraisals/53517/appraisal-plan-summary</v>
      </c>
    </row>
    <row r="10" spans="1:13">
      <c r="B10" s="16" t="s">
        <v>1697</v>
      </c>
      <c r="C10" s="60" t="s">
        <v>388</v>
      </c>
      <c r="M10" s="29" t="str">
        <f>HYPERLINK(_xlfn.CONCAT("https://cmmiinstitute.com/appraisals-sys/appraisals/",'Agreement 3'!B5,"/confidentiality-agreement"))</f>
        <v>https://cmmiinstitute.com/appraisals-sys/appraisals/53517/confidentiality-agreement</v>
      </c>
    </row>
    <row r="11" spans="1:13">
      <c r="B11" s="16" t="s">
        <v>1698</v>
      </c>
      <c r="C11" s="60" t="s">
        <v>388</v>
      </c>
      <c r="M11" s="29" t="str">
        <f>HYPERLINK(_xlfn.CONCAT("https://cmmiinstitute.com/appraisals-sys/appraisals/",'Agreement 3'!B5,"/appraisal-sponsor"))</f>
        <v>https://cmmiinstitute.com/appraisals-sys/appraisals/53517/appraisal-sponsor</v>
      </c>
    </row>
    <row r="12" spans="1:13">
      <c r="M12" s="29"/>
    </row>
    <row r="13" spans="1:13">
      <c r="A13" s="16" t="s">
        <v>1699</v>
      </c>
      <c r="B13" s="16" t="s">
        <v>1711</v>
      </c>
      <c r="C13" s="60" t="s">
        <v>388</v>
      </c>
      <c r="F13" s="60" t="s">
        <v>1706</v>
      </c>
      <c r="G13" s="60" t="s">
        <v>1707</v>
      </c>
      <c r="H13" s="60" t="s">
        <v>1708</v>
      </c>
      <c r="I13" s="60" t="s">
        <v>1709</v>
      </c>
      <c r="J13" s="60" t="s">
        <v>1710</v>
      </c>
    </row>
    <row r="14" spans="1:13">
      <c r="B14" s="16" t="s">
        <v>1712</v>
      </c>
      <c r="C14" s="60" t="s">
        <v>388</v>
      </c>
    </row>
    <row r="15" spans="1:13">
      <c r="B15" s="16" t="s">
        <v>1697</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1700</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1698</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1375</v>
      </c>
      <c r="B19" s="16" t="s">
        <v>1697</v>
      </c>
      <c r="C19" s="60" t="s">
        <v>388</v>
      </c>
      <c r="M19" s="29" t="str">
        <f>HYPERLINK(_xlfn.CONCAT("https://cmmiinstitute.com/appraisals-sys/appraisals/",'Agreement 3'!B5,"/confidentiality-agreement"))</f>
        <v>https://cmmiinstitute.com/appraisals-sys/appraisals/53517/confidentiality-agreement</v>
      </c>
    </row>
    <row r="20" spans="1:13">
      <c r="B20" s="16" t="s">
        <v>1698</v>
      </c>
      <c r="C20" s="60" t="s">
        <v>388</v>
      </c>
      <c r="M20" s="29" t="str">
        <f>HYPERLINK(_xlfn.CONCAT("https://cmmiinstitute.com/appraisals-sys/appraisals/",'Agreement 3'!B5,"/appraisal-team"))</f>
        <v>https://cmmiinstitute.com/appraisals-sys/appraisals/53517/appraisal-team</v>
      </c>
    </row>
    <row r="22" spans="1:13">
      <c r="A22" s="16" t="s">
        <v>1374</v>
      </c>
      <c r="B22" s="16" t="s">
        <v>1697</v>
      </c>
      <c r="C22" s="60" t="s">
        <v>388</v>
      </c>
      <c r="M22" s="29" t="str">
        <f>HYPERLINK(_xlfn.CONCAT("https://cmmiinstitute.com/appraisals-sys/appraisals/",'Agreement 3'!B5,"/confidentiality-agreement"))</f>
        <v>https://cmmiinstitute.com/appraisals-sys/appraisals/53517/confidentiality-agreement</v>
      </c>
    </row>
    <row r="23" spans="1:13">
      <c r="B23" s="16" t="s">
        <v>1698</v>
      </c>
      <c r="C23" s="60" t="s">
        <v>388</v>
      </c>
      <c r="M23" s="29" t="str">
        <f>HYPERLINK(_xlfn.CONCAT("https://cmmiinstitute.com/appraisals-sys/appraisals/",'Agreement 3'!B5,"/appraisal-team"))</f>
        <v>https://cmmiinstitute.com/appraisals-sys/appraisals/53517/appraisal-team</v>
      </c>
    </row>
    <row r="25" spans="1:13">
      <c r="A25" s="16" t="s">
        <v>1701</v>
      </c>
      <c r="B25" s="16" t="s">
        <v>1702</v>
      </c>
    </row>
    <row r="28" spans="1:13">
      <c r="A28" s="16" t="s">
        <v>1703</v>
      </c>
      <c r="B28" s="16" t="s">
        <v>1704</v>
      </c>
    </row>
    <row r="30" spans="1:13">
      <c r="A30" s="16" t="s">
        <v>1705</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46" workbookViewId="0">
      <selection activeCell="M40" sqref="M40"/>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1470</v>
      </c>
    </row>
    <row r="3" spans="1:2">
      <c r="A3" s="2" t="s">
        <v>2</v>
      </c>
      <c r="B3" s="272"/>
    </row>
    <row r="4" spans="1:2">
      <c r="A4" s="2" t="s">
        <v>710</v>
      </c>
      <c r="B4" s="3" t="s">
        <v>1471</v>
      </c>
    </row>
    <row r="5" spans="1:2">
      <c r="A5" s="2" t="s">
        <v>1540</v>
      </c>
      <c r="B5" s="4">
        <v>53517</v>
      </c>
    </row>
    <row r="6" spans="1:2">
      <c r="A6" s="5" t="s">
        <v>3</v>
      </c>
      <c r="B6" s="5"/>
    </row>
    <row r="7" spans="1:2">
      <c r="A7" s="2" t="s">
        <v>4</v>
      </c>
      <c r="B7" s="6" t="s">
        <v>1792</v>
      </c>
    </row>
    <row r="8" spans="1:2">
      <c r="A8" s="2" t="s">
        <v>5</v>
      </c>
      <c r="B8" s="6" t="s">
        <v>6</v>
      </c>
    </row>
    <row r="9" spans="1:2">
      <c r="A9" s="2" t="s">
        <v>7</v>
      </c>
      <c r="B9" s="6" t="s">
        <v>1472</v>
      </c>
    </row>
    <row r="10" spans="1:2" ht="55.2">
      <c r="A10" s="2" t="s">
        <v>8</v>
      </c>
      <c r="B10" s="6" t="s">
        <v>1473</v>
      </c>
    </row>
    <row r="11" spans="1:2">
      <c r="A11" s="2" t="s">
        <v>1086</v>
      </c>
      <c r="B11" s="6" t="s">
        <v>1474</v>
      </c>
    </row>
    <row r="12" spans="1:2">
      <c r="A12" s="2" t="s">
        <v>9</v>
      </c>
      <c r="B12" s="6" t="s">
        <v>1475</v>
      </c>
    </row>
    <row r="13" spans="1:2">
      <c r="A13" s="2" t="s">
        <v>10</v>
      </c>
      <c r="B13" s="6" t="s">
        <v>1476</v>
      </c>
    </row>
    <row r="14" spans="1:2">
      <c r="A14" s="2" t="s">
        <v>11</v>
      </c>
      <c r="B14" s="6" t="s">
        <v>1477</v>
      </c>
    </row>
    <row r="15" spans="1:2">
      <c r="A15" s="5" t="s">
        <v>12</v>
      </c>
      <c r="B15" s="5"/>
    </row>
    <row r="16" spans="1:2">
      <c r="A16" s="2" t="s">
        <v>13</v>
      </c>
      <c r="B16" s="6" t="s">
        <v>1527</v>
      </c>
    </row>
    <row r="17" spans="1:3">
      <c r="A17" s="2" t="s">
        <v>14</v>
      </c>
      <c r="B17" s="6" t="s">
        <v>1528</v>
      </c>
    </row>
    <row r="18" spans="1:3">
      <c r="A18" s="2" t="s">
        <v>15</v>
      </c>
      <c r="B18" s="6" t="s">
        <v>1529</v>
      </c>
    </row>
    <row r="19" spans="1:3">
      <c r="A19" s="2" t="s">
        <v>16</v>
      </c>
      <c r="B19" s="6" t="s">
        <v>1530</v>
      </c>
    </row>
    <row r="20" spans="1:3">
      <c r="A20" s="2" t="s">
        <v>17</v>
      </c>
      <c r="B20" s="6" t="s">
        <v>1528</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1791</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1793</v>
      </c>
    </row>
    <row r="29" spans="1:3">
      <c r="A29" s="2" t="s">
        <v>7</v>
      </c>
      <c r="B29" s="6" t="s">
        <v>1531</v>
      </c>
    </row>
    <row r="30" spans="1:3">
      <c r="A30" s="2" t="s">
        <v>9</v>
      </c>
      <c r="B30" s="6" t="s">
        <v>1478</v>
      </c>
    </row>
    <row r="31" spans="1:3">
      <c r="A31" s="2" t="s">
        <v>10</v>
      </c>
      <c r="B31" s="26" t="s">
        <v>1532</v>
      </c>
    </row>
    <row r="32" spans="1:3">
      <c r="A32" s="5" t="s">
        <v>26</v>
      </c>
      <c r="B32" s="5"/>
    </row>
    <row r="33" spans="1:5">
      <c r="A33" s="2" t="s">
        <v>4</v>
      </c>
      <c r="B33" s="273" t="s">
        <v>1794</v>
      </c>
    </row>
    <row r="34" spans="1:5">
      <c r="A34" s="2" t="s">
        <v>7</v>
      </c>
      <c r="B34" s="6" t="s">
        <v>1786</v>
      </c>
    </row>
    <row r="35" spans="1:5">
      <c r="A35" s="2" t="s">
        <v>5</v>
      </c>
      <c r="B35" s="363" t="str">
        <f>B16</f>
        <v>Software for Mars (Pty) Ltd</v>
      </c>
      <c r="C35" s="11"/>
    </row>
    <row r="36" spans="1:5">
      <c r="A36" s="2" t="s">
        <v>9</v>
      </c>
      <c r="B36" s="274" t="s">
        <v>1479</v>
      </c>
    </row>
    <row r="37" spans="1:5">
      <c r="A37" s="2" t="s">
        <v>10</v>
      </c>
      <c r="B37" s="275" t="s">
        <v>1533</v>
      </c>
    </row>
    <row r="38" spans="1:5">
      <c r="A38" s="5" t="s">
        <v>27</v>
      </c>
      <c r="B38" s="5"/>
    </row>
    <row r="39" spans="1:5">
      <c r="A39" s="2" t="s">
        <v>4</v>
      </c>
      <c r="B39" s="6" t="s">
        <v>1795</v>
      </c>
    </row>
    <row r="40" spans="1:5">
      <c r="A40" s="2" t="s">
        <v>5</v>
      </c>
      <c r="B40" s="6" t="s">
        <v>1309</v>
      </c>
    </row>
    <row r="41" spans="1:5">
      <c r="A41" s="2" t="s">
        <v>7</v>
      </c>
      <c r="B41" s="6" t="s">
        <v>418</v>
      </c>
    </row>
    <row r="42" spans="1:5">
      <c r="A42" s="2" t="s">
        <v>9</v>
      </c>
      <c r="B42" s="258" t="s">
        <v>1480</v>
      </c>
    </row>
    <row r="43" spans="1:5">
      <c r="A43" s="2" t="s">
        <v>10</v>
      </c>
      <c r="B43" s="79" t="s">
        <v>1534</v>
      </c>
    </row>
    <row r="44" spans="1:5">
      <c r="A44" s="7" t="s">
        <v>28</v>
      </c>
      <c r="B44" s="5"/>
    </row>
    <row r="45" spans="1:5">
      <c r="A45" s="2" t="s">
        <v>4</v>
      </c>
      <c r="B45" s="6" t="s">
        <v>1796</v>
      </c>
      <c r="D45" t="s">
        <v>1796</v>
      </c>
      <c r="E45" t="s">
        <v>1797</v>
      </c>
    </row>
    <row r="46" spans="1:5">
      <c r="A46" s="2" t="s">
        <v>5</v>
      </c>
      <c r="B46" s="6" t="s">
        <v>6</v>
      </c>
      <c r="D46" t="s">
        <v>6</v>
      </c>
      <c r="E46" t="s">
        <v>1104</v>
      </c>
    </row>
    <row r="47" spans="1:5">
      <c r="A47" s="2" t="s">
        <v>9</v>
      </c>
      <c r="B47" s="6" t="s">
        <v>1107</v>
      </c>
      <c r="D47" t="s">
        <v>1107</v>
      </c>
      <c r="E47" t="s">
        <v>1105</v>
      </c>
    </row>
    <row r="48" spans="1:5">
      <c r="A48" s="2" t="s">
        <v>10</v>
      </c>
      <c r="B48" s="26" t="s">
        <v>1108</v>
      </c>
      <c r="D48" t="s">
        <v>1108</v>
      </c>
      <c r="E48" t="s">
        <v>1106</v>
      </c>
    </row>
  </sheetData>
  <phoneticPr fontId="53" type="noConversion"/>
  <conditionalFormatting sqref="B1:B1048576">
    <cfRule type="cellIs" dxfId="11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abSelected="1" topLeftCell="A50" workbookViewId="0">
      <selection activeCell="B61" sqref="B61"/>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Software for Mars (Pty) Ltd</v>
      </c>
      <c r="C3" s="11" t="s">
        <v>977</v>
      </c>
    </row>
    <row r="4" spans="1:23">
      <c r="A4" s="11" t="s">
        <v>698</v>
      </c>
      <c r="B4" s="11" t="s">
        <v>1535</v>
      </c>
    </row>
    <row r="6" spans="1:23">
      <c r="A6" s="11" t="s">
        <v>700</v>
      </c>
      <c r="B6" s="81" t="str">
        <f>CONCATENATE(TEXT(B42,"yyyy-mm-dd"),"to",TEXT(B51,"mm-dd")," (A",RIGHT(B16,1),") ","C",'Agreement 3'!B5, " ",Planning!B4)</f>
        <v>2021-04-10to04-16 (A5) C53517 SoftMARS</v>
      </c>
      <c r="C6" s="11" t="s">
        <v>978</v>
      </c>
    </row>
    <row r="7" spans="1:23">
      <c r="A7" s="11" t="s">
        <v>701</v>
      </c>
      <c r="B7" s="11" t="s">
        <v>1548</v>
      </c>
    </row>
    <row r="9" spans="1:23">
      <c r="A9" s="11" t="s">
        <v>432</v>
      </c>
      <c r="B9" s="13" t="s">
        <v>518</v>
      </c>
      <c r="C9" s="11" t="s">
        <v>384</v>
      </c>
    </row>
    <row r="10" spans="1:23">
      <c r="B10" s="13"/>
    </row>
    <row r="12" spans="1:23" s="46" customFormat="1" ht="15.6">
      <c r="A12" s="47" t="s">
        <v>1775</v>
      </c>
      <c r="B12" s="47"/>
      <c r="C12" s="45"/>
    </row>
    <row r="13" spans="1:23" s="46" customFormat="1" ht="15.6">
      <c r="A13" s="403" t="s">
        <v>1760</v>
      </c>
      <c r="B13" s="45"/>
      <c r="C13" s="45"/>
    </row>
    <row r="14" spans="1:23">
      <c r="A14" s="11" t="s">
        <v>1760</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1261</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1428</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1764</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1765</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1766</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1767</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1768</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1769</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
        <v>1536</v>
      </c>
    </row>
    <row r="31" spans="1:23">
      <c r="A31" s="11" t="s">
        <v>745</v>
      </c>
      <c r="B31" s="82">
        <f>'Agreement 3'!B5</f>
        <v>53517</v>
      </c>
      <c r="C31" s="11" t="s">
        <v>977</v>
      </c>
    </row>
    <row r="33" spans="1:3" s="46" customFormat="1" ht="15.6">
      <c r="A33" s="47" t="s">
        <v>937</v>
      </c>
      <c r="B33" s="47"/>
      <c r="C33" s="45"/>
    </row>
    <row r="34" spans="1:3" s="46" customFormat="1" ht="15.6">
      <c r="A34" s="46" t="s">
        <v>852</v>
      </c>
      <c r="B34" s="46" t="s">
        <v>1310</v>
      </c>
      <c r="C34" s="45"/>
    </row>
    <row r="35" spans="1:3" s="46" customFormat="1" ht="15.6">
      <c r="A35" s="46" t="s">
        <v>939</v>
      </c>
      <c r="B35" s="121">
        <f>B51-35</f>
        <v>44267</v>
      </c>
      <c r="C35" s="45"/>
    </row>
    <row r="36" spans="1:3" s="46" customFormat="1" ht="15.6" hidden="1">
      <c r="A36" s="46" t="s">
        <v>981</v>
      </c>
      <c r="B36" s="121">
        <f>B35</f>
        <v>44267</v>
      </c>
      <c r="C36" s="45" t="s">
        <v>978</v>
      </c>
    </row>
    <row r="37" spans="1:3" s="46" customFormat="1" ht="15.6">
      <c r="B37" s="84"/>
      <c r="C37" s="45"/>
    </row>
    <row r="38" spans="1:3" s="46" customFormat="1" ht="15.6">
      <c r="A38" s="46" t="s">
        <v>940</v>
      </c>
      <c r="B38" s="121">
        <f>B51-17</f>
        <v>44285</v>
      </c>
      <c r="C38" s="45"/>
    </row>
    <row r="39" spans="1:3" s="46" customFormat="1" ht="15.6" hidden="1">
      <c r="A39" s="46" t="s">
        <v>982</v>
      </c>
      <c r="B39" s="121">
        <f>B38</f>
        <v>44285</v>
      </c>
      <c r="C39" s="45" t="s">
        <v>978</v>
      </c>
    </row>
    <row r="40" spans="1:3" s="46" customFormat="1" ht="15.6">
      <c r="B40" s="84"/>
      <c r="C40" s="45"/>
    </row>
    <row r="41" spans="1:3" s="46" customFormat="1" ht="15.6">
      <c r="A41" s="46" t="s">
        <v>853</v>
      </c>
      <c r="B41" s="84">
        <f>B42-2</f>
        <v>44294</v>
      </c>
      <c r="C41" s="45"/>
    </row>
    <row r="42" spans="1:3" s="46" customFormat="1" ht="15.6">
      <c r="A42" s="46" t="s">
        <v>854</v>
      </c>
      <c r="B42" s="121">
        <f>B45-B44</f>
        <v>44296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44298</v>
      </c>
      <c r="C45" s="107"/>
    </row>
    <row r="46" spans="1:3" s="46" customFormat="1" ht="15.6">
      <c r="A46" s="46" t="s">
        <v>1100</v>
      </c>
      <c r="B46" s="46">
        <v>0</v>
      </c>
      <c r="C46" s="107"/>
    </row>
    <row r="47" spans="1:3" s="46" customFormat="1" ht="15.6">
      <c r="A47" s="46" t="s">
        <v>736</v>
      </c>
      <c r="B47" s="83">
        <f>B48-B46</f>
        <v>44302</v>
      </c>
      <c r="C47" s="107" t="s">
        <v>978</v>
      </c>
    </row>
    <row r="48" spans="1:3" s="46" customFormat="1" ht="15.6">
      <c r="A48" s="46" t="s">
        <v>857</v>
      </c>
      <c r="B48" s="83">
        <f>'Agreement 3'!B26</f>
        <v>44302</v>
      </c>
      <c r="C48" s="45" t="s">
        <v>977</v>
      </c>
    </row>
    <row r="49" spans="1:5" ht="15.6">
      <c r="A49" s="46" t="s">
        <v>400</v>
      </c>
      <c r="B49" s="35">
        <f>B48-B42+1-B43</f>
        <v>7</v>
      </c>
      <c r="C49" s="11" t="s">
        <v>978</v>
      </c>
    </row>
    <row r="50" spans="1:5" ht="15.6">
      <c r="A50" s="11" t="s">
        <v>1102</v>
      </c>
      <c r="B50" s="46">
        <v>0</v>
      </c>
    </row>
    <row r="51" spans="1:5">
      <c r="A51" s="11" t="s">
        <v>1101</v>
      </c>
      <c r="B51" s="204">
        <f>B50+B47</f>
        <v>44302</v>
      </c>
      <c r="C51" s="11" t="s">
        <v>978</v>
      </c>
    </row>
    <row r="52" spans="1:5" ht="15.6">
      <c r="A52" s="11" t="s">
        <v>1311</v>
      </c>
      <c r="B52" s="46">
        <v>21</v>
      </c>
    </row>
    <row r="53" spans="1:5">
      <c r="A53" s="11" t="s">
        <v>1103</v>
      </c>
      <c r="B53" s="204">
        <f>B51+B52-1</f>
        <v>44322</v>
      </c>
      <c r="C53" s="11" t="s">
        <v>978</v>
      </c>
    </row>
    <row r="55" spans="1:5" s="46" customFormat="1" ht="31.2">
      <c r="A55" s="47" t="s">
        <v>941</v>
      </c>
      <c r="B55" s="47"/>
      <c r="C55" s="45"/>
    </row>
    <row r="56" spans="1:5" s="46" customFormat="1" ht="15.6">
      <c r="A56" s="46" t="s">
        <v>942</v>
      </c>
      <c r="B56" s="51" t="str">
        <f>'Agreement 3'!B23</f>
        <v>Conduct Maturity Level 5 appraisal in April 2021</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1189</v>
      </c>
      <c r="C58" s="16" t="s">
        <v>862</v>
      </c>
      <c r="D58" s="16" t="s">
        <v>1054</v>
      </c>
    </row>
    <row r="59" spans="1:5" s="16" customFormat="1" ht="43.2">
      <c r="A59" s="16" t="s">
        <v>588</v>
      </c>
      <c r="B59" s="11" t="s">
        <v>1312</v>
      </c>
      <c r="C59" s="16" t="s">
        <v>862</v>
      </c>
      <c r="D59" s="16" t="s">
        <v>1054</v>
      </c>
    </row>
    <row r="60" spans="1:5" s="46" customFormat="1" ht="59.7" customHeight="1">
      <c r="A60" s="46" t="s">
        <v>1051</v>
      </c>
      <c r="B60" s="46"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4">
      <c r="A5" s="11" t="s">
        <v>31</v>
      </c>
      <c r="B5" s="11" t="s">
        <v>1538</v>
      </c>
    </row>
    <row r="6" spans="1:3" s="11" customFormat="1" ht="14.4">
      <c r="A6" s="11" t="s">
        <v>32</v>
      </c>
      <c r="B6" s="11" t="s">
        <v>1537</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4">
      <c r="A9" s="11" t="s">
        <v>35</v>
      </c>
      <c r="B9" s="11" t="s">
        <v>1542</v>
      </c>
    </row>
    <row r="10" spans="1:3" s="11" customFormat="1" ht="14.4">
      <c r="A10" s="11" t="s">
        <v>17</v>
      </c>
      <c r="B10" s="13" t="s">
        <v>18</v>
      </c>
      <c r="C10" s="11" t="s">
        <v>384</v>
      </c>
    </row>
    <row r="11" spans="1:3" ht="31.2">
      <c r="A11" s="46" t="s">
        <v>832</v>
      </c>
      <c r="B11" s="78" t="str">
        <f>_xlfn.CONCAT(B5,", ",B6,", ",B7,", ",B8,", ",B9,", ",B10)</f>
        <v>Room 1, Dome 1, No. 1 First Street, Base Alpha City, Tharsis, Planet04, China</v>
      </c>
      <c r="C11" s="45" t="s">
        <v>978</v>
      </c>
    </row>
    <row r="12" spans="1:3">
      <c r="A12" s="46" t="s">
        <v>833</v>
      </c>
      <c r="B12" s="259" t="s">
        <v>1539</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organization [BO-1, BO-2 &amp; BO-3].</v>
      </c>
      <c r="C14" s="46" t="s">
        <v>938</v>
      </c>
    </row>
    <row r="15" spans="1:3" ht="68.099999999999994" customHeight="1">
      <c r="A15" s="46" t="s">
        <v>962</v>
      </c>
      <c r="B15" s="352"/>
    </row>
    <row r="17" spans="1:3">
      <c r="A17" s="47" t="s">
        <v>835</v>
      </c>
      <c r="B17" s="47"/>
    </row>
    <row r="18" spans="1:3">
      <c r="A18" s="46" t="s">
        <v>836</v>
      </c>
      <c r="B18" s="11" t="s">
        <v>1313</v>
      </c>
    </row>
    <row r="19" spans="1:3">
      <c r="A19" s="46" t="s">
        <v>837</v>
      </c>
      <c r="B19" s="11"/>
    </row>
    <row r="20" spans="1:3">
      <c r="A20" s="46" t="s">
        <v>838</v>
      </c>
      <c r="B20" s="11" t="s">
        <v>1481</v>
      </c>
    </row>
    <row r="21" spans="1:3" ht="86.4">
      <c r="A21" s="46" t="s">
        <v>839</v>
      </c>
      <c r="B21" s="255" t="s">
        <v>1541</v>
      </c>
    </row>
    <row r="22" spans="1:3" ht="31.2">
      <c r="A22" s="46" t="s">
        <v>840</v>
      </c>
      <c r="B22" s="50" t="s">
        <v>347</v>
      </c>
      <c r="C22" s="45" t="s">
        <v>384</v>
      </c>
    </row>
    <row r="23" spans="1:3">
      <c r="A23" s="46" t="s">
        <v>841</v>
      </c>
      <c r="B23" s="401" t="s">
        <v>1692</v>
      </c>
    </row>
    <row r="24" spans="1:3" ht="46.8">
      <c r="A24" s="46" t="s">
        <v>953</v>
      </c>
      <c r="B24" s="276" t="s">
        <v>1458</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Donald Kessler</v>
      </c>
      <c r="C35" s="45" t="s">
        <v>977</v>
      </c>
    </row>
    <row r="36" spans="1:3">
      <c r="A36" s="46" t="s">
        <v>845</v>
      </c>
      <c r="B36" s="51" t="str">
        <f>'Agreement 3'!B16</f>
        <v>Software for Mars (Pty) Ltd</v>
      </c>
      <c r="C36" s="45" t="s">
        <v>977</v>
      </c>
    </row>
    <row r="37" spans="1:3" ht="31.2">
      <c r="A37" s="46" t="s">
        <v>1055</v>
      </c>
      <c r="B37" s="50" t="s">
        <v>718</v>
      </c>
      <c r="C37" s="45" t="s">
        <v>384</v>
      </c>
    </row>
    <row r="38" spans="1:3" ht="31.2">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Nathalie Lake</v>
      </c>
      <c r="C43" s="45" t="s">
        <v>977</v>
      </c>
    </row>
    <row r="44" spans="1:3" ht="31.2">
      <c r="A44" s="46" t="s">
        <v>849</v>
      </c>
      <c r="B44" s="50" t="s">
        <v>718</v>
      </c>
      <c r="C44" s="45" t="s">
        <v>384</v>
      </c>
    </row>
    <row r="45" spans="1:3">
      <c r="A45" s="46" t="s">
        <v>850</v>
      </c>
      <c r="B45" s="75" t="str">
        <f>'Agreement 3'!B36</f>
        <v>+0000 1111 3333</v>
      </c>
      <c r="C45" s="45" t="s">
        <v>977</v>
      </c>
    </row>
    <row r="46" spans="1:3">
      <c r="A46" s="46" t="s">
        <v>851</v>
      </c>
      <c r="B46" s="74" t="str">
        <f>'Agreement 3'!B37</f>
        <v>nathalie.lake@email.com</v>
      </c>
      <c r="C46" s="45" t="s">
        <v>977</v>
      </c>
    </row>
    <row r="48" spans="1:3">
      <c r="A48" s="47" t="s">
        <v>27</v>
      </c>
      <c r="B48" s="47"/>
    </row>
    <row r="49" spans="1:3">
      <c r="A49" s="46" t="s">
        <v>13</v>
      </c>
      <c r="B49" s="51" t="str">
        <f>'Agreement 3'!B39</f>
        <v>Miss Barbara Land</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+000 1111 44444</v>
      </c>
      <c r="C54" s="45" t="s">
        <v>977</v>
      </c>
    </row>
    <row r="55" spans="1:3">
      <c r="A55" s="46" t="s">
        <v>851</v>
      </c>
      <c r="B55" s="74" t="str">
        <f>'Agreement 3'!B43</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1456</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1143</v>
      </c>
      <c r="AC1" s="414" t="s">
        <v>1144</v>
      </c>
      <c r="AD1" s="414"/>
      <c r="AE1" s="414"/>
      <c r="AF1" s="414"/>
      <c r="AG1" s="414"/>
      <c r="AH1" s="414"/>
      <c r="AI1" s="414"/>
      <c r="AJ1" s="414"/>
    </row>
    <row r="2" spans="1:36" s="341" customFormat="1" ht="70.8">
      <c r="A2" s="339" t="s">
        <v>858</v>
      </c>
      <c r="B2" s="339" t="s">
        <v>13</v>
      </c>
      <c r="C2" s="339" t="s">
        <v>382</v>
      </c>
      <c r="D2" s="339" t="s">
        <v>859</v>
      </c>
      <c r="E2" s="339" t="s">
        <v>1115</v>
      </c>
      <c r="F2" s="340" t="s">
        <v>1116</v>
      </c>
      <c r="G2" s="340" t="s">
        <v>1117</v>
      </c>
      <c r="H2" s="339" t="s">
        <v>1454</v>
      </c>
      <c r="I2" s="224" t="s">
        <v>1457</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1145</v>
      </c>
      <c r="AD2" s="226" t="s">
        <v>1146</v>
      </c>
      <c r="AE2" s="226" t="s">
        <v>1584</v>
      </c>
      <c r="AF2" s="226" t="s">
        <v>1147</v>
      </c>
      <c r="AG2" s="226" t="s">
        <v>1585</v>
      </c>
      <c r="AH2" s="226" t="s">
        <v>1586</v>
      </c>
      <c r="AI2" s="226" t="s">
        <v>1124</v>
      </c>
      <c r="AJ2" s="227" t="s">
        <v>1148</v>
      </c>
    </row>
    <row r="3" spans="1:36" s="228" customFormat="1" ht="13.8">
      <c r="A3" s="229" t="s">
        <v>875</v>
      </c>
      <c r="B3" s="228" t="s">
        <v>1750</v>
      </c>
      <c r="C3" s="229" t="s">
        <v>1753</v>
      </c>
      <c r="D3" s="229" t="s">
        <v>1118</v>
      </c>
      <c r="E3" s="229" t="s">
        <v>1319</v>
      </c>
      <c r="F3" s="230">
        <v>44021</v>
      </c>
      <c r="G3" s="230">
        <v>44260</v>
      </c>
      <c r="H3" s="229" t="s">
        <v>1321</v>
      </c>
      <c r="I3" s="231" t="s">
        <v>1455</v>
      </c>
      <c r="J3" s="232" t="s">
        <v>1072</v>
      </c>
      <c r="K3" s="232" t="s">
        <v>1072</v>
      </c>
      <c r="L3" s="232"/>
      <c r="M3" s="232"/>
      <c r="N3" s="232"/>
      <c r="O3" s="232"/>
      <c r="P3" s="232"/>
      <c r="Q3" s="232"/>
      <c r="R3" s="232"/>
      <c r="S3" s="232"/>
      <c r="T3" s="232"/>
      <c r="U3" s="232"/>
      <c r="V3" s="232"/>
      <c r="W3" s="232"/>
      <c r="X3" s="232"/>
      <c r="Y3" s="232"/>
      <c r="Z3" s="232"/>
      <c r="AA3" s="232"/>
      <c r="AB3" s="231" t="s">
        <v>1651</v>
      </c>
      <c r="AC3" s="233" t="s">
        <v>406</v>
      </c>
      <c r="AD3" s="233"/>
      <c r="AE3" s="233"/>
      <c r="AF3" s="233"/>
      <c r="AG3" s="233"/>
      <c r="AH3" s="233"/>
      <c r="AI3" s="233"/>
      <c r="AJ3" s="234"/>
    </row>
    <row r="4" spans="1:36" s="228" customFormat="1" ht="13.8">
      <c r="A4" s="229" t="s">
        <v>876</v>
      </c>
      <c r="B4" s="228" t="s">
        <v>1749</v>
      </c>
      <c r="C4" s="229" t="s">
        <v>1754</v>
      </c>
      <c r="D4" s="229" t="s">
        <v>1118</v>
      </c>
      <c r="E4" s="229" t="s">
        <v>1319</v>
      </c>
      <c r="F4" s="235">
        <v>44086</v>
      </c>
      <c r="G4" s="235">
        <v>44258</v>
      </c>
      <c r="H4" s="229" t="s">
        <v>1321</v>
      </c>
      <c r="I4" s="231" t="s">
        <v>1455</v>
      </c>
      <c r="J4" s="232"/>
      <c r="K4" s="232"/>
      <c r="L4" s="232"/>
      <c r="M4" s="232" t="s">
        <v>1072</v>
      </c>
      <c r="N4" s="232" t="s">
        <v>1072</v>
      </c>
      <c r="O4" s="232" t="s">
        <v>1072</v>
      </c>
      <c r="P4" s="232"/>
      <c r="Q4" s="232"/>
      <c r="R4" s="232"/>
      <c r="S4" s="232"/>
      <c r="T4" s="232"/>
      <c r="U4" s="232"/>
      <c r="V4" s="232"/>
      <c r="W4" s="232"/>
      <c r="X4" s="232"/>
      <c r="Y4" s="232"/>
      <c r="Z4" s="232"/>
      <c r="AA4" s="232"/>
      <c r="AB4" s="231" t="s">
        <v>1651</v>
      </c>
      <c r="AC4" s="233" t="s">
        <v>406</v>
      </c>
      <c r="AD4" s="233"/>
      <c r="AE4" s="233"/>
      <c r="AF4" s="233"/>
      <c r="AG4" s="233"/>
      <c r="AH4" s="233"/>
      <c r="AI4" s="233"/>
      <c r="AJ4" s="234"/>
    </row>
    <row r="5" spans="1:36" s="228" customFormat="1" ht="13.8">
      <c r="A5" s="229" t="s">
        <v>877</v>
      </c>
      <c r="B5" s="228" t="s">
        <v>1748</v>
      </c>
      <c r="C5" s="229" t="s">
        <v>1755</v>
      </c>
      <c r="D5" s="229" t="s">
        <v>1118</v>
      </c>
      <c r="E5" s="229" t="s">
        <v>1319</v>
      </c>
      <c r="F5" s="235">
        <v>44062</v>
      </c>
      <c r="G5" s="235">
        <v>44247</v>
      </c>
      <c r="H5" s="229" t="s">
        <v>1321</v>
      </c>
      <c r="I5" s="231" t="s">
        <v>1455</v>
      </c>
      <c r="J5" s="232"/>
      <c r="K5" s="232"/>
      <c r="L5" s="232"/>
      <c r="M5" s="232"/>
      <c r="N5" s="232"/>
      <c r="O5" s="232"/>
      <c r="P5" s="232"/>
      <c r="Q5" s="232"/>
      <c r="R5" s="232"/>
      <c r="S5" s="232"/>
      <c r="T5" s="232"/>
      <c r="U5" s="232" t="s">
        <v>1072</v>
      </c>
      <c r="V5" s="232" t="s">
        <v>1072</v>
      </c>
      <c r="W5" s="232" t="s">
        <v>1072</v>
      </c>
      <c r="X5" s="232"/>
      <c r="Y5" s="232"/>
      <c r="Z5" s="232"/>
      <c r="AA5" s="232"/>
      <c r="AB5" s="231" t="s">
        <v>1651</v>
      </c>
      <c r="AC5" s="233"/>
      <c r="AD5" s="233" t="s">
        <v>406</v>
      </c>
      <c r="AE5" s="233"/>
      <c r="AF5" s="233"/>
      <c r="AG5" s="233"/>
      <c r="AH5" s="233"/>
      <c r="AI5" s="233"/>
      <c r="AJ5" s="234"/>
    </row>
    <row r="6" spans="1:36" s="228" customFormat="1" ht="13.8">
      <c r="A6" s="229" t="s">
        <v>878</v>
      </c>
      <c r="B6" s="228" t="s">
        <v>1747</v>
      </c>
      <c r="C6" s="235" t="s">
        <v>1756</v>
      </c>
      <c r="D6" s="229" t="s">
        <v>1118</v>
      </c>
      <c r="E6" s="229" t="s">
        <v>1319</v>
      </c>
      <c r="F6" s="235" t="s">
        <v>1320</v>
      </c>
      <c r="G6" s="235">
        <v>44265</v>
      </c>
      <c r="H6" s="229" t="s">
        <v>1321</v>
      </c>
      <c r="I6" s="231" t="s">
        <v>1455</v>
      </c>
      <c r="J6" s="232"/>
      <c r="K6" s="232"/>
      <c r="L6" s="232"/>
      <c r="M6" s="232"/>
      <c r="N6" s="232"/>
      <c r="O6" s="232"/>
      <c r="P6" s="232"/>
      <c r="Q6" s="232"/>
      <c r="R6" s="232"/>
      <c r="S6" s="232" t="s">
        <v>1072</v>
      </c>
      <c r="T6" s="232"/>
      <c r="U6" s="232"/>
      <c r="V6" s="232"/>
      <c r="W6" s="232"/>
      <c r="X6" s="232"/>
      <c r="Y6" s="232"/>
      <c r="Z6" s="232"/>
      <c r="AA6" s="232"/>
      <c r="AB6" s="231" t="s">
        <v>1651</v>
      </c>
      <c r="AC6" s="233" t="s">
        <v>406</v>
      </c>
      <c r="AD6" s="233"/>
      <c r="AE6" s="233"/>
      <c r="AF6" s="233"/>
      <c r="AG6" s="233"/>
      <c r="AH6" s="233"/>
      <c r="AI6" s="233"/>
      <c r="AJ6" s="234"/>
    </row>
    <row r="7" spans="1:36" s="228" customFormat="1" ht="13.8">
      <c r="A7" s="229" t="s">
        <v>1741</v>
      </c>
      <c r="B7" s="228" t="s">
        <v>1746</v>
      </c>
      <c r="C7" s="235" t="s">
        <v>1757</v>
      </c>
      <c r="D7" s="229" t="s">
        <v>1118</v>
      </c>
      <c r="E7" s="229" t="s">
        <v>1319</v>
      </c>
      <c r="F7" s="235" t="s">
        <v>1320</v>
      </c>
      <c r="G7" s="235">
        <v>44265</v>
      </c>
      <c r="H7" s="229" t="s">
        <v>1321</v>
      </c>
      <c r="I7" s="231" t="s">
        <v>1455</v>
      </c>
      <c r="J7" s="232" t="s">
        <v>1072</v>
      </c>
      <c r="K7" s="232" t="s">
        <v>1072</v>
      </c>
      <c r="L7" s="232"/>
      <c r="M7" s="232"/>
      <c r="N7" s="232"/>
      <c r="O7" s="232"/>
      <c r="P7" s="232"/>
      <c r="Q7" s="232"/>
      <c r="R7" s="232"/>
      <c r="S7" s="232"/>
      <c r="T7" s="232"/>
      <c r="U7" s="232"/>
      <c r="V7" s="232"/>
      <c r="W7" s="232"/>
      <c r="X7" s="232"/>
      <c r="Y7" s="232"/>
      <c r="Z7" s="232"/>
      <c r="AA7" s="232"/>
      <c r="AB7" s="231" t="s">
        <v>1651</v>
      </c>
      <c r="AC7" s="233"/>
      <c r="AD7" s="233" t="s">
        <v>406</v>
      </c>
      <c r="AE7" s="233"/>
      <c r="AF7" s="233"/>
      <c r="AG7" s="233"/>
      <c r="AH7" s="233"/>
      <c r="AI7" s="233"/>
      <c r="AJ7" s="234"/>
    </row>
    <row r="8" spans="1:36" s="228" customFormat="1" ht="13.8">
      <c r="A8" s="229" t="s">
        <v>1742</v>
      </c>
      <c r="B8" s="228" t="s">
        <v>1745</v>
      </c>
      <c r="C8" s="235" t="s">
        <v>1758</v>
      </c>
      <c r="D8" s="229" t="s">
        <v>1118</v>
      </c>
      <c r="E8" s="229" t="s">
        <v>1319</v>
      </c>
      <c r="F8" s="235" t="s">
        <v>1320</v>
      </c>
      <c r="G8" s="235">
        <v>44265</v>
      </c>
      <c r="H8" s="229" t="s">
        <v>1321</v>
      </c>
      <c r="I8" s="231" t="s">
        <v>1455</v>
      </c>
      <c r="J8" s="232"/>
      <c r="K8" s="232"/>
      <c r="L8" s="232"/>
      <c r="M8" s="232" t="s">
        <v>1072</v>
      </c>
      <c r="N8" s="232" t="s">
        <v>1072</v>
      </c>
      <c r="O8" s="232" t="s">
        <v>1072</v>
      </c>
      <c r="P8" s="232"/>
      <c r="Q8" s="232"/>
      <c r="R8" s="232"/>
      <c r="S8" s="232"/>
      <c r="T8" s="232"/>
      <c r="U8" s="232"/>
      <c r="V8" s="232"/>
      <c r="W8" s="232"/>
      <c r="X8" s="232"/>
      <c r="Y8" s="232"/>
      <c r="Z8" s="232"/>
      <c r="AA8" s="232"/>
      <c r="AB8" s="231" t="s">
        <v>1651</v>
      </c>
      <c r="AC8" s="233" t="s">
        <v>406</v>
      </c>
      <c r="AD8" s="233"/>
      <c r="AE8" s="233"/>
      <c r="AF8" s="233"/>
      <c r="AG8" s="233"/>
      <c r="AH8" s="233"/>
      <c r="AI8" s="233"/>
      <c r="AJ8" s="234"/>
    </row>
    <row r="9" spans="1:36" s="228" customFormat="1" ht="13.8">
      <c r="A9" s="229" t="s">
        <v>1743</v>
      </c>
      <c r="B9" s="228" t="s">
        <v>1744</v>
      </c>
      <c r="C9" s="235" t="s">
        <v>1759</v>
      </c>
      <c r="D9" s="229" t="s">
        <v>1118</v>
      </c>
      <c r="E9" s="229" t="s">
        <v>1319</v>
      </c>
      <c r="F9" s="235" t="s">
        <v>1320</v>
      </c>
      <c r="G9" s="235">
        <v>44265</v>
      </c>
      <c r="H9" s="229" t="s">
        <v>1321</v>
      </c>
      <c r="I9" s="231" t="s">
        <v>1455</v>
      </c>
      <c r="J9" s="232"/>
      <c r="K9" s="232"/>
      <c r="L9" s="232"/>
      <c r="M9" s="232"/>
      <c r="N9" s="232"/>
      <c r="O9" s="232"/>
      <c r="P9" s="232"/>
      <c r="Q9" s="232"/>
      <c r="R9" s="232"/>
      <c r="S9" s="232" t="s">
        <v>1072</v>
      </c>
      <c r="T9" s="232"/>
      <c r="U9" s="232"/>
      <c r="V9" s="232"/>
      <c r="W9" s="232"/>
      <c r="X9" s="232"/>
      <c r="Y9" s="232"/>
      <c r="Z9" s="232"/>
      <c r="AA9" s="232"/>
      <c r="AB9" s="231" t="s">
        <v>1651</v>
      </c>
      <c r="AC9" s="233"/>
      <c r="AD9" s="233" t="s">
        <v>406</v>
      </c>
      <c r="AE9" s="233"/>
      <c r="AF9" s="233"/>
      <c r="AG9" s="233"/>
      <c r="AH9" s="233"/>
      <c r="AI9" s="233"/>
      <c r="AJ9" s="234"/>
    </row>
    <row r="10" spans="1:36" s="228" customFormat="1" ht="27.6">
      <c r="A10" s="237" t="s">
        <v>880</v>
      </c>
      <c r="B10" s="237" t="s">
        <v>1647</v>
      </c>
      <c r="C10" s="237" t="s">
        <v>1751</v>
      </c>
      <c r="D10" s="237" t="s">
        <v>1119</v>
      </c>
      <c r="E10" s="238"/>
      <c r="F10" s="239"/>
      <c r="G10" s="239"/>
      <c r="H10" s="229" t="s">
        <v>1321</v>
      </c>
      <c r="I10" s="232" t="s">
        <v>928</v>
      </c>
      <c r="J10" s="232"/>
      <c r="K10" s="232"/>
      <c r="L10" s="232"/>
      <c r="M10" s="232"/>
      <c r="N10" s="232"/>
      <c r="O10" s="232"/>
      <c r="P10" s="232"/>
      <c r="Q10" s="232"/>
      <c r="R10" s="232"/>
      <c r="S10" s="232"/>
      <c r="T10" s="232"/>
      <c r="U10" s="232"/>
      <c r="V10" s="232"/>
      <c r="W10" s="232"/>
      <c r="X10" s="232"/>
      <c r="Y10" s="232" t="s">
        <v>1133</v>
      </c>
      <c r="Z10" s="232"/>
      <c r="AA10" s="232"/>
      <c r="AB10" s="236">
        <v>1</v>
      </c>
      <c r="AC10" s="233"/>
      <c r="AD10" s="233"/>
      <c r="AE10" s="233" t="s">
        <v>406</v>
      </c>
      <c r="AF10" s="233"/>
      <c r="AG10" s="233"/>
      <c r="AH10" s="233"/>
      <c r="AI10" s="233"/>
      <c r="AJ10" s="234"/>
    </row>
    <row r="11" spans="1:36" s="228" customFormat="1" ht="69">
      <c r="A11" s="237" t="s">
        <v>881</v>
      </c>
      <c r="B11" s="237" t="s">
        <v>1648</v>
      </c>
      <c r="C11" s="237" t="s">
        <v>1487</v>
      </c>
      <c r="D11" s="237" t="s">
        <v>1119</v>
      </c>
      <c r="E11" s="238"/>
      <c r="F11" s="239"/>
      <c r="G11" s="239"/>
      <c r="H11" s="229" t="s">
        <v>1321</v>
      </c>
      <c r="I11" s="232" t="s">
        <v>928</v>
      </c>
      <c r="J11" s="232"/>
      <c r="K11" s="232"/>
      <c r="L11" s="232"/>
      <c r="M11" s="232"/>
      <c r="N11" s="232"/>
      <c r="O11" s="232"/>
      <c r="P11" s="232" t="s">
        <v>1133</v>
      </c>
      <c r="Q11" s="232" t="s">
        <v>1133</v>
      </c>
      <c r="R11" s="232" t="s">
        <v>1133</v>
      </c>
      <c r="S11" s="232"/>
      <c r="T11" s="232"/>
      <c r="U11" s="232"/>
      <c r="V11" s="232"/>
      <c r="W11" s="232"/>
      <c r="X11" s="232" t="s">
        <v>1133</v>
      </c>
      <c r="Y11" s="232"/>
      <c r="Z11" s="232" t="s">
        <v>1133</v>
      </c>
      <c r="AA11" s="232"/>
      <c r="AB11" s="236" t="s">
        <v>1651</v>
      </c>
      <c r="AC11" s="233"/>
      <c r="AD11" s="233"/>
      <c r="AE11" s="233"/>
      <c r="AF11" s="233" t="s">
        <v>406</v>
      </c>
      <c r="AG11" s="233" t="s">
        <v>406</v>
      </c>
      <c r="AH11" s="233"/>
      <c r="AI11" s="233"/>
      <c r="AJ11" s="234"/>
    </row>
    <row r="12" spans="1:36" s="228" customFormat="1" ht="41.4">
      <c r="A12" s="237" t="s">
        <v>882</v>
      </c>
      <c r="B12" s="237" t="s">
        <v>1649</v>
      </c>
      <c r="C12" s="237" t="s">
        <v>1488</v>
      </c>
      <c r="D12" s="237" t="s">
        <v>1119</v>
      </c>
      <c r="E12" s="238"/>
      <c r="F12" s="239"/>
      <c r="G12" s="239"/>
      <c r="H12" s="229" t="s">
        <v>1321</v>
      </c>
      <c r="I12" s="232" t="s">
        <v>928</v>
      </c>
      <c r="J12" s="232"/>
      <c r="K12" s="232"/>
      <c r="L12" s="232"/>
      <c r="M12" s="232"/>
      <c r="N12" s="232"/>
      <c r="O12" s="232"/>
      <c r="P12" s="232"/>
      <c r="Q12" s="232"/>
      <c r="R12" s="232"/>
      <c r="S12" s="232"/>
      <c r="T12" s="232" t="s">
        <v>1133</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1650</v>
      </c>
      <c r="C13" s="237" t="s">
        <v>1489</v>
      </c>
      <c r="D13" s="237" t="s">
        <v>1119</v>
      </c>
      <c r="E13" s="238"/>
      <c r="F13" s="239"/>
      <c r="G13" s="239"/>
      <c r="H13" s="229" t="s">
        <v>1321</v>
      </c>
      <c r="I13" s="232" t="s">
        <v>928</v>
      </c>
      <c r="J13" s="232"/>
      <c r="K13" s="232"/>
      <c r="L13" s="232" t="s">
        <v>1133</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1579</v>
      </c>
    </row>
    <row r="27" spans="3:3" ht="40.5" customHeight="1">
      <c r="C27" s="11" t="s">
        <v>1550</v>
      </c>
    </row>
    <row r="28" spans="3:3" ht="40.5" customHeight="1">
      <c r="C28" s="11" t="s">
        <v>1549</v>
      </c>
    </row>
    <row r="29" spans="3:3" ht="40.5" customHeight="1">
      <c r="C29" s="11" t="s">
        <v>1752</v>
      </c>
    </row>
    <row r="30" spans="3:3" ht="40.5" customHeight="1">
      <c r="C30" s="11" t="s">
        <v>1551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1490</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1491</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1492</v>
      </c>
      <c r="D5" s="395" t="s">
        <v>1123</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1493</v>
      </c>
      <c r="D6" s="395" t="s">
        <v>1256</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1494</v>
      </c>
      <c r="D7" s="395" t="s">
        <v>1324</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1495</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1496</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1497</v>
      </c>
      <c r="D10" s="395" t="s">
        <v>1123</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1498</v>
      </c>
      <c r="D11" s="395" t="s">
        <v>1256</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1499</v>
      </c>
      <c r="D12" s="395" t="s">
        <v>1324</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1500</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1501</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1502</v>
      </c>
      <c r="D15" s="395" t="s">
        <v>1123</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1503</v>
      </c>
      <c r="D16" s="395" t="s">
        <v>1256</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1504</v>
      </c>
      <c r="D17" s="395" t="s">
        <v>1324</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1314</v>
      </c>
      <c r="B18" s="396" t="str">
        <f t="shared" si="1"/>
        <v>p4SSH</v>
      </c>
      <c r="C18" s="395" t="s">
        <v>1505</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1314</v>
      </c>
      <c r="B19" s="396" t="str">
        <f t="shared" si="1"/>
        <v>p4SSH</v>
      </c>
      <c r="C19" s="395" t="s">
        <v>1506</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1314</v>
      </c>
      <c r="B20" s="396" t="str">
        <f t="shared" si="1"/>
        <v>p4SSH</v>
      </c>
      <c r="C20" s="395" t="s">
        <v>1507</v>
      </c>
      <c r="D20" s="395" t="s">
        <v>1123</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1314</v>
      </c>
      <c r="B21" s="396" t="str">
        <f t="shared" si="1"/>
        <v>p4SSH</v>
      </c>
      <c r="C21" s="395" t="s">
        <v>1508</v>
      </c>
      <c r="D21" s="395" t="s">
        <v>1256</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1314</v>
      </c>
      <c r="B22" s="396" t="str">
        <f t="shared" si="1"/>
        <v>p4SSH</v>
      </c>
      <c r="C22" s="395" t="s">
        <v>1509</v>
      </c>
      <c r="D22" s="395" t="s">
        <v>1324</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1510</v>
      </c>
      <c r="D23" s="395" t="s">
        <v>1323</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1511</v>
      </c>
      <c r="D24" s="395" t="s">
        <v>1325</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1583</v>
      </c>
      <c r="D25" s="395" t="s">
        <v>1582</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1512</v>
      </c>
      <c r="D26" s="395" t="s">
        <v>1322</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1513</v>
      </c>
      <c r="D27" s="397" t="s">
        <v>1206</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1151</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1269</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1121</v>
      </c>
      <c r="B4" s="98" t="s">
        <v>967</v>
      </c>
      <c r="C4" s="57"/>
      <c r="D4" s="57" t="s">
        <v>406</v>
      </c>
      <c r="E4" s="57"/>
      <c r="F4" s="57"/>
      <c r="G4" s="57"/>
      <c r="H4" s="57"/>
      <c r="I4" s="57"/>
      <c r="J4" s="57"/>
      <c r="K4" s="57"/>
      <c r="L4" s="57"/>
      <c r="M4" s="57"/>
      <c r="N4" s="57"/>
      <c r="O4" s="57"/>
      <c r="P4" s="57"/>
      <c r="Q4" s="57"/>
      <c r="R4" s="57"/>
      <c r="S4" s="57"/>
      <c r="T4" s="57"/>
      <c r="U4" s="57"/>
      <c r="V4" s="57"/>
      <c r="W4" s="45" t="s">
        <v>1121</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1123</v>
      </c>
      <c r="B6" s="98" t="s">
        <v>966</v>
      </c>
      <c r="C6" s="57"/>
      <c r="D6" s="57"/>
      <c r="E6" s="57"/>
      <c r="F6" s="57"/>
      <c r="G6" s="57"/>
      <c r="H6" s="57"/>
      <c r="I6" s="57"/>
      <c r="J6" s="57"/>
      <c r="K6" s="57"/>
      <c r="L6" s="57" t="s">
        <v>406</v>
      </c>
      <c r="M6" s="57"/>
      <c r="N6" s="57"/>
      <c r="O6" s="57"/>
      <c r="P6" s="57"/>
      <c r="Q6" s="57" t="s">
        <v>406</v>
      </c>
      <c r="R6" s="57"/>
      <c r="S6" s="57"/>
      <c r="T6" s="57"/>
      <c r="U6" s="57"/>
      <c r="V6" s="57"/>
      <c r="W6" s="45" t="s">
        <v>1123</v>
      </c>
    </row>
    <row r="7" spans="1:23">
      <c r="A7" s="58" t="s">
        <v>1120</v>
      </c>
      <c r="B7" s="58" t="s">
        <v>971</v>
      </c>
      <c r="C7" s="57"/>
      <c r="D7" s="57"/>
      <c r="E7" s="57"/>
      <c r="F7" s="57"/>
      <c r="G7" s="57" t="s">
        <v>406</v>
      </c>
      <c r="H7" s="57" t="s">
        <v>406</v>
      </c>
      <c r="I7" s="57"/>
      <c r="J7" s="57"/>
      <c r="K7" s="57"/>
      <c r="L7" s="57"/>
      <c r="M7" s="57"/>
      <c r="N7" s="57"/>
      <c r="O7" s="57"/>
      <c r="P7" s="57"/>
      <c r="Q7" s="57"/>
      <c r="R7" s="57"/>
      <c r="S7" s="57"/>
      <c r="T7" s="57"/>
      <c r="U7" s="57"/>
      <c r="V7" s="57"/>
      <c r="W7" s="45" t="s">
        <v>1120</v>
      </c>
    </row>
    <row r="8" spans="1:23">
      <c r="A8" s="58" t="s">
        <v>1582</v>
      </c>
      <c r="B8" s="98" t="s">
        <v>968</v>
      </c>
      <c r="C8" s="57" t="s">
        <v>406</v>
      </c>
      <c r="D8" s="57"/>
      <c r="E8" s="57" t="s">
        <v>406</v>
      </c>
      <c r="F8" s="57"/>
      <c r="G8" s="57"/>
      <c r="H8" s="57"/>
      <c r="I8" s="57" t="s">
        <v>406</v>
      </c>
      <c r="J8" s="57"/>
      <c r="K8" s="57"/>
      <c r="L8" s="57"/>
      <c r="M8" s="57"/>
      <c r="N8" s="57"/>
      <c r="O8" s="57"/>
      <c r="P8" s="57"/>
      <c r="Q8" s="57"/>
      <c r="R8" s="57"/>
      <c r="S8" s="57"/>
      <c r="T8" s="57"/>
      <c r="U8" s="57"/>
      <c r="V8" s="57"/>
      <c r="W8" s="45" t="s">
        <v>1582</v>
      </c>
    </row>
    <row r="9" spans="1:23">
      <c r="A9" s="58" t="s">
        <v>1206</v>
      </c>
      <c r="B9" s="98" t="s">
        <v>974</v>
      </c>
      <c r="C9" s="57"/>
      <c r="D9" s="57"/>
      <c r="E9" s="57"/>
      <c r="F9" s="57"/>
      <c r="G9" s="57"/>
      <c r="H9" s="57"/>
      <c r="I9" s="57"/>
      <c r="J9" s="57"/>
      <c r="K9" s="57"/>
      <c r="L9" s="57"/>
      <c r="M9" s="57"/>
      <c r="N9" s="57"/>
      <c r="O9" s="57"/>
      <c r="P9" s="57" t="s">
        <v>406</v>
      </c>
      <c r="Q9" s="57"/>
      <c r="R9" s="57"/>
      <c r="S9" s="57"/>
      <c r="T9" s="57"/>
      <c r="U9" s="57"/>
      <c r="V9" s="57"/>
      <c r="W9" s="45" t="s">
        <v>1206</v>
      </c>
    </row>
    <row r="10" spans="1:23">
      <c r="A10" s="58" t="s">
        <v>1325</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1325</v>
      </c>
    </row>
    <row r="11" spans="1:23">
      <c r="A11" s="58" t="s">
        <v>1122</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1122</v>
      </c>
    </row>
    <row r="12" spans="1:23">
      <c r="A12" s="58" t="s">
        <v>1256</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1256</v>
      </c>
    </row>
    <row r="13" spans="1:23">
      <c r="A13" s="58" t="s">
        <v>1255</v>
      </c>
      <c r="B13" s="98" t="s">
        <v>969</v>
      </c>
      <c r="C13" s="57"/>
      <c r="D13" s="57"/>
      <c r="E13" s="57"/>
      <c r="F13" s="57"/>
      <c r="G13" s="57"/>
      <c r="H13" s="57"/>
      <c r="I13" s="57"/>
      <c r="J13" s="57"/>
      <c r="K13" s="57" t="s">
        <v>406</v>
      </c>
      <c r="L13" s="57"/>
      <c r="M13" s="57"/>
      <c r="N13" s="57"/>
      <c r="O13" s="57"/>
      <c r="P13" s="57"/>
      <c r="Q13" s="57"/>
      <c r="R13" s="57"/>
      <c r="S13" s="57"/>
      <c r="T13" s="57"/>
      <c r="U13" s="57"/>
      <c r="V13" s="57"/>
      <c r="W13" s="45" t="s">
        <v>1255</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1314</v>
      </c>
      <c r="F4" t="s">
        <v>880</v>
      </c>
      <c r="G4" t="s">
        <v>881</v>
      </c>
      <c r="H4" t="s">
        <v>882</v>
      </c>
      <c r="I4" t="s">
        <v>883</v>
      </c>
      <c r="J4" t="s">
        <v>895</v>
      </c>
      <c r="K4" t="s">
        <v>896</v>
      </c>
    </row>
    <row r="5" spans="1:11">
      <c r="A5" s="108" t="s">
        <v>895</v>
      </c>
    </row>
    <row r="6" spans="1:11">
      <c r="A6" s="108" t="s">
        <v>1315</v>
      </c>
      <c r="F6">
        <v>1</v>
      </c>
      <c r="K6">
        <v>1</v>
      </c>
    </row>
    <row r="7" spans="1:11">
      <c r="A7" s="108" t="s">
        <v>1316</v>
      </c>
      <c r="G7">
        <v>2</v>
      </c>
      <c r="K7">
        <v>2</v>
      </c>
    </row>
    <row r="8" spans="1:11">
      <c r="A8" s="108" t="s">
        <v>1317</v>
      </c>
      <c r="H8">
        <v>1</v>
      </c>
      <c r="K8">
        <v>1</v>
      </c>
    </row>
    <row r="9" spans="1:11">
      <c r="A9" s="108" t="s">
        <v>1318</v>
      </c>
      <c r="I9">
        <v>1</v>
      </c>
      <c r="K9">
        <v>1</v>
      </c>
    </row>
    <row r="10" spans="1:11">
      <c r="A10" s="108" t="s">
        <v>1482</v>
      </c>
      <c r="B10">
        <v>5</v>
      </c>
      <c r="K10">
        <v>5</v>
      </c>
    </row>
    <row r="11" spans="1:11">
      <c r="A11" s="108" t="s">
        <v>1483</v>
      </c>
      <c r="C11">
        <v>5</v>
      </c>
      <c r="K11">
        <v>5</v>
      </c>
    </row>
    <row r="12" spans="1:11">
      <c r="A12" s="108" t="s">
        <v>1484</v>
      </c>
      <c r="D12">
        <v>5</v>
      </c>
      <c r="K12">
        <v>5</v>
      </c>
    </row>
    <row r="13" spans="1:11">
      <c r="A13" s="108" t="s">
        <v>1485</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1490</v>
      </c>
      <c r="B5">
        <v>1</v>
      </c>
    </row>
    <row r="6" spans="1:14">
      <c r="A6" s="108" t="s">
        <v>1491</v>
      </c>
      <c r="B6">
        <v>1</v>
      </c>
    </row>
    <row r="7" spans="1:14">
      <c r="A7" s="108" t="s">
        <v>1492</v>
      </c>
      <c r="B7">
        <v>1</v>
      </c>
    </row>
    <row r="8" spans="1:14">
      <c r="A8" s="108" t="s">
        <v>1493</v>
      </c>
      <c r="B8">
        <v>1</v>
      </c>
    </row>
    <row r="9" spans="1:14">
      <c r="A9" s="108" t="s">
        <v>1494</v>
      </c>
      <c r="B9">
        <v>1</v>
      </c>
    </row>
    <row r="10" spans="1:14">
      <c r="A10" s="108" t="s">
        <v>1495</v>
      </c>
      <c r="B10">
        <v>1</v>
      </c>
    </row>
    <row r="11" spans="1:14">
      <c r="A11" s="108" t="s">
        <v>1496</v>
      </c>
      <c r="B11">
        <v>1</v>
      </c>
    </row>
    <row r="12" spans="1:14">
      <c r="A12" s="108" t="s">
        <v>1497</v>
      </c>
      <c r="B12">
        <v>1</v>
      </c>
    </row>
    <row r="13" spans="1:14">
      <c r="A13" s="108" t="s">
        <v>1498</v>
      </c>
      <c r="B13">
        <v>1</v>
      </c>
    </row>
    <row r="14" spans="1:14">
      <c r="A14" s="108" t="s">
        <v>1499</v>
      </c>
      <c r="B14">
        <v>1</v>
      </c>
    </row>
    <row r="15" spans="1:14">
      <c r="A15" s="108" t="s">
        <v>1500</v>
      </c>
      <c r="B15">
        <v>1</v>
      </c>
    </row>
    <row r="16" spans="1:14">
      <c r="A16" s="108" t="s">
        <v>1501</v>
      </c>
      <c r="B16">
        <v>1</v>
      </c>
    </row>
    <row r="17" spans="1:2">
      <c r="A17" s="108" t="s">
        <v>1502</v>
      </c>
      <c r="B17">
        <v>1</v>
      </c>
    </row>
    <row r="18" spans="1:2">
      <c r="A18" s="108" t="s">
        <v>1503</v>
      </c>
      <c r="B18">
        <v>1</v>
      </c>
    </row>
    <row r="19" spans="1:2">
      <c r="A19" s="108" t="s">
        <v>1504</v>
      </c>
      <c r="B19">
        <v>1</v>
      </c>
    </row>
    <row r="20" spans="1:2">
      <c r="A20" s="108" t="s">
        <v>1505</v>
      </c>
      <c r="B20">
        <v>1</v>
      </c>
    </row>
    <row r="21" spans="1:2">
      <c r="A21" s="108" t="s">
        <v>1506</v>
      </c>
      <c r="B21">
        <v>1</v>
      </c>
    </row>
    <row r="22" spans="1:2">
      <c r="A22" s="108" t="s">
        <v>1507</v>
      </c>
      <c r="B22">
        <v>1</v>
      </c>
    </row>
    <row r="23" spans="1:2">
      <c r="A23" s="108" t="s">
        <v>1508</v>
      </c>
      <c r="B23">
        <v>1</v>
      </c>
    </row>
    <row r="24" spans="1:2">
      <c r="A24" s="108" t="s">
        <v>1509</v>
      </c>
      <c r="B24">
        <v>1</v>
      </c>
    </row>
    <row r="25" spans="1:2">
      <c r="A25" s="108" t="s">
        <v>1510</v>
      </c>
      <c r="B25">
        <v>1</v>
      </c>
    </row>
    <row r="26" spans="1:2">
      <c r="A26" s="108" t="s">
        <v>1511</v>
      </c>
      <c r="B26">
        <v>1</v>
      </c>
    </row>
    <row r="27" spans="1:2">
      <c r="A27" s="108" t="s">
        <v>1583</v>
      </c>
      <c r="B27">
        <v>1</v>
      </c>
    </row>
    <row r="28" spans="1:2">
      <c r="A28" s="108" t="s">
        <v>1512</v>
      </c>
      <c r="B28">
        <v>1</v>
      </c>
    </row>
    <row r="29" spans="1:2">
      <c r="A29" s="108" t="s">
        <v>1513</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organization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1150</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1775</v>
      </c>
      <c r="B44" s="28"/>
      <c r="C44" s="29"/>
    </row>
    <row r="45" spans="1:23" s="46" customFormat="1" ht="15.6">
      <c r="A45" s="403" t="s">
        <v>1760</v>
      </c>
      <c r="B45" s="45"/>
      <c r="C45" s="45"/>
    </row>
    <row r="46" spans="1:23">
      <c r="A46" s="11" t="s">
        <v>1760</v>
      </c>
      <c r="B46" s="13" t="str">
        <f>Planning!B14</f>
        <v>Maturity Level</v>
      </c>
    </row>
    <row r="47" spans="1:23">
      <c r="A47" s="11" t="s">
        <v>1261</v>
      </c>
      <c r="B47" s="13" t="str">
        <f>Planning!B15</f>
        <v>Level 5</v>
      </c>
    </row>
    <row r="48" spans="1:23">
      <c r="A48" s="11" t="s">
        <v>1428</v>
      </c>
      <c r="B48" s="81" t="str">
        <f>Planning!B16</f>
        <v>Maturity Level 5</v>
      </c>
    </row>
    <row r="50" spans="1:23">
      <c r="A50" s="403" t="s">
        <v>840</v>
      </c>
    </row>
    <row r="51" spans="1:23">
      <c r="A51" s="11" t="s">
        <v>1764</v>
      </c>
      <c r="B51" s="255" t="str">
        <f>IF(Planning!B19&lt;&gt;"","x","")</f>
        <v>x</v>
      </c>
    </row>
    <row r="52" spans="1:23">
      <c r="A52" s="11" t="s">
        <v>1765</v>
      </c>
      <c r="B52" s="255" t="str">
        <f>IF(Planning!B20&lt;&gt;"","x","")</f>
        <v/>
      </c>
    </row>
    <row r="53" spans="1:23">
      <c r="A53" s="11" t="s">
        <v>1766</v>
      </c>
      <c r="B53" s="255" t="str">
        <f>IF(Planning!B21&lt;&gt;"","x","")</f>
        <v/>
      </c>
    </row>
    <row r="54" spans="1:23">
      <c r="A54" s="11" t="s">
        <v>1767</v>
      </c>
      <c r="B54" s="255" t="str">
        <f>IF(Planning!B22&lt;&gt;"","x","")</f>
        <v/>
      </c>
    </row>
    <row r="55" spans="1:23">
      <c r="A55" s="11" t="s">
        <v>1768</v>
      </c>
      <c r="B55" s="255" t="str">
        <f>IF(Planning!B23&lt;&gt;"","x","")</f>
        <v/>
      </c>
    </row>
    <row r="56" spans="1:23">
      <c r="A56" s="11" t="s">
        <v>1769</v>
      </c>
      <c r="B56" s="255" t="str">
        <f>IF(Planning!B24&lt;&gt;"","x","")</f>
        <v/>
      </c>
    </row>
    <row r="58" spans="1:23">
      <c r="A58" s="27" t="s">
        <v>751</v>
      </c>
      <c r="B58" s="28"/>
      <c r="C58" s="29"/>
    </row>
    <row r="59" spans="1:23">
      <c r="A59" s="32" t="s">
        <v>752</v>
      </c>
      <c r="B59" s="31" t="s">
        <v>1776</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1777</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1778</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1779</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0.8">
      <c r="A97" s="11" t="s">
        <v>725</v>
      </c>
      <c r="B97" s="21" t="s">
        <v>1787</v>
      </c>
      <c r="C97" s="404"/>
    </row>
    <row r="98" spans="1:23" ht="86.4">
      <c r="A98" s="11" t="s">
        <v>726</v>
      </c>
      <c r="B98" s="21" t="s">
        <v>1788</v>
      </c>
      <c r="C98" s="404"/>
    </row>
    <row r="99" spans="1:23">
      <c r="A99" s="11" t="s">
        <v>727</v>
      </c>
      <c r="B99" s="89" t="str">
        <f>_xlfn.CONCAT('P1-Personnel'!B9," and ",'P1-Personnel'!B13)</f>
        <v>Dr Pieter van Zyl and ATM-1</v>
      </c>
      <c r="C99" s="404" t="s">
        <v>978</v>
      </c>
    </row>
    <row r="100" spans="1:23">
      <c r="A100" s="11" t="s">
        <v>728</v>
      </c>
      <c r="B100" s="11" t="s">
        <v>1789</v>
      </c>
      <c r="C100" s="404"/>
    </row>
    <row r="101" spans="1:23">
      <c r="A101" s="11" t="s">
        <v>1780</v>
      </c>
      <c r="B101" s="11" t="s">
        <v>29</v>
      </c>
      <c r="C101" s="404"/>
    </row>
    <row r="102" spans="1:23">
      <c r="A102" s="11" t="s">
        <v>1781</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1790</v>
      </c>
      <c r="C108" s="404"/>
    </row>
    <row r="109" spans="1:23" ht="86.4">
      <c r="A109" s="11" t="s">
        <v>726</v>
      </c>
      <c r="B109" s="405" t="s">
        <v>1782</v>
      </c>
      <c r="C109" s="404"/>
    </row>
    <row r="110" spans="1:23">
      <c r="A110" s="11" t="s">
        <v>727</v>
      </c>
      <c r="B110" s="406" t="str">
        <f>_xlfn.CONCAT('P1-Personnel'!B9," and ",'P1-Personnel'!B13)</f>
        <v>Dr Pieter van Zyl and ATM-1</v>
      </c>
      <c r="C110" s="404" t="s">
        <v>978</v>
      </c>
    </row>
    <row r="111" spans="1:23">
      <c r="A111" s="11" t="s">
        <v>728</v>
      </c>
      <c r="B111" s="111" t="s">
        <v>1789</v>
      </c>
      <c r="C111" s="404"/>
    </row>
    <row r="112" spans="1:23">
      <c r="A112" s="11" t="s">
        <v>1780</v>
      </c>
      <c r="B112" s="111" t="s">
        <v>29</v>
      </c>
      <c r="C112" s="404"/>
    </row>
    <row r="113" spans="1:23">
      <c r="A113" s="11" t="s">
        <v>1781</v>
      </c>
      <c r="B113" s="111" t="s">
        <v>388</v>
      </c>
      <c r="C113" s="404"/>
    </row>
    <row r="114" spans="1:23">
      <c r="B114" s="404"/>
      <c r="C114" s="404"/>
    </row>
    <row r="115" spans="1:23">
      <c r="A115" s="15" t="s">
        <v>762</v>
      </c>
      <c r="B115" s="17"/>
    </row>
    <row r="116" spans="1:23">
      <c r="A116" s="27" t="s">
        <v>421</v>
      </c>
      <c r="B116" s="28"/>
      <c r="C116" s="29"/>
    </row>
    <row r="117" spans="1:23" s="103" customFormat="1">
      <c r="A117" s="104" t="s">
        <v>1328</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15" t="s">
        <v>1329</v>
      </c>
      <c r="B120" s="415"/>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6" t="s">
        <v>810</v>
      </c>
      <c r="B138" s="416"/>
    </row>
    <row r="139" spans="1:3">
      <c r="B139" s="404"/>
      <c r="C139" s="404"/>
    </row>
    <row r="140" spans="1:3">
      <c r="A140" s="215" t="s">
        <v>767</v>
      </c>
      <c r="B140" s="216"/>
      <c r="C140" s="217"/>
    </row>
    <row r="141" spans="1:3">
      <c r="A141" s="417" t="s">
        <v>768</v>
      </c>
      <c r="B141" s="419"/>
      <c r="C141" s="218" t="s">
        <v>1128</v>
      </c>
    </row>
    <row r="142" spans="1:3" ht="15" thickBot="1">
      <c r="A142" s="418"/>
      <c r="B142" s="420"/>
      <c r="C142" s="218" t="s">
        <v>1783</v>
      </c>
    </row>
    <row r="143" spans="1:3">
      <c r="A143" s="219" t="s">
        <v>732</v>
      </c>
      <c r="B143" s="219" t="s">
        <v>1129</v>
      </c>
      <c r="C143" s="217"/>
    </row>
    <row r="144" spans="1:3" ht="15" thickBot="1">
      <c r="A144" s="220" t="s">
        <v>811</v>
      </c>
      <c r="B144" s="220" t="s">
        <v>812</v>
      </c>
      <c r="C144" s="217"/>
    </row>
    <row r="145" spans="1:3">
      <c r="A145" s="221" t="s">
        <v>731</v>
      </c>
      <c r="B145" s="221" t="s">
        <v>1784</v>
      </c>
      <c r="C145" s="217"/>
    </row>
    <row r="146" spans="1:3" ht="15" thickBot="1">
      <c r="A146" s="220" t="s">
        <v>811</v>
      </c>
      <c r="B146" s="220" t="s">
        <v>812</v>
      </c>
      <c r="C146" s="217"/>
    </row>
    <row r="147" spans="1:3">
      <c r="A147" s="221" t="s">
        <v>813</v>
      </c>
      <c r="B147" s="221" t="s">
        <v>1785</v>
      </c>
      <c r="C147" s="217"/>
    </row>
    <row r="148" spans="1:3" ht="15" thickBot="1">
      <c r="A148" s="220" t="s">
        <v>811</v>
      </c>
      <c r="B148" s="220" t="s">
        <v>812</v>
      </c>
      <c r="C148" s="217"/>
    </row>
    <row r="149" spans="1:3">
      <c r="A149" s="221" t="s">
        <v>733</v>
      </c>
      <c r="B149" s="221" t="s">
        <v>1130</v>
      </c>
      <c r="C149" s="217"/>
    </row>
    <row r="150" spans="1:3">
      <c r="C150" s="217"/>
    </row>
    <row r="151" spans="1:3">
      <c r="A151" s="27" t="s">
        <v>769</v>
      </c>
      <c r="B151" s="28"/>
      <c r="C151" s="217"/>
    </row>
    <row r="152" spans="1:3" ht="28.8">
      <c r="A152" s="11" t="s">
        <v>815</v>
      </c>
      <c r="B152" s="11" t="s">
        <v>1330</v>
      </c>
      <c r="C152" s="217"/>
    </row>
    <row r="153" spans="1:3">
      <c r="A153" s="38" t="s">
        <v>811</v>
      </c>
      <c r="B153" s="38" t="s">
        <v>812</v>
      </c>
      <c r="C153" s="217"/>
    </row>
    <row r="154" spans="1:3">
      <c r="C154" s="217"/>
    </row>
    <row r="155" spans="1:3">
      <c r="A155" s="27" t="s">
        <v>770</v>
      </c>
      <c r="B155" s="28"/>
      <c r="C155" s="29"/>
    </row>
    <row r="156" spans="1:3">
      <c r="A156" s="11" t="s">
        <v>816</v>
      </c>
      <c r="B156" s="11" t="s">
        <v>1132</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1127</v>
      </c>
      <c r="AA5" s="161"/>
    </row>
    <row r="6" spans="1:36" s="16" customFormat="1">
      <c r="A6" s="16" t="s">
        <v>586</v>
      </c>
      <c r="B6" s="87" t="str">
        <f>IF('Agreement 3'!B28="","",'Agreement 3'!B28)</f>
        <v>Prof Donald Kessler</v>
      </c>
      <c r="C6" s="16" t="s">
        <v>980</v>
      </c>
      <c r="D6" s="78" t="str">
        <f>IF('Agreement 3'!B16="","",'Agreement 3'!B16)</f>
        <v>Software for Mars (Pty) Ltd</v>
      </c>
      <c r="E6" s="87" t="s">
        <v>718</v>
      </c>
      <c r="G6" s="16" t="s">
        <v>713</v>
      </c>
      <c r="H6" s="16" t="s">
        <v>1126</v>
      </c>
      <c r="I6" s="161" t="str">
        <f>'Agreement 3'!B30</f>
        <v>+000 1111 2222</v>
      </c>
      <c r="V6" s="86" t="str">
        <f>IF('Agreement 3'!B31="","",'Agreement 3'!B31)</f>
        <v>donald.kessler@email.com</v>
      </c>
      <c r="X6" s="49" t="s">
        <v>1543</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Nathalie Lake</v>
      </c>
      <c r="C7" s="87" t="s">
        <v>980</v>
      </c>
      <c r="D7" s="78" t="str">
        <f>IF('Agreement 3'!B35="","",'Agreement 3'!B35)</f>
        <v>Software for Mars (Pty) Ltd</v>
      </c>
      <c r="E7" s="162" t="s">
        <v>718</v>
      </c>
      <c r="F7" s="78"/>
      <c r="G7" s="78" t="s">
        <v>713</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418</v>
      </c>
      <c r="B8" s="88" t="str">
        <f>StartupInfo!B49</f>
        <v>Miss Barbara Land</v>
      </c>
      <c r="C8" s="87" t="s">
        <v>977</v>
      </c>
      <c r="D8" s="87" t="str">
        <f>StartupInfo!B50</f>
        <v>Freelance</v>
      </c>
      <c r="E8" s="87" t="str">
        <f>StartupInfo!B51</f>
        <v>External</v>
      </c>
      <c r="F8" s="78" t="str">
        <f>StartupInfo!B52</f>
        <v>Other</v>
      </c>
      <c r="G8" s="78" t="str">
        <f>StartupInfo!B53</f>
        <v>Reports directly to the ATL</v>
      </c>
      <c r="H8" s="16" t="s">
        <v>1163</v>
      </c>
      <c r="I8" s="87" t="str">
        <f>StartupInfo!B54</f>
        <v>+000 1111 44444</v>
      </c>
      <c r="J8" s="87"/>
      <c r="K8" s="87"/>
      <c r="L8" s="87"/>
      <c r="M8" s="87"/>
      <c r="N8" s="87"/>
      <c r="O8" s="87"/>
      <c r="P8" s="87"/>
      <c r="Q8" s="87"/>
      <c r="R8" s="87"/>
      <c r="S8" s="87"/>
      <c r="T8" s="87"/>
      <c r="U8" s="87"/>
      <c r="V8" s="86" t="str">
        <f>'Agreement 3'!B43</f>
        <v>barbara.land@email.com</v>
      </c>
      <c r="W8" s="11"/>
      <c r="X8" s="421"/>
      <c r="Y8" s="421"/>
      <c r="Z8" s="421"/>
      <c r="AA8" s="421"/>
    </row>
    <row r="9" spans="1:36">
      <c r="A9" s="11" t="str">
        <f>'Agreement 3'!A6</f>
        <v>Lead appraiser</v>
      </c>
      <c r="B9" s="87" t="str">
        <f>'Agreement 3'!B7</f>
        <v>Dr Pieter van Zyl</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1514</v>
      </c>
      <c r="C13" s="16" t="s">
        <v>1125</v>
      </c>
      <c r="D13" s="16" t="s">
        <v>6</v>
      </c>
      <c r="E13" s="16" t="s">
        <v>987</v>
      </c>
      <c r="F13" s="16" t="s">
        <v>1113</v>
      </c>
      <c r="H13" s="16" t="s">
        <v>947</v>
      </c>
      <c r="I13" s="16" t="s">
        <v>1518</v>
      </c>
      <c r="J13" s="16" t="s">
        <v>1048</v>
      </c>
      <c r="L13" s="16">
        <v>8</v>
      </c>
      <c r="M13" s="161">
        <v>44186</v>
      </c>
      <c r="O13" s="16">
        <v>7</v>
      </c>
      <c r="P13" s="16" t="s">
        <v>420</v>
      </c>
      <c r="Q13" s="16" t="s">
        <v>1029</v>
      </c>
      <c r="R13" s="16">
        <v>3</v>
      </c>
      <c r="S13" s="16">
        <v>0</v>
      </c>
      <c r="T13" s="16" t="s">
        <v>1030</v>
      </c>
      <c r="U13" s="16" t="s">
        <v>1689</v>
      </c>
      <c r="V13" s="29" t="s">
        <v>1522</v>
      </c>
      <c r="AA13" s="253"/>
    </row>
    <row r="14" spans="1:36">
      <c r="A14" s="11" t="s">
        <v>1082</v>
      </c>
      <c r="B14" s="207" t="s">
        <v>1515</v>
      </c>
      <c r="C14" s="16" t="s">
        <v>1125</v>
      </c>
      <c r="D14" s="16" t="s">
        <v>6</v>
      </c>
      <c r="E14" s="16" t="s">
        <v>987</v>
      </c>
      <c r="F14" s="16" t="s">
        <v>1113</v>
      </c>
      <c r="H14" s="16" t="s">
        <v>947</v>
      </c>
      <c r="I14" s="16" t="s">
        <v>1519</v>
      </c>
      <c r="J14" s="16" t="s">
        <v>1048</v>
      </c>
      <c r="L14" s="16">
        <v>8</v>
      </c>
      <c r="M14" s="161">
        <v>44186</v>
      </c>
      <c r="O14" s="16">
        <v>18</v>
      </c>
      <c r="P14" s="16" t="s">
        <v>420</v>
      </c>
      <c r="Q14" s="16" t="s">
        <v>1029</v>
      </c>
      <c r="R14" s="16">
        <v>14</v>
      </c>
      <c r="S14" s="16">
        <v>0</v>
      </c>
      <c r="T14" s="16" t="s">
        <v>1030</v>
      </c>
      <c r="U14" s="16" t="s">
        <v>1689</v>
      </c>
      <c r="V14" s="29" t="s">
        <v>1523</v>
      </c>
      <c r="AA14" s="253"/>
    </row>
    <row r="15" spans="1:36">
      <c r="A15" s="11" t="s">
        <v>1082</v>
      </c>
      <c r="B15" s="207" t="s">
        <v>1516</v>
      </c>
      <c r="C15" s="16" t="s">
        <v>1125</v>
      </c>
      <c r="D15" s="16" t="s">
        <v>6</v>
      </c>
      <c r="E15" s="16" t="s">
        <v>987</v>
      </c>
      <c r="F15" s="16" t="s">
        <v>1113</v>
      </c>
      <c r="H15" s="16" t="s">
        <v>947</v>
      </c>
      <c r="I15" s="16" t="s">
        <v>1520</v>
      </c>
      <c r="J15" s="16" t="s">
        <v>1028</v>
      </c>
      <c r="L15" s="16">
        <v>8</v>
      </c>
      <c r="M15" s="161">
        <v>44186</v>
      </c>
      <c r="O15" s="16">
        <v>20</v>
      </c>
      <c r="P15" s="16" t="s">
        <v>420</v>
      </c>
      <c r="Q15" s="16" t="s">
        <v>1029</v>
      </c>
      <c r="R15" s="16">
        <v>30</v>
      </c>
      <c r="S15" s="16">
        <v>5</v>
      </c>
      <c r="T15" s="16" t="s">
        <v>1030</v>
      </c>
      <c r="U15" s="16" t="s">
        <v>1689</v>
      </c>
      <c r="V15" s="29" t="s">
        <v>1524</v>
      </c>
      <c r="AA15" s="253"/>
    </row>
    <row r="16" spans="1:36">
      <c r="A16" s="11" t="s">
        <v>1082</v>
      </c>
      <c r="B16" s="207" t="s">
        <v>1517</v>
      </c>
      <c r="C16" s="16" t="s">
        <v>1125</v>
      </c>
      <c r="D16" s="16" t="s">
        <v>6</v>
      </c>
      <c r="E16" s="16" t="s">
        <v>987</v>
      </c>
      <c r="F16" s="16" t="s">
        <v>1113</v>
      </c>
      <c r="H16" s="16" t="s">
        <v>947</v>
      </c>
      <c r="I16" s="16" t="s">
        <v>1521</v>
      </c>
      <c r="J16" s="16" t="s">
        <v>1048</v>
      </c>
      <c r="L16" s="16">
        <v>8</v>
      </c>
      <c r="M16" s="161">
        <v>44186</v>
      </c>
      <c r="O16" s="16">
        <v>12</v>
      </c>
      <c r="P16" s="16" t="s">
        <v>420</v>
      </c>
      <c r="Q16" s="16" t="s">
        <v>1029</v>
      </c>
      <c r="R16" s="16">
        <v>10</v>
      </c>
      <c r="S16" s="16">
        <v>9</v>
      </c>
      <c r="T16" s="16" t="s">
        <v>1030</v>
      </c>
      <c r="U16" s="16" t="s">
        <v>1689</v>
      </c>
      <c r="V16" s="29" t="s">
        <v>1525</v>
      </c>
      <c r="AA16" s="253"/>
    </row>
    <row r="17" spans="1:27">
      <c r="A17" s="11" t="s">
        <v>1082</v>
      </c>
      <c r="B17" s="207" t="s">
        <v>1207</v>
      </c>
      <c r="C17" s="16" t="s">
        <v>1125</v>
      </c>
      <c r="D17" s="16" t="s">
        <v>6</v>
      </c>
      <c r="E17" s="16" t="s">
        <v>987</v>
      </c>
      <c r="F17" s="16" t="s">
        <v>1113</v>
      </c>
      <c r="H17" s="16" t="s">
        <v>947</v>
      </c>
      <c r="I17" s="16" t="s">
        <v>1208</v>
      </c>
      <c r="J17" s="16" t="s">
        <v>1048</v>
      </c>
      <c r="K17" s="16" t="s">
        <v>1049</v>
      </c>
      <c r="L17" s="16">
        <v>8</v>
      </c>
      <c r="M17" s="161">
        <v>44137</v>
      </c>
      <c r="O17" s="16">
        <v>16</v>
      </c>
      <c r="P17" s="16" t="s">
        <v>420</v>
      </c>
      <c r="Q17" s="16" t="s">
        <v>1029</v>
      </c>
      <c r="R17" s="16">
        <v>17</v>
      </c>
      <c r="S17" s="16">
        <v>2</v>
      </c>
      <c r="T17" s="16" t="s">
        <v>1030</v>
      </c>
      <c r="U17" s="16" t="s">
        <v>1689</v>
      </c>
      <c r="V17" s="29" t="s">
        <v>1209</v>
      </c>
      <c r="AA17" s="253"/>
    </row>
    <row r="18" spans="1:27">
      <c r="A18" s="11" t="s">
        <v>1082</v>
      </c>
      <c r="B18" s="207" t="s">
        <v>1210</v>
      </c>
      <c r="C18" s="16" t="s">
        <v>1125</v>
      </c>
      <c r="D18" s="16" t="s">
        <v>6</v>
      </c>
      <c r="E18" s="16" t="s">
        <v>987</v>
      </c>
      <c r="F18" s="16" t="s">
        <v>1113</v>
      </c>
      <c r="H18" s="16" t="s">
        <v>947</v>
      </c>
      <c r="I18" s="16" t="s">
        <v>1211</v>
      </c>
      <c r="J18" s="16" t="s">
        <v>1048</v>
      </c>
      <c r="L18" s="16">
        <v>8</v>
      </c>
      <c r="M18" s="161">
        <v>44202</v>
      </c>
      <c r="O18" s="16">
        <v>18</v>
      </c>
      <c r="P18" s="16" t="s">
        <v>420</v>
      </c>
      <c r="Q18" s="16" t="s">
        <v>1029</v>
      </c>
      <c r="R18" s="16">
        <v>15</v>
      </c>
      <c r="S18" s="16">
        <v>1</v>
      </c>
      <c r="T18" s="16" t="s">
        <v>1030</v>
      </c>
      <c r="U18" s="16" t="s">
        <v>1689</v>
      </c>
      <c r="V18" s="29" t="s">
        <v>1212</v>
      </c>
      <c r="AA18" s="253"/>
    </row>
    <row r="19" spans="1:27">
      <c r="A19" s="11" t="s">
        <v>1082</v>
      </c>
      <c r="B19" s="207" t="s">
        <v>1213</v>
      </c>
      <c r="C19" s="16" t="s">
        <v>1125</v>
      </c>
      <c r="D19" s="16" t="s">
        <v>6</v>
      </c>
      <c r="E19" s="16" t="s">
        <v>718</v>
      </c>
      <c r="F19" s="16" t="s">
        <v>713</v>
      </c>
      <c r="H19" s="16" t="s">
        <v>1205</v>
      </c>
      <c r="I19" s="16" t="s">
        <v>1214</v>
      </c>
      <c r="J19" s="16" t="s">
        <v>1028</v>
      </c>
      <c r="K19" s="16" t="s">
        <v>1049</v>
      </c>
      <c r="L19" s="16">
        <v>8</v>
      </c>
      <c r="M19" s="161">
        <v>44144</v>
      </c>
      <c r="O19" s="16">
        <v>20</v>
      </c>
      <c r="P19" s="16" t="s">
        <v>420</v>
      </c>
      <c r="Q19" s="16" t="s">
        <v>1029</v>
      </c>
      <c r="R19" s="16">
        <v>14</v>
      </c>
      <c r="S19" s="16">
        <v>2</v>
      </c>
      <c r="T19" s="16" t="s">
        <v>1030</v>
      </c>
      <c r="U19" s="16" t="s">
        <v>1689</v>
      </c>
      <c r="V19" s="29" t="s">
        <v>1215</v>
      </c>
      <c r="AA19" s="253"/>
    </row>
    <row r="20" spans="1:27">
      <c r="A20" s="11" t="s">
        <v>1082</v>
      </c>
      <c r="B20" s="207" t="s">
        <v>1216</v>
      </c>
      <c r="C20" s="16" t="s">
        <v>1125</v>
      </c>
      <c r="D20" s="16" t="s">
        <v>6</v>
      </c>
      <c r="E20" s="16" t="s">
        <v>718</v>
      </c>
      <c r="F20" s="16" t="s">
        <v>713</v>
      </c>
      <c r="H20" s="16" t="s">
        <v>1205</v>
      </c>
      <c r="I20" s="16" t="s">
        <v>1217</v>
      </c>
      <c r="J20" s="16" t="s">
        <v>1048</v>
      </c>
      <c r="K20" s="16" t="s">
        <v>1049</v>
      </c>
      <c r="L20" s="16">
        <v>8</v>
      </c>
      <c r="M20" s="161">
        <v>44144</v>
      </c>
      <c r="O20" s="16">
        <v>5</v>
      </c>
      <c r="P20" s="16" t="s">
        <v>420</v>
      </c>
      <c r="Q20" s="16" t="s">
        <v>1029</v>
      </c>
      <c r="R20" s="16">
        <v>14</v>
      </c>
      <c r="S20" s="16">
        <v>3</v>
      </c>
      <c r="T20" s="16" t="s">
        <v>1030</v>
      </c>
      <c r="U20" s="16" t="s">
        <v>1689</v>
      </c>
      <c r="V20" s="29" t="s">
        <v>1218</v>
      </c>
      <c r="AA20" s="253"/>
    </row>
    <row r="21" spans="1:27">
      <c r="A21" s="11" t="s">
        <v>1082</v>
      </c>
      <c r="B21" s="207" t="s">
        <v>1219</v>
      </c>
      <c r="C21" s="16" t="s">
        <v>1125</v>
      </c>
      <c r="D21" s="16" t="s">
        <v>6</v>
      </c>
      <c r="E21" s="16" t="s">
        <v>987</v>
      </c>
      <c r="F21" s="16" t="s">
        <v>1113</v>
      </c>
      <c r="H21" s="16" t="s">
        <v>947</v>
      </c>
      <c r="I21" s="16" t="s">
        <v>1220</v>
      </c>
      <c r="J21" s="16" t="s">
        <v>1048</v>
      </c>
      <c r="K21" s="16" t="s">
        <v>1049</v>
      </c>
      <c r="L21" s="16">
        <v>8</v>
      </c>
      <c r="M21" s="161">
        <v>44202</v>
      </c>
      <c r="O21" s="16">
        <v>17</v>
      </c>
      <c r="P21" s="16" t="s">
        <v>420</v>
      </c>
      <c r="Q21" s="16" t="s">
        <v>1029</v>
      </c>
      <c r="R21" s="16">
        <v>17</v>
      </c>
      <c r="S21" s="16">
        <v>1</v>
      </c>
      <c r="T21" s="16" t="s">
        <v>1030</v>
      </c>
      <c r="U21" s="16" t="s">
        <v>1689</v>
      </c>
      <c r="V21" s="29" t="s">
        <v>1221</v>
      </c>
      <c r="AA21" s="253"/>
    </row>
    <row r="22" spans="1:27">
      <c r="B22" s="207"/>
      <c r="V22" s="29"/>
      <c r="AA22" s="253"/>
    </row>
    <row r="23" spans="1:27">
      <c r="A23" s="207" t="s">
        <v>948</v>
      </c>
      <c r="B23" s="207" t="s">
        <v>1545</v>
      </c>
      <c r="C23" s="16" t="s">
        <v>1125</v>
      </c>
      <c r="V23" s="29" t="s">
        <v>1544</v>
      </c>
      <c r="AA23" s="253"/>
    </row>
    <row r="24" spans="1:27">
      <c r="A24" s="11" t="s">
        <v>947</v>
      </c>
      <c r="B24" s="207"/>
      <c r="C24" s="16" t="s">
        <v>1125</v>
      </c>
      <c r="V24" s="29"/>
      <c r="AA24" s="253"/>
    </row>
    <row r="25" spans="1:27">
      <c r="A25" s="11" t="s">
        <v>1082</v>
      </c>
      <c r="B25" s="207" t="s">
        <v>1514</v>
      </c>
      <c r="C25" s="16" t="s">
        <v>1125</v>
      </c>
      <c r="D25" s="16" t="s">
        <v>6</v>
      </c>
      <c r="E25" s="16" t="s">
        <v>987</v>
      </c>
      <c r="F25" s="16" t="s">
        <v>1113</v>
      </c>
      <c r="H25" s="16" t="s">
        <v>947</v>
      </c>
      <c r="I25" s="16" t="s">
        <v>1518</v>
      </c>
      <c r="J25" s="16" t="s">
        <v>1048</v>
      </c>
      <c r="L25" s="16">
        <v>8</v>
      </c>
      <c r="M25" s="161">
        <v>44186</v>
      </c>
      <c r="O25" s="16">
        <v>7</v>
      </c>
      <c r="P25" s="16" t="s">
        <v>420</v>
      </c>
      <c r="Q25" s="16" t="s">
        <v>1029</v>
      </c>
      <c r="R25" s="16">
        <v>3</v>
      </c>
      <c r="S25" s="16">
        <v>0</v>
      </c>
      <c r="T25" s="16" t="s">
        <v>1030</v>
      </c>
      <c r="U25" s="16" t="s">
        <v>1689</v>
      </c>
      <c r="V25" s="29" t="s">
        <v>1522</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1158</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1326</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1327</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1331</v>
      </c>
    </row>
    <row r="4" spans="1:3" s="11" customFormat="1"/>
    <row r="5" spans="1:3" s="11" customFormat="1">
      <c r="A5" s="28" t="s">
        <v>818</v>
      </c>
      <c r="B5" s="28"/>
      <c r="C5" s="49"/>
    </row>
    <row r="6" spans="1:3" s="11" customFormat="1">
      <c r="A6" s="11" t="s">
        <v>1331</v>
      </c>
    </row>
    <row r="7" spans="1:3" s="11" customFormat="1"/>
    <row r="8" spans="1:3" s="11" customFormat="1" ht="28.8">
      <c r="A8" s="28" t="s">
        <v>819</v>
      </c>
      <c r="B8" s="28"/>
      <c r="C8" s="49"/>
    </row>
    <row r="9" spans="1:3" s="11" customFormat="1">
      <c r="A9" s="11" t="s">
        <v>1331</v>
      </c>
      <c r="B9" s="11" t="s">
        <v>1333</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1331</v>
      </c>
      <c r="B15" s="11" t="s">
        <v>1332</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10"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1334</v>
      </c>
    </row>
    <row r="5" spans="1:3" s="16" customFormat="1">
      <c r="A5" s="16" t="s">
        <v>583</v>
      </c>
      <c r="B5" s="11" t="s">
        <v>1722</v>
      </c>
    </row>
    <row r="6" spans="1:3" s="16" customFormat="1">
      <c r="A6" s="16" t="s">
        <v>584</v>
      </c>
      <c r="B6" s="11" t="s">
        <v>1722</v>
      </c>
    </row>
    <row r="7" spans="1:3" s="16" customFormat="1">
      <c r="B7" s="11"/>
    </row>
    <row r="8" spans="1:3" s="16" customFormat="1">
      <c r="A8" s="24" t="s">
        <v>775</v>
      </c>
      <c r="B8" s="11"/>
    </row>
    <row r="9" spans="1:3" s="16" customFormat="1" ht="28.8">
      <c r="A9" s="16" t="s">
        <v>582</v>
      </c>
      <c r="B9" s="11" t="s">
        <v>1335</v>
      </c>
    </row>
    <row r="10" spans="1:3" s="16" customFormat="1" ht="28.8">
      <c r="A10" s="16" t="s">
        <v>583</v>
      </c>
      <c r="B10" s="11" t="s">
        <v>1723</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1336</v>
      </c>
    </row>
    <row r="15" spans="1:3" s="16" customFormat="1">
      <c r="A15" s="16" t="s">
        <v>583</v>
      </c>
      <c r="B15" s="11" t="s">
        <v>1724</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1337</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1338</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1725</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1644</v>
      </c>
    </row>
    <row r="35" spans="1:3" s="16" customFormat="1" ht="28.8">
      <c r="A35" s="16" t="s">
        <v>582</v>
      </c>
      <c r="B35" s="11" t="s">
        <v>1645</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1716</v>
      </c>
    </row>
    <row r="41" spans="1:3" s="16" customFormat="1" ht="28.8">
      <c r="A41" s="16" t="s">
        <v>582</v>
      </c>
      <c r="B41" s="11" t="s">
        <v>1717</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1159</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2">
      <c r="A93" s="11" t="s">
        <v>725</v>
      </c>
      <c r="B93" s="11" t="s">
        <v>1339</v>
      </c>
    </row>
    <row r="94" spans="1:3" ht="43.2">
      <c r="A94" s="11" t="s">
        <v>726</v>
      </c>
      <c r="B94" s="11" t="s">
        <v>1340</v>
      </c>
    </row>
    <row r="95" spans="1:3">
      <c r="A95" s="11" t="s">
        <v>727</v>
      </c>
      <c r="B95" s="11" t="s">
        <v>1341</v>
      </c>
    </row>
    <row r="96" spans="1:3">
      <c r="A96" s="11" t="s">
        <v>728</v>
      </c>
      <c r="B96" s="11" t="s">
        <v>1342</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2">
      <c r="A103" s="11" t="s">
        <v>725</v>
      </c>
      <c r="B103" s="11" t="s">
        <v>1339</v>
      </c>
    </row>
    <row r="104" spans="1:3" ht="57.6">
      <c r="A104" s="11" t="s">
        <v>726</v>
      </c>
      <c r="B104" s="21" t="s">
        <v>946</v>
      </c>
    </row>
    <row r="105" spans="1:3">
      <c r="A105" s="11" t="s">
        <v>727</v>
      </c>
      <c r="B105" s="11" t="s">
        <v>1341</v>
      </c>
    </row>
    <row r="106" spans="1:3" ht="86.4">
      <c r="A106" s="11" t="s">
        <v>728</v>
      </c>
      <c r="B106" s="11" t="s">
        <v>1114</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15" t="s">
        <v>1383</v>
      </c>
      <c r="B114" s="415"/>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1384</v>
      </c>
    </row>
    <row r="144" spans="1:3" ht="100.8">
      <c r="A144" s="11" t="s">
        <v>641</v>
      </c>
      <c r="B144" s="11" t="s">
        <v>1813</v>
      </c>
    </row>
    <row r="145" spans="1:3">
      <c r="A145" s="11" t="s">
        <v>642</v>
      </c>
      <c r="B145" s="11" t="s">
        <v>1385</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1386</v>
      </c>
      <c r="B157" s="14" t="s">
        <v>1552</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1387</v>
      </c>
      <c r="B165" s="14" t="s">
        <v>1553</v>
      </c>
    </row>
    <row r="166" spans="1:3">
      <c r="A166" s="11" t="s">
        <v>655</v>
      </c>
      <c r="B166" s="13" t="s">
        <v>428</v>
      </c>
      <c r="C166" s="11" t="s">
        <v>384</v>
      </c>
    </row>
    <row r="167" spans="1:3">
      <c r="A167" s="11" t="s">
        <v>661</v>
      </c>
      <c r="B167" s="11" t="s">
        <v>1554</v>
      </c>
    </row>
    <row r="168" spans="1:3" ht="28.8">
      <c r="A168" s="11" t="s">
        <v>662</v>
      </c>
      <c r="B168" s="11" t="s">
        <v>1555</v>
      </c>
    </row>
    <row r="169" spans="1:3">
      <c r="A169" s="11" t="s">
        <v>663</v>
      </c>
      <c r="B169" s="13" t="s">
        <v>670</v>
      </c>
      <c r="C169" s="11" t="s">
        <v>384</v>
      </c>
    </row>
    <row r="170" spans="1:3" ht="100.8">
      <c r="A170" s="11" t="s">
        <v>664</v>
      </c>
      <c r="B170" s="11" t="s">
        <v>1556</v>
      </c>
    </row>
    <row r="171" spans="1:3">
      <c r="A171" s="11" t="s">
        <v>665</v>
      </c>
      <c r="B171" s="13" t="s">
        <v>669</v>
      </c>
      <c r="C171" s="11" t="s">
        <v>384</v>
      </c>
    </row>
    <row r="173" spans="1:3">
      <c r="A173" s="14" t="s">
        <v>1388</v>
      </c>
      <c r="B173" s="14" t="s">
        <v>1557</v>
      </c>
    </row>
    <row r="174" spans="1:3">
      <c r="A174" s="11" t="s">
        <v>655</v>
      </c>
      <c r="B174" s="13" t="s">
        <v>428</v>
      </c>
      <c r="C174" s="11" t="s">
        <v>384</v>
      </c>
    </row>
    <row r="175" spans="1:3">
      <c r="A175" s="11" t="s">
        <v>661</v>
      </c>
      <c r="B175" s="11" t="s">
        <v>1389</v>
      </c>
    </row>
    <row r="176" spans="1:3" ht="43.2">
      <c r="A176" s="11" t="s">
        <v>662</v>
      </c>
      <c r="B176" s="11" t="s">
        <v>1390</v>
      </c>
    </row>
    <row r="177" spans="1:3">
      <c r="A177" s="11" t="s">
        <v>663</v>
      </c>
      <c r="B177" s="13" t="s">
        <v>670</v>
      </c>
      <c r="C177" s="11" t="s">
        <v>384</v>
      </c>
    </row>
    <row r="178" spans="1:3" ht="100.8">
      <c r="A178" s="11" t="s">
        <v>664</v>
      </c>
      <c r="B178" s="11" t="s">
        <v>1814</v>
      </c>
    </row>
    <row r="179" spans="1:3">
      <c r="A179" s="11" t="s">
        <v>665</v>
      </c>
      <c r="B179" s="13" t="s">
        <v>1391</v>
      </c>
      <c r="C179" s="11" t="s">
        <v>384</v>
      </c>
    </row>
    <row r="181" spans="1:3">
      <c r="A181" s="14" t="s">
        <v>1392</v>
      </c>
      <c r="B181" s="14" t="s">
        <v>1558</v>
      </c>
    </row>
    <row r="182" spans="1:3">
      <c r="A182" s="11" t="s">
        <v>655</v>
      </c>
      <c r="B182" s="13" t="s">
        <v>428</v>
      </c>
      <c r="C182" s="11" t="s">
        <v>384</v>
      </c>
    </row>
    <row r="183" spans="1:3">
      <c r="A183" s="11" t="s">
        <v>661</v>
      </c>
      <c r="B183" s="11" t="s">
        <v>1389</v>
      </c>
    </row>
    <row r="184" spans="1:3" ht="28.8">
      <c r="A184" s="11" t="s">
        <v>662</v>
      </c>
      <c r="B184" s="11" t="s">
        <v>1393</v>
      </c>
    </row>
    <row r="185" spans="1:3">
      <c r="A185" s="11" t="s">
        <v>663</v>
      </c>
      <c r="B185" s="13" t="s">
        <v>1394</v>
      </c>
      <c r="C185" s="11" t="s">
        <v>384</v>
      </c>
    </row>
    <row r="186" spans="1:3" ht="135.6" customHeight="1">
      <c r="A186" s="11" t="s">
        <v>664</v>
      </c>
      <c r="B186" s="11" t="s">
        <v>1575</v>
      </c>
    </row>
    <row r="187" spans="1:3">
      <c r="A187" s="11" t="s">
        <v>665</v>
      </c>
      <c r="B187" s="13" t="s">
        <v>1391</v>
      </c>
      <c r="C187" s="11" t="s">
        <v>384</v>
      </c>
    </row>
    <row r="189" spans="1:3">
      <c r="A189" s="14" t="s">
        <v>1395</v>
      </c>
      <c r="B189" s="14" t="s">
        <v>1559</v>
      </c>
    </row>
    <row r="190" spans="1:3">
      <c r="A190" s="11" t="s">
        <v>655</v>
      </c>
      <c r="B190" s="13" t="s">
        <v>658</v>
      </c>
      <c r="C190" s="11" t="s">
        <v>384</v>
      </c>
    </row>
    <row r="191" spans="1:3">
      <c r="A191" s="11" t="s">
        <v>661</v>
      </c>
    </row>
    <row r="192" spans="1:3" ht="43.2">
      <c r="A192" s="11" t="s">
        <v>662</v>
      </c>
      <c r="B192" s="11" t="s">
        <v>1396</v>
      </c>
    </row>
    <row r="193" spans="1:3">
      <c r="A193" s="11" t="s">
        <v>663</v>
      </c>
      <c r="B193" s="13" t="s">
        <v>1394</v>
      </c>
      <c r="C193" s="11" t="s">
        <v>384</v>
      </c>
    </row>
    <row r="194" spans="1:3" ht="144">
      <c r="A194" s="11" t="s">
        <v>664</v>
      </c>
      <c r="B194" s="11" t="s">
        <v>1576</v>
      </c>
    </row>
    <row r="195" spans="1:3">
      <c r="A195" s="11" t="s">
        <v>665</v>
      </c>
      <c r="B195" s="13" t="s">
        <v>1391</v>
      </c>
      <c r="C195" s="11" t="s">
        <v>384</v>
      </c>
    </row>
    <row r="197" spans="1:3" ht="28.8">
      <c r="A197" s="14" t="s">
        <v>1560</v>
      </c>
      <c r="B197" s="14" t="s">
        <v>1561</v>
      </c>
    </row>
    <row r="198" spans="1:3">
      <c r="A198" s="11" t="s">
        <v>655</v>
      </c>
      <c r="B198" s="13" t="s">
        <v>428</v>
      </c>
      <c r="C198" s="11" t="s">
        <v>384</v>
      </c>
    </row>
    <row r="199" spans="1:3">
      <c r="A199" s="11" t="s">
        <v>661</v>
      </c>
      <c r="B199" s="11" t="s">
        <v>1554</v>
      </c>
    </row>
    <row r="200" spans="1:3" ht="43.2">
      <c r="A200" s="11" t="s">
        <v>662</v>
      </c>
      <c r="B200" s="11" t="s">
        <v>1562</v>
      </c>
    </row>
    <row r="201" spans="1:3">
      <c r="A201" s="11" t="s">
        <v>663</v>
      </c>
      <c r="B201" s="13" t="s">
        <v>670</v>
      </c>
      <c r="C201" s="11" t="s">
        <v>384</v>
      </c>
    </row>
    <row r="202" spans="1:3" ht="115.2">
      <c r="A202" s="11" t="s">
        <v>664</v>
      </c>
      <c r="B202" s="11" t="s">
        <v>1563</v>
      </c>
    </row>
    <row r="203" spans="1:3">
      <c r="A203" s="11" t="s">
        <v>665</v>
      </c>
      <c r="B203" s="13" t="s">
        <v>1391</v>
      </c>
      <c r="C203" s="11" t="s">
        <v>384</v>
      </c>
    </row>
    <row r="206" spans="1:3">
      <c r="A206" s="14" t="s">
        <v>1564</v>
      </c>
      <c r="B206" s="14" t="s">
        <v>1719</v>
      </c>
    </row>
    <row r="207" spans="1:3">
      <c r="A207" s="11" t="s">
        <v>655</v>
      </c>
      <c r="B207" s="13" t="s">
        <v>428</v>
      </c>
      <c r="C207" s="11" t="s">
        <v>384</v>
      </c>
    </row>
    <row r="208" spans="1:3">
      <c r="A208" s="11" t="s">
        <v>661</v>
      </c>
      <c r="B208" s="11" t="s">
        <v>1554</v>
      </c>
    </row>
    <row r="209" spans="1:3" ht="28.8">
      <c r="A209" s="11" t="s">
        <v>662</v>
      </c>
      <c r="B209" s="11" t="s">
        <v>1720</v>
      </c>
    </row>
    <row r="210" spans="1:3">
      <c r="A210" s="11" t="s">
        <v>663</v>
      </c>
      <c r="B210" s="13" t="s">
        <v>1394</v>
      </c>
      <c r="C210" s="11" t="s">
        <v>384</v>
      </c>
    </row>
    <row r="211" spans="1:3" ht="43.2">
      <c r="A211" s="11" t="s">
        <v>664</v>
      </c>
      <c r="B211" s="11" t="s">
        <v>1721</v>
      </c>
    </row>
    <row r="212" spans="1:3">
      <c r="A212" s="11" t="s">
        <v>665</v>
      </c>
      <c r="B212" s="13" t="s">
        <v>1391</v>
      </c>
      <c r="C212" s="11" t="s">
        <v>384</v>
      </c>
    </row>
    <row r="214" spans="1:3">
      <c r="A214" s="14" t="s">
        <v>1565</v>
      </c>
      <c r="B214" s="14" t="s">
        <v>1728</v>
      </c>
    </row>
    <row r="215" spans="1:3">
      <c r="A215" s="11" t="s">
        <v>655</v>
      </c>
      <c r="B215" s="13" t="s">
        <v>428</v>
      </c>
      <c r="C215" s="11" t="s">
        <v>384</v>
      </c>
    </row>
    <row r="216" spans="1:3">
      <c r="A216" s="11" t="s">
        <v>661</v>
      </c>
      <c r="B216" s="11" t="s">
        <v>1554</v>
      </c>
    </row>
    <row r="217" spans="1:3" ht="28.8">
      <c r="A217" s="11" t="s">
        <v>662</v>
      </c>
      <c r="B217" s="11" t="s">
        <v>1729</v>
      </c>
    </row>
    <row r="218" spans="1:3">
      <c r="A218" s="11" t="s">
        <v>663</v>
      </c>
      <c r="B218" s="13" t="s">
        <v>670</v>
      </c>
      <c r="C218" s="11" t="s">
        <v>384</v>
      </c>
    </row>
    <row r="219" spans="1:3" ht="57.6">
      <c r="A219" s="11" t="s">
        <v>664</v>
      </c>
      <c r="B219" s="11" t="s">
        <v>1730</v>
      </c>
    </row>
    <row r="220" spans="1:3">
      <c r="A220" s="11" t="s">
        <v>665</v>
      </c>
      <c r="B220" s="13" t="s">
        <v>1391</v>
      </c>
      <c r="C220" s="11" t="s">
        <v>384</v>
      </c>
    </row>
    <row r="222" spans="1:3">
      <c r="A222" s="14" t="s">
        <v>1727</v>
      </c>
      <c r="B222" s="14" t="s">
        <v>1646</v>
      </c>
    </row>
    <row r="223" spans="1:3">
      <c r="A223" s="11" t="s">
        <v>655</v>
      </c>
      <c r="B223" s="13" t="s">
        <v>428</v>
      </c>
      <c r="C223" s="11" t="s">
        <v>384</v>
      </c>
    </row>
    <row r="224" spans="1:3">
      <c r="A224" s="11" t="s">
        <v>661</v>
      </c>
      <c r="B224" s="11" t="s">
        <v>1554</v>
      </c>
    </row>
    <row r="225" spans="1:3" ht="28.8">
      <c r="A225" s="11" t="s">
        <v>662</v>
      </c>
      <c r="B225" s="11" t="s">
        <v>1567</v>
      </c>
    </row>
    <row r="226" spans="1:3">
      <c r="A226" s="11" t="s">
        <v>663</v>
      </c>
      <c r="B226" s="13" t="s">
        <v>670</v>
      </c>
      <c r="C226" s="11" t="s">
        <v>384</v>
      </c>
    </row>
    <row r="227" spans="1:3" ht="129.6">
      <c r="A227" s="11" t="s">
        <v>664</v>
      </c>
      <c r="B227" s="11" t="s">
        <v>1568</v>
      </c>
    </row>
    <row r="228" spans="1:3">
      <c r="A228" s="11" t="s">
        <v>665</v>
      </c>
      <c r="B228" s="13" t="s">
        <v>1391</v>
      </c>
      <c r="C228" s="11" t="s">
        <v>384</v>
      </c>
    </row>
    <row r="230" spans="1:3">
      <c r="A230" s="14" t="s">
        <v>1566</v>
      </c>
      <c r="B230" s="14" t="s">
        <v>1731</v>
      </c>
    </row>
    <row r="231" spans="1:3">
      <c r="A231" s="11" t="s">
        <v>655</v>
      </c>
      <c r="B231" s="13" t="s">
        <v>428</v>
      </c>
      <c r="C231" s="11" t="s">
        <v>384</v>
      </c>
    </row>
    <row r="232" spans="1:3">
      <c r="A232" s="11" t="s">
        <v>661</v>
      </c>
      <c r="B232" s="11" t="s">
        <v>1554</v>
      </c>
    </row>
    <row r="233" spans="1:3">
      <c r="A233" s="11" t="s">
        <v>662</v>
      </c>
      <c r="B233" s="11" t="s">
        <v>1732</v>
      </c>
    </row>
    <row r="234" spans="1:3">
      <c r="A234" s="11" t="s">
        <v>663</v>
      </c>
      <c r="B234" s="13" t="s">
        <v>670</v>
      </c>
      <c r="C234" s="11" t="s">
        <v>384</v>
      </c>
    </row>
    <row r="235" spans="1:3" ht="43.2">
      <c r="A235" s="11" t="s">
        <v>664</v>
      </c>
      <c r="B235" s="11" t="s">
        <v>1733</v>
      </c>
    </row>
    <row r="236" spans="1:3">
      <c r="A236" s="11" t="s">
        <v>665</v>
      </c>
      <c r="B236" s="13" t="s">
        <v>669</v>
      </c>
      <c r="C236" s="11" t="s">
        <v>384</v>
      </c>
    </row>
    <row r="238" spans="1:3">
      <c r="A238" s="14" t="s">
        <v>1569</v>
      </c>
      <c r="B238" s="14" t="s">
        <v>1734</v>
      </c>
    </row>
    <row r="239" spans="1:3">
      <c r="A239" s="11" t="s">
        <v>655</v>
      </c>
      <c r="B239" s="13" t="s">
        <v>428</v>
      </c>
      <c r="C239" s="11" t="s">
        <v>384</v>
      </c>
    </row>
    <row r="240" spans="1:3">
      <c r="A240" s="11" t="s">
        <v>661</v>
      </c>
      <c r="B240" s="11" t="s">
        <v>1554</v>
      </c>
    </row>
    <row r="241" spans="1:3">
      <c r="A241" s="11" t="s">
        <v>662</v>
      </c>
      <c r="B241" s="11" t="s">
        <v>1735</v>
      </c>
    </row>
    <row r="242" spans="1:3">
      <c r="A242" s="11" t="s">
        <v>663</v>
      </c>
      <c r="B242" s="13" t="s">
        <v>670</v>
      </c>
      <c r="C242" s="11" t="s">
        <v>384</v>
      </c>
    </row>
    <row r="243" spans="1:3" ht="100.8">
      <c r="A243" s="11" t="s">
        <v>664</v>
      </c>
      <c r="B243" s="11" t="s">
        <v>1570</v>
      </c>
    </row>
    <row r="244" spans="1:3">
      <c r="A244" s="11" t="s">
        <v>665</v>
      </c>
      <c r="B244" s="13" t="s">
        <v>1391</v>
      </c>
      <c r="C244" s="11" t="s">
        <v>384</v>
      </c>
    </row>
    <row r="246" spans="1:3">
      <c r="A246" s="14" t="s">
        <v>1737</v>
      </c>
      <c r="B246" s="14" t="s">
        <v>1738</v>
      </c>
    </row>
    <row r="247" spans="1:3">
      <c r="A247" s="11" t="s">
        <v>655</v>
      </c>
      <c r="B247" s="13" t="s">
        <v>428</v>
      </c>
      <c r="C247" s="11" t="s">
        <v>384</v>
      </c>
    </row>
    <row r="248" spans="1:3">
      <c r="A248" s="11" t="s">
        <v>661</v>
      </c>
      <c r="B248" s="11" t="s">
        <v>1554</v>
      </c>
    </row>
    <row r="249" spans="1:3">
      <c r="A249" s="11" t="s">
        <v>662</v>
      </c>
      <c r="B249" s="11" t="s">
        <v>1739</v>
      </c>
    </row>
    <row r="250" spans="1:3">
      <c r="A250" s="11" t="s">
        <v>663</v>
      </c>
      <c r="B250" s="13" t="s">
        <v>670</v>
      </c>
      <c r="C250" s="11" t="s">
        <v>384</v>
      </c>
    </row>
    <row r="251" spans="1:3" ht="43.2">
      <c r="A251" s="11" t="s">
        <v>664</v>
      </c>
      <c r="B251" s="11" t="s">
        <v>1740</v>
      </c>
    </row>
    <row r="252" spans="1:3">
      <c r="A252" s="11" t="s">
        <v>665</v>
      </c>
      <c r="B252" s="13" t="s">
        <v>1391</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1715</v>
      </c>
    </row>
    <row r="260" spans="1:3">
      <c r="A260" s="11" t="s">
        <v>688</v>
      </c>
      <c r="B260" s="13" t="s">
        <v>667</v>
      </c>
      <c r="C260" s="11" t="s">
        <v>384</v>
      </c>
    </row>
    <row r="261" spans="1:3" ht="100.8">
      <c r="A261" s="11" t="s">
        <v>689</v>
      </c>
      <c r="B261" s="11" t="s">
        <v>1736</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1726</v>
      </c>
    </row>
    <row r="271" spans="1:3">
      <c r="A271" s="19" t="s">
        <v>589</v>
      </c>
    </row>
    <row r="273" spans="1:3">
      <c r="A273" s="27" t="s">
        <v>795</v>
      </c>
      <c r="B273" s="28"/>
      <c r="C273" s="29"/>
    </row>
    <row r="274" spans="1:3" ht="57.6">
      <c r="A274" s="222" t="s">
        <v>1140</v>
      </c>
      <c r="B274" s="13" t="s">
        <v>1139</v>
      </c>
      <c r="C274" s="11" t="s">
        <v>384</v>
      </c>
    </row>
    <row r="276" spans="1:3">
      <c r="A276" s="17" t="s">
        <v>796</v>
      </c>
      <c r="B276" s="17"/>
    </row>
    <row r="277" spans="1:3">
      <c r="A277" s="27" t="s">
        <v>797</v>
      </c>
      <c r="B277" s="28"/>
      <c r="C277" s="29"/>
    </row>
    <row r="278" spans="1:3" ht="72">
      <c r="A278" s="222" t="s">
        <v>1160</v>
      </c>
      <c r="B278" s="13" t="s">
        <v>1139</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U20" sqref="U20"/>
    </sheetView>
  </sheetViews>
  <sheetFormatPr defaultColWidth="8.88671875"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22" t="str">
        <f>_xlfn.CONCAT("Week ",T8)</f>
        <v>Week 15</v>
      </c>
      <c r="B3" s="423"/>
      <c r="C3" s="371" t="s">
        <v>1607</v>
      </c>
      <c r="D3" s="372" t="s">
        <v>1608</v>
      </c>
      <c r="E3" s="371" t="s">
        <v>1607</v>
      </c>
      <c r="F3" s="372" t="s">
        <v>1608</v>
      </c>
      <c r="G3" s="371" t="s">
        <v>1607</v>
      </c>
      <c r="H3" s="372" t="s">
        <v>1608</v>
      </c>
      <c r="I3" s="371" t="s">
        <v>1607</v>
      </c>
      <c r="J3" s="372" t="s">
        <v>1608</v>
      </c>
      <c r="K3" s="371" t="s">
        <v>1607</v>
      </c>
      <c r="L3" s="372" t="s">
        <v>1608</v>
      </c>
      <c r="M3" s="371" t="s">
        <v>1607</v>
      </c>
      <c r="N3" s="372" t="s">
        <v>1608</v>
      </c>
      <c r="O3" s="371" t="s">
        <v>1607</v>
      </c>
      <c r="P3" s="372" t="s">
        <v>1608</v>
      </c>
      <c r="Q3" s="422" t="str">
        <f>_xlfn.CONCAT("Week ",AJ8)</f>
        <v xml:space="preserve">Week </v>
      </c>
      <c r="R3" s="423"/>
    </row>
    <row r="4" spans="1:20" ht="19.95" customHeight="1">
      <c r="A4" s="424"/>
      <c r="B4" s="425"/>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24"/>
      <c r="R4" s="425"/>
      <c r="T4" s="370">
        <f>C5</f>
        <v>44296</v>
      </c>
    </row>
    <row r="5" spans="1:20" ht="19.95" customHeight="1">
      <c r="A5" s="375" t="s">
        <v>1609</v>
      </c>
      <c r="B5" s="375" t="s">
        <v>1610</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1609</v>
      </c>
      <c r="R5" s="375" t="s">
        <v>1610</v>
      </c>
      <c r="T5" s="370">
        <f>YEAR(T4)-1</f>
        <v>2020</v>
      </c>
    </row>
    <row r="6" spans="1:20" ht="19.95" customHeight="1">
      <c r="A6" s="378">
        <v>0.49999999999999994</v>
      </c>
      <c r="B6" s="378">
        <v>0.25</v>
      </c>
      <c r="C6" s="452"/>
      <c r="D6" s="389"/>
      <c r="E6" s="452"/>
      <c r="F6" s="389"/>
      <c r="G6" s="379" t="s">
        <v>1611</v>
      </c>
      <c r="H6" s="389"/>
      <c r="I6" s="379" t="s">
        <v>1611</v>
      </c>
      <c r="J6" s="389"/>
      <c r="K6" s="379" t="s">
        <v>1611</v>
      </c>
      <c r="L6" s="389"/>
      <c r="M6" s="379" t="s">
        <v>1611</v>
      </c>
      <c r="N6" s="389"/>
      <c r="O6" s="439" t="s">
        <v>1611</v>
      </c>
      <c r="P6" s="389"/>
      <c r="Q6" s="378">
        <v>0.49999999999999994</v>
      </c>
      <c r="R6" s="378">
        <v>0.25</v>
      </c>
      <c r="T6" s="370">
        <f>DATE(T5,12,31)</f>
        <v>44196</v>
      </c>
    </row>
    <row r="7" spans="1:20" ht="19.95" customHeight="1">
      <c r="A7" s="378">
        <v>0.52083333333333326</v>
      </c>
      <c r="B7" s="378">
        <v>0.27083333333333331</v>
      </c>
      <c r="C7" s="452"/>
      <c r="D7" s="390"/>
      <c r="E7" s="452"/>
      <c r="F7" s="390"/>
      <c r="G7" s="380" t="s">
        <v>1401</v>
      </c>
      <c r="H7" s="390"/>
      <c r="I7" s="464" t="s">
        <v>966</v>
      </c>
      <c r="J7" s="390"/>
      <c r="K7" s="457" t="s">
        <v>970</v>
      </c>
      <c r="L7" s="390"/>
      <c r="M7" s="441" t="s">
        <v>1616</v>
      </c>
      <c r="N7" s="390"/>
      <c r="O7" s="456"/>
      <c r="P7" s="390"/>
      <c r="Q7" s="378">
        <v>0.52083333333333326</v>
      </c>
      <c r="R7" s="378">
        <v>0.27083333333333331</v>
      </c>
      <c r="T7" s="370">
        <f>T4-T6</f>
        <v>100</v>
      </c>
    </row>
    <row r="8" spans="1:20" ht="19.95" customHeight="1">
      <c r="A8" s="378">
        <v>0.54166666666666663</v>
      </c>
      <c r="B8" s="378">
        <v>0.29166666666666663</v>
      </c>
      <c r="C8" s="457" t="s">
        <v>1627</v>
      </c>
      <c r="D8" s="390"/>
      <c r="E8" s="457" t="s">
        <v>1627</v>
      </c>
      <c r="F8" s="390"/>
      <c r="G8" s="467" t="s">
        <v>1409</v>
      </c>
      <c r="H8" s="390"/>
      <c r="I8" s="464"/>
      <c r="J8" s="390"/>
      <c r="K8" s="458"/>
      <c r="L8" s="390"/>
      <c r="M8" s="441"/>
      <c r="N8" s="390"/>
      <c r="O8" s="440"/>
      <c r="P8" s="390"/>
      <c r="Q8" s="378">
        <v>0.54166666666666663</v>
      </c>
      <c r="R8" s="378">
        <v>0.29166666666666663</v>
      </c>
      <c r="T8" s="370">
        <f>ROUNDUP(T7/7,0)</f>
        <v>15</v>
      </c>
    </row>
    <row r="9" spans="1:20" ht="19.95" customHeight="1">
      <c r="A9" s="378">
        <v>0.5625</v>
      </c>
      <c r="B9" s="378">
        <v>0.31249999999999994</v>
      </c>
      <c r="C9" s="459"/>
      <c r="D9" s="390"/>
      <c r="E9" s="459"/>
      <c r="F9" s="390"/>
      <c r="G9" s="467"/>
      <c r="H9" s="390"/>
      <c r="I9" s="464"/>
      <c r="J9" s="390"/>
      <c r="K9" s="380" t="s">
        <v>1612</v>
      </c>
      <c r="L9" s="390"/>
      <c r="M9" s="379" t="s">
        <v>595</v>
      </c>
      <c r="N9" s="390"/>
      <c r="O9" s="454" t="s">
        <v>1626</v>
      </c>
      <c r="P9" s="390"/>
      <c r="Q9" s="378">
        <v>0.5625</v>
      </c>
      <c r="R9" s="378">
        <v>0.31249999999999994</v>
      </c>
    </row>
    <row r="10" spans="1:20" ht="19.95" customHeight="1">
      <c r="A10" s="378">
        <v>0.58333333333333337</v>
      </c>
      <c r="B10" s="378">
        <v>0.33333333333333326</v>
      </c>
      <c r="C10" s="459"/>
      <c r="D10" s="390"/>
      <c r="E10" s="459"/>
      <c r="F10" s="390"/>
      <c r="G10" s="465" t="s">
        <v>1626</v>
      </c>
      <c r="H10" s="390"/>
      <c r="I10" s="454" t="s">
        <v>1626</v>
      </c>
      <c r="J10" s="390"/>
      <c r="K10" s="454" t="s">
        <v>1626</v>
      </c>
      <c r="L10" s="390"/>
      <c r="M10" s="454" t="s">
        <v>1626</v>
      </c>
      <c r="N10" s="390"/>
      <c r="O10" s="454"/>
      <c r="P10" s="390"/>
      <c r="Q10" s="378">
        <v>0.58333333333333337</v>
      </c>
      <c r="R10" s="378">
        <v>0.33333333333333326</v>
      </c>
    </row>
    <row r="11" spans="1:20" ht="19.95" customHeight="1">
      <c r="A11" s="378">
        <v>0.60416666666666674</v>
      </c>
      <c r="B11" s="378">
        <v>0.35416666666666657</v>
      </c>
      <c r="C11" s="459"/>
      <c r="D11" s="390"/>
      <c r="E11" s="459"/>
      <c r="F11" s="390"/>
      <c r="G11" s="466"/>
      <c r="H11" s="390"/>
      <c r="I11" s="454"/>
      <c r="J11" s="390"/>
      <c r="K11" s="454"/>
      <c r="L11" s="390"/>
      <c r="M11" s="454"/>
      <c r="N11" s="390"/>
      <c r="O11" s="455" t="s">
        <v>1634</v>
      </c>
      <c r="P11" s="390"/>
      <c r="Q11" s="378">
        <v>0.60416666666666674</v>
      </c>
      <c r="R11" s="378">
        <v>0.35416666666666657</v>
      </c>
    </row>
    <row r="12" spans="1:20" ht="19.95" customHeight="1">
      <c r="A12" s="378">
        <v>0.62500000000000011</v>
      </c>
      <c r="B12" s="378">
        <v>0.37499999999999989</v>
      </c>
      <c r="C12" s="459"/>
      <c r="D12" s="390"/>
      <c r="E12" s="459"/>
      <c r="F12" s="390"/>
      <c r="G12" s="457" t="s">
        <v>1615</v>
      </c>
      <c r="H12" s="390"/>
      <c r="I12" s="441" t="s">
        <v>966</v>
      </c>
      <c r="J12" s="390"/>
      <c r="K12" s="457" t="s">
        <v>1612</v>
      </c>
      <c r="L12" s="390"/>
      <c r="M12" s="439" t="s">
        <v>1633</v>
      </c>
      <c r="N12" s="390"/>
      <c r="O12" s="455"/>
      <c r="P12" s="390"/>
      <c r="Q12" s="378">
        <v>0.62500000000000011</v>
      </c>
      <c r="R12" s="378">
        <v>0.37499999999999989</v>
      </c>
    </row>
    <row r="13" spans="1:20" ht="19.95" customHeight="1">
      <c r="A13" s="378">
        <v>0.64583333333333348</v>
      </c>
      <c r="B13" s="378">
        <v>0.3958333333333332</v>
      </c>
      <c r="C13" s="459"/>
      <c r="D13" s="390"/>
      <c r="E13" s="459"/>
      <c r="F13" s="390"/>
      <c r="G13" s="459"/>
      <c r="H13" s="390"/>
      <c r="I13" s="441"/>
      <c r="J13" s="390"/>
      <c r="K13" s="459"/>
      <c r="L13" s="390"/>
      <c r="M13" s="456"/>
      <c r="N13" s="390"/>
      <c r="O13" s="439" t="s">
        <v>1618</v>
      </c>
      <c r="P13" s="390"/>
      <c r="Q13" s="378">
        <v>0.64583333333333348</v>
      </c>
      <c r="R13" s="378">
        <v>0.3958333333333332</v>
      </c>
    </row>
    <row r="14" spans="1:20" ht="19.95" customHeight="1">
      <c r="A14" s="378">
        <v>0.66666666666666685</v>
      </c>
      <c r="B14" s="378">
        <v>0.41666666666666652</v>
      </c>
      <c r="C14" s="459"/>
      <c r="D14" s="390"/>
      <c r="E14" s="459"/>
      <c r="F14" s="390"/>
      <c r="G14" s="459"/>
      <c r="H14" s="390"/>
      <c r="I14" s="441"/>
      <c r="J14" s="390"/>
      <c r="K14" s="459"/>
      <c r="L14" s="390"/>
      <c r="M14" s="440"/>
      <c r="N14" s="390"/>
      <c r="O14" s="456"/>
      <c r="P14" s="390"/>
      <c r="Q14" s="378">
        <v>0.66666666666666685</v>
      </c>
      <c r="R14" s="378">
        <v>0.41666666666666652</v>
      </c>
    </row>
    <row r="15" spans="1:20" ht="19.95" customHeight="1">
      <c r="A15" s="378">
        <v>0.68750000000000022</v>
      </c>
      <c r="B15" s="378">
        <v>0.4375</v>
      </c>
      <c r="C15" s="459"/>
      <c r="D15" s="390"/>
      <c r="E15" s="459"/>
      <c r="F15" s="390"/>
      <c r="G15" s="459"/>
      <c r="H15" s="390"/>
      <c r="I15" s="441"/>
      <c r="J15" s="390"/>
      <c r="K15" s="459"/>
      <c r="L15" s="390"/>
      <c r="M15" s="460" t="s">
        <v>1613</v>
      </c>
      <c r="N15" s="390"/>
      <c r="O15" s="456"/>
      <c r="P15" s="390"/>
      <c r="Q15" s="378">
        <v>0.68750000000000022</v>
      </c>
      <c r="R15" s="378">
        <v>0.4375</v>
      </c>
    </row>
    <row r="16" spans="1:20" ht="19.95" customHeight="1">
      <c r="A16" s="378">
        <v>0.70833333333333359</v>
      </c>
      <c r="B16" s="378">
        <v>0.45833333333333398</v>
      </c>
      <c r="C16" s="459"/>
      <c r="D16" s="390"/>
      <c r="E16" s="459"/>
      <c r="F16" s="390"/>
      <c r="G16" s="459"/>
      <c r="H16" s="390"/>
      <c r="I16" s="441"/>
      <c r="J16" s="390"/>
      <c r="K16" s="459"/>
      <c r="L16" s="390"/>
      <c r="M16" s="461"/>
      <c r="N16" s="390"/>
      <c r="O16" s="456"/>
      <c r="P16" s="390"/>
      <c r="Q16" s="378">
        <v>0.70833333333333359</v>
      </c>
      <c r="R16" s="378">
        <v>0.45833333333333398</v>
      </c>
    </row>
    <row r="17" spans="1:18" ht="19.95" customHeight="1">
      <c r="A17" s="378">
        <v>0.72916666666666696</v>
      </c>
      <c r="B17" s="378">
        <v>0.47916666666666702</v>
      </c>
      <c r="C17" s="459"/>
      <c r="D17" s="390"/>
      <c r="E17" s="459"/>
      <c r="F17" s="390"/>
      <c r="G17" s="458"/>
      <c r="H17" s="390"/>
      <c r="I17" s="439" t="s">
        <v>595</v>
      </c>
      <c r="J17" s="390"/>
      <c r="K17" s="459"/>
      <c r="L17" s="390"/>
      <c r="M17" s="462" t="s">
        <v>1614</v>
      </c>
      <c r="N17" s="390"/>
      <c r="O17" s="456"/>
      <c r="P17" s="390"/>
      <c r="Q17" s="378">
        <v>0.72916666666666696</v>
      </c>
      <c r="R17" s="378">
        <v>0.47916666666666702</v>
      </c>
    </row>
    <row r="18" spans="1:18" ht="19.95" customHeight="1">
      <c r="A18" s="378">
        <v>0.75</v>
      </c>
      <c r="B18" s="378">
        <v>0.5</v>
      </c>
      <c r="C18" s="459"/>
      <c r="D18" s="390"/>
      <c r="E18" s="459"/>
      <c r="F18" s="390"/>
      <c r="G18" s="379" t="s">
        <v>595</v>
      </c>
      <c r="H18" s="390"/>
      <c r="I18" s="440"/>
      <c r="J18" s="390"/>
      <c r="K18" s="459"/>
      <c r="L18" s="390"/>
      <c r="M18" s="463"/>
      <c r="N18" s="390"/>
      <c r="O18" s="456"/>
      <c r="P18" s="390"/>
      <c r="Q18" s="378">
        <v>0.75</v>
      </c>
      <c r="R18" s="378">
        <v>0.5</v>
      </c>
    </row>
    <row r="19" spans="1:18" ht="19.95" customHeight="1">
      <c r="A19" s="378">
        <v>0.77083333333333404</v>
      </c>
      <c r="B19" s="378">
        <v>0.52083333333333404</v>
      </c>
      <c r="C19" s="459"/>
      <c r="D19" s="390"/>
      <c r="E19" s="459"/>
      <c r="F19" s="390"/>
      <c r="G19" s="441" t="s">
        <v>1617</v>
      </c>
      <c r="H19" s="390"/>
      <c r="I19" s="441" t="s">
        <v>969</v>
      </c>
      <c r="J19" s="390"/>
      <c r="K19" s="459"/>
      <c r="L19" s="390"/>
      <c r="M19" s="439" t="s">
        <v>1812</v>
      </c>
      <c r="N19" s="390"/>
      <c r="O19" s="456"/>
      <c r="P19" s="390"/>
      <c r="Q19" s="378">
        <v>0.77083333333333404</v>
      </c>
      <c r="R19" s="378">
        <v>0.52083333333333404</v>
      </c>
    </row>
    <row r="20" spans="1:18" ht="19.95" customHeight="1">
      <c r="A20" s="381">
        <v>0.79166666666666696</v>
      </c>
      <c r="B20" s="381">
        <v>0.54166666666666696</v>
      </c>
      <c r="C20" s="459"/>
      <c r="D20" s="390"/>
      <c r="E20" s="459"/>
      <c r="F20" s="390"/>
      <c r="G20" s="441"/>
      <c r="H20" s="390"/>
      <c r="I20" s="441"/>
      <c r="J20" s="390"/>
      <c r="K20" s="458"/>
      <c r="L20" s="390"/>
      <c r="M20" s="456"/>
      <c r="N20" s="390"/>
      <c r="O20" s="456"/>
      <c r="P20" s="390"/>
      <c r="Q20" s="381">
        <v>0.79166666666666696</v>
      </c>
      <c r="R20" s="381">
        <v>0.54166666666666696</v>
      </c>
    </row>
    <row r="21" spans="1:18" ht="19.95" customHeight="1">
      <c r="A21" s="381">
        <v>0.8125</v>
      </c>
      <c r="B21" s="381">
        <v>0.5625</v>
      </c>
      <c r="C21" s="458"/>
      <c r="D21" s="390"/>
      <c r="E21" s="458"/>
      <c r="F21" s="390"/>
      <c r="G21" s="439" t="s">
        <v>1630</v>
      </c>
      <c r="H21" s="390"/>
      <c r="I21" s="453" t="s">
        <v>1630</v>
      </c>
      <c r="J21" s="390"/>
      <c r="K21" s="453" t="s">
        <v>1630</v>
      </c>
      <c r="L21" s="390"/>
      <c r="M21" s="456"/>
      <c r="N21" s="390"/>
      <c r="O21" s="440"/>
      <c r="P21" s="390"/>
      <c r="Q21" s="381">
        <v>0.8125</v>
      </c>
      <c r="R21" s="381">
        <v>0.5625</v>
      </c>
    </row>
    <row r="22" spans="1:18" ht="19.95" customHeight="1">
      <c r="A22" s="381">
        <v>0.83333333333333404</v>
      </c>
      <c r="B22" s="381">
        <v>0.58333333333333304</v>
      </c>
      <c r="C22" s="439" t="s">
        <v>1632</v>
      </c>
      <c r="D22" s="390"/>
      <c r="E22" s="439" t="s">
        <v>1632</v>
      </c>
      <c r="F22" s="390"/>
      <c r="G22" s="440"/>
      <c r="H22" s="390"/>
      <c r="I22" s="453"/>
      <c r="J22" s="390"/>
      <c r="K22" s="453"/>
      <c r="L22" s="390"/>
      <c r="M22" s="440"/>
      <c r="N22" s="390"/>
      <c r="O22" s="442" t="s">
        <v>1631</v>
      </c>
      <c r="P22" s="390"/>
      <c r="Q22" s="381">
        <v>0.83333333333333404</v>
      </c>
      <c r="R22" s="381">
        <v>0.58333333333333304</v>
      </c>
    </row>
    <row r="23" spans="1:18" ht="19.95" customHeight="1">
      <c r="A23" s="381">
        <v>0.85416666666666696</v>
      </c>
      <c r="B23" s="381">
        <v>0.60416666666666696</v>
      </c>
      <c r="C23" s="440"/>
      <c r="D23" s="390"/>
      <c r="E23" s="440"/>
      <c r="F23" s="390"/>
      <c r="G23" s="449" t="s">
        <v>1631</v>
      </c>
      <c r="H23" s="390"/>
      <c r="I23" s="452" t="s">
        <v>1631</v>
      </c>
      <c r="J23" s="390"/>
      <c r="K23" s="452" t="s">
        <v>1631</v>
      </c>
      <c r="L23" s="390"/>
      <c r="M23" s="452" t="s">
        <v>1631</v>
      </c>
      <c r="N23" s="390"/>
      <c r="O23" s="442"/>
      <c r="P23" s="390"/>
      <c r="Q23" s="381">
        <v>0.85416666666666696</v>
      </c>
      <c r="R23" s="381">
        <v>0.60416666666666696</v>
      </c>
    </row>
    <row r="24" spans="1:18" ht="19.95" customHeight="1">
      <c r="A24" s="381">
        <v>0.874999999999999</v>
      </c>
      <c r="B24" s="381">
        <v>0.624999999999999</v>
      </c>
      <c r="C24" s="442" t="s">
        <v>1631</v>
      </c>
      <c r="D24" s="390"/>
      <c r="E24" s="442" t="s">
        <v>1631</v>
      </c>
      <c r="F24" s="390"/>
      <c r="G24" s="450"/>
      <c r="H24" s="390"/>
      <c r="I24" s="452"/>
      <c r="J24" s="390"/>
      <c r="K24" s="452"/>
      <c r="L24" s="390"/>
      <c r="M24" s="452"/>
      <c r="N24" s="390"/>
      <c r="O24" s="442"/>
      <c r="P24" s="390"/>
      <c r="Q24" s="381">
        <v>0.874999999999999</v>
      </c>
      <c r="R24" s="381">
        <v>0.624999999999999</v>
      </c>
    </row>
    <row r="25" spans="1:18" ht="19.95" customHeight="1">
      <c r="A25" s="381">
        <v>0.89583333333333204</v>
      </c>
      <c r="B25" s="381">
        <v>0.64583333333333204</v>
      </c>
      <c r="C25" s="442"/>
      <c r="D25" s="391"/>
      <c r="E25" s="442"/>
      <c r="F25" s="391"/>
      <c r="G25" s="451"/>
      <c r="H25" s="391"/>
      <c r="I25" s="452"/>
      <c r="J25" s="391"/>
      <c r="K25" s="452"/>
      <c r="L25" s="391"/>
      <c r="M25" s="452"/>
      <c r="N25" s="391"/>
      <c r="O25" s="442"/>
      <c r="P25" s="391"/>
      <c r="Q25" s="381">
        <v>0.89583333333333204</v>
      </c>
      <c r="R25" s="381">
        <v>0.64583333333333204</v>
      </c>
    </row>
    <row r="33" spans="2:15" ht="16.05" customHeight="1">
      <c r="B33" s="382" t="s">
        <v>825</v>
      </c>
      <c r="C33" s="382" t="s">
        <v>826</v>
      </c>
      <c r="D33" s="443" t="s">
        <v>1619</v>
      </c>
      <c r="E33" s="444"/>
      <c r="F33" s="444"/>
      <c r="G33" s="445"/>
      <c r="H33" s="382" t="s">
        <v>1620</v>
      </c>
      <c r="L33" s="446" t="s">
        <v>1629</v>
      </c>
      <c r="M33" s="447"/>
      <c r="N33" s="447"/>
      <c r="O33" s="448"/>
    </row>
    <row r="34" spans="2:15" ht="16.05" customHeight="1">
      <c r="B34" s="383">
        <v>1</v>
      </c>
      <c r="C34" s="384">
        <f>Planning!B39</f>
        <v>44285</v>
      </c>
      <c r="D34" s="426" t="s">
        <v>1621</v>
      </c>
      <c r="E34" s="426"/>
      <c r="F34" s="426"/>
      <c r="G34" s="426"/>
      <c r="H34" s="385" t="s">
        <v>586</v>
      </c>
      <c r="L34" s="430" t="s">
        <v>1628</v>
      </c>
      <c r="M34" s="431"/>
      <c r="N34" s="431"/>
      <c r="O34" s="432"/>
    </row>
    <row r="35" spans="2:15" ht="16.05" customHeight="1">
      <c r="B35" s="383" t="s">
        <v>1622</v>
      </c>
      <c r="C35" s="384">
        <f>G5</f>
        <v>44298</v>
      </c>
      <c r="D35" s="426" t="s">
        <v>1623</v>
      </c>
      <c r="E35" s="426"/>
      <c r="F35" s="426"/>
      <c r="G35" s="426"/>
      <c r="H35" s="385" t="s">
        <v>611</v>
      </c>
      <c r="L35" s="433" t="s">
        <v>1624</v>
      </c>
      <c r="M35" s="434"/>
      <c r="N35" s="434"/>
      <c r="O35" s="435"/>
    </row>
    <row r="36" spans="2:15" ht="16.05" customHeight="1">
      <c r="B36" s="383"/>
      <c r="C36" s="384"/>
      <c r="D36" s="426"/>
      <c r="E36" s="426"/>
      <c r="F36" s="426"/>
      <c r="G36" s="426"/>
      <c r="H36" s="385"/>
      <c r="L36" s="436" t="s">
        <v>1625</v>
      </c>
      <c r="M36" s="437"/>
      <c r="N36" s="437"/>
      <c r="O36" s="438"/>
    </row>
    <row r="37" spans="2:15" ht="16.05" customHeight="1">
      <c r="B37" s="383"/>
      <c r="C37" s="384"/>
      <c r="D37" s="426"/>
      <c r="E37" s="426"/>
      <c r="F37" s="426"/>
      <c r="G37" s="426"/>
      <c r="H37" s="385"/>
      <c r="L37" s="427" t="s">
        <v>1626</v>
      </c>
      <c r="M37" s="428"/>
      <c r="N37" s="428"/>
      <c r="O37" s="429"/>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1190</v>
      </c>
      <c r="B1" s="17"/>
    </row>
    <row r="2" spans="1:3">
      <c r="A2" s="27" t="s">
        <v>1191</v>
      </c>
      <c r="B2" s="28"/>
      <c r="C2" s="29"/>
    </row>
    <row r="3" spans="1:3" s="16" customFormat="1">
      <c r="A3" s="105" t="s">
        <v>1193</v>
      </c>
      <c r="B3" s="11"/>
    </row>
    <row r="4" spans="1:3" s="16" customFormat="1">
      <c r="B4" s="11"/>
    </row>
    <row r="5" spans="1:3">
      <c r="A5" s="27" t="s">
        <v>1192</v>
      </c>
      <c r="B5" s="28"/>
      <c r="C5" s="29"/>
    </row>
    <row r="6" spans="1:3" s="16" customFormat="1">
      <c r="A6" s="105" t="s">
        <v>1194</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1136</v>
      </c>
      <c r="B1" s="17"/>
    </row>
    <row r="2" spans="1:3">
      <c r="A2" s="27" t="s">
        <v>1137</v>
      </c>
      <c r="B2" s="28"/>
      <c r="C2" s="29"/>
    </row>
    <row r="3" spans="1:3" s="16" customFormat="1">
      <c r="A3" s="105" t="s">
        <v>1138</v>
      </c>
      <c r="B3" s="11"/>
    </row>
    <row r="4" spans="1:3" s="16" customFormat="1">
      <c r="B4" s="11"/>
    </row>
    <row r="5" spans="1:3">
      <c r="A5" s="27" t="s">
        <v>1134</v>
      </c>
      <c r="B5" s="28"/>
      <c r="C5" s="29"/>
    </row>
    <row r="6" spans="1:3">
      <c r="A6" s="11" t="s">
        <v>1589</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1482</v>
      </c>
      <c r="C2" t="s">
        <v>860</v>
      </c>
      <c r="D2" t="s">
        <v>1492</v>
      </c>
      <c r="E2" t="s">
        <v>1123</v>
      </c>
      <c r="F2" t="s">
        <v>875</v>
      </c>
      <c r="G2" t="s">
        <v>406</v>
      </c>
    </row>
    <row r="3" spans="1:7">
      <c r="A3" t="s">
        <v>875</v>
      </c>
      <c r="B3" t="s">
        <v>1482</v>
      </c>
      <c r="C3" t="s">
        <v>861</v>
      </c>
      <c r="D3" t="s">
        <v>1491</v>
      </c>
      <c r="E3" t="s">
        <v>890</v>
      </c>
      <c r="F3" t="s">
        <v>875</v>
      </c>
      <c r="G3" t="s">
        <v>406</v>
      </c>
    </row>
    <row r="4" spans="1:7">
      <c r="A4" t="s">
        <v>876</v>
      </c>
      <c r="B4" t="s">
        <v>1483</v>
      </c>
      <c r="C4" t="s">
        <v>862</v>
      </c>
      <c r="D4" t="s">
        <v>1495</v>
      </c>
      <c r="E4" t="s">
        <v>889</v>
      </c>
      <c r="F4" t="s">
        <v>876</v>
      </c>
      <c r="G4" t="s">
        <v>406</v>
      </c>
    </row>
    <row r="5" spans="1:7">
      <c r="A5" t="s">
        <v>876</v>
      </c>
      <c r="B5" t="s">
        <v>1483</v>
      </c>
      <c r="C5" t="s">
        <v>863</v>
      </c>
      <c r="D5" t="s">
        <v>1495</v>
      </c>
      <c r="E5" t="s">
        <v>889</v>
      </c>
      <c r="F5" t="s">
        <v>876</v>
      </c>
      <c r="G5" t="s">
        <v>406</v>
      </c>
    </row>
    <row r="6" spans="1:7">
      <c r="A6" t="s">
        <v>876</v>
      </c>
      <c r="B6" t="s">
        <v>1483</v>
      </c>
      <c r="C6" t="s">
        <v>864</v>
      </c>
      <c r="D6" t="s">
        <v>1497</v>
      </c>
      <c r="E6" t="s">
        <v>1123</v>
      </c>
      <c r="F6" t="s">
        <v>876</v>
      </c>
      <c r="G6" t="s">
        <v>406</v>
      </c>
    </row>
    <row r="7" spans="1:7">
      <c r="A7" t="s">
        <v>877</v>
      </c>
      <c r="B7" t="s">
        <v>1484</v>
      </c>
      <c r="C7" t="s">
        <v>869</v>
      </c>
      <c r="D7" t="s">
        <v>1504</v>
      </c>
      <c r="E7" t="s">
        <v>1324</v>
      </c>
      <c r="F7" t="s">
        <v>877</v>
      </c>
      <c r="G7" t="s">
        <v>406</v>
      </c>
    </row>
    <row r="8" spans="1:7">
      <c r="A8" t="s">
        <v>877</v>
      </c>
      <c r="B8" t="s">
        <v>1484</v>
      </c>
      <c r="C8" t="s">
        <v>870</v>
      </c>
      <c r="D8" t="s">
        <v>1504</v>
      </c>
      <c r="E8" t="s">
        <v>1324</v>
      </c>
      <c r="F8" t="s">
        <v>877</v>
      </c>
      <c r="G8" t="s">
        <v>406</v>
      </c>
    </row>
    <row r="9" spans="1:7">
      <c r="A9" t="s">
        <v>877</v>
      </c>
      <c r="B9" t="s">
        <v>1484</v>
      </c>
      <c r="C9" t="s">
        <v>871</v>
      </c>
      <c r="D9" t="s">
        <v>1504</v>
      </c>
      <c r="E9" t="s">
        <v>1324</v>
      </c>
      <c r="F9" t="s">
        <v>877</v>
      </c>
      <c r="G9" t="s">
        <v>406</v>
      </c>
    </row>
    <row r="10" spans="1:7">
      <c r="A10" t="s">
        <v>878</v>
      </c>
      <c r="B10" t="s">
        <v>1485</v>
      </c>
      <c r="C10" t="s">
        <v>868</v>
      </c>
      <c r="D10" t="s">
        <v>1509</v>
      </c>
      <c r="E10" t="s">
        <v>1324</v>
      </c>
      <c r="F10" t="s">
        <v>878</v>
      </c>
      <c r="G10" t="s">
        <v>406</v>
      </c>
    </row>
    <row r="11" spans="1:7">
      <c r="A11" t="s">
        <v>880</v>
      </c>
      <c r="B11" t="s">
        <v>1315</v>
      </c>
      <c r="C11" t="s">
        <v>732</v>
      </c>
      <c r="D11" t="s">
        <v>1510</v>
      </c>
      <c r="E11" t="s">
        <v>1323</v>
      </c>
      <c r="F11" t="s">
        <v>880</v>
      </c>
      <c r="G11" t="s">
        <v>406</v>
      </c>
    </row>
    <row r="12" spans="1:7">
      <c r="A12" t="s">
        <v>881</v>
      </c>
      <c r="B12" t="s">
        <v>1316</v>
      </c>
      <c r="C12" t="s">
        <v>872</v>
      </c>
      <c r="D12" t="s">
        <v>1583</v>
      </c>
      <c r="E12" t="s">
        <v>1582</v>
      </c>
      <c r="F12" t="s">
        <v>881</v>
      </c>
      <c r="G12" t="s">
        <v>406</v>
      </c>
    </row>
    <row r="13" spans="1:7">
      <c r="A13" t="s">
        <v>881</v>
      </c>
      <c r="B13" t="s">
        <v>1316</v>
      </c>
      <c r="C13" t="s">
        <v>873</v>
      </c>
      <c r="D13" t="s">
        <v>1511</v>
      </c>
      <c r="E13" t="s">
        <v>1325</v>
      </c>
      <c r="F13" t="s">
        <v>881</v>
      </c>
      <c r="G13" t="s">
        <v>406</v>
      </c>
    </row>
    <row r="14" spans="1:7">
      <c r="A14" t="s">
        <v>881</v>
      </c>
      <c r="B14" t="s">
        <v>1316</v>
      </c>
      <c r="C14" t="s">
        <v>865</v>
      </c>
      <c r="D14" t="s">
        <v>1583</v>
      </c>
      <c r="E14" t="s">
        <v>1582</v>
      </c>
      <c r="F14" t="s">
        <v>881</v>
      </c>
      <c r="G14" t="s">
        <v>406</v>
      </c>
    </row>
    <row r="15" spans="1:7">
      <c r="A15" t="s">
        <v>881</v>
      </c>
      <c r="B15" t="s">
        <v>1316</v>
      </c>
      <c r="C15" t="s">
        <v>866</v>
      </c>
      <c r="D15" t="s">
        <v>1511</v>
      </c>
      <c r="E15" t="s">
        <v>1325</v>
      </c>
      <c r="F15" t="s">
        <v>881</v>
      </c>
      <c r="G15" t="s">
        <v>406</v>
      </c>
    </row>
    <row r="16" spans="1:7">
      <c r="A16" t="s">
        <v>881</v>
      </c>
      <c r="B16" t="s">
        <v>1316</v>
      </c>
      <c r="C16" t="s">
        <v>867</v>
      </c>
      <c r="D16" t="s">
        <v>1511</v>
      </c>
      <c r="E16" t="s">
        <v>1325</v>
      </c>
      <c r="F16" t="s">
        <v>881</v>
      </c>
      <c r="G16" t="s">
        <v>406</v>
      </c>
    </row>
    <row r="17" spans="1:7">
      <c r="A17" t="s">
        <v>882</v>
      </c>
      <c r="B17" t="s">
        <v>1317</v>
      </c>
      <c r="C17" t="s">
        <v>734</v>
      </c>
      <c r="D17" t="s">
        <v>1512</v>
      </c>
      <c r="E17" t="s">
        <v>1322</v>
      </c>
      <c r="F17" t="s">
        <v>882</v>
      </c>
      <c r="G17" t="s">
        <v>406</v>
      </c>
    </row>
    <row r="18" spans="1:7">
      <c r="A18" t="s">
        <v>883</v>
      </c>
      <c r="B18" t="s">
        <v>1318</v>
      </c>
      <c r="C18" t="s">
        <v>814</v>
      </c>
      <c r="D18" t="s">
        <v>1513</v>
      </c>
      <c r="E18" t="s">
        <v>1206</v>
      </c>
      <c r="F18" t="s">
        <v>883</v>
      </c>
      <c r="G18" t="s">
        <v>406</v>
      </c>
    </row>
    <row r="19" spans="1:7">
      <c r="A19" t="s">
        <v>875</v>
      </c>
      <c r="B19" t="s">
        <v>1482</v>
      </c>
      <c r="C19" t="s">
        <v>861</v>
      </c>
      <c r="D19" t="s">
        <v>1492</v>
      </c>
      <c r="E19" t="s">
        <v>1123</v>
      </c>
      <c r="F19" t="s">
        <v>875</v>
      </c>
    </row>
    <row r="20" spans="1:7">
      <c r="A20" t="s">
        <v>876</v>
      </c>
      <c r="B20" t="s">
        <v>1483</v>
      </c>
      <c r="C20" t="s">
        <v>862</v>
      </c>
      <c r="D20" t="s">
        <v>1496</v>
      </c>
      <c r="E20" t="s">
        <v>890</v>
      </c>
      <c r="F20" t="s">
        <v>876</v>
      </c>
    </row>
    <row r="21" spans="1:7">
      <c r="A21" t="s">
        <v>876</v>
      </c>
      <c r="B21" t="s">
        <v>1483</v>
      </c>
      <c r="C21" t="s">
        <v>862</v>
      </c>
      <c r="D21" t="s">
        <v>1497</v>
      </c>
      <c r="E21" t="s">
        <v>1123</v>
      </c>
      <c r="F21" t="s">
        <v>876</v>
      </c>
    </row>
    <row r="22" spans="1:7">
      <c r="A22" t="s">
        <v>876</v>
      </c>
      <c r="B22" t="s">
        <v>1483</v>
      </c>
      <c r="C22" t="s">
        <v>862</v>
      </c>
      <c r="D22" t="s">
        <v>1499</v>
      </c>
      <c r="E22" t="s">
        <v>1324</v>
      </c>
      <c r="F22" t="s">
        <v>876</v>
      </c>
    </row>
    <row r="23" spans="1:7">
      <c r="A23" t="s">
        <v>876</v>
      </c>
      <c r="B23" t="s">
        <v>1483</v>
      </c>
      <c r="C23" t="s">
        <v>862</v>
      </c>
      <c r="D23" t="s">
        <v>1498</v>
      </c>
      <c r="E23" t="s">
        <v>1256</v>
      </c>
      <c r="F23" t="s">
        <v>876</v>
      </c>
    </row>
    <row r="24" spans="1:7">
      <c r="A24" t="s">
        <v>876</v>
      </c>
      <c r="B24" t="s">
        <v>1483</v>
      </c>
      <c r="C24" t="s">
        <v>864</v>
      </c>
      <c r="D24" t="s">
        <v>1498</v>
      </c>
      <c r="E24" t="s">
        <v>1256</v>
      </c>
      <c r="F24" t="s">
        <v>876</v>
      </c>
    </row>
    <row r="25" spans="1:7">
      <c r="A25" t="s">
        <v>881</v>
      </c>
      <c r="B25" t="s">
        <v>1316</v>
      </c>
      <c r="C25" t="s">
        <v>873</v>
      </c>
      <c r="D25" t="s">
        <v>1583</v>
      </c>
      <c r="E25" t="s">
        <v>1582</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1261</v>
      </c>
      <c r="L1" s="267">
        <f>VALUE(RIGHT(Planning!B16,1))</f>
        <v>5</v>
      </c>
      <c r="M1" s="16" t="s">
        <v>1262</v>
      </c>
    </row>
    <row r="2" spans="1:13">
      <c r="A2" t="s">
        <v>875</v>
      </c>
      <c r="B2" t="s">
        <v>1482</v>
      </c>
      <c r="C2" t="s">
        <v>860</v>
      </c>
      <c r="D2" t="s">
        <v>1492</v>
      </c>
      <c r="E2" t="s">
        <v>1123</v>
      </c>
      <c r="F2" t="s">
        <v>875</v>
      </c>
      <c r="G2" t="s">
        <v>406</v>
      </c>
      <c r="H2" s="268" t="str">
        <f t="shared" ref="H2" si="0">VLOOKUP(E2,tbl_RolePAlookup,2,FALSE)</f>
        <v>[4] Engineering</v>
      </c>
      <c r="I2" s="364">
        <f t="shared" ref="I2" si="1">VLOOKUP(C2,tbl_PAcount,L$1+1,FALSE)</f>
        <v>10</v>
      </c>
    </row>
    <row r="3" spans="1:13">
      <c r="A3" t="s">
        <v>875</v>
      </c>
      <c r="B3" t="s">
        <v>1482</v>
      </c>
      <c r="C3" t="s">
        <v>861</v>
      </c>
      <c r="D3" t="s">
        <v>1491</v>
      </c>
      <c r="E3" t="s">
        <v>890</v>
      </c>
      <c r="F3" t="s">
        <v>875</v>
      </c>
      <c r="G3" t="s">
        <v>406</v>
      </c>
      <c r="H3" s="268" t="str">
        <f t="shared" ref="H3:H18" si="2">VLOOKUP(E3,tbl_RolePAlookup,2,FALSE)</f>
        <v>[4] Engineering</v>
      </c>
      <c r="I3" s="364">
        <f t="shared" ref="I3:I18" si="3">VLOOKUP(C3,tbl_PAcount,L$1+1,FALSE)</f>
        <v>10</v>
      </c>
    </row>
    <row r="4" spans="1:13">
      <c r="A4" t="s">
        <v>876</v>
      </c>
      <c r="B4" t="s">
        <v>1483</v>
      </c>
      <c r="C4" t="s">
        <v>862</v>
      </c>
      <c r="D4" t="s">
        <v>1495</v>
      </c>
      <c r="E4" t="s">
        <v>889</v>
      </c>
      <c r="F4" t="s">
        <v>876</v>
      </c>
      <c r="G4" t="s">
        <v>406</v>
      </c>
      <c r="H4" s="268" t="str">
        <f t="shared" si="2"/>
        <v>[4] Engineering</v>
      </c>
      <c r="I4" s="364">
        <f t="shared" si="3"/>
        <v>6</v>
      </c>
    </row>
    <row r="5" spans="1:13">
      <c r="A5" t="s">
        <v>876</v>
      </c>
      <c r="B5" t="s">
        <v>1483</v>
      </c>
      <c r="C5" t="s">
        <v>863</v>
      </c>
      <c r="D5" t="s">
        <v>1495</v>
      </c>
      <c r="E5" t="s">
        <v>889</v>
      </c>
      <c r="F5" t="s">
        <v>876</v>
      </c>
      <c r="G5" t="s">
        <v>406</v>
      </c>
      <c r="H5" s="268" t="str">
        <f t="shared" si="2"/>
        <v>[4] Engineering</v>
      </c>
      <c r="I5" s="364">
        <f t="shared" si="3"/>
        <v>14</v>
      </c>
    </row>
    <row r="6" spans="1:13">
      <c r="A6" t="s">
        <v>876</v>
      </c>
      <c r="B6" t="s">
        <v>1483</v>
      </c>
      <c r="C6" t="s">
        <v>864</v>
      </c>
      <c r="D6" t="s">
        <v>1497</v>
      </c>
      <c r="E6" t="s">
        <v>1123</v>
      </c>
      <c r="F6" t="s">
        <v>876</v>
      </c>
      <c r="G6" t="s">
        <v>406</v>
      </c>
      <c r="H6" s="268" t="str">
        <f t="shared" si="2"/>
        <v>[4] Engineering</v>
      </c>
      <c r="I6" s="364">
        <f t="shared" si="3"/>
        <v>7</v>
      </c>
    </row>
    <row r="7" spans="1:13">
      <c r="A7" t="s">
        <v>877</v>
      </c>
      <c r="B7" t="s">
        <v>1484</v>
      </c>
      <c r="C7" t="s">
        <v>869</v>
      </c>
      <c r="D7" t="s">
        <v>1504</v>
      </c>
      <c r="E7" t="s">
        <v>1324</v>
      </c>
      <c r="F7" t="s">
        <v>877</v>
      </c>
      <c r="G7" t="s">
        <v>406</v>
      </c>
      <c r="H7" s="268" t="str">
        <f t="shared" si="2"/>
        <v>[3] Project Management</v>
      </c>
      <c r="I7" s="364">
        <f t="shared" si="3"/>
        <v>6</v>
      </c>
    </row>
    <row r="8" spans="1:13">
      <c r="A8" t="s">
        <v>877</v>
      </c>
      <c r="B8" t="s">
        <v>1484</v>
      </c>
      <c r="C8" t="s">
        <v>870</v>
      </c>
      <c r="D8" t="s">
        <v>1504</v>
      </c>
      <c r="E8" t="s">
        <v>1324</v>
      </c>
      <c r="F8" t="s">
        <v>877</v>
      </c>
      <c r="G8" t="s">
        <v>406</v>
      </c>
      <c r="H8" s="268" t="str">
        <f t="shared" si="2"/>
        <v>[3] Project Management</v>
      </c>
      <c r="I8" s="364">
        <f t="shared" si="3"/>
        <v>10</v>
      </c>
    </row>
    <row r="9" spans="1:13">
      <c r="A9" t="s">
        <v>877</v>
      </c>
      <c r="B9" t="s">
        <v>1484</v>
      </c>
      <c r="C9" t="s">
        <v>871</v>
      </c>
      <c r="D9" t="s">
        <v>1504</v>
      </c>
      <c r="E9" t="s">
        <v>1324</v>
      </c>
      <c r="F9" t="s">
        <v>877</v>
      </c>
      <c r="G9" t="s">
        <v>406</v>
      </c>
      <c r="H9" s="268" t="str">
        <f t="shared" si="2"/>
        <v>[3] Project Management</v>
      </c>
      <c r="I9" s="364">
        <f t="shared" si="3"/>
        <v>15</v>
      </c>
    </row>
    <row r="10" spans="1:13">
      <c r="A10" t="s">
        <v>878</v>
      </c>
      <c r="B10" t="s">
        <v>1485</v>
      </c>
      <c r="C10" t="s">
        <v>868</v>
      </c>
      <c r="D10" t="s">
        <v>1509</v>
      </c>
      <c r="E10" t="s">
        <v>1324</v>
      </c>
      <c r="F10" t="s">
        <v>878</v>
      </c>
      <c r="G10" t="s">
        <v>406</v>
      </c>
      <c r="H10" s="268" t="str">
        <f t="shared" si="2"/>
        <v>[3] Project Management</v>
      </c>
      <c r="I10" s="364">
        <f t="shared" si="3"/>
        <v>8</v>
      </c>
    </row>
    <row r="11" spans="1:13">
      <c r="A11" t="s">
        <v>880</v>
      </c>
      <c r="B11" t="s">
        <v>1315</v>
      </c>
      <c r="C11" t="s">
        <v>732</v>
      </c>
      <c r="D11" t="s">
        <v>1510</v>
      </c>
      <c r="E11" t="s">
        <v>1323</v>
      </c>
      <c r="F11" t="s">
        <v>880</v>
      </c>
      <c r="G11" t="s">
        <v>406</v>
      </c>
      <c r="H11" s="268" t="str">
        <f t="shared" si="2"/>
        <v>[5] Configuration Management</v>
      </c>
      <c r="I11" s="364">
        <f t="shared" si="3"/>
        <v>7</v>
      </c>
    </row>
    <row r="12" spans="1:13">
      <c r="A12" t="s">
        <v>881</v>
      </c>
      <c r="B12" t="s">
        <v>1316</v>
      </c>
      <c r="C12" t="s">
        <v>872</v>
      </c>
      <c r="D12" t="s">
        <v>1583</v>
      </c>
      <c r="E12" t="s">
        <v>1582</v>
      </c>
      <c r="F12" t="s">
        <v>881</v>
      </c>
      <c r="G12" t="s">
        <v>406</v>
      </c>
      <c r="H12" s="268" t="str">
        <f t="shared" si="2"/>
        <v>[6] Process Management</v>
      </c>
      <c r="I12" s="364">
        <f t="shared" si="3"/>
        <v>11</v>
      </c>
    </row>
    <row r="13" spans="1:13">
      <c r="A13" t="s">
        <v>881</v>
      </c>
      <c r="B13" t="s">
        <v>1316</v>
      </c>
      <c r="C13" t="s">
        <v>873</v>
      </c>
      <c r="D13" t="s">
        <v>1511</v>
      </c>
      <c r="E13" t="s">
        <v>1325</v>
      </c>
      <c r="F13" t="s">
        <v>881</v>
      </c>
      <c r="G13" t="s">
        <v>406</v>
      </c>
      <c r="H13" s="268" t="str">
        <f t="shared" si="2"/>
        <v>[6] Process Management</v>
      </c>
      <c r="I13" s="364">
        <f t="shared" si="3"/>
        <v>8</v>
      </c>
    </row>
    <row r="14" spans="1:13">
      <c r="A14" t="s">
        <v>881</v>
      </c>
      <c r="B14" t="s">
        <v>1316</v>
      </c>
      <c r="C14" t="s">
        <v>865</v>
      </c>
      <c r="D14" t="s">
        <v>1583</v>
      </c>
      <c r="E14" t="s">
        <v>1582</v>
      </c>
      <c r="F14" t="s">
        <v>881</v>
      </c>
      <c r="G14" t="s">
        <v>406</v>
      </c>
      <c r="H14" s="268" t="str">
        <f t="shared" si="2"/>
        <v>[6] Process Management</v>
      </c>
      <c r="I14" s="364">
        <f t="shared" si="3"/>
        <v>22</v>
      </c>
    </row>
    <row r="15" spans="1:13">
      <c r="A15" t="s">
        <v>881</v>
      </c>
      <c r="B15" t="s">
        <v>1316</v>
      </c>
      <c r="C15" t="s">
        <v>866</v>
      </c>
      <c r="D15" t="s">
        <v>1511</v>
      </c>
      <c r="E15" t="s">
        <v>1325</v>
      </c>
      <c r="F15" t="s">
        <v>881</v>
      </c>
      <c r="G15" t="s">
        <v>406</v>
      </c>
      <c r="H15" s="268" t="str">
        <f t="shared" si="2"/>
        <v>[6] Process Management</v>
      </c>
      <c r="I15" s="364">
        <f t="shared" si="3"/>
        <v>11</v>
      </c>
    </row>
    <row r="16" spans="1:13">
      <c r="A16" t="s">
        <v>881</v>
      </c>
      <c r="B16" t="s">
        <v>1316</v>
      </c>
      <c r="C16" t="s">
        <v>867</v>
      </c>
      <c r="D16" t="s">
        <v>1511</v>
      </c>
      <c r="E16" t="s">
        <v>1325</v>
      </c>
      <c r="F16" t="s">
        <v>881</v>
      </c>
      <c r="G16" t="s">
        <v>406</v>
      </c>
      <c r="H16" s="268" t="str">
        <f t="shared" si="2"/>
        <v>[6] Process Management</v>
      </c>
      <c r="I16" s="364">
        <f t="shared" si="3"/>
        <v>11</v>
      </c>
    </row>
    <row r="17" spans="1:9">
      <c r="A17" t="s">
        <v>882</v>
      </c>
      <c r="B17" t="s">
        <v>1317</v>
      </c>
      <c r="C17" t="s">
        <v>734</v>
      </c>
      <c r="D17" t="s">
        <v>1512</v>
      </c>
      <c r="E17" t="s">
        <v>1322</v>
      </c>
      <c r="F17" t="s">
        <v>882</v>
      </c>
      <c r="G17" t="s">
        <v>406</v>
      </c>
      <c r="H17" s="268" t="str">
        <f t="shared" si="2"/>
        <v>[7] Organisational Training</v>
      </c>
      <c r="I17" s="364">
        <f t="shared" si="3"/>
        <v>9</v>
      </c>
    </row>
    <row r="18" spans="1:9">
      <c r="A18" t="s">
        <v>883</v>
      </c>
      <c r="B18" t="s">
        <v>1318</v>
      </c>
      <c r="C18" t="s">
        <v>814</v>
      </c>
      <c r="D18" t="s">
        <v>1513</v>
      </c>
      <c r="E18" t="s">
        <v>1206</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1261</v>
      </c>
      <c r="E1" s="267">
        <f>VALUE(RIGHT(Planning!B16,1))</f>
        <v>5</v>
      </c>
      <c r="F1" s="16" t="s">
        <v>1262</v>
      </c>
    </row>
    <row r="3" spans="1:10" ht="28.8">
      <c r="A3" s="264" t="s">
        <v>894</v>
      </c>
      <c r="B3" t="s">
        <v>1260</v>
      </c>
      <c r="D3" s="353" t="s">
        <v>1270</v>
      </c>
      <c r="E3" s="353" t="s">
        <v>903</v>
      </c>
      <c r="F3" s="354" t="s">
        <v>888</v>
      </c>
      <c r="G3" s="353" t="s">
        <v>1263</v>
      </c>
      <c r="H3" s="353" t="s">
        <v>1264</v>
      </c>
      <c r="I3" s="353" t="s">
        <v>1265</v>
      </c>
      <c r="J3" s="353" t="s">
        <v>1266</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69" t="s">
        <v>1164</v>
      </c>
      <c r="B1" s="469"/>
      <c r="C1" s="469"/>
      <c r="D1" s="469"/>
      <c r="E1" s="469"/>
      <c r="F1" s="469"/>
      <c r="G1" s="469"/>
      <c r="H1" s="61"/>
      <c r="I1" s="115" t="s">
        <v>904</v>
      </c>
      <c r="J1" s="116" t="s">
        <v>905</v>
      </c>
      <c r="K1" s="112" t="s">
        <v>906</v>
      </c>
      <c r="L1" s="112" t="s">
        <v>907</v>
      </c>
      <c r="M1" s="63"/>
      <c r="N1" s="63"/>
      <c r="O1" s="63"/>
      <c r="P1" s="63"/>
    </row>
    <row r="2" spans="1:16" ht="14.7" customHeight="1">
      <c r="A2" s="470" t="str">
        <f>CONCATENATE(TEXT(Planning!B41,"[$-x-sysdate]dddd, mmmm dd, yyyy")," (Technology test)")</f>
        <v>Thursday, 08 April 2021 (Technology test)</v>
      </c>
      <c r="B2" s="470"/>
      <c r="C2" s="470"/>
      <c r="D2" s="470"/>
      <c r="E2" s="470"/>
      <c r="F2" s="470"/>
      <c r="G2" s="470"/>
      <c r="H2" s="61"/>
      <c r="I2" s="112"/>
      <c r="J2" s="112"/>
      <c r="K2" s="112"/>
      <c r="L2" s="63"/>
      <c r="M2" s="63"/>
      <c r="N2" s="63"/>
      <c r="O2" s="63"/>
      <c r="P2" s="63"/>
    </row>
    <row r="3" spans="1:16">
      <c r="A3" s="468" t="str">
        <f>J3</f>
        <v>Day 1-2</v>
      </c>
      <c r="B3" s="468"/>
      <c r="C3" s="471" t="str">
        <f>CONCATENATE(TEXT(I3,"[$-x-sysdate]dddd, mmmm dd, yyyy")," to ",TEXT(K3,"[$-x-sysdate]dddd, mmmm dd, yyyy"))</f>
        <v>Saturday, 10 April 2021 to Sunday, 11 April 2021</v>
      </c>
      <c r="D3" s="471"/>
      <c r="E3" s="471"/>
      <c r="F3" s="468" t="str">
        <f>A3</f>
        <v>Day 1-2</v>
      </c>
      <c r="G3" s="468"/>
      <c r="H3" s="61"/>
      <c r="I3" s="117">
        <f>Planning!B42</f>
        <v>44296</v>
      </c>
      <c r="J3" s="118" t="str">
        <f>_xlfn.CONCAT("Day 1-",L3)</f>
        <v>Day 1-2</v>
      </c>
      <c r="K3" s="119">
        <f>Planning!B42+Planning!B44-1</f>
        <v>44297</v>
      </c>
      <c r="L3" s="112">
        <f>K3-I3+1</f>
        <v>2</v>
      </c>
      <c r="M3" s="63"/>
      <c r="N3" s="63"/>
      <c r="O3" s="63"/>
      <c r="P3" s="63"/>
    </row>
    <row r="4" spans="1:16" ht="28.8">
      <c r="A4" s="468" t="s">
        <v>908</v>
      </c>
      <c r="B4" s="468"/>
      <c r="C4" s="64" t="e">
        <f>J11</f>
        <v>#REF!</v>
      </c>
      <c r="D4" s="64" t="e">
        <f>M11</f>
        <v>#REF!</v>
      </c>
      <c r="E4" s="64" t="str">
        <f>CONCATENATE("LA team: ",'Agreement 3'!B7," and ATMs if applicable")</f>
        <v>LA team: Dr Pieter van Zyl and ATMs if applicable</v>
      </c>
      <c r="F4" s="468" t="s">
        <v>909</v>
      </c>
      <c r="G4" s="468"/>
      <c r="H4" s="61"/>
      <c r="I4" s="117">
        <f>Planning!B45</f>
        <v>44298</v>
      </c>
      <c r="J4" s="118" t="str">
        <f>_xlfn.CONCAT("Day ",L4)</f>
        <v>Day 3</v>
      </c>
      <c r="K4" s="63"/>
      <c r="L4" s="120">
        <f>L3+1</f>
        <v>3</v>
      </c>
      <c r="M4" s="120"/>
      <c r="N4" s="65"/>
      <c r="O4" s="65"/>
      <c r="P4" s="65"/>
    </row>
    <row r="5" spans="1:16" ht="18" customHeight="1">
      <c r="A5" s="66">
        <v>0.41666666666666669</v>
      </c>
      <c r="B5" s="66">
        <v>0.45833333333333331</v>
      </c>
      <c r="C5" s="473" t="s">
        <v>910</v>
      </c>
      <c r="D5" s="473" t="s">
        <v>910</v>
      </c>
      <c r="E5" s="473"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73"/>
      <c r="D6" s="473"/>
      <c r="E6" s="473"/>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73"/>
      <c r="D7" s="473"/>
      <c r="E7" s="473"/>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73"/>
      <c r="D8" s="473"/>
      <c r="E8" s="473"/>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73"/>
      <c r="D9" s="473"/>
      <c r="E9" s="473"/>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73"/>
      <c r="D10" s="473"/>
      <c r="E10" s="473"/>
      <c r="F10" s="66">
        <v>0.375</v>
      </c>
      <c r="G10" s="66">
        <v>0.41666666666666669</v>
      </c>
      <c r="H10" s="61"/>
      <c r="I10" s="119"/>
      <c r="J10" s="63"/>
      <c r="K10" s="63"/>
      <c r="L10" s="63"/>
      <c r="M10" s="63"/>
      <c r="N10" s="63"/>
      <c r="O10" s="63"/>
      <c r="P10" s="63"/>
    </row>
    <row r="11" spans="1:16" ht="18" customHeight="1">
      <c r="A11" s="66">
        <v>0.66666666666666696</v>
      </c>
      <c r="B11" s="66">
        <v>0.70833333333333337</v>
      </c>
      <c r="C11" s="473"/>
      <c r="D11" s="473"/>
      <c r="E11" s="473"/>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3"/>
      <c r="D12" s="473"/>
      <c r="E12" s="473"/>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3"/>
      <c r="D13" s="473"/>
      <c r="E13" s="473"/>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74" t="str">
        <f>CONCATENATE("Schedule above includes ",Planning!B43," non-working day(s).")</f>
        <v>Schedule above includes 0 non-working day(s).</v>
      </c>
      <c r="B15" s="474"/>
      <c r="C15" s="474"/>
      <c r="D15" s="474"/>
      <c r="E15" s="474"/>
      <c r="F15" s="474"/>
      <c r="G15" s="474"/>
      <c r="H15" s="61"/>
      <c r="I15" s="112"/>
      <c r="K15" s="114"/>
      <c r="L15" s="112" t="e">
        <f>'P1-OrgScope'!#REF!</f>
        <v>#REF!</v>
      </c>
      <c r="M15" s="63"/>
      <c r="N15" s="63"/>
      <c r="O15" s="63"/>
      <c r="P15" s="63"/>
    </row>
    <row r="16" spans="1:16">
      <c r="A16" s="475" t="str">
        <f>J4</f>
        <v>Day 3</v>
      </c>
      <c r="B16" s="475"/>
      <c r="C16" s="476">
        <f>I4</f>
        <v>44298</v>
      </c>
      <c r="D16" s="476"/>
      <c r="E16" s="476"/>
      <c r="F16" s="475" t="str">
        <f>A16</f>
        <v>Day 3</v>
      </c>
      <c r="G16" s="475"/>
      <c r="H16" s="61"/>
      <c r="I16" s="112"/>
      <c r="K16" s="114"/>
      <c r="L16" s="112" t="e">
        <f>'P1-OrgScope'!#REF!</f>
        <v>#REF!</v>
      </c>
      <c r="M16" s="63"/>
      <c r="N16" s="63"/>
      <c r="O16" s="63"/>
      <c r="P16" s="63"/>
    </row>
    <row r="17" spans="1:18" ht="28.8">
      <c r="A17" s="475" t="s">
        <v>908</v>
      </c>
      <c r="B17" s="475"/>
      <c r="C17" s="67" t="e">
        <f>C4</f>
        <v>#REF!</v>
      </c>
      <c r="D17" s="67" t="e">
        <f>D4</f>
        <v>#REF!</v>
      </c>
      <c r="E17" s="67" t="str">
        <f>E4</f>
        <v>LA team: Dr Pieter van Zyl and ATMs if applicable</v>
      </c>
      <c r="F17" s="475" t="s">
        <v>909</v>
      </c>
      <c r="G17" s="475"/>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7" t="s">
        <v>963</v>
      </c>
      <c r="D19" s="478"/>
      <c r="E19" s="479"/>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0" t="s">
        <v>964</v>
      </c>
      <c r="D20" s="480"/>
      <c r="E20" s="480"/>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0"/>
      <c r="D21" s="480"/>
      <c r="E21" s="480"/>
      <c r="F21" s="66">
        <v>0.22916666666666666</v>
      </c>
      <c r="G21" s="66">
        <v>0.25</v>
      </c>
      <c r="H21" s="61"/>
      <c r="I21" s="63"/>
      <c r="J21" s="63"/>
      <c r="K21" s="63"/>
      <c r="L21" s="63"/>
      <c r="M21" s="63"/>
      <c r="N21" s="63"/>
      <c r="O21" s="63"/>
      <c r="P21" s="63"/>
    </row>
    <row r="22" spans="1:18" ht="18.600000000000001" customHeight="1">
      <c r="A22" s="66">
        <v>0.5</v>
      </c>
      <c r="B22" s="66">
        <v>0.52083333333333337</v>
      </c>
      <c r="C22" s="473" t="s">
        <v>915</v>
      </c>
      <c r="D22" s="473"/>
      <c r="E22" s="473"/>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3"/>
      <c r="D23" s="473"/>
      <c r="E23" s="473"/>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2" t="s">
        <v>965</v>
      </c>
      <c r="D24" s="472"/>
      <c r="E24" s="472"/>
      <c r="F24" s="66">
        <v>0.29166666666666669</v>
      </c>
      <c r="G24" s="66">
        <v>0.3125</v>
      </c>
      <c r="H24" s="61"/>
      <c r="I24" s="63"/>
      <c r="J24" s="63"/>
      <c r="K24" s="120"/>
      <c r="L24" s="120"/>
      <c r="M24" s="120"/>
      <c r="N24" s="63"/>
      <c r="O24" s="63"/>
      <c r="P24" s="63"/>
    </row>
    <row r="25" spans="1:18" ht="18.600000000000001" customHeight="1">
      <c r="A25" s="66">
        <v>0.5625</v>
      </c>
      <c r="B25" s="66">
        <v>0.58333333333333337</v>
      </c>
      <c r="C25" s="472"/>
      <c r="D25" s="472"/>
      <c r="E25" s="47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2"/>
      <c r="D26" s="472"/>
      <c r="E26" s="47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2"/>
      <c r="D27" s="472"/>
      <c r="E27" s="472"/>
      <c r="F27" s="66">
        <v>0.35416666666666669</v>
      </c>
      <c r="G27" s="66">
        <v>0.375</v>
      </c>
      <c r="H27" s="61"/>
      <c r="I27" s="63"/>
      <c r="J27" s="63"/>
      <c r="K27" s="63"/>
      <c r="L27" s="63"/>
      <c r="M27" s="63"/>
      <c r="N27" s="63"/>
      <c r="O27" s="63"/>
      <c r="P27" s="63"/>
    </row>
    <row r="28" spans="1:18" ht="18.600000000000001" customHeight="1">
      <c r="A28" s="66">
        <v>0.625</v>
      </c>
      <c r="B28" s="66">
        <v>0.64583333333333337</v>
      </c>
      <c r="C28" s="473" t="s">
        <v>916</v>
      </c>
      <c r="D28" s="473"/>
      <c r="E28" s="473"/>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2" t="s">
        <v>1591</v>
      </c>
      <c r="D29" s="472"/>
      <c r="E29" s="47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2"/>
      <c r="D30" s="472"/>
      <c r="E30" s="47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2"/>
      <c r="D31" s="472"/>
      <c r="E31" s="47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2"/>
      <c r="D32" s="472"/>
      <c r="E32" s="47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3" t="s">
        <v>916</v>
      </c>
      <c r="D33" s="473"/>
      <c r="E33" s="473"/>
      <c r="F33" s="66">
        <v>0.47916666666666669</v>
      </c>
      <c r="G33" s="66">
        <v>0.5</v>
      </c>
      <c r="H33" s="61"/>
      <c r="I33" s="63"/>
      <c r="J33" s="63"/>
      <c r="K33" s="63"/>
      <c r="L33" s="63"/>
      <c r="M33" s="63"/>
      <c r="N33" s="63"/>
      <c r="O33" s="63"/>
      <c r="P33" s="63"/>
    </row>
    <row r="34" spans="1:16" ht="18.600000000000001" customHeight="1">
      <c r="A34" s="66">
        <v>0.75</v>
      </c>
      <c r="B34" s="66">
        <v>0.83333333333333337</v>
      </c>
      <c r="C34" s="473" t="s">
        <v>917</v>
      </c>
      <c r="D34" s="473"/>
      <c r="E34" s="473"/>
      <c r="F34" s="66">
        <v>0.5</v>
      </c>
      <c r="G34" s="66">
        <v>0.58333333333333337</v>
      </c>
      <c r="H34" s="61"/>
      <c r="I34" s="63"/>
      <c r="J34" s="63"/>
      <c r="K34" s="63"/>
      <c r="L34" s="63"/>
      <c r="M34" s="63"/>
      <c r="N34" s="63"/>
      <c r="O34" s="63"/>
      <c r="P34" s="63"/>
    </row>
    <row r="35" spans="1:16">
      <c r="A35" s="475" t="str">
        <f>J5</f>
        <v>Day 4</v>
      </c>
      <c r="B35" s="475"/>
      <c r="C35" s="476">
        <f>I5</f>
        <v>44299</v>
      </c>
      <c r="D35" s="476"/>
      <c r="E35" s="476"/>
      <c r="F35" s="475" t="str">
        <f>A35</f>
        <v>Day 4</v>
      </c>
      <c r="G35" s="475"/>
      <c r="H35" s="70"/>
    </row>
    <row r="36" spans="1:16" ht="28.8">
      <c r="A36" s="475" t="s">
        <v>908</v>
      </c>
      <c r="B36" s="475"/>
      <c r="C36" s="67" t="e">
        <f>C17</f>
        <v>#REF!</v>
      </c>
      <c r="D36" s="67" t="e">
        <f>D17</f>
        <v>#REF!</v>
      </c>
      <c r="E36" s="67" t="str">
        <f>E17</f>
        <v>LA team: Dr Pieter van Zyl and ATMs if applicable</v>
      </c>
      <c r="F36" s="475" t="s">
        <v>909</v>
      </c>
      <c r="G36" s="475"/>
      <c r="H36" s="70"/>
    </row>
    <row r="37" spans="1:16" ht="18" customHeight="1">
      <c r="A37" s="66">
        <v>0.41666666666666669</v>
      </c>
      <c r="B37" s="66">
        <v>0.4375</v>
      </c>
      <c r="C37" s="473" t="s">
        <v>916</v>
      </c>
      <c r="D37" s="473"/>
      <c r="E37" s="68" t="s">
        <v>914</v>
      </c>
      <c r="F37" s="66">
        <v>0.16666666666666666</v>
      </c>
      <c r="G37" s="66">
        <v>0.1875</v>
      </c>
      <c r="H37" s="70"/>
    </row>
    <row r="38" spans="1:16" ht="18" customHeight="1">
      <c r="A38" s="66">
        <v>0.4375</v>
      </c>
      <c r="B38" s="66">
        <v>0.45833333333333331</v>
      </c>
      <c r="C38" s="472" t="s">
        <v>966</v>
      </c>
      <c r="D38" s="472"/>
      <c r="E38" s="472"/>
      <c r="F38" s="66">
        <v>0.1875</v>
      </c>
      <c r="G38" s="66">
        <v>0.20833333333333334</v>
      </c>
      <c r="H38" s="70"/>
    </row>
    <row r="39" spans="1:16" ht="18" customHeight="1">
      <c r="A39" s="66">
        <v>0.45833333333333331</v>
      </c>
      <c r="B39" s="66">
        <v>0.47916666666666669</v>
      </c>
      <c r="C39" s="472"/>
      <c r="D39" s="472"/>
      <c r="E39" s="472"/>
      <c r="F39" s="66">
        <v>0.20833333333333334</v>
      </c>
      <c r="G39" s="66">
        <v>0.22916666666666666</v>
      </c>
      <c r="H39" s="70"/>
    </row>
    <row r="40" spans="1:16" ht="18" customHeight="1">
      <c r="A40" s="66">
        <v>0.47916666666666669</v>
      </c>
      <c r="B40" s="66">
        <v>0.5</v>
      </c>
      <c r="C40" s="472"/>
      <c r="D40" s="472"/>
      <c r="E40" s="472"/>
      <c r="F40" s="66">
        <v>0.22916666666666666</v>
      </c>
      <c r="G40" s="66">
        <v>0.25</v>
      </c>
      <c r="H40" s="70"/>
    </row>
    <row r="41" spans="1:16" ht="18" customHeight="1">
      <c r="A41" s="66">
        <v>0.5</v>
      </c>
      <c r="B41" s="66">
        <v>0.52083333333333337</v>
      </c>
      <c r="C41" s="473" t="s">
        <v>915</v>
      </c>
      <c r="D41" s="473"/>
      <c r="E41" s="473"/>
      <c r="F41" s="66">
        <v>0.25</v>
      </c>
      <c r="G41" s="66">
        <v>0.27083333333333331</v>
      </c>
      <c r="H41" s="70"/>
    </row>
    <row r="42" spans="1:16" ht="18" customHeight="1">
      <c r="A42" s="66">
        <v>0.52083333333333337</v>
      </c>
      <c r="B42" s="66">
        <v>0.54166666666666663</v>
      </c>
      <c r="C42" s="473"/>
      <c r="D42" s="473"/>
      <c r="E42" s="473"/>
      <c r="F42" s="66">
        <v>0.27083333333333331</v>
      </c>
      <c r="G42" s="66">
        <v>0.29166666666666669</v>
      </c>
      <c r="H42" s="70"/>
    </row>
    <row r="43" spans="1:16" ht="18" customHeight="1">
      <c r="A43" s="66">
        <v>0.54166666666666663</v>
      </c>
      <c r="B43" s="66">
        <v>0.5625</v>
      </c>
      <c r="C43" s="472" t="s">
        <v>1592</v>
      </c>
      <c r="D43" s="472"/>
      <c r="E43" s="472"/>
      <c r="F43" s="66">
        <v>0.29166666666666669</v>
      </c>
      <c r="G43" s="66">
        <v>0.3125</v>
      </c>
      <c r="H43" s="70"/>
    </row>
    <row r="44" spans="1:16" ht="18" customHeight="1">
      <c r="A44" s="66">
        <v>0.5625</v>
      </c>
      <c r="B44" s="66">
        <v>0.58333333333333337</v>
      </c>
      <c r="C44" s="472"/>
      <c r="D44" s="472"/>
      <c r="E44" s="472"/>
      <c r="F44" s="66">
        <v>0.3125</v>
      </c>
      <c r="G44" s="66">
        <v>0.33333333333333331</v>
      </c>
      <c r="H44" s="70"/>
    </row>
    <row r="45" spans="1:16" ht="18" customHeight="1">
      <c r="A45" s="66">
        <v>0.58333333333333337</v>
      </c>
      <c r="B45" s="66">
        <v>0.60416666666666663</v>
      </c>
      <c r="C45" s="472"/>
      <c r="D45" s="472"/>
      <c r="E45" s="472"/>
      <c r="F45" s="66">
        <v>0.33333333333333331</v>
      </c>
      <c r="G45" s="66">
        <v>0.35416666666666669</v>
      </c>
      <c r="H45" s="70"/>
    </row>
    <row r="46" spans="1:16" ht="18" customHeight="1">
      <c r="A46" s="66">
        <v>0.60416666666666663</v>
      </c>
      <c r="B46" s="66">
        <v>0.625</v>
      </c>
      <c r="C46" s="472"/>
      <c r="D46" s="472"/>
      <c r="E46" s="472"/>
      <c r="F46" s="66">
        <v>0.35416666666666669</v>
      </c>
      <c r="G46" s="66">
        <v>0.375</v>
      </c>
      <c r="H46" s="70"/>
    </row>
    <row r="47" spans="1:16" ht="18" customHeight="1">
      <c r="A47" s="66">
        <v>0.625</v>
      </c>
      <c r="B47" s="66">
        <v>0.64583333333333337</v>
      </c>
      <c r="C47" s="472"/>
      <c r="D47" s="472"/>
      <c r="E47" s="472"/>
      <c r="F47" s="66">
        <v>0.375</v>
      </c>
      <c r="G47" s="66">
        <v>0.39583333333333331</v>
      </c>
      <c r="H47" s="70"/>
    </row>
    <row r="48" spans="1:16" ht="18" customHeight="1">
      <c r="A48" s="66">
        <v>0.64583333333333337</v>
      </c>
      <c r="B48" s="66">
        <v>0.66666666666666663</v>
      </c>
      <c r="C48" s="473" t="s">
        <v>916</v>
      </c>
      <c r="D48" s="473"/>
      <c r="E48" s="473" t="s">
        <v>914</v>
      </c>
      <c r="F48" s="66">
        <v>0.39583333333333331</v>
      </c>
      <c r="G48" s="66">
        <v>0.41666666666666669</v>
      </c>
      <c r="H48" s="70"/>
    </row>
    <row r="49" spans="1:8" ht="18" customHeight="1">
      <c r="A49" s="66">
        <v>0.66666666666666663</v>
      </c>
      <c r="B49" s="66">
        <v>0.6875</v>
      </c>
      <c r="C49" s="473"/>
      <c r="D49" s="473"/>
      <c r="E49" s="473"/>
      <c r="F49" s="66">
        <v>0.41666666666666669</v>
      </c>
      <c r="G49" s="66">
        <v>0.4375</v>
      </c>
      <c r="H49" s="70"/>
    </row>
    <row r="50" spans="1:8" ht="18" customHeight="1">
      <c r="A50" s="66">
        <v>0.6875</v>
      </c>
      <c r="B50" s="66">
        <v>0.70833333333333337</v>
      </c>
      <c r="C50" s="472" t="s">
        <v>967</v>
      </c>
      <c r="D50" s="472"/>
      <c r="E50" s="472"/>
      <c r="F50" s="66">
        <v>0.4375</v>
      </c>
      <c r="G50" s="66">
        <v>0.45833333333333331</v>
      </c>
      <c r="H50" s="70"/>
    </row>
    <row r="51" spans="1:8" ht="18" customHeight="1">
      <c r="A51" s="66">
        <v>0.70833333333333337</v>
      </c>
      <c r="B51" s="66">
        <v>0.72916666666666663</v>
      </c>
      <c r="C51" s="472"/>
      <c r="D51" s="472"/>
      <c r="E51" s="472"/>
      <c r="F51" s="66">
        <v>0.45833333333333331</v>
      </c>
      <c r="G51" s="66">
        <v>0.47916666666666669</v>
      </c>
      <c r="H51" s="70"/>
    </row>
    <row r="52" spans="1:8" ht="18" customHeight="1">
      <c r="A52" s="66">
        <v>0.72916666666666663</v>
      </c>
      <c r="B52" s="66">
        <v>0.75</v>
      </c>
      <c r="C52" s="473" t="s">
        <v>916</v>
      </c>
      <c r="D52" s="473"/>
      <c r="E52" s="473"/>
      <c r="F52" s="66">
        <v>0.47916666666666669</v>
      </c>
      <c r="G52" s="66">
        <v>0.5</v>
      </c>
      <c r="H52" s="70"/>
    </row>
    <row r="53" spans="1:8" ht="18" customHeight="1">
      <c r="A53" s="66">
        <v>0.75</v>
      </c>
      <c r="B53" s="66">
        <v>0.83333333333333337</v>
      </c>
      <c r="C53" s="473" t="s">
        <v>917</v>
      </c>
      <c r="D53" s="473"/>
      <c r="E53" s="473"/>
      <c r="F53" s="66">
        <v>0.5</v>
      </c>
      <c r="G53" s="66">
        <v>0.58333333333333337</v>
      </c>
      <c r="H53" s="70"/>
    </row>
    <row r="54" spans="1:8">
      <c r="A54" s="468" t="str">
        <f>J6</f>
        <v>Day 5</v>
      </c>
      <c r="B54" s="468"/>
      <c r="C54" s="471">
        <f>I6</f>
        <v>44300</v>
      </c>
      <c r="D54" s="471"/>
      <c r="E54" s="471"/>
      <c r="F54" s="468" t="str">
        <f>A54</f>
        <v>Day 5</v>
      </c>
      <c r="G54" s="468"/>
      <c r="H54" s="70"/>
    </row>
    <row r="55" spans="1:8" ht="28.8">
      <c r="A55" s="468" t="s">
        <v>908</v>
      </c>
      <c r="B55" s="468"/>
      <c r="C55" s="64" t="e">
        <f>C36</f>
        <v>#REF!</v>
      </c>
      <c r="D55" s="64" t="e">
        <f>D36</f>
        <v>#REF!</v>
      </c>
      <c r="E55" s="64" t="str">
        <f>E36</f>
        <v>LA team: Dr Pieter van Zyl and ATMs if applicable</v>
      </c>
      <c r="F55" s="468" t="s">
        <v>909</v>
      </c>
      <c r="G55" s="468"/>
      <c r="H55" s="70"/>
    </row>
    <row r="56" spans="1:8" ht="18" customHeight="1">
      <c r="A56" s="66">
        <v>0.41666666666666669</v>
      </c>
      <c r="B56" s="66">
        <v>0.4375</v>
      </c>
      <c r="C56" s="473" t="s">
        <v>918</v>
      </c>
      <c r="D56" s="473"/>
      <c r="E56" s="68" t="s">
        <v>914</v>
      </c>
      <c r="F56" s="66">
        <v>0.16666666666666666</v>
      </c>
      <c r="G56" s="66">
        <v>0.1875</v>
      </c>
      <c r="H56" s="70"/>
    </row>
    <row r="57" spans="1:8" ht="18" customHeight="1">
      <c r="A57" s="66">
        <v>0.4375</v>
      </c>
      <c r="B57" s="66">
        <v>0.45833333333333331</v>
      </c>
      <c r="C57" s="472" t="s">
        <v>968</v>
      </c>
      <c r="D57" s="472"/>
      <c r="E57" s="472"/>
      <c r="F57" s="66">
        <v>0.1875</v>
      </c>
      <c r="G57" s="66">
        <v>0.20833333333333334</v>
      </c>
      <c r="H57" s="70"/>
    </row>
    <row r="58" spans="1:8" ht="18" customHeight="1">
      <c r="A58" s="66">
        <v>0.45833333333333331</v>
      </c>
      <c r="B58" s="66">
        <v>0.47916666666666669</v>
      </c>
      <c r="C58" s="472"/>
      <c r="D58" s="472"/>
      <c r="E58" s="472"/>
      <c r="F58" s="66">
        <v>0.20833333333333334</v>
      </c>
      <c r="G58" s="66">
        <v>0.22916666666666666</v>
      </c>
      <c r="H58" s="70"/>
    </row>
    <row r="59" spans="1:8" ht="18" customHeight="1">
      <c r="A59" s="66">
        <v>0.47916666666666669</v>
      </c>
      <c r="B59" s="66">
        <v>0.5</v>
      </c>
      <c r="C59" s="472"/>
      <c r="D59" s="472"/>
      <c r="E59" s="472"/>
      <c r="F59" s="66">
        <v>0.22916666666666666</v>
      </c>
      <c r="G59" s="66">
        <v>0.25</v>
      </c>
      <c r="H59" s="70"/>
    </row>
    <row r="60" spans="1:8" ht="18" customHeight="1">
      <c r="A60" s="66">
        <v>0.5</v>
      </c>
      <c r="B60" s="66">
        <v>0.52083333333333337</v>
      </c>
      <c r="C60" s="473" t="s">
        <v>915</v>
      </c>
      <c r="D60" s="473"/>
      <c r="E60" s="473"/>
      <c r="F60" s="66">
        <v>0.25</v>
      </c>
      <c r="G60" s="66">
        <v>0.27083333333333331</v>
      </c>
      <c r="H60" s="70"/>
    </row>
    <row r="61" spans="1:8" ht="18" customHeight="1">
      <c r="A61" s="66">
        <v>0.52083333333333337</v>
      </c>
      <c r="B61" s="66">
        <v>0.54166666666666663</v>
      </c>
      <c r="C61" s="473"/>
      <c r="D61" s="473"/>
      <c r="E61" s="473"/>
      <c r="F61" s="66">
        <v>0.27083333333333331</v>
      </c>
      <c r="G61" s="66">
        <v>0.29166666666666669</v>
      </c>
      <c r="H61" s="70"/>
    </row>
    <row r="62" spans="1:8" ht="18" customHeight="1">
      <c r="A62" s="66">
        <v>0.54166666666666663</v>
      </c>
      <c r="B62" s="66">
        <v>0.5625</v>
      </c>
      <c r="C62" s="472" t="s">
        <v>1593</v>
      </c>
      <c r="D62" s="472"/>
      <c r="E62" s="472"/>
      <c r="F62" s="66">
        <v>0.29166666666666669</v>
      </c>
      <c r="G62" s="66">
        <v>0.3125</v>
      </c>
      <c r="H62" s="70"/>
    </row>
    <row r="63" spans="1:8" ht="18" customHeight="1">
      <c r="A63" s="66">
        <v>0.5625</v>
      </c>
      <c r="B63" s="66">
        <v>0.58333333333333337</v>
      </c>
      <c r="C63" s="472"/>
      <c r="D63" s="472"/>
      <c r="E63" s="472"/>
      <c r="F63" s="66">
        <v>0.3125</v>
      </c>
      <c r="G63" s="66">
        <v>0.33333333333333331</v>
      </c>
      <c r="H63" s="70"/>
    </row>
    <row r="64" spans="1:8" ht="18" customHeight="1">
      <c r="A64" s="66">
        <v>0.58333333333333337</v>
      </c>
      <c r="B64" s="66">
        <v>0.60416666666666663</v>
      </c>
      <c r="C64" s="472"/>
      <c r="D64" s="472"/>
      <c r="E64" s="472"/>
      <c r="F64" s="66">
        <v>0.33333333333333331</v>
      </c>
      <c r="G64" s="66">
        <v>0.35416666666666669</v>
      </c>
      <c r="H64" s="70"/>
    </row>
    <row r="65" spans="1:8" ht="18" customHeight="1">
      <c r="A65" s="66">
        <v>0.60416666666666663</v>
      </c>
      <c r="B65" s="66">
        <v>0.625</v>
      </c>
      <c r="C65" s="472"/>
      <c r="D65" s="472"/>
      <c r="E65" s="472"/>
      <c r="F65" s="66">
        <v>0.35416666666666669</v>
      </c>
      <c r="G65" s="66">
        <v>0.375</v>
      </c>
      <c r="H65" s="70"/>
    </row>
    <row r="66" spans="1:8" ht="18" customHeight="1">
      <c r="A66" s="66">
        <v>0.625</v>
      </c>
      <c r="B66" s="66">
        <v>0.64583333333333337</v>
      </c>
      <c r="C66" s="472"/>
      <c r="D66" s="472"/>
      <c r="E66" s="472"/>
      <c r="F66" s="66">
        <v>0.375</v>
      </c>
      <c r="G66" s="66">
        <v>0.39583333333333331</v>
      </c>
      <c r="H66" s="70"/>
    </row>
    <row r="67" spans="1:8" ht="18" customHeight="1">
      <c r="A67" s="66">
        <v>0.64583333333333337</v>
      </c>
      <c r="B67" s="66">
        <v>0.66666666666666663</v>
      </c>
      <c r="C67" s="472"/>
      <c r="D67" s="472"/>
      <c r="E67" s="472"/>
      <c r="F67" s="66">
        <v>0.39583333333333331</v>
      </c>
      <c r="G67" s="66">
        <v>0.41666666666666669</v>
      </c>
      <c r="H67" s="70"/>
    </row>
    <row r="68" spans="1:8" ht="18" customHeight="1">
      <c r="A68" s="66">
        <v>0.66666666666666663</v>
      </c>
      <c r="B68" s="66">
        <v>0.6875</v>
      </c>
      <c r="C68" s="473" t="s">
        <v>916</v>
      </c>
      <c r="D68" s="473"/>
      <c r="E68" s="473"/>
      <c r="F68" s="66">
        <v>0.41666666666666669</v>
      </c>
      <c r="G68" s="66">
        <v>0.4375</v>
      </c>
      <c r="H68" s="70"/>
    </row>
    <row r="69" spans="1:8" ht="18" customHeight="1">
      <c r="A69" s="66">
        <v>0.6875</v>
      </c>
      <c r="B69" s="66">
        <v>0.70833333333333337</v>
      </c>
      <c r="C69" s="472" t="s">
        <v>969</v>
      </c>
      <c r="D69" s="472"/>
      <c r="E69" s="472"/>
      <c r="F69" s="66">
        <v>0.4375</v>
      </c>
      <c r="G69" s="66">
        <v>0.45833333333333331</v>
      </c>
      <c r="H69" s="70"/>
    </row>
    <row r="70" spans="1:8" ht="18" customHeight="1">
      <c r="A70" s="66">
        <v>0.70833333333333337</v>
      </c>
      <c r="B70" s="66">
        <v>0.72916666666666663</v>
      </c>
      <c r="C70" s="472"/>
      <c r="D70" s="472"/>
      <c r="E70" s="472"/>
      <c r="F70" s="66">
        <v>0.45833333333333331</v>
      </c>
      <c r="G70" s="66">
        <v>0.47916666666666669</v>
      </c>
      <c r="H70" s="70"/>
    </row>
    <row r="71" spans="1:8" ht="18" customHeight="1">
      <c r="A71" s="66">
        <v>0.72916666666666663</v>
      </c>
      <c r="B71" s="66">
        <v>0.75</v>
      </c>
      <c r="C71" s="473" t="s">
        <v>916</v>
      </c>
      <c r="D71" s="473"/>
      <c r="E71" s="473"/>
      <c r="F71" s="66">
        <v>0.47916666666666669</v>
      </c>
      <c r="G71" s="66">
        <v>0.5</v>
      </c>
      <c r="H71" s="70"/>
    </row>
    <row r="72" spans="1:8" ht="18" customHeight="1">
      <c r="A72" s="66">
        <v>0.75</v>
      </c>
      <c r="B72" s="66">
        <v>0.83333333333333337</v>
      </c>
      <c r="C72" s="473" t="s">
        <v>917</v>
      </c>
      <c r="D72" s="473"/>
      <c r="E72" s="473"/>
      <c r="F72" s="66">
        <v>0.5</v>
      </c>
      <c r="G72" s="66">
        <v>0.58333333333333337</v>
      </c>
      <c r="H72" s="70"/>
    </row>
    <row r="73" spans="1:8">
      <c r="A73" s="468" t="str">
        <f>J7</f>
        <v>Day 6</v>
      </c>
      <c r="B73" s="468"/>
      <c r="C73" s="471">
        <f>I7</f>
        <v>44301</v>
      </c>
      <c r="D73" s="471"/>
      <c r="E73" s="471"/>
      <c r="F73" s="468" t="str">
        <f>A73</f>
        <v>Day 6</v>
      </c>
      <c r="G73" s="468"/>
      <c r="H73" s="70"/>
    </row>
    <row r="74" spans="1:8" ht="28.8">
      <c r="A74" s="468" t="s">
        <v>908</v>
      </c>
      <c r="B74" s="468"/>
      <c r="C74" s="64" t="e">
        <f>C55</f>
        <v>#REF!</v>
      </c>
      <c r="D74" s="64" t="e">
        <f>D55</f>
        <v>#REF!</v>
      </c>
      <c r="E74" s="64" t="str">
        <f>E55</f>
        <v>LA team: Dr Pieter van Zyl and ATMs if applicable</v>
      </c>
      <c r="F74" s="468" t="s">
        <v>909</v>
      </c>
      <c r="G74" s="468"/>
      <c r="H74" s="70"/>
    </row>
    <row r="75" spans="1:8" ht="18" customHeight="1">
      <c r="A75" s="66">
        <v>0.41666666666666669</v>
      </c>
      <c r="B75" s="66">
        <v>0.4375</v>
      </c>
      <c r="C75" s="473" t="s">
        <v>916</v>
      </c>
      <c r="D75" s="473"/>
      <c r="E75" s="473"/>
      <c r="F75" s="66">
        <v>0.16666666666666666</v>
      </c>
      <c r="G75" s="66">
        <v>0.1875</v>
      </c>
      <c r="H75" s="70"/>
    </row>
    <row r="76" spans="1:8" ht="18" customHeight="1">
      <c r="A76" s="66">
        <v>0.4375</v>
      </c>
      <c r="B76" s="66">
        <v>0.45833333333333331</v>
      </c>
      <c r="C76" s="472" t="s">
        <v>970</v>
      </c>
      <c r="D76" s="472"/>
      <c r="E76" s="472"/>
      <c r="F76" s="66">
        <v>0.1875</v>
      </c>
      <c r="G76" s="66">
        <v>0.20833333333333334</v>
      </c>
      <c r="H76" s="70"/>
    </row>
    <row r="77" spans="1:8" ht="18" customHeight="1">
      <c r="A77" s="66">
        <v>0.45833333333333331</v>
      </c>
      <c r="B77" s="66">
        <v>0.47916666666666669</v>
      </c>
      <c r="C77" s="472"/>
      <c r="D77" s="472"/>
      <c r="E77" s="472"/>
      <c r="F77" s="66">
        <v>0.20833333333333334</v>
      </c>
      <c r="G77" s="66">
        <v>0.22916666666666666</v>
      </c>
      <c r="H77" s="70"/>
    </row>
    <row r="78" spans="1:8" ht="18" customHeight="1">
      <c r="A78" s="66">
        <v>0.47916666666666669</v>
      </c>
      <c r="B78" s="66">
        <v>0.5</v>
      </c>
      <c r="C78" s="473" t="s">
        <v>916</v>
      </c>
      <c r="D78" s="473"/>
      <c r="E78" s="473"/>
      <c r="F78" s="66">
        <v>0.22916666666666666</v>
      </c>
      <c r="G78" s="66">
        <v>0.25</v>
      </c>
      <c r="H78" s="70"/>
    </row>
    <row r="79" spans="1:8" ht="18" customHeight="1">
      <c r="A79" s="66">
        <v>0.5</v>
      </c>
      <c r="B79" s="66">
        <v>0.52083333333333337</v>
      </c>
      <c r="C79" s="473" t="s">
        <v>915</v>
      </c>
      <c r="D79" s="473"/>
      <c r="E79" s="473"/>
      <c r="F79" s="66">
        <v>0.25</v>
      </c>
      <c r="G79" s="66">
        <v>0.27083333333333331</v>
      </c>
      <c r="H79" s="70"/>
    </row>
    <row r="80" spans="1:8" ht="18" customHeight="1">
      <c r="A80" s="66">
        <v>0.52083333333333337</v>
      </c>
      <c r="B80" s="66">
        <v>0.54166666666666663</v>
      </c>
      <c r="C80" s="473"/>
      <c r="D80" s="473"/>
      <c r="E80" s="473"/>
      <c r="F80" s="66">
        <v>0.27083333333333331</v>
      </c>
      <c r="G80" s="66">
        <v>0.29166666666666669</v>
      </c>
      <c r="H80" s="70"/>
    </row>
    <row r="81" spans="1:8" ht="18" customHeight="1">
      <c r="A81" s="66">
        <v>0.54166666666666663</v>
      </c>
      <c r="B81" s="66">
        <v>0.5625</v>
      </c>
      <c r="C81" s="481" t="s">
        <v>919</v>
      </c>
      <c r="D81" s="481"/>
      <c r="E81" s="481"/>
      <c r="F81" s="66">
        <v>0.29166666666666669</v>
      </c>
      <c r="G81" s="66">
        <v>0.3125</v>
      </c>
      <c r="H81" s="70"/>
    </row>
    <row r="82" spans="1:8" ht="18" customHeight="1">
      <c r="A82" s="66">
        <v>0.5625</v>
      </c>
      <c r="B82" s="66">
        <v>0.58333333333333337</v>
      </c>
      <c r="C82" s="481"/>
      <c r="D82" s="481"/>
      <c r="E82" s="481"/>
      <c r="F82" s="66">
        <v>0.3125</v>
      </c>
      <c r="G82" s="66">
        <v>0.33333333333333331</v>
      </c>
      <c r="H82" s="70"/>
    </row>
    <row r="83" spans="1:8" ht="18" customHeight="1">
      <c r="A83" s="66">
        <v>0.58333333333333337</v>
      </c>
      <c r="B83" s="66">
        <v>0.60416666666666663</v>
      </c>
      <c r="C83" s="481"/>
      <c r="D83" s="481"/>
      <c r="E83" s="481"/>
      <c r="F83" s="66">
        <v>0.33333333333333331</v>
      </c>
      <c r="G83" s="66">
        <v>0.35416666666666669</v>
      </c>
      <c r="H83" s="70"/>
    </row>
    <row r="84" spans="1:8" ht="18" customHeight="1">
      <c r="A84" s="66">
        <v>0.60416666666666663</v>
      </c>
      <c r="B84" s="66">
        <v>0.625</v>
      </c>
      <c r="C84" s="481"/>
      <c r="D84" s="481"/>
      <c r="E84" s="481"/>
      <c r="F84" s="66">
        <v>0.35416666666666669</v>
      </c>
      <c r="G84" s="66">
        <v>0.375</v>
      </c>
      <c r="H84" s="70"/>
    </row>
    <row r="85" spans="1:8" ht="18" customHeight="1">
      <c r="A85" s="66">
        <v>0.625</v>
      </c>
      <c r="B85" s="66">
        <v>0.64583333333333337</v>
      </c>
      <c r="C85" s="472" t="s">
        <v>971</v>
      </c>
      <c r="D85" s="472"/>
      <c r="E85" s="472"/>
      <c r="F85" s="66">
        <v>0.375</v>
      </c>
      <c r="G85" s="66">
        <v>0.39583333333333331</v>
      </c>
      <c r="H85" s="70"/>
    </row>
    <row r="86" spans="1:8" ht="18" customHeight="1">
      <c r="A86" s="66">
        <v>0.64583333333333337</v>
      </c>
      <c r="B86" s="66">
        <v>0.66666666666666663</v>
      </c>
      <c r="C86" s="472"/>
      <c r="D86" s="472"/>
      <c r="E86" s="472"/>
      <c r="F86" s="66">
        <v>0.39583333333333331</v>
      </c>
      <c r="G86" s="66">
        <v>0.41666666666666669</v>
      </c>
      <c r="H86" s="70"/>
    </row>
    <row r="87" spans="1:8" ht="18" customHeight="1">
      <c r="A87" s="66">
        <v>0.66666666666666663</v>
      </c>
      <c r="B87" s="66">
        <v>0.6875</v>
      </c>
      <c r="C87" s="473" t="s">
        <v>916</v>
      </c>
      <c r="D87" s="473"/>
      <c r="E87" s="473"/>
      <c r="F87" s="66">
        <v>0.41666666666666669</v>
      </c>
      <c r="G87" s="66">
        <v>0.4375</v>
      </c>
      <c r="H87" s="70"/>
    </row>
    <row r="88" spans="1:8" ht="18" customHeight="1">
      <c r="A88" s="66">
        <v>0.6875</v>
      </c>
      <c r="B88" s="66">
        <v>0.70833333333333337</v>
      </c>
      <c r="C88" s="473"/>
      <c r="D88" s="473"/>
      <c r="E88" s="473"/>
      <c r="F88" s="66">
        <v>0.4375</v>
      </c>
      <c r="G88" s="66">
        <v>0.45833333333333331</v>
      </c>
      <c r="H88" s="70"/>
    </row>
    <row r="89" spans="1:8" ht="18" customHeight="1">
      <c r="A89" s="66">
        <v>0.70833333333333337</v>
      </c>
      <c r="B89" s="66">
        <v>0.72916666666666663</v>
      </c>
      <c r="C89" s="473"/>
      <c r="D89" s="473"/>
      <c r="E89" s="473"/>
      <c r="F89" s="66">
        <v>0.45833333333333331</v>
      </c>
      <c r="G89" s="66">
        <v>0.47916666666666669</v>
      </c>
      <c r="H89" s="70"/>
    </row>
    <row r="90" spans="1:8" ht="18" customHeight="1">
      <c r="A90" s="66">
        <v>0.72916666666666663</v>
      </c>
      <c r="B90" s="66">
        <v>0.75</v>
      </c>
      <c r="C90" s="473"/>
      <c r="D90" s="473"/>
      <c r="E90" s="473"/>
      <c r="F90" s="66">
        <v>0.47916666666666669</v>
      </c>
      <c r="G90" s="66">
        <v>0.5</v>
      </c>
      <c r="H90" s="70"/>
    </row>
    <row r="91" spans="1:8" ht="18" customHeight="1">
      <c r="A91" s="66">
        <v>0.75</v>
      </c>
      <c r="B91" s="66">
        <v>0.83333333333333337</v>
      </c>
      <c r="C91" s="473" t="s">
        <v>917</v>
      </c>
      <c r="D91" s="473"/>
      <c r="E91" s="473"/>
      <c r="F91" s="66">
        <v>0.5</v>
      </c>
      <c r="G91" s="66">
        <v>0.58333333333333337</v>
      </c>
      <c r="H91" s="70"/>
    </row>
    <row r="92" spans="1:8">
      <c r="A92" s="468" t="str">
        <f>J8</f>
        <v>Day 7</v>
      </c>
      <c r="B92" s="468"/>
      <c r="C92" s="471">
        <f>I8</f>
        <v>44302</v>
      </c>
      <c r="D92" s="471"/>
      <c r="E92" s="471"/>
      <c r="F92" s="468" t="str">
        <f>A92</f>
        <v>Day 7</v>
      </c>
      <c r="G92" s="468"/>
      <c r="H92" s="70"/>
    </row>
    <row r="93" spans="1:8" ht="28.8">
      <c r="A93" s="468" t="s">
        <v>908</v>
      </c>
      <c r="B93" s="468"/>
      <c r="C93" s="64" t="e">
        <f>C74</f>
        <v>#REF!</v>
      </c>
      <c r="D93" s="64" t="e">
        <f>D74</f>
        <v>#REF!</v>
      </c>
      <c r="E93" s="64" t="str">
        <f>E74</f>
        <v>LA team: Dr Pieter van Zyl and ATMs if applicable</v>
      </c>
      <c r="F93" s="468" t="s">
        <v>909</v>
      </c>
      <c r="G93" s="468"/>
      <c r="H93" s="70"/>
    </row>
    <row r="94" spans="1:8" ht="18" customHeight="1">
      <c r="A94" s="66">
        <v>0.41666666666666669</v>
      </c>
      <c r="B94" s="66">
        <v>0.4375</v>
      </c>
      <c r="C94" s="473" t="s">
        <v>916</v>
      </c>
      <c r="D94" s="473"/>
      <c r="E94" s="473"/>
      <c r="F94" s="66">
        <v>0.16666666666666666</v>
      </c>
      <c r="G94" s="66">
        <v>0.1875</v>
      </c>
      <c r="H94" s="70"/>
    </row>
    <row r="95" spans="1:8" ht="18" customHeight="1">
      <c r="A95" s="66">
        <v>0.4375</v>
      </c>
      <c r="B95" s="66">
        <v>0.45833333333333331</v>
      </c>
      <c r="C95" s="482" t="s">
        <v>972</v>
      </c>
      <c r="D95" s="483"/>
      <c r="E95" s="484"/>
      <c r="F95" s="66">
        <v>0.1875</v>
      </c>
      <c r="G95" s="66">
        <v>0.20833333333333334</v>
      </c>
      <c r="H95" s="70"/>
    </row>
    <row r="96" spans="1:8" ht="18" customHeight="1">
      <c r="A96" s="66">
        <v>0.45833333333333331</v>
      </c>
      <c r="B96" s="66">
        <v>0.47916666666666669</v>
      </c>
      <c r="C96" s="485"/>
      <c r="D96" s="486"/>
      <c r="E96" s="487"/>
      <c r="F96" s="66">
        <v>0.20833333333333334</v>
      </c>
      <c r="G96" s="66">
        <v>0.22916666666666666</v>
      </c>
      <c r="H96" s="70"/>
    </row>
    <row r="97" spans="1:8" ht="18" customHeight="1">
      <c r="A97" s="66">
        <v>0.47916666666666669</v>
      </c>
      <c r="B97" s="66">
        <v>0.5</v>
      </c>
      <c r="C97" s="482" t="s">
        <v>973</v>
      </c>
      <c r="D97" s="483"/>
      <c r="E97" s="484"/>
      <c r="F97" s="66">
        <v>0.22916666666666666</v>
      </c>
      <c r="G97" s="66">
        <v>0.25</v>
      </c>
      <c r="H97" s="70"/>
    </row>
    <row r="98" spans="1:8" ht="18" customHeight="1">
      <c r="A98" s="66">
        <v>0.5</v>
      </c>
      <c r="B98" s="66">
        <v>0.52083333333333337</v>
      </c>
      <c r="C98" s="485"/>
      <c r="D98" s="486"/>
      <c r="E98" s="487"/>
      <c r="F98" s="66">
        <v>0.25</v>
      </c>
      <c r="G98" s="66">
        <v>0.27083333333333331</v>
      </c>
      <c r="H98" s="70"/>
    </row>
    <row r="99" spans="1:8" ht="18" customHeight="1">
      <c r="A99" s="66">
        <v>0.52083333333333337</v>
      </c>
      <c r="B99" s="66">
        <v>0.54166666666666663</v>
      </c>
      <c r="C99" s="488" t="s">
        <v>915</v>
      </c>
      <c r="D99" s="489"/>
      <c r="E99" s="490"/>
      <c r="F99" s="66">
        <v>0.27083333333333331</v>
      </c>
      <c r="G99" s="66">
        <v>0.29166666666666669</v>
      </c>
      <c r="H99" s="70"/>
    </row>
    <row r="100" spans="1:8" ht="18" customHeight="1">
      <c r="A100" s="66">
        <v>0.54166666666666663</v>
      </c>
      <c r="B100" s="66">
        <v>0.5625</v>
      </c>
      <c r="C100" s="494"/>
      <c r="D100" s="495"/>
      <c r="E100" s="496"/>
      <c r="F100" s="66">
        <v>0.29166666666666669</v>
      </c>
      <c r="G100" s="66">
        <v>0.3125</v>
      </c>
      <c r="H100" s="70"/>
    </row>
    <row r="101" spans="1:8" ht="18" customHeight="1">
      <c r="A101" s="66">
        <v>0.5625</v>
      </c>
      <c r="B101" s="66">
        <v>0.58333333333333337</v>
      </c>
      <c r="C101" s="488" t="s">
        <v>1600</v>
      </c>
      <c r="D101" s="489"/>
      <c r="E101" s="490"/>
      <c r="F101" s="66">
        <v>0.3125</v>
      </c>
      <c r="G101" s="66">
        <v>0.33333333333333331</v>
      </c>
      <c r="H101" s="70"/>
    </row>
    <row r="102" spans="1:8" ht="18" customHeight="1">
      <c r="A102" s="66">
        <v>0.58333333333333337</v>
      </c>
      <c r="B102" s="66">
        <v>0.60416666666666663</v>
      </c>
      <c r="C102" s="491"/>
      <c r="D102" s="492"/>
      <c r="E102" s="493"/>
      <c r="F102" s="66">
        <v>0.33333333333333331</v>
      </c>
      <c r="G102" s="66">
        <v>0.35416666666666669</v>
      </c>
      <c r="H102" s="70"/>
    </row>
    <row r="103" spans="1:8" ht="18" customHeight="1">
      <c r="A103" s="66">
        <v>0.60416666666666663</v>
      </c>
      <c r="B103" s="66">
        <v>0.625</v>
      </c>
      <c r="C103" s="494"/>
      <c r="D103" s="495"/>
      <c r="E103" s="496"/>
      <c r="F103" s="66">
        <v>0.35416666666666669</v>
      </c>
      <c r="G103" s="66">
        <v>0.375</v>
      </c>
      <c r="H103" s="70"/>
    </row>
    <row r="104" spans="1:8" ht="18" customHeight="1">
      <c r="A104" s="66">
        <v>0.625</v>
      </c>
      <c r="B104" s="66">
        <v>0.64583333333333337</v>
      </c>
      <c r="C104" s="480" t="s">
        <v>1599</v>
      </c>
      <c r="D104" s="480"/>
      <c r="E104" s="480"/>
      <c r="F104" s="66">
        <v>0.375</v>
      </c>
      <c r="G104" s="66">
        <v>0.39583333333333331</v>
      </c>
      <c r="H104" s="70"/>
    </row>
    <row r="105" spans="1:8" ht="18" customHeight="1">
      <c r="A105" s="66">
        <v>0.64583333333333337</v>
      </c>
      <c r="B105" s="66">
        <v>0.66666666666666663</v>
      </c>
      <c r="C105" s="480"/>
      <c r="D105" s="480"/>
      <c r="E105" s="480"/>
      <c r="F105" s="66">
        <v>0.39583333333333331</v>
      </c>
      <c r="G105" s="66">
        <v>0.41666666666666669</v>
      </c>
      <c r="H105" s="70"/>
    </row>
    <row r="106" spans="1:8" ht="18" customHeight="1">
      <c r="A106" s="66">
        <v>0.66666666666666663</v>
      </c>
      <c r="B106" s="66">
        <v>0.6875</v>
      </c>
      <c r="C106" s="473" t="s">
        <v>920</v>
      </c>
      <c r="D106" s="473"/>
      <c r="E106" s="473"/>
      <c r="F106" s="66">
        <v>0.41666666666666669</v>
      </c>
      <c r="G106" s="66">
        <v>0.4375</v>
      </c>
      <c r="H106" s="70"/>
    </row>
    <row r="107" spans="1:8" ht="18" customHeight="1">
      <c r="A107" s="66">
        <v>0.6875</v>
      </c>
      <c r="B107" s="66">
        <v>0.70833333333333337</v>
      </c>
      <c r="C107" s="473"/>
      <c r="D107" s="473"/>
      <c r="E107" s="473"/>
      <c r="F107" s="66">
        <v>0.4375</v>
      </c>
      <c r="G107" s="66">
        <v>0.45833333333333331</v>
      </c>
      <c r="H107" s="70"/>
    </row>
    <row r="108" spans="1:8" ht="18" customHeight="1">
      <c r="A108" s="66">
        <v>0.70833333333333337</v>
      </c>
      <c r="B108" s="66">
        <v>0.72916666666666663</v>
      </c>
      <c r="C108" s="473" t="s">
        <v>921</v>
      </c>
      <c r="D108" s="473"/>
      <c r="E108" s="473"/>
      <c r="F108" s="66">
        <v>0.45833333333333331</v>
      </c>
      <c r="G108" s="66">
        <v>0.47916666666666669</v>
      </c>
      <c r="H108" s="70"/>
    </row>
    <row r="109" spans="1:8" ht="18" customHeight="1">
      <c r="A109" s="66">
        <v>0.72916666666666663</v>
      </c>
      <c r="B109" s="66">
        <v>0.75</v>
      </c>
      <c r="C109" s="473"/>
      <c r="D109" s="473"/>
      <c r="E109" s="473"/>
      <c r="F109" s="66">
        <v>0.47916666666666669</v>
      </c>
      <c r="G109" s="66">
        <v>0.5</v>
      </c>
      <c r="H109" s="70"/>
    </row>
    <row r="110" spans="1:8" ht="18" customHeight="1">
      <c r="A110" s="66">
        <v>0.75</v>
      </c>
      <c r="B110" s="66">
        <v>0.83333333333333337</v>
      </c>
      <c r="C110" s="473"/>
      <c r="D110" s="473"/>
      <c r="E110" s="473"/>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69" t="s">
        <v>1165</v>
      </c>
      <c r="B1" s="469"/>
      <c r="C1" s="469"/>
      <c r="D1" s="469"/>
      <c r="E1" s="469"/>
      <c r="F1" s="469"/>
      <c r="G1" s="469"/>
      <c r="H1" s="61"/>
      <c r="I1" s="115" t="s">
        <v>904</v>
      </c>
      <c r="J1" s="116" t="s">
        <v>905</v>
      </c>
      <c r="K1" s="112" t="s">
        <v>906</v>
      </c>
      <c r="L1" s="112" t="s">
        <v>907</v>
      </c>
      <c r="M1" s="63"/>
      <c r="N1" s="63"/>
      <c r="O1" s="63"/>
      <c r="P1" s="63"/>
    </row>
    <row r="2" spans="1:16" ht="14.7" customHeight="1">
      <c r="A2" s="470" t="str">
        <f>CONCATENATE(TEXT(Planning!B41,"[$-x-sysdate]dddd, mmmm dd, yyyy")," (Technology test)")</f>
        <v>Thursday, 08 April 2021 (Technology test)</v>
      </c>
      <c r="B2" s="470"/>
      <c r="C2" s="470"/>
      <c r="D2" s="470"/>
      <c r="E2" s="470"/>
      <c r="F2" s="470"/>
      <c r="G2" s="470"/>
      <c r="H2" s="61"/>
      <c r="I2" s="112"/>
      <c r="J2" s="112"/>
      <c r="K2" s="112"/>
      <c r="L2" s="63"/>
      <c r="M2" s="63"/>
      <c r="N2" s="63"/>
      <c r="O2" s="63"/>
      <c r="P2" s="63"/>
    </row>
    <row r="3" spans="1:16">
      <c r="A3" s="468" t="str">
        <f>J3</f>
        <v>Day 1-2</v>
      </c>
      <c r="B3" s="468"/>
      <c r="C3" s="471" t="str">
        <f>CONCATENATE(TEXT(I3,"[$-x-sysdate]dddd, mmmm dd, yyyy")," to ",TEXT(K3,"[$-x-sysdate]dddd, mmmm dd, yyyy"))</f>
        <v>Saturday, 10 April 2021 to Sunday, 11 April 2021</v>
      </c>
      <c r="D3" s="471"/>
      <c r="E3" s="471"/>
      <c r="F3" s="468" t="str">
        <f>A3</f>
        <v>Day 1-2</v>
      </c>
      <c r="G3" s="468"/>
      <c r="H3" s="61"/>
      <c r="I3" s="117">
        <f>Planning!B42</f>
        <v>44296</v>
      </c>
      <c r="J3" s="118" t="str">
        <f>_xlfn.CONCAT("Day 1-",L3)</f>
        <v>Day 1-2</v>
      </c>
      <c r="K3" s="119">
        <f>Planning!B42+Planning!B44-1</f>
        <v>44297</v>
      </c>
      <c r="L3" s="112">
        <f>K3-I3+1</f>
        <v>2</v>
      </c>
      <c r="M3" s="63"/>
      <c r="N3" s="63"/>
      <c r="O3" s="63"/>
      <c r="P3" s="63"/>
    </row>
    <row r="4" spans="1:16" ht="49.5" customHeight="1">
      <c r="A4" s="468" t="s">
        <v>908</v>
      </c>
      <c r="B4" s="468"/>
      <c r="C4" s="64" t="e">
        <f>'Schedule4-1P'!C4</f>
        <v>#REF!</v>
      </c>
      <c r="D4" s="64" t="e">
        <f>'Schedule4-1P'!D4</f>
        <v>#REF!</v>
      </c>
      <c r="E4" s="64" t="str">
        <f>'Schedule4-1P'!E4</f>
        <v>LA team: Dr Pieter van Zyl and ATMs if applicable</v>
      </c>
      <c r="F4" s="468" t="s">
        <v>909</v>
      </c>
      <c r="G4" s="468"/>
      <c r="H4" s="61"/>
      <c r="I4" s="117">
        <f>Planning!B45</f>
        <v>44298</v>
      </c>
      <c r="J4" s="118" t="str">
        <f>_xlfn.CONCAT("Day ",L4)</f>
        <v>Day 3</v>
      </c>
      <c r="K4" s="63"/>
      <c r="L4" s="120">
        <f>L3+1</f>
        <v>3</v>
      </c>
      <c r="M4" s="120"/>
      <c r="N4" s="65"/>
      <c r="O4" s="65"/>
      <c r="P4" s="65"/>
    </row>
    <row r="5" spans="1:16" ht="18" customHeight="1">
      <c r="A5" s="66">
        <v>0.41666666666666669</v>
      </c>
      <c r="B5" s="66">
        <v>0.45833333333333331</v>
      </c>
      <c r="C5" s="473" t="s">
        <v>910</v>
      </c>
      <c r="D5" s="473" t="s">
        <v>910</v>
      </c>
      <c r="E5" s="473"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73"/>
      <c r="D6" s="473"/>
      <c r="E6" s="473"/>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73"/>
      <c r="D7" s="473"/>
      <c r="E7" s="473"/>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73"/>
      <c r="D8" s="473"/>
      <c r="E8" s="473"/>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73"/>
      <c r="D9" s="473"/>
      <c r="E9" s="473"/>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73"/>
      <c r="D10" s="473"/>
      <c r="E10" s="473"/>
      <c r="F10" s="66">
        <v>0.375</v>
      </c>
      <c r="G10" s="66">
        <v>0.41666666666666669</v>
      </c>
      <c r="H10" s="61"/>
      <c r="I10" s="119"/>
      <c r="J10" s="63"/>
      <c r="K10" s="63"/>
      <c r="L10" s="63"/>
      <c r="M10" s="63"/>
      <c r="N10" s="63"/>
      <c r="O10" s="63"/>
      <c r="P10" s="63"/>
    </row>
    <row r="11" spans="1:16" ht="18" customHeight="1">
      <c r="A11" s="66">
        <v>0.66666666666666696</v>
      </c>
      <c r="B11" s="66">
        <v>0.70833333333333337</v>
      </c>
      <c r="C11" s="473"/>
      <c r="D11" s="473"/>
      <c r="E11" s="473"/>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3"/>
      <c r="D12" s="473"/>
      <c r="E12" s="473"/>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3"/>
      <c r="D13" s="473"/>
      <c r="E13" s="473"/>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74" t="str">
        <f>CONCATENATE("Schedule above includes ",Planning!B43," non-working day(s).")</f>
        <v>Schedule above includes 0 non-working day(s).</v>
      </c>
      <c r="B15" s="474"/>
      <c r="C15" s="474"/>
      <c r="D15" s="474"/>
      <c r="E15" s="474"/>
      <c r="F15" s="474"/>
      <c r="G15" s="474"/>
      <c r="H15" s="61"/>
      <c r="K15" s="114"/>
      <c r="L15" s="112" t="e">
        <f>'P1-OrgScope'!#REF!</f>
        <v>#REF!</v>
      </c>
      <c r="M15" s="63"/>
      <c r="N15" s="63"/>
      <c r="O15" s="63"/>
      <c r="P15" s="63"/>
    </row>
    <row r="16" spans="1:16">
      <c r="A16" s="475" t="str">
        <f>J4</f>
        <v>Day 3</v>
      </c>
      <c r="B16" s="475"/>
      <c r="C16" s="476">
        <f>I4</f>
        <v>44298</v>
      </c>
      <c r="D16" s="476"/>
      <c r="E16" s="476"/>
      <c r="F16" s="475" t="str">
        <f>A16</f>
        <v>Day 3</v>
      </c>
      <c r="G16" s="475"/>
      <c r="H16" s="61"/>
      <c r="K16" s="114"/>
      <c r="L16" s="112" t="e">
        <f>'P1-OrgScope'!#REF!</f>
        <v>#REF!</v>
      </c>
      <c r="M16" s="63"/>
      <c r="N16" s="63"/>
      <c r="O16" s="63"/>
      <c r="P16" s="63"/>
    </row>
    <row r="17" spans="1:18" ht="28.8">
      <c r="A17" s="475" t="s">
        <v>908</v>
      </c>
      <c r="B17" s="475"/>
      <c r="C17" s="67" t="e">
        <f>C4</f>
        <v>#REF!</v>
      </c>
      <c r="D17" s="67" t="e">
        <f>D4</f>
        <v>#REF!</v>
      </c>
      <c r="E17" s="67" t="str">
        <f>E4</f>
        <v>LA team: Dr Pieter van Zyl and ATMs if applicable</v>
      </c>
      <c r="F17" s="475" t="s">
        <v>909</v>
      </c>
      <c r="G17" s="475"/>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2" t="s">
        <v>963</v>
      </c>
      <c r="D19" s="472"/>
      <c r="E19" s="472"/>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0" t="s">
        <v>964</v>
      </c>
      <c r="D20" s="480"/>
      <c r="E20" s="480"/>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0"/>
      <c r="D21" s="480"/>
      <c r="E21" s="480"/>
      <c r="F21" s="66">
        <v>0.22916666666666666</v>
      </c>
      <c r="G21" s="66">
        <v>0.25</v>
      </c>
      <c r="H21" s="61"/>
      <c r="I21" s="63"/>
      <c r="J21" s="63"/>
      <c r="K21" s="63"/>
      <c r="L21" s="63"/>
      <c r="M21" s="63"/>
      <c r="N21" s="63"/>
      <c r="O21" s="63"/>
      <c r="P21" s="63"/>
    </row>
    <row r="22" spans="1:18" ht="18.600000000000001" customHeight="1">
      <c r="A22" s="66">
        <v>0.5</v>
      </c>
      <c r="B22" s="66">
        <v>0.52083333333333337</v>
      </c>
      <c r="C22" s="473" t="s">
        <v>915</v>
      </c>
      <c r="D22" s="473"/>
      <c r="E22" s="473"/>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3"/>
      <c r="D23" s="473"/>
      <c r="E23" s="473"/>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2" t="s">
        <v>965</v>
      </c>
      <c r="D24" s="472"/>
      <c r="E24" s="472"/>
      <c r="F24" s="66">
        <v>0.29166666666666669</v>
      </c>
      <c r="G24" s="66">
        <v>0.3125</v>
      </c>
      <c r="H24" s="61"/>
      <c r="I24" s="63"/>
      <c r="J24" s="63"/>
      <c r="K24" s="120"/>
      <c r="L24" s="120"/>
      <c r="M24" s="120"/>
      <c r="N24" s="63"/>
      <c r="O24" s="63"/>
      <c r="P24" s="63"/>
    </row>
    <row r="25" spans="1:18" ht="18.600000000000001" customHeight="1">
      <c r="A25" s="66">
        <v>0.5625</v>
      </c>
      <c r="B25" s="66">
        <v>0.58333333333333337</v>
      </c>
      <c r="C25" s="472"/>
      <c r="D25" s="472"/>
      <c r="E25" s="47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2"/>
      <c r="D26" s="472"/>
      <c r="E26" s="47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2"/>
      <c r="D27" s="472"/>
      <c r="E27" s="472"/>
      <c r="F27" s="66">
        <v>0.35416666666666669</v>
      </c>
      <c r="G27" s="66">
        <v>0.375</v>
      </c>
      <c r="H27" s="61"/>
      <c r="I27" s="63"/>
      <c r="J27" s="63"/>
      <c r="K27" s="63"/>
      <c r="L27" s="63"/>
      <c r="M27" s="63"/>
      <c r="N27" s="63"/>
      <c r="O27" s="63"/>
      <c r="P27" s="63"/>
    </row>
    <row r="28" spans="1:18" ht="18.600000000000001" customHeight="1">
      <c r="A28" s="66">
        <v>0.625</v>
      </c>
      <c r="B28" s="66">
        <v>0.64583333333333337</v>
      </c>
      <c r="C28" s="473" t="s">
        <v>916</v>
      </c>
      <c r="D28" s="473"/>
      <c r="E28" s="473"/>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2" t="s">
        <v>965</v>
      </c>
      <c r="D29" s="472"/>
      <c r="E29" s="47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2"/>
      <c r="D30" s="472"/>
      <c r="E30" s="47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2"/>
      <c r="D31" s="472"/>
      <c r="E31" s="47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2"/>
      <c r="D32" s="472"/>
      <c r="E32" s="47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3" t="s">
        <v>1099</v>
      </c>
      <c r="D33" s="473"/>
      <c r="E33" s="473"/>
      <c r="F33" s="66">
        <v>0.47916666666666669</v>
      </c>
      <c r="G33" s="66">
        <v>0.5</v>
      </c>
      <c r="H33" s="61"/>
      <c r="I33" s="63"/>
      <c r="J33" s="63"/>
      <c r="K33" s="63"/>
      <c r="L33" s="63"/>
      <c r="M33" s="63"/>
      <c r="N33" s="63"/>
      <c r="O33" s="63"/>
      <c r="P33" s="63"/>
    </row>
    <row r="34" spans="1:16" ht="18.600000000000001" customHeight="1">
      <c r="A34" s="66">
        <v>0.75</v>
      </c>
      <c r="B34" s="66">
        <v>0.83333333333333337</v>
      </c>
      <c r="C34" s="473" t="s">
        <v>917</v>
      </c>
      <c r="D34" s="473"/>
      <c r="E34" s="473"/>
      <c r="F34" s="66">
        <v>0.5</v>
      </c>
      <c r="G34" s="66">
        <v>0.58333333333333337</v>
      </c>
      <c r="H34" s="61"/>
      <c r="I34" s="63"/>
      <c r="J34" s="63"/>
      <c r="K34" s="63"/>
      <c r="L34" s="63"/>
      <c r="M34" s="63"/>
      <c r="N34" s="63"/>
      <c r="O34" s="63"/>
      <c r="P34" s="63"/>
    </row>
    <row r="35" spans="1:16">
      <c r="A35" s="475" t="str">
        <f>J5</f>
        <v>Day 4</v>
      </c>
      <c r="B35" s="475"/>
      <c r="C35" s="476">
        <f>I5</f>
        <v>44299</v>
      </c>
      <c r="D35" s="476"/>
      <c r="E35" s="476"/>
      <c r="F35" s="475" t="str">
        <f>A35</f>
        <v>Day 4</v>
      </c>
      <c r="G35" s="475"/>
      <c r="H35" s="70"/>
    </row>
    <row r="36" spans="1:16" ht="28.8">
      <c r="A36" s="475" t="s">
        <v>908</v>
      </c>
      <c r="B36" s="475"/>
      <c r="C36" s="67" t="e">
        <f>C17</f>
        <v>#REF!</v>
      </c>
      <c r="D36" s="67" t="e">
        <f>D17</f>
        <v>#REF!</v>
      </c>
      <c r="E36" s="67" t="str">
        <f>E17</f>
        <v>LA team: Dr Pieter van Zyl and ATMs if applicable</v>
      </c>
      <c r="F36" s="475" t="s">
        <v>909</v>
      </c>
      <c r="G36" s="475"/>
      <c r="H36" s="70"/>
    </row>
    <row r="37" spans="1:16" ht="18" customHeight="1">
      <c r="A37" s="66">
        <v>0.41666666666666669</v>
      </c>
      <c r="B37" s="66">
        <v>0.4375</v>
      </c>
      <c r="C37" s="473" t="s">
        <v>916</v>
      </c>
      <c r="D37" s="473"/>
      <c r="E37" s="68" t="s">
        <v>914</v>
      </c>
      <c r="F37" s="66">
        <v>0.16666666666666666</v>
      </c>
      <c r="G37" s="66">
        <v>0.1875</v>
      </c>
      <c r="H37" s="70"/>
    </row>
    <row r="38" spans="1:16" ht="18" customHeight="1">
      <c r="A38" s="66">
        <v>0.4375</v>
      </c>
      <c r="B38" s="66">
        <v>0.45833333333333331</v>
      </c>
      <c r="C38" s="472" t="s">
        <v>966</v>
      </c>
      <c r="D38" s="472"/>
      <c r="E38" s="472"/>
      <c r="F38" s="66">
        <v>0.1875</v>
      </c>
      <c r="G38" s="66">
        <v>0.20833333333333334</v>
      </c>
      <c r="H38" s="70"/>
    </row>
    <row r="39" spans="1:16" ht="18" customHeight="1">
      <c r="A39" s="66">
        <v>0.45833333333333331</v>
      </c>
      <c r="B39" s="66">
        <v>0.47916666666666669</v>
      </c>
      <c r="C39" s="472"/>
      <c r="D39" s="472"/>
      <c r="E39" s="472"/>
      <c r="F39" s="66">
        <v>0.20833333333333334</v>
      </c>
      <c r="G39" s="66">
        <v>0.22916666666666666</v>
      </c>
      <c r="H39" s="70"/>
    </row>
    <row r="40" spans="1:16" ht="18" customHeight="1">
      <c r="A40" s="66">
        <v>0.47916666666666669</v>
      </c>
      <c r="B40" s="66">
        <v>0.5</v>
      </c>
      <c r="C40" s="472"/>
      <c r="D40" s="472"/>
      <c r="E40" s="472"/>
      <c r="F40" s="66">
        <v>0.22916666666666666</v>
      </c>
      <c r="G40" s="66">
        <v>0.25</v>
      </c>
      <c r="H40" s="70"/>
    </row>
    <row r="41" spans="1:16" ht="18" customHeight="1">
      <c r="A41" s="66">
        <v>0.5</v>
      </c>
      <c r="B41" s="66">
        <v>0.52083333333333337</v>
      </c>
      <c r="C41" s="473" t="s">
        <v>915</v>
      </c>
      <c r="D41" s="473"/>
      <c r="E41" s="473"/>
      <c r="F41" s="66">
        <v>0.25</v>
      </c>
      <c r="G41" s="66">
        <v>0.27083333333333331</v>
      </c>
      <c r="H41" s="70"/>
    </row>
    <row r="42" spans="1:16" ht="18" customHeight="1">
      <c r="A42" s="66">
        <v>0.52083333333333337</v>
      </c>
      <c r="B42" s="66">
        <v>0.54166666666666663</v>
      </c>
      <c r="C42" s="473"/>
      <c r="D42" s="473"/>
      <c r="E42" s="473"/>
      <c r="F42" s="66">
        <v>0.27083333333333331</v>
      </c>
      <c r="G42" s="66">
        <v>0.29166666666666669</v>
      </c>
      <c r="H42" s="70"/>
    </row>
    <row r="43" spans="1:16" ht="18" customHeight="1">
      <c r="A43" s="66">
        <v>0.54166666666666663</v>
      </c>
      <c r="B43" s="66">
        <v>0.5625</v>
      </c>
      <c r="C43" s="472" t="s">
        <v>966</v>
      </c>
      <c r="D43" s="472"/>
      <c r="E43" s="472"/>
      <c r="F43" s="66">
        <v>0.29166666666666669</v>
      </c>
      <c r="G43" s="66">
        <v>0.3125</v>
      </c>
      <c r="H43" s="70"/>
    </row>
    <row r="44" spans="1:16" ht="18" customHeight="1">
      <c r="A44" s="66">
        <v>0.5625</v>
      </c>
      <c r="B44" s="66">
        <v>0.58333333333333337</v>
      </c>
      <c r="C44" s="472"/>
      <c r="D44" s="472"/>
      <c r="E44" s="472"/>
      <c r="F44" s="66">
        <v>0.3125</v>
      </c>
      <c r="G44" s="66">
        <v>0.33333333333333331</v>
      </c>
      <c r="H44" s="70"/>
    </row>
    <row r="45" spans="1:16" ht="18" customHeight="1">
      <c r="A45" s="66">
        <v>0.58333333333333337</v>
      </c>
      <c r="B45" s="66">
        <v>0.60416666666666663</v>
      </c>
      <c r="C45" s="472"/>
      <c r="D45" s="472"/>
      <c r="E45" s="472"/>
      <c r="F45" s="66">
        <v>0.33333333333333331</v>
      </c>
      <c r="G45" s="66">
        <v>0.35416666666666669</v>
      </c>
      <c r="H45" s="70"/>
    </row>
    <row r="46" spans="1:16" ht="18" customHeight="1">
      <c r="A46" s="66">
        <v>0.60416666666666663</v>
      </c>
      <c r="B46" s="66">
        <v>0.625</v>
      </c>
      <c r="C46" s="472"/>
      <c r="D46" s="472"/>
      <c r="E46" s="472"/>
      <c r="F46" s="66">
        <v>0.35416666666666669</v>
      </c>
      <c r="G46" s="66">
        <v>0.375</v>
      </c>
      <c r="H46" s="70"/>
    </row>
    <row r="47" spans="1:16" ht="18" customHeight="1">
      <c r="A47" s="66">
        <v>0.625</v>
      </c>
      <c r="B47" s="66">
        <v>0.64583333333333337</v>
      </c>
      <c r="C47" s="472"/>
      <c r="D47" s="472"/>
      <c r="E47" s="472"/>
      <c r="F47" s="66">
        <v>0.375</v>
      </c>
      <c r="G47" s="66">
        <v>0.39583333333333331</v>
      </c>
      <c r="H47" s="70"/>
    </row>
    <row r="48" spans="1:16" ht="18" customHeight="1">
      <c r="A48" s="66">
        <v>0.64583333333333337</v>
      </c>
      <c r="B48" s="66">
        <v>0.66666666666666663</v>
      </c>
      <c r="C48" s="473" t="s">
        <v>916</v>
      </c>
      <c r="D48" s="473"/>
      <c r="E48" s="473" t="s">
        <v>914</v>
      </c>
      <c r="F48" s="66">
        <v>0.39583333333333331</v>
      </c>
      <c r="G48" s="66">
        <v>0.41666666666666669</v>
      </c>
      <c r="H48" s="70"/>
    </row>
    <row r="49" spans="1:8" ht="18" customHeight="1">
      <c r="A49" s="66">
        <v>0.66666666666666663</v>
      </c>
      <c r="B49" s="66">
        <v>0.6875</v>
      </c>
      <c r="C49" s="473"/>
      <c r="D49" s="473"/>
      <c r="E49" s="473"/>
      <c r="F49" s="66">
        <v>0.41666666666666669</v>
      </c>
      <c r="G49" s="66">
        <v>0.4375</v>
      </c>
      <c r="H49" s="70"/>
    </row>
    <row r="50" spans="1:8" ht="18" customHeight="1">
      <c r="A50" s="66">
        <v>0.6875</v>
      </c>
      <c r="B50" s="66">
        <v>0.70833333333333337</v>
      </c>
      <c r="C50" s="472" t="s">
        <v>967</v>
      </c>
      <c r="D50" s="472"/>
      <c r="E50" s="472"/>
      <c r="F50" s="66">
        <v>0.4375</v>
      </c>
      <c r="G50" s="66">
        <v>0.45833333333333331</v>
      </c>
      <c r="H50" s="70"/>
    </row>
    <row r="51" spans="1:8" ht="18" customHeight="1">
      <c r="A51" s="66">
        <v>0.70833333333333337</v>
      </c>
      <c r="B51" s="66">
        <v>0.72916666666666663</v>
      </c>
      <c r="C51" s="472"/>
      <c r="D51" s="472"/>
      <c r="E51" s="472"/>
      <c r="F51" s="66">
        <v>0.45833333333333331</v>
      </c>
      <c r="G51" s="66">
        <v>0.47916666666666669</v>
      </c>
      <c r="H51" s="70"/>
    </row>
    <row r="52" spans="1:8" ht="18" customHeight="1">
      <c r="A52" s="66">
        <v>0.72916666666666663</v>
      </c>
      <c r="B52" s="66">
        <v>0.75</v>
      </c>
      <c r="C52" s="473" t="s">
        <v>1099</v>
      </c>
      <c r="D52" s="473"/>
      <c r="E52" s="473"/>
      <c r="F52" s="66">
        <v>0.47916666666666669</v>
      </c>
      <c r="G52" s="66">
        <v>0.5</v>
      </c>
      <c r="H52" s="70"/>
    </row>
    <row r="53" spans="1:8" ht="18" customHeight="1">
      <c r="A53" s="66">
        <v>0.75</v>
      </c>
      <c r="B53" s="66">
        <v>0.83333333333333337</v>
      </c>
      <c r="C53" s="473" t="s">
        <v>917</v>
      </c>
      <c r="D53" s="473"/>
      <c r="E53" s="473"/>
      <c r="F53" s="66">
        <v>0.5</v>
      </c>
      <c r="G53" s="66">
        <v>0.58333333333333337</v>
      </c>
      <c r="H53" s="70"/>
    </row>
    <row r="54" spans="1:8">
      <c r="A54" s="468" t="str">
        <f>J6</f>
        <v>Day 5</v>
      </c>
      <c r="B54" s="468"/>
      <c r="C54" s="471">
        <f>I6</f>
        <v>44300</v>
      </c>
      <c r="D54" s="471"/>
      <c r="E54" s="471"/>
      <c r="F54" s="468" t="str">
        <f>A54</f>
        <v>Day 5</v>
      </c>
      <c r="G54" s="468"/>
      <c r="H54" s="70"/>
    </row>
    <row r="55" spans="1:8" ht="28.8">
      <c r="A55" s="468" t="s">
        <v>908</v>
      </c>
      <c r="B55" s="468"/>
      <c r="C55" s="64" t="e">
        <f>C36</f>
        <v>#REF!</v>
      </c>
      <c r="D55" s="64" t="e">
        <f>D36</f>
        <v>#REF!</v>
      </c>
      <c r="E55" s="64" t="str">
        <f>E36</f>
        <v>LA team: Dr Pieter van Zyl and ATMs if applicable</v>
      </c>
      <c r="F55" s="468" t="s">
        <v>909</v>
      </c>
      <c r="G55" s="468"/>
      <c r="H55" s="70"/>
    </row>
    <row r="56" spans="1:8" ht="18" customHeight="1">
      <c r="A56" s="66">
        <v>0.41666666666666669</v>
      </c>
      <c r="B56" s="66">
        <v>0.4375</v>
      </c>
      <c r="C56" s="473" t="s">
        <v>918</v>
      </c>
      <c r="D56" s="473"/>
      <c r="E56" s="68" t="s">
        <v>914</v>
      </c>
      <c r="F56" s="66">
        <v>0.16666666666666666</v>
      </c>
      <c r="G56" s="66">
        <v>0.1875</v>
      </c>
      <c r="H56" s="70"/>
    </row>
    <row r="57" spans="1:8" ht="18" customHeight="1">
      <c r="A57" s="66">
        <v>0.4375</v>
      </c>
      <c r="B57" s="66">
        <v>0.45833333333333331</v>
      </c>
      <c r="C57" s="472" t="s">
        <v>968</v>
      </c>
      <c r="D57" s="472"/>
      <c r="E57" s="472"/>
      <c r="F57" s="66">
        <v>0.1875</v>
      </c>
      <c r="G57" s="66">
        <v>0.20833333333333334</v>
      </c>
      <c r="H57" s="70"/>
    </row>
    <row r="58" spans="1:8" ht="18" customHeight="1">
      <c r="A58" s="66">
        <v>0.45833333333333331</v>
      </c>
      <c r="B58" s="66">
        <v>0.47916666666666669</v>
      </c>
      <c r="C58" s="472"/>
      <c r="D58" s="472"/>
      <c r="E58" s="472"/>
      <c r="F58" s="66">
        <v>0.20833333333333334</v>
      </c>
      <c r="G58" s="66">
        <v>0.22916666666666666</v>
      </c>
      <c r="H58" s="70"/>
    </row>
    <row r="59" spans="1:8" ht="18" customHeight="1">
      <c r="A59" s="66">
        <v>0.47916666666666669</v>
      </c>
      <c r="B59" s="66">
        <v>0.5</v>
      </c>
      <c r="C59" s="472"/>
      <c r="D59" s="472"/>
      <c r="E59" s="472"/>
      <c r="F59" s="66">
        <v>0.22916666666666666</v>
      </c>
      <c r="G59" s="66">
        <v>0.25</v>
      </c>
      <c r="H59" s="70"/>
    </row>
    <row r="60" spans="1:8" ht="18" customHeight="1">
      <c r="A60" s="66">
        <v>0.5</v>
      </c>
      <c r="B60" s="66">
        <v>0.52083333333333337</v>
      </c>
      <c r="C60" s="473" t="s">
        <v>915</v>
      </c>
      <c r="D60" s="473"/>
      <c r="E60" s="473"/>
      <c r="F60" s="66">
        <v>0.25</v>
      </c>
      <c r="G60" s="66">
        <v>0.27083333333333331</v>
      </c>
      <c r="H60" s="70"/>
    </row>
    <row r="61" spans="1:8" ht="18" customHeight="1">
      <c r="A61" s="66">
        <v>0.52083333333333337</v>
      </c>
      <c r="B61" s="66">
        <v>0.54166666666666663</v>
      </c>
      <c r="C61" s="473"/>
      <c r="D61" s="473"/>
      <c r="E61" s="473"/>
      <c r="F61" s="66">
        <v>0.27083333333333331</v>
      </c>
      <c r="G61" s="66">
        <v>0.29166666666666669</v>
      </c>
      <c r="H61" s="70"/>
    </row>
    <row r="62" spans="1:8" ht="18" customHeight="1">
      <c r="A62" s="66">
        <v>0.54166666666666663</v>
      </c>
      <c r="B62" s="66">
        <v>0.5625</v>
      </c>
      <c r="C62" s="472" t="s">
        <v>968</v>
      </c>
      <c r="D62" s="472"/>
      <c r="E62" s="472"/>
      <c r="F62" s="66">
        <v>0.29166666666666669</v>
      </c>
      <c r="G62" s="66">
        <v>0.3125</v>
      </c>
      <c r="H62" s="70"/>
    </row>
    <row r="63" spans="1:8" ht="18" customHeight="1">
      <c r="A63" s="66">
        <v>0.5625</v>
      </c>
      <c r="B63" s="66">
        <v>0.58333333333333337</v>
      </c>
      <c r="C63" s="472"/>
      <c r="D63" s="472"/>
      <c r="E63" s="472"/>
      <c r="F63" s="66">
        <v>0.3125</v>
      </c>
      <c r="G63" s="66">
        <v>0.33333333333333331</v>
      </c>
      <c r="H63" s="70"/>
    </row>
    <row r="64" spans="1:8" ht="18" customHeight="1">
      <c r="A64" s="66">
        <v>0.58333333333333337</v>
      </c>
      <c r="B64" s="66">
        <v>0.60416666666666663</v>
      </c>
      <c r="C64" s="472"/>
      <c r="D64" s="472"/>
      <c r="E64" s="472"/>
      <c r="F64" s="66">
        <v>0.33333333333333331</v>
      </c>
      <c r="G64" s="66">
        <v>0.35416666666666669</v>
      </c>
      <c r="H64" s="70"/>
    </row>
    <row r="65" spans="1:8" ht="18" customHeight="1">
      <c r="A65" s="66">
        <v>0.60416666666666663</v>
      </c>
      <c r="B65" s="66">
        <v>0.625</v>
      </c>
      <c r="C65" s="472"/>
      <c r="D65" s="472"/>
      <c r="E65" s="472"/>
      <c r="F65" s="66">
        <v>0.35416666666666669</v>
      </c>
      <c r="G65" s="66">
        <v>0.375</v>
      </c>
      <c r="H65" s="70"/>
    </row>
    <row r="66" spans="1:8" ht="18" customHeight="1">
      <c r="A66" s="66">
        <v>0.625</v>
      </c>
      <c r="B66" s="66">
        <v>0.64583333333333337</v>
      </c>
      <c r="C66" s="472"/>
      <c r="D66" s="472"/>
      <c r="E66" s="472"/>
      <c r="F66" s="66">
        <v>0.375</v>
      </c>
      <c r="G66" s="66">
        <v>0.39583333333333331</v>
      </c>
      <c r="H66" s="70"/>
    </row>
    <row r="67" spans="1:8" ht="18" customHeight="1">
      <c r="A67" s="66">
        <v>0.64583333333333337</v>
      </c>
      <c r="B67" s="66">
        <v>0.66666666666666663</v>
      </c>
      <c r="C67" s="472"/>
      <c r="D67" s="472"/>
      <c r="E67" s="472"/>
      <c r="F67" s="66">
        <v>0.39583333333333331</v>
      </c>
      <c r="G67" s="66">
        <v>0.41666666666666669</v>
      </c>
      <c r="H67" s="70"/>
    </row>
    <row r="68" spans="1:8" ht="18" customHeight="1">
      <c r="A68" s="66">
        <v>0.66666666666666663</v>
      </c>
      <c r="B68" s="66">
        <v>0.6875</v>
      </c>
      <c r="C68" s="473" t="s">
        <v>916</v>
      </c>
      <c r="D68" s="473"/>
      <c r="E68" s="473"/>
      <c r="F68" s="66">
        <v>0.41666666666666669</v>
      </c>
      <c r="G68" s="66">
        <v>0.4375</v>
      </c>
      <c r="H68" s="70"/>
    </row>
    <row r="69" spans="1:8" ht="18" customHeight="1">
      <c r="A69" s="66">
        <v>0.6875</v>
      </c>
      <c r="B69" s="66">
        <v>0.70833333333333337</v>
      </c>
      <c r="C69" s="472" t="s">
        <v>969</v>
      </c>
      <c r="D69" s="472"/>
      <c r="E69" s="472"/>
      <c r="F69" s="66">
        <v>0.4375</v>
      </c>
      <c r="G69" s="66">
        <v>0.45833333333333331</v>
      </c>
      <c r="H69" s="70"/>
    </row>
    <row r="70" spans="1:8" ht="18" customHeight="1">
      <c r="A70" s="66">
        <v>0.70833333333333337</v>
      </c>
      <c r="B70" s="66">
        <v>0.72916666666666663</v>
      </c>
      <c r="C70" s="472"/>
      <c r="D70" s="472"/>
      <c r="E70" s="472"/>
      <c r="F70" s="66">
        <v>0.45833333333333331</v>
      </c>
      <c r="G70" s="66">
        <v>0.47916666666666669</v>
      </c>
      <c r="H70" s="70"/>
    </row>
    <row r="71" spans="1:8" ht="18" customHeight="1">
      <c r="A71" s="66">
        <v>0.72916666666666663</v>
      </c>
      <c r="B71" s="66">
        <v>0.75</v>
      </c>
      <c r="C71" s="503" t="s">
        <v>1098</v>
      </c>
      <c r="D71" s="504"/>
      <c r="E71" s="505"/>
      <c r="F71" s="66">
        <v>0.47916666666666669</v>
      </c>
      <c r="G71" s="66">
        <v>0.5</v>
      </c>
      <c r="H71" s="70"/>
    </row>
    <row r="72" spans="1:8" ht="18" customHeight="1">
      <c r="A72" s="66">
        <v>0.75</v>
      </c>
      <c r="B72" s="66">
        <v>0.83333333333333337</v>
      </c>
      <c r="C72" s="506"/>
      <c r="D72" s="507"/>
      <c r="E72" s="508"/>
      <c r="F72" s="66">
        <v>0.5</v>
      </c>
      <c r="G72" s="66">
        <v>0.58333333333333337</v>
      </c>
      <c r="H72" s="70"/>
    </row>
    <row r="73" spans="1:8">
      <c r="A73" s="468" t="str">
        <f>J7</f>
        <v>Day 6</v>
      </c>
      <c r="B73" s="468"/>
      <c r="C73" s="471">
        <f>I7</f>
        <v>44301</v>
      </c>
      <c r="D73" s="471"/>
      <c r="E73" s="471"/>
      <c r="F73" s="468" t="str">
        <f>A73</f>
        <v>Day 6</v>
      </c>
      <c r="G73" s="468"/>
      <c r="H73" s="70"/>
    </row>
    <row r="74" spans="1:8" ht="28.8">
      <c r="A74" s="468" t="s">
        <v>908</v>
      </c>
      <c r="B74" s="468"/>
      <c r="C74" s="64" t="e">
        <f>C55</f>
        <v>#REF!</v>
      </c>
      <c r="D74" s="64" t="e">
        <f>D55</f>
        <v>#REF!</v>
      </c>
      <c r="E74" s="64" t="str">
        <f>E55</f>
        <v>LA team: Dr Pieter van Zyl and ATMs if applicable</v>
      </c>
      <c r="F74" s="468" t="s">
        <v>909</v>
      </c>
      <c r="G74" s="468"/>
      <c r="H74" s="70"/>
    </row>
    <row r="75" spans="1:8" ht="18" customHeight="1">
      <c r="A75" s="66">
        <v>0.41666666666666669</v>
      </c>
      <c r="B75" s="66">
        <v>0.4375</v>
      </c>
      <c r="C75" s="473" t="s">
        <v>916</v>
      </c>
      <c r="D75" s="473"/>
      <c r="E75" s="473"/>
      <c r="F75" s="66">
        <v>0.16666666666666666</v>
      </c>
      <c r="G75" s="66">
        <v>0.1875</v>
      </c>
      <c r="H75" s="70"/>
    </row>
    <row r="76" spans="1:8" ht="18" customHeight="1">
      <c r="A76" s="66">
        <v>0.4375</v>
      </c>
      <c r="B76" s="66">
        <v>0.45833333333333331</v>
      </c>
      <c r="C76" s="472" t="s">
        <v>970</v>
      </c>
      <c r="D76" s="472"/>
      <c r="E76" s="472"/>
      <c r="F76" s="66">
        <v>0.1875</v>
      </c>
      <c r="G76" s="66">
        <v>0.20833333333333334</v>
      </c>
      <c r="H76" s="70"/>
    </row>
    <row r="77" spans="1:8" ht="18" customHeight="1">
      <c r="A77" s="66">
        <v>0.45833333333333331</v>
      </c>
      <c r="B77" s="66">
        <v>0.47916666666666669</v>
      </c>
      <c r="C77" s="472"/>
      <c r="D77" s="472"/>
      <c r="E77" s="472"/>
      <c r="F77" s="66">
        <v>0.20833333333333334</v>
      </c>
      <c r="G77" s="66">
        <v>0.22916666666666666</v>
      </c>
      <c r="H77" s="70"/>
    </row>
    <row r="78" spans="1:8" ht="18" customHeight="1">
      <c r="A78" s="66">
        <v>0.47916666666666669</v>
      </c>
      <c r="B78" s="66">
        <v>0.5</v>
      </c>
      <c r="C78" s="473" t="s">
        <v>916</v>
      </c>
      <c r="D78" s="473"/>
      <c r="E78" s="473"/>
      <c r="F78" s="66">
        <v>0.22916666666666666</v>
      </c>
      <c r="G78" s="66">
        <v>0.25</v>
      </c>
      <c r="H78" s="70"/>
    </row>
    <row r="79" spans="1:8" ht="18" customHeight="1">
      <c r="A79" s="66">
        <v>0.5</v>
      </c>
      <c r="B79" s="66">
        <v>0.52083333333333337</v>
      </c>
      <c r="C79" s="473" t="s">
        <v>915</v>
      </c>
      <c r="D79" s="473"/>
      <c r="E79" s="473"/>
      <c r="F79" s="66">
        <v>0.25</v>
      </c>
      <c r="G79" s="66">
        <v>0.27083333333333331</v>
      </c>
      <c r="H79" s="70"/>
    </row>
    <row r="80" spans="1:8" ht="18" customHeight="1">
      <c r="A80" s="66">
        <v>0.52083333333333337</v>
      </c>
      <c r="B80" s="66">
        <v>0.54166666666666663</v>
      </c>
      <c r="C80" s="473"/>
      <c r="D80" s="473"/>
      <c r="E80" s="473"/>
      <c r="F80" s="66">
        <v>0.27083333333333331</v>
      </c>
      <c r="G80" s="66">
        <v>0.29166666666666669</v>
      </c>
      <c r="H80" s="70"/>
    </row>
    <row r="81" spans="1:8" ht="18" customHeight="1">
      <c r="A81" s="66">
        <v>0.54166666666666663</v>
      </c>
      <c r="B81" s="66">
        <v>0.5625</v>
      </c>
      <c r="C81" s="503" t="s">
        <v>1098</v>
      </c>
      <c r="D81" s="504"/>
      <c r="E81" s="505"/>
      <c r="F81" s="66">
        <v>0.29166666666666669</v>
      </c>
      <c r="G81" s="66">
        <v>0.3125</v>
      </c>
      <c r="H81" s="70"/>
    </row>
    <row r="82" spans="1:8" ht="18" customHeight="1">
      <c r="A82" s="66">
        <v>0.5625</v>
      </c>
      <c r="B82" s="66">
        <v>0.58333333333333337</v>
      </c>
      <c r="C82" s="506"/>
      <c r="D82" s="507"/>
      <c r="E82" s="508"/>
      <c r="F82" s="66">
        <v>0.3125</v>
      </c>
      <c r="G82" s="66">
        <v>0.33333333333333331</v>
      </c>
      <c r="H82" s="70"/>
    </row>
    <row r="83" spans="1:8" ht="18" customHeight="1">
      <c r="A83" s="66">
        <v>0.58333333333333337</v>
      </c>
      <c r="B83" s="66">
        <v>0.60416666666666663</v>
      </c>
      <c r="C83" s="497" t="s">
        <v>919</v>
      </c>
      <c r="D83" s="498"/>
      <c r="E83" s="499"/>
      <c r="F83" s="66">
        <v>0.33333333333333331</v>
      </c>
      <c r="G83" s="66">
        <v>0.35416666666666669</v>
      </c>
      <c r="H83" s="70"/>
    </row>
    <row r="84" spans="1:8" ht="18" customHeight="1">
      <c r="A84" s="66">
        <v>0.60416666666666663</v>
      </c>
      <c r="B84" s="66">
        <v>0.625</v>
      </c>
      <c r="C84" s="500"/>
      <c r="D84" s="501"/>
      <c r="E84" s="502"/>
      <c r="F84" s="66">
        <v>0.35416666666666669</v>
      </c>
      <c r="G84" s="66">
        <v>0.375</v>
      </c>
      <c r="H84" s="70"/>
    </row>
    <row r="85" spans="1:8" ht="18" customHeight="1">
      <c r="A85" s="66">
        <v>0.625</v>
      </c>
      <c r="B85" s="66">
        <v>0.64583333333333337</v>
      </c>
      <c r="C85" s="472" t="s">
        <v>971</v>
      </c>
      <c r="D85" s="472"/>
      <c r="E85" s="472"/>
      <c r="F85" s="66">
        <v>0.375</v>
      </c>
      <c r="G85" s="66">
        <v>0.39583333333333331</v>
      </c>
      <c r="H85" s="70"/>
    </row>
    <row r="86" spans="1:8" ht="18" customHeight="1">
      <c r="A86" s="66">
        <v>0.64583333333333337</v>
      </c>
      <c r="B86" s="66">
        <v>0.66666666666666663</v>
      </c>
      <c r="C86" s="472"/>
      <c r="D86" s="472"/>
      <c r="E86" s="472"/>
      <c r="F86" s="66">
        <v>0.39583333333333331</v>
      </c>
      <c r="G86" s="66">
        <v>0.41666666666666669</v>
      </c>
      <c r="H86" s="70"/>
    </row>
    <row r="87" spans="1:8" ht="18" customHeight="1">
      <c r="A87" s="66">
        <v>0.66666666666666663</v>
      </c>
      <c r="B87" s="66">
        <v>0.6875</v>
      </c>
      <c r="C87" s="473" t="s">
        <v>916</v>
      </c>
      <c r="D87" s="473"/>
      <c r="E87" s="473"/>
      <c r="F87" s="66">
        <v>0.41666666666666669</v>
      </c>
      <c r="G87" s="66">
        <v>0.4375</v>
      </c>
      <c r="H87" s="70"/>
    </row>
    <row r="88" spans="1:8" ht="18" customHeight="1">
      <c r="A88" s="66">
        <v>0.6875</v>
      </c>
      <c r="B88" s="66">
        <v>0.70833333333333337</v>
      </c>
      <c r="C88" s="473"/>
      <c r="D88" s="473"/>
      <c r="E88" s="473"/>
      <c r="F88" s="66">
        <v>0.4375</v>
      </c>
      <c r="G88" s="66">
        <v>0.45833333333333331</v>
      </c>
      <c r="H88" s="70"/>
    </row>
    <row r="89" spans="1:8" ht="18" customHeight="1">
      <c r="A89" s="66">
        <v>0.70833333333333337</v>
      </c>
      <c r="B89" s="66">
        <v>0.72916666666666663</v>
      </c>
      <c r="C89" s="473"/>
      <c r="D89" s="473"/>
      <c r="E89" s="473"/>
      <c r="F89" s="66">
        <v>0.45833333333333331</v>
      </c>
      <c r="G89" s="66">
        <v>0.47916666666666669</v>
      </c>
      <c r="H89" s="70"/>
    </row>
    <row r="90" spans="1:8" ht="18" customHeight="1">
      <c r="A90" s="66">
        <v>0.72916666666666663</v>
      </c>
      <c r="B90" s="66">
        <v>0.75</v>
      </c>
      <c r="C90" s="473"/>
      <c r="D90" s="473"/>
      <c r="E90" s="473"/>
      <c r="F90" s="66">
        <v>0.47916666666666669</v>
      </c>
      <c r="G90" s="66">
        <v>0.5</v>
      </c>
      <c r="H90" s="70"/>
    </row>
    <row r="91" spans="1:8" ht="18" customHeight="1">
      <c r="A91" s="66">
        <v>0.75</v>
      </c>
      <c r="B91" s="66">
        <v>0.83333333333333337</v>
      </c>
      <c r="C91" s="473" t="s">
        <v>917</v>
      </c>
      <c r="D91" s="473"/>
      <c r="E91" s="473"/>
      <c r="F91" s="66">
        <v>0.5</v>
      </c>
      <c r="G91" s="66">
        <v>0.58333333333333337</v>
      </c>
      <c r="H91" s="70"/>
    </row>
    <row r="92" spans="1:8">
      <c r="A92" s="468" t="str">
        <f>J8</f>
        <v>Day 7</v>
      </c>
      <c r="B92" s="468"/>
      <c r="C92" s="471">
        <f>I8</f>
        <v>44302</v>
      </c>
      <c r="D92" s="471"/>
      <c r="E92" s="471"/>
      <c r="F92" s="468" t="str">
        <f>A92</f>
        <v>Day 7</v>
      </c>
      <c r="G92" s="468"/>
      <c r="H92" s="70"/>
    </row>
    <row r="93" spans="1:8" ht="28.8">
      <c r="A93" s="468" t="s">
        <v>908</v>
      </c>
      <c r="B93" s="468"/>
      <c r="C93" s="64" t="e">
        <f>C74</f>
        <v>#REF!</v>
      </c>
      <c r="D93" s="64" t="e">
        <f>D74</f>
        <v>#REF!</v>
      </c>
      <c r="E93" s="64" t="str">
        <f>E74</f>
        <v>LA team: Dr Pieter van Zyl and ATMs if applicable</v>
      </c>
      <c r="F93" s="468" t="s">
        <v>909</v>
      </c>
      <c r="G93" s="468"/>
      <c r="H93" s="70"/>
    </row>
    <row r="94" spans="1:8" ht="18" customHeight="1">
      <c r="A94" s="66">
        <v>0.41666666666666669</v>
      </c>
      <c r="B94" s="66">
        <v>0.4375</v>
      </c>
      <c r="C94" s="473" t="s">
        <v>916</v>
      </c>
      <c r="D94" s="473"/>
      <c r="E94" s="473"/>
      <c r="F94" s="66">
        <v>0.16666666666666666</v>
      </c>
      <c r="G94" s="66">
        <v>0.1875</v>
      </c>
      <c r="H94" s="70"/>
    </row>
    <row r="95" spans="1:8" ht="18" customHeight="1">
      <c r="A95" s="66">
        <v>0.4375</v>
      </c>
      <c r="B95" s="66">
        <v>0.45833333333333331</v>
      </c>
      <c r="C95" s="482" t="s">
        <v>972</v>
      </c>
      <c r="D95" s="483"/>
      <c r="E95" s="484"/>
      <c r="F95" s="66">
        <v>0.1875</v>
      </c>
      <c r="G95" s="66">
        <v>0.20833333333333334</v>
      </c>
      <c r="H95" s="70"/>
    </row>
    <row r="96" spans="1:8" ht="18" customHeight="1">
      <c r="A96" s="66">
        <v>0.45833333333333331</v>
      </c>
      <c r="B96" s="66">
        <v>0.47916666666666669</v>
      </c>
      <c r="C96" s="485"/>
      <c r="D96" s="486"/>
      <c r="E96" s="487"/>
      <c r="F96" s="66">
        <v>0.20833333333333334</v>
      </c>
      <c r="G96" s="66">
        <v>0.22916666666666666</v>
      </c>
      <c r="H96" s="70"/>
    </row>
    <row r="97" spans="1:8" ht="18" customHeight="1">
      <c r="A97" s="66">
        <v>0.47916666666666669</v>
      </c>
      <c r="B97" s="66">
        <v>0.5</v>
      </c>
      <c r="C97" s="482" t="s">
        <v>973</v>
      </c>
      <c r="D97" s="483"/>
      <c r="E97" s="484"/>
      <c r="F97" s="66">
        <v>0.22916666666666666</v>
      </c>
      <c r="G97" s="66">
        <v>0.25</v>
      </c>
      <c r="H97" s="70"/>
    </row>
    <row r="98" spans="1:8" ht="18" customHeight="1">
      <c r="A98" s="66">
        <v>0.5</v>
      </c>
      <c r="B98" s="66">
        <v>0.52083333333333337</v>
      </c>
      <c r="C98" s="485"/>
      <c r="D98" s="486"/>
      <c r="E98" s="487"/>
      <c r="F98" s="66">
        <v>0.25</v>
      </c>
      <c r="G98" s="66">
        <v>0.27083333333333331</v>
      </c>
      <c r="H98" s="70"/>
    </row>
    <row r="99" spans="1:8" ht="18" customHeight="1">
      <c r="A99" s="66">
        <v>0.52083333333333337</v>
      </c>
      <c r="B99" s="66">
        <v>0.54166666666666663</v>
      </c>
      <c r="C99" s="488" t="s">
        <v>915</v>
      </c>
      <c r="D99" s="489"/>
      <c r="E99" s="490"/>
      <c r="F99" s="66">
        <v>0.27083333333333331</v>
      </c>
      <c r="G99" s="66">
        <v>0.29166666666666669</v>
      </c>
      <c r="H99" s="70"/>
    </row>
    <row r="100" spans="1:8" ht="18" customHeight="1">
      <c r="A100" s="66">
        <v>0.54166666666666663</v>
      </c>
      <c r="B100" s="66">
        <v>0.5625</v>
      </c>
      <c r="C100" s="494"/>
      <c r="D100" s="495"/>
      <c r="E100" s="496"/>
      <c r="F100" s="66">
        <v>0.29166666666666669</v>
      </c>
      <c r="G100" s="66">
        <v>0.3125</v>
      </c>
      <c r="H100" s="70"/>
    </row>
    <row r="101" spans="1:8" ht="18" customHeight="1">
      <c r="A101" s="66">
        <v>0.5625</v>
      </c>
      <c r="B101" s="66">
        <v>0.58333333333333337</v>
      </c>
      <c r="C101" s="488" t="s">
        <v>1600</v>
      </c>
      <c r="D101" s="489"/>
      <c r="E101" s="490"/>
      <c r="F101" s="66">
        <v>0.3125</v>
      </c>
      <c r="G101" s="66">
        <v>0.33333333333333331</v>
      </c>
      <c r="H101" s="70"/>
    </row>
    <row r="102" spans="1:8" ht="18" customHeight="1">
      <c r="A102" s="66">
        <v>0.58333333333333337</v>
      </c>
      <c r="B102" s="66">
        <v>0.60416666666666663</v>
      </c>
      <c r="C102" s="491"/>
      <c r="D102" s="492"/>
      <c r="E102" s="493"/>
      <c r="F102" s="66">
        <v>0.33333333333333331</v>
      </c>
      <c r="G102" s="66">
        <v>0.35416666666666669</v>
      </c>
      <c r="H102" s="70"/>
    </row>
    <row r="103" spans="1:8" ht="18" customHeight="1">
      <c r="A103" s="66">
        <v>0.60416666666666663</v>
      </c>
      <c r="B103" s="66">
        <v>0.625</v>
      </c>
      <c r="C103" s="494"/>
      <c r="D103" s="495"/>
      <c r="E103" s="496"/>
      <c r="F103" s="66">
        <v>0.35416666666666669</v>
      </c>
      <c r="G103" s="66">
        <v>0.375</v>
      </c>
      <c r="H103" s="70"/>
    </row>
    <row r="104" spans="1:8" ht="18" customHeight="1">
      <c r="A104" s="66">
        <v>0.625</v>
      </c>
      <c r="B104" s="66">
        <v>0.64583333333333337</v>
      </c>
      <c r="C104" s="480" t="s">
        <v>1599</v>
      </c>
      <c r="D104" s="480"/>
      <c r="E104" s="480"/>
      <c r="F104" s="66">
        <v>0.375</v>
      </c>
      <c r="G104" s="66">
        <v>0.39583333333333331</v>
      </c>
      <c r="H104" s="70"/>
    </row>
    <row r="105" spans="1:8" ht="18" customHeight="1">
      <c r="A105" s="66">
        <v>0.64583333333333337</v>
      </c>
      <c r="B105" s="66">
        <v>0.66666666666666663</v>
      </c>
      <c r="C105" s="480"/>
      <c r="D105" s="480"/>
      <c r="E105" s="480"/>
      <c r="F105" s="66">
        <v>0.39583333333333331</v>
      </c>
      <c r="G105" s="66">
        <v>0.41666666666666669</v>
      </c>
      <c r="H105" s="70"/>
    </row>
    <row r="106" spans="1:8" ht="18" customHeight="1">
      <c r="A106" s="66">
        <v>0.66666666666666663</v>
      </c>
      <c r="B106" s="66">
        <v>0.6875</v>
      </c>
      <c r="C106" s="473" t="s">
        <v>920</v>
      </c>
      <c r="D106" s="473"/>
      <c r="E106" s="473"/>
      <c r="F106" s="66">
        <v>0.41666666666666669</v>
      </c>
      <c r="G106" s="66">
        <v>0.4375</v>
      </c>
      <c r="H106" s="70"/>
    </row>
    <row r="107" spans="1:8" ht="18" customHeight="1">
      <c r="A107" s="66">
        <v>0.6875</v>
      </c>
      <c r="B107" s="66">
        <v>0.70833333333333337</v>
      </c>
      <c r="C107" s="473"/>
      <c r="D107" s="473"/>
      <c r="E107" s="473"/>
      <c r="F107" s="66">
        <v>0.4375</v>
      </c>
      <c r="G107" s="66">
        <v>0.45833333333333331</v>
      </c>
      <c r="H107" s="70"/>
    </row>
    <row r="108" spans="1:8" ht="18" customHeight="1">
      <c r="A108" s="66">
        <v>0.70833333333333337</v>
      </c>
      <c r="B108" s="66">
        <v>0.72916666666666663</v>
      </c>
      <c r="C108" s="473" t="s">
        <v>921</v>
      </c>
      <c r="D108" s="473"/>
      <c r="E108" s="473"/>
      <c r="F108" s="66">
        <v>0.45833333333333331</v>
      </c>
      <c r="G108" s="66">
        <v>0.47916666666666669</v>
      </c>
      <c r="H108" s="70"/>
    </row>
    <row r="109" spans="1:8" ht="18" customHeight="1">
      <c r="A109" s="66">
        <v>0.72916666666666663</v>
      </c>
      <c r="B109" s="66">
        <v>0.75</v>
      </c>
      <c r="C109" s="473"/>
      <c r="D109" s="473"/>
      <c r="E109" s="473"/>
      <c r="F109" s="66">
        <v>0.47916666666666669</v>
      </c>
      <c r="G109" s="66">
        <v>0.5</v>
      </c>
      <c r="H109" s="70"/>
    </row>
    <row r="110" spans="1:8" ht="18" customHeight="1">
      <c r="A110" s="66">
        <v>0.75</v>
      </c>
      <c r="B110" s="66">
        <v>0.83333333333333337</v>
      </c>
      <c r="C110" s="473"/>
      <c r="D110" s="473"/>
      <c r="E110" s="473"/>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1397</v>
      </c>
    </row>
    <row r="2" spans="1:8">
      <c r="A2" s="278" t="s">
        <v>1398</v>
      </c>
      <c r="B2" s="279">
        <f>Planning!B42</f>
        <v>44296</v>
      </c>
      <c r="C2" s="280">
        <f>B2+1</f>
        <v>44297</v>
      </c>
      <c r="D2" s="280">
        <f t="shared" ref="D2:G2" si="0">C2+1</f>
        <v>44298</v>
      </c>
      <c r="E2" s="280">
        <f t="shared" si="0"/>
        <v>44299</v>
      </c>
      <c r="F2" s="280">
        <f t="shared" si="0"/>
        <v>44300</v>
      </c>
      <c r="G2" s="280">
        <f t="shared" si="0"/>
        <v>44301</v>
      </c>
      <c r="H2" s="281" t="s">
        <v>1399</v>
      </c>
    </row>
    <row r="3" spans="1:8" ht="28.8">
      <c r="A3" s="282">
        <v>0.41666666666666702</v>
      </c>
      <c r="B3" s="509" t="s">
        <v>1400</v>
      </c>
      <c r="C3" s="283" t="s">
        <v>1401</v>
      </c>
      <c r="D3" s="284" t="s">
        <v>1402</v>
      </c>
      <c r="E3" s="284" t="s">
        <v>1402</v>
      </c>
      <c r="F3" s="510" t="s">
        <v>1403</v>
      </c>
      <c r="G3" s="510" t="s">
        <v>1404</v>
      </c>
      <c r="H3" s="285">
        <f t="shared" ref="H3:H19" si="1">+A3-0.25</f>
        <v>0.16666666666666702</v>
      </c>
    </row>
    <row r="4" spans="1:8">
      <c r="A4" s="282">
        <v>0.4375</v>
      </c>
      <c r="B4" s="509"/>
      <c r="C4" s="286" t="s">
        <v>1405</v>
      </c>
      <c r="D4" s="511" t="s">
        <v>1406</v>
      </c>
      <c r="E4" s="511" t="s">
        <v>1407</v>
      </c>
      <c r="F4" s="510"/>
      <c r="G4" s="510"/>
      <c r="H4" s="285">
        <f t="shared" si="1"/>
        <v>0.1875</v>
      </c>
    </row>
    <row r="5" spans="1:8">
      <c r="A5" s="282">
        <v>0.45833333333333398</v>
      </c>
      <c r="B5" s="512" t="s">
        <v>1408</v>
      </c>
      <c r="C5" s="513" t="s">
        <v>1409</v>
      </c>
      <c r="D5" s="511"/>
      <c r="E5" s="511"/>
      <c r="F5" s="510"/>
      <c r="G5" s="510"/>
      <c r="H5" s="285">
        <f t="shared" si="1"/>
        <v>0.20833333333333398</v>
      </c>
    </row>
    <row r="6" spans="1:8">
      <c r="A6" s="282">
        <v>0.47916666666666702</v>
      </c>
      <c r="B6" s="512"/>
      <c r="C6" s="513"/>
      <c r="D6" s="511"/>
      <c r="E6" s="511"/>
      <c r="F6" s="510"/>
      <c r="G6" s="283" t="s">
        <v>1405</v>
      </c>
      <c r="H6" s="285">
        <f t="shared" si="1"/>
        <v>0.22916666666666702</v>
      </c>
    </row>
    <row r="7" spans="1:8">
      <c r="A7" s="282">
        <v>0.5</v>
      </c>
      <c r="B7" s="512"/>
      <c r="C7" s="511" t="s">
        <v>1410</v>
      </c>
      <c r="D7" s="511"/>
      <c r="E7" s="511"/>
      <c r="F7" s="514" t="s">
        <v>915</v>
      </c>
      <c r="G7" s="514" t="s">
        <v>915</v>
      </c>
      <c r="H7" s="285">
        <f t="shared" si="1"/>
        <v>0.25</v>
      </c>
    </row>
    <row r="8" spans="1:8" ht="28.8">
      <c r="A8" s="282">
        <v>0.52083333333333404</v>
      </c>
      <c r="B8" s="287" t="s">
        <v>1400</v>
      </c>
      <c r="C8" s="511"/>
      <c r="D8" s="511"/>
      <c r="E8" s="511"/>
      <c r="F8" s="514"/>
      <c r="G8" s="514"/>
      <c r="H8" s="285">
        <f t="shared" si="1"/>
        <v>0.27083333333333404</v>
      </c>
    </row>
    <row r="9" spans="1:8">
      <c r="A9" s="282">
        <v>0.54166666666666696</v>
      </c>
      <c r="B9" s="515" t="s">
        <v>915</v>
      </c>
      <c r="C9" s="514" t="s">
        <v>915</v>
      </c>
      <c r="D9" s="514" t="s">
        <v>915</v>
      </c>
      <c r="E9" s="514" t="s">
        <v>915</v>
      </c>
      <c r="F9" s="283" t="s">
        <v>1405</v>
      </c>
      <c r="G9" s="513" t="s">
        <v>774</v>
      </c>
      <c r="H9" s="285">
        <f t="shared" si="1"/>
        <v>0.29166666666666696</v>
      </c>
    </row>
    <row r="10" spans="1:8">
      <c r="A10" s="282">
        <v>0.5625</v>
      </c>
      <c r="B10" s="515"/>
      <c r="C10" s="514"/>
      <c r="D10" s="514"/>
      <c r="E10" s="514"/>
      <c r="F10" s="513" t="s">
        <v>1411</v>
      </c>
      <c r="G10" s="513"/>
      <c r="H10" s="285">
        <f t="shared" si="1"/>
        <v>0.3125</v>
      </c>
    </row>
    <row r="11" spans="1:8">
      <c r="A11" s="282">
        <v>0.58333333333333304</v>
      </c>
      <c r="B11" s="509" t="s">
        <v>1412</v>
      </c>
      <c r="C11" s="511" t="s">
        <v>1413</v>
      </c>
      <c r="D11" s="511" t="s">
        <v>1414</v>
      </c>
      <c r="E11" s="511" t="s">
        <v>1415</v>
      </c>
      <c r="F11" s="513"/>
      <c r="G11" s="510" t="s">
        <v>1416</v>
      </c>
      <c r="H11" s="285">
        <f t="shared" si="1"/>
        <v>0.33333333333333304</v>
      </c>
    </row>
    <row r="12" spans="1:8">
      <c r="A12" s="282">
        <v>0.60416666666666696</v>
      </c>
      <c r="B12" s="509"/>
      <c r="C12" s="511"/>
      <c r="D12" s="511"/>
      <c r="E12" s="511"/>
      <c r="F12" s="513" t="s">
        <v>1417</v>
      </c>
      <c r="G12" s="510"/>
      <c r="H12" s="285">
        <f t="shared" si="1"/>
        <v>0.35416666666666696</v>
      </c>
    </row>
    <row r="13" spans="1:8">
      <c r="A13" s="282">
        <v>0.625</v>
      </c>
      <c r="B13" s="509"/>
      <c r="C13" s="511"/>
      <c r="D13" s="511" t="s">
        <v>1418</v>
      </c>
      <c r="E13" s="511"/>
      <c r="F13" s="513"/>
      <c r="G13" s="510"/>
      <c r="H13" s="285">
        <f t="shared" si="1"/>
        <v>0.375</v>
      </c>
    </row>
    <row r="14" spans="1:8">
      <c r="A14" s="282">
        <v>0.64583333333333304</v>
      </c>
      <c r="B14" s="509"/>
      <c r="C14" s="511"/>
      <c r="D14" s="511"/>
      <c r="E14" s="511"/>
      <c r="F14" s="510" t="s">
        <v>1404</v>
      </c>
      <c r="G14" s="516" t="s">
        <v>1419</v>
      </c>
      <c r="H14" s="285">
        <f t="shared" si="1"/>
        <v>0.39583333333333304</v>
      </c>
    </row>
    <row r="15" spans="1:8">
      <c r="A15" s="282">
        <v>0.66666666666666696</v>
      </c>
      <c r="B15" s="509"/>
      <c r="C15" s="286" t="s">
        <v>1405</v>
      </c>
      <c r="D15" s="511"/>
      <c r="E15" s="510" t="s">
        <v>1403</v>
      </c>
      <c r="F15" s="510"/>
      <c r="G15" s="516"/>
      <c r="H15" s="285">
        <f t="shared" si="1"/>
        <v>0.41666666666666696</v>
      </c>
    </row>
    <row r="16" spans="1:8">
      <c r="A16" s="282">
        <v>0.6875</v>
      </c>
      <c r="B16" s="509"/>
      <c r="C16" s="511" t="s">
        <v>1420</v>
      </c>
      <c r="D16" s="511" t="s">
        <v>1421</v>
      </c>
      <c r="E16" s="510"/>
      <c r="F16" s="510"/>
      <c r="G16" s="516"/>
      <c r="H16" s="285">
        <f t="shared" si="1"/>
        <v>0.4375</v>
      </c>
    </row>
    <row r="17" spans="1:8">
      <c r="A17" s="282">
        <v>0.70833333333333304</v>
      </c>
      <c r="B17" s="288" t="s">
        <v>1422</v>
      </c>
      <c r="C17" s="511"/>
      <c r="D17" s="511"/>
      <c r="E17" s="510"/>
      <c r="F17" s="510"/>
      <c r="G17" s="516"/>
      <c r="H17" s="285">
        <f t="shared" si="1"/>
        <v>0.45833333333333304</v>
      </c>
    </row>
    <row r="18" spans="1:8">
      <c r="A18" s="282">
        <v>0.72916666666666663</v>
      </c>
      <c r="B18" s="289" t="s">
        <v>1402</v>
      </c>
      <c r="C18" s="284" t="s">
        <v>1402</v>
      </c>
      <c r="D18" s="284" t="s">
        <v>1402</v>
      </c>
      <c r="E18" s="284" t="s">
        <v>1402</v>
      </c>
      <c r="F18" s="284" t="s">
        <v>1402</v>
      </c>
      <c r="G18" s="516"/>
      <c r="H18" s="285">
        <f t="shared" si="1"/>
        <v>0.47916666666666663</v>
      </c>
    </row>
    <row r="19" spans="1:8" ht="15" thickBot="1">
      <c r="A19" s="290">
        <v>0.75</v>
      </c>
      <c r="B19" s="517" t="s">
        <v>917</v>
      </c>
      <c r="C19" s="518"/>
      <c r="D19" s="518"/>
      <c r="E19" s="518"/>
      <c r="F19" s="518"/>
      <c r="G19" s="518"/>
      <c r="H19" s="291">
        <f t="shared" si="1"/>
        <v>0.5</v>
      </c>
    </row>
    <row r="21" spans="1:8" ht="15" thickBot="1">
      <c r="A21" s="8" t="s">
        <v>1423</v>
      </c>
    </row>
    <row r="22" spans="1:8">
      <c r="A22" s="278" t="s">
        <v>1398</v>
      </c>
      <c r="B22" s="279">
        <f>Planning!B42</f>
        <v>44296</v>
      </c>
      <c r="C22" s="279">
        <f>B22+1</f>
        <v>44297</v>
      </c>
      <c r="D22" s="279">
        <f t="shared" ref="D22:F22" si="2">C22+1</f>
        <v>44298</v>
      </c>
      <c r="E22" s="279">
        <f t="shared" si="2"/>
        <v>44299</v>
      </c>
      <c r="F22" s="279">
        <f t="shared" si="2"/>
        <v>44300</v>
      </c>
      <c r="G22" s="279">
        <f>F22+1</f>
        <v>44301</v>
      </c>
      <c r="H22" s="281" t="s">
        <v>1399</v>
      </c>
    </row>
    <row r="23" spans="1:8" ht="28.8">
      <c r="A23" s="282">
        <v>0.41666666666666702</v>
      </c>
      <c r="B23" s="509" t="s">
        <v>1400</v>
      </c>
      <c r="C23" s="283" t="s">
        <v>1401</v>
      </c>
      <c r="D23" s="284" t="s">
        <v>1402</v>
      </c>
      <c r="E23" s="284" t="s">
        <v>1402</v>
      </c>
      <c r="F23" s="519" t="s">
        <v>1403</v>
      </c>
      <c r="G23" s="519" t="s">
        <v>1404</v>
      </c>
      <c r="H23" s="285">
        <f t="shared" ref="H23:H39" si="3">+A23-0.25</f>
        <v>0.16666666666666702</v>
      </c>
    </row>
    <row r="24" spans="1:8">
      <c r="A24" s="282">
        <v>0.4375</v>
      </c>
      <c r="B24" s="509"/>
      <c r="C24" s="286" t="s">
        <v>1405</v>
      </c>
      <c r="D24" s="511" t="s">
        <v>1406</v>
      </c>
      <c r="E24" s="511" t="s">
        <v>1407</v>
      </c>
      <c r="F24" s="520"/>
      <c r="G24" s="520"/>
      <c r="H24" s="285">
        <f t="shared" si="3"/>
        <v>0.1875</v>
      </c>
    </row>
    <row r="25" spans="1:8">
      <c r="A25" s="282">
        <v>0.45833333333333398</v>
      </c>
      <c r="B25" s="512" t="s">
        <v>1408</v>
      </c>
      <c r="C25" s="513" t="s">
        <v>1409</v>
      </c>
      <c r="D25" s="511"/>
      <c r="E25" s="511"/>
      <c r="F25" s="520"/>
      <c r="G25" s="520"/>
      <c r="H25" s="285">
        <f t="shared" si="3"/>
        <v>0.20833333333333398</v>
      </c>
    </row>
    <row r="26" spans="1:8">
      <c r="A26" s="282">
        <v>0.47916666666666702</v>
      </c>
      <c r="B26" s="512"/>
      <c r="C26" s="513"/>
      <c r="D26" s="511"/>
      <c r="E26" s="511"/>
      <c r="F26" s="520"/>
      <c r="G26" s="520"/>
      <c r="H26" s="285">
        <f t="shared" si="3"/>
        <v>0.22916666666666702</v>
      </c>
    </row>
    <row r="27" spans="1:8">
      <c r="A27" s="282">
        <v>0.5</v>
      </c>
      <c r="B27" s="512"/>
      <c r="C27" s="511" t="s">
        <v>1410</v>
      </c>
      <c r="D27" s="511"/>
      <c r="E27" s="511"/>
      <c r="F27" s="520"/>
      <c r="G27" s="520"/>
      <c r="H27" s="285">
        <f t="shared" si="3"/>
        <v>0.25</v>
      </c>
    </row>
    <row r="28" spans="1:8" ht="28.8">
      <c r="A28" s="282">
        <v>0.52083333333333404</v>
      </c>
      <c r="B28" s="287" t="s">
        <v>1400</v>
      </c>
      <c r="C28" s="511"/>
      <c r="D28" s="511"/>
      <c r="E28" s="511"/>
      <c r="F28" s="521"/>
      <c r="G28" s="521"/>
      <c r="H28" s="285">
        <f t="shared" si="3"/>
        <v>0.27083333333333404</v>
      </c>
    </row>
    <row r="29" spans="1:8">
      <c r="A29" s="282">
        <v>0.54166666666666696</v>
      </c>
      <c r="B29" s="515" t="s">
        <v>915</v>
      </c>
      <c r="C29" s="514" t="s">
        <v>915</v>
      </c>
      <c r="D29" s="514" t="s">
        <v>915</v>
      </c>
      <c r="E29" s="514" t="s">
        <v>915</v>
      </c>
      <c r="F29" s="514" t="s">
        <v>915</v>
      </c>
      <c r="G29" s="514" t="s">
        <v>915</v>
      </c>
      <c r="H29" s="285">
        <f t="shared" si="3"/>
        <v>0.29166666666666696</v>
      </c>
    </row>
    <row r="30" spans="1:8">
      <c r="A30" s="282">
        <v>0.5625</v>
      </c>
      <c r="B30" s="515"/>
      <c r="C30" s="514"/>
      <c r="D30" s="514"/>
      <c r="E30" s="514"/>
      <c r="F30" s="514"/>
      <c r="G30" s="514"/>
      <c r="H30" s="285">
        <f t="shared" si="3"/>
        <v>0.3125</v>
      </c>
    </row>
    <row r="31" spans="1:8">
      <c r="A31" s="282">
        <v>0.58333333333333304</v>
      </c>
      <c r="B31" s="519" t="s">
        <v>1412</v>
      </c>
      <c r="C31" s="511" t="s">
        <v>1413</v>
      </c>
      <c r="D31" s="511" t="s">
        <v>1414</v>
      </c>
      <c r="E31" s="511" t="s">
        <v>1415</v>
      </c>
      <c r="F31" s="284" t="s">
        <v>1405</v>
      </c>
      <c r="G31" s="284" t="s">
        <v>1405</v>
      </c>
      <c r="H31" s="285">
        <f t="shared" si="3"/>
        <v>0.33333333333333304</v>
      </c>
    </row>
    <row r="32" spans="1:8">
      <c r="A32" s="282">
        <v>0.60416666666666696</v>
      </c>
      <c r="B32" s="520"/>
      <c r="C32" s="511"/>
      <c r="D32" s="511"/>
      <c r="E32" s="511"/>
      <c r="F32" s="513" t="s">
        <v>1411</v>
      </c>
      <c r="G32" s="513" t="s">
        <v>1598</v>
      </c>
      <c r="H32" s="285">
        <f t="shared" si="3"/>
        <v>0.35416666666666696</v>
      </c>
    </row>
    <row r="33" spans="1:8">
      <c r="A33" s="282">
        <v>0.625</v>
      </c>
      <c r="B33" s="520"/>
      <c r="C33" s="511"/>
      <c r="D33" s="511" t="s">
        <v>1418</v>
      </c>
      <c r="E33" s="511"/>
      <c r="F33" s="513"/>
      <c r="G33" s="513"/>
      <c r="H33" s="285">
        <f t="shared" si="3"/>
        <v>0.375</v>
      </c>
    </row>
    <row r="34" spans="1:8">
      <c r="A34" s="282">
        <v>0.64583333333333304</v>
      </c>
      <c r="B34" s="520"/>
      <c r="C34" s="511"/>
      <c r="D34" s="511"/>
      <c r="E34" s="511"/>
      <c r="F34" s="513" t="s">
        <v>1417</v>
      </c>
      <c r="G34" s="522" t="s">
        <v>1424</v>
      </c>
      <c r="H34" s="285">
        <f t="shared" si="3"/>
        <v>0.39583333333333304</v>
      </c>
    </row>
    <row r="35" spans="1:8">
      <c r="A35" s="282">
        <v>0.66666666666666696</v>
      </c>
      <c r="B35" s="521"/>
      <c r="C35" s="286" t="s">
        <v>1405</v>
      </c>
      <c r="D35" s="511"/>
      <c r="E35" s="510" t="s">
        <v>1403</v>
      </c>
      <c r="F35" s="513"/>
      <c r="G35" s="523"/>
      <c r="H35" s="285">
        <f t="shared" si="3"/>
        <v>0.41666666666666696</v>
      </c>
    </row>
    <row r="36" spans="1:8">
      <c r="A36" s="282">
        <v>0.6875</v>
      </c>
      <c r="B36" s="292" t="s">
        <v>1425</v>
      </c>
      <c r="C36" s="511" t="s">
        <v>1420</v>
      </c>
      <c r="D36" s="511" t="s">
        <v>1421</v>
      </c>
      <c r="E36" s="510"/>
      <c r="F36" s="519" t="s">
        <v>1404</v>
      </c>
      <c r="G36" s="522" t="s">
        <v>1426</v>
      </c>
      <c r="H36" s="285">
        <f t="shared" si="3"/>
        <v>0.4375</v>
      </c>
    </row>
    <row r="37" spans="1:8">
      <c r="A37" s="282">
        <v>0.70833333333333304</v>
      </c>
      <c r="B37" s="288" t="s">
        <v>1422</v>
      </c>
      <c r="C37" s="511"/>
      <c r="D37" s="511"/>
      <c r="E37" s="510"/>
      <c r="F37" s="521"/>
      <c r="G37" s="523"/>
      <c r="H37" s="285">
        <f t="shared" si="3"/>
        <v>0.45833333333333304</v>
      </c>
    </row>
    <row r="38" spans="1:8">
      <c r="A38" s="282">
        <v>0.72916666666666663</v>
      </c>
      <c r="B38" s="289" t="s">
        <v>1402</v>
      </c>
      <c r="C38" s="284" t="s">
        <v>1402</v>
      </c>
      <c r="D38" s="284" t="s">
        <v>1402</v>
      </c>
      <c r="E38" s="284" t="s">
        <v>1402</v>
      </c>
      <c r="F38" s="284" t="s">
        <v>1402</v>
      </c>
      <c r="G38" s="524"/>
      <c r="H38" s="285">
        <f t="shared" si="3"/>
        <v>0.47916666666666663</v>
      </c>
    </row>
    <row r="39" spans="1:8" ht="15" thickBot="1">
      <c r="A39" s="290">
        <v>0.75</v>
      </c>
      <c r="B39" s="517" t="s">
        <v>917</v>
      </c>
      <c r="C39" s="518"/>
      <c r="D39" s="518"/>
      <c r="E39" s="518"/>
      <c r="F39" s="518"/>
      <c r="G39" s="518"/>
      <c r="H39" s="291">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Donald Kessler</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1571</v>
      </c>
    </row>
    <row r="25" spans="1:24">
      <c r="C25" s="356" t="s">
        <v>1572</v>
      </c>
    </row>
    <row r="26" spans="1:24">
      <c r="C26" s="124" t="s">
        <v>1573</v>
      </c>
    </row>
    <row r="27" spans="1:24">
      <c r="C27" s="246" t="s">
        <v>1574</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1381</v>
      </c>
      <c r="B1" s="15"/>
      <c r="C1" s="15"/>
      <c r="D1" s="15"/>
    </row>
    <row r="2" spans="1:22" s="11" customFormat="1">
      <c r="A2" s="27" t="s">
        <v>1370</v>
      </c>
      <c r="B2" s="28"/>
      <c r="C2" s="28"/>
      <c r="D2" s="28"/>
      <c r="E2" s="16"/>
      <c r="F2" s="16"/>
      <c r="G2" s="16"/>
      <c r="H2" s="16"/>
      <c r="I2" s="16"/>
      <c r="J2" s="16"/>
      <c r="K2" s="16"/>
      <c r="L2" s="16"/>
      <c r="M2" s="16"/>
      <c r="N2" s="16"/>
      <c r="O2" s="16"/>
      <c r="P2" s="16"/>
      <c r="Q2" s="16"/>
      <c r="R2" s="16"/>
      <c r="S2" s="16"/>
      <c r="T2" s="16"/>
      <c r="U2" s="16"/>
      <c r="V2" s="16"/>
    </row>
    <row r="3" spans="1:22">
      <c r="A3" s="16" t="s">
        <v>885</v>
      </c>
      <c r="B3" s="60" t="s">
        <v>1371</v>
      </c>
      <c r="C3" s="277" t="s">
        <v>1372</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1353</v>
      </c>
      <c r="B7" s="60">
        <v>4</v>
      </c>
      <c r="C7" s="277" t="str">
        <f t="shared" si="0"/>
        <v>Engineers (4)</v>
      </c>
    </row>
    <row r="8" spans="1:22">
      <c r="A8" s="16" t="s">
        <v>1369</v>
      </c>
      <c r="B8" s="60">
        <v>2</v>
      </c>
      <c r="C8" s="277" t="str">
        <f t="shared" si="0"/>
        <v>EPG (2)</v>
      </c>
    </row>
    <row r="9" spans="1:22">
      <c r="A9" s="16" t="s">
        <v>734</v>
      </c>
      <c r="B9" s="60">
        <v>1</v>
      </c>
      <c r="C9" s="277" t="str">
        <f t="shared" si="0"/>
        <v>OT (1)</v>
      </c>
    </row>
    <row r="10" spans="1:22">
      <c r="A10" s="16" t="s">
        <v>1374</v>
      </c>
      <c r="B10" s="60">
        <v>1</v>
      </c>
      <c r="C10" s="277" t="str">
        <f t="shared" si="0"/>
        <v>OUC (1)</v>
      </c>
    </row>
    <row r="11" spans="1:22">
      <c r="A11" s="16" t="s">
        <v>1358</v>
      </c>
      <c r="B11" s="60">
        <v>2</v>
      </c>
      <c r="C11" s="277" t="str">
        <f t="shared" si="0"/>
        <v>PMs (2)</v>
      </c>
    </row>
    <row r="12" spans="1:22">
      <c r="A12" s="16" t="s">
        <v>814</v>
      </c>
      <c r="B12" s="60">
        <v>1</v>
      </c>
      <c r="C12" s="277" t="str">
        <f t="shared" si="0"/>
        <v>PQA (1)</v>
      </c>
    </row>
    <row r="13" spans="1:22">
      <c r="A13" s="16" t="s">
        <v>1373</v>
      </c>
      <c r="B13" s="60">
        <v>1</v>
      </c>
      <c r="C13" s="277" t="str">
        <f t="shared" si="0"/>
        <v>SM (1)</v>
      </c>
    </row>
    <row r="14" spans="1:22">
      <c r="A14" s="16" t="s">
        <v>586</v>
      </c>
      <c r="B14" s="60">
        <v>1</v>
      </c>
      <c r="C14" s="277" t="str">
        <f t="shared" si="0"/>
        <v>Sponsor (1)</v>
      </c>
    </row>
    <row r="15" spans="1:22">
      <c r="A15" s="16" t="s">
        <v>1375</v>
      </c>
      <c r="B15" s="60">
        <v>1</v>
      </c>
      <c r="C15" s="277" t="str">
        <f t="shared" si="0"/>
        <v>RI (1)</v>
      </c>
    </row>
    <row r="16" spans="1:22">
      <c r="A16" s="16" t="s">
        <v>1376</v>
      </c>
      <c r="B16" s="277">
        <f>B7+B6</f>
        <v>5</v>
      </c>
      <c r="C16" s="277" t="str">
        <f t="shared" si="0"/>
        <v>ParticipantsPrelim1 (5)</v>
      </c>
    </row>
    <row r="17" spans="1:22">
      <c r="A17" s="16" t="s">
        <v>1377</v>
      </c>
      <c r="B17" s="277">
        <f>B8+B9+B11+B12</f>
        <v>6</v>
      </c>
      <c r="C17" s="277" t="str">
        <f t="shared" si="0"/>
        <v>ParticipantsPrelim2 (6)</v>
      </c>
    </row>
    <row r="18" spans="1:22">
      <c r="A18" s="16" t="s">
        <v>1380</v>
      </c>
      <c r="B18" s="60">
        <v>5</v>
      </c>
      <c r="C18" s="277" t="str">
        <f t="shared" si="0"/>
        <v>ParticipantsTechTest (5)</v>
      </c>
    </row>
    <row r="19" spans="1:22">
      <c r="A19" s="16" t="s">
        <v>1378</v>
      </c>
      <c r="B19" s="277">
        <f>B13+B12+B11+B10+B9+B7+B6+B5</f>
        <v>15</v>
      </c>
      <c r="C19" s="277" t="str">
        <f t="shared" si="0"/>
        <v>ParticipantsOpen (15)</v>
      </c>
    </row>
    <row r="20" spans="1:22">
      <c r="A20" s="16" t="s">
        <v>1379</v>
      </c>
      <c r="B20" s="277">
        <f>B14+B13+B12+B11+B10+B8+B7+B6</f>
        <v>13</v>
      </c>
      <c r="C20" s="277" t="str">
        <f t="shared" si="0"/>
        <v>ParticipantsFinal (13)</v>
      </c>
    </row>
    <row r="21" spans="1:22">
      <c r="B21" s="60"/>
      <c r="C21" s="60"/>
    </row>
    <row r="22" spans="1:22" s="11" customFormat="1">
      <c r="A22" s="27" t="s">
        <v>1382</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1343</v>
      </c>
      <c r="B23" s="14" t="s">
        <v>1344</v>
      </c>
      <c r="C23" s="14" t="s">
        <v>1345</v>
      </c>
      <c r="D23" s="14" t="s">
        <v>1346</v>
      </c>
    </row>
    <row r="24" spans="1:22">
      <c r="A24" s="16" t="s">
        <v>1347</v>
      </c>
      <c r="B24" s="78" t="str">
        <f>C4</f>
        <v>ATL (1)</v>
      </c>
      <c r="C24" s="16" t="s">
        <v>1348</v>
      </c>
      <c r="D24" s="16">
        <v>120</v>
      </c>
    </row>
    <row r="25" spans="1:22">
      <c r="A25" s="16" t="s">
        <v>1347</v>
      </c>
      <c r="B25" s="78" t="str">
        <f>C5</f>
        <v>ATM (4)</v>
      </c>
      <c r="C25" s="16" t="s">
        <v>1348</v>
      </c>
      <c r="D25" s="16">
        <v>8</v>
      </c>
    </row>
    <row r="26" spans="1:22">
      <c r="A26" s="16" t="s">
        <v>1349</v>
      </c>
      <c r="B26" s="78" t="str">
        <f>_xlfn.CONCAT(C4,", ",C5,", ",C15)</f>
        <v>ATL (1), ATM (4), RI (1)</v>
      </c>
      <c r="C26" s="16" t="s">
        <v>1350</v>
      </c>
      <c r="D26" s="16">
        <v>8</v>
      </c>
    </row>
    <row r="27" spans="1:22">
      <c r="A27" s="16" t="s">
        <v>732</v>
      </c>
      <c r="B27" s="78" t="str">
        <f>_xlfn.CONCAT(B26,", ",C6)</f>
        <v>ATL (1), ATM (4), RI (1), CM (1)</v>
      </c>
      <c r="C27" s="16" t="s">
        <v>601</v>
      </c>
      <c r="D27" s="16">
        <v>1</v>
      </c>
    </row>
    <row r="28" spans="1:22">
      <c r="A28" s="16" t="s">
        <v>1351</v>
      </c>
      <c r="B28" s="78" t="str">
        <f>B26</f>
        <v>ATL (1), ATM (4), RI (1)</v>
      </c>
      <c r="C28" s="16" t="s">
        <v>1352</v>
      </c>
      <c r="D28" s="16">
        <v>12</v>
      </c>
    </row>
    <row r="29" spans="1:22">
      <c r="A29" s="16" t="s">
        <v>1353</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1718</v>
      </c>
      <c r="D32" s="16">
        <v>24</v>
      </c>
    </row>
    <row r="33" spans="1:4">
      <c r="A33" s="16" t="s">
        <v>1354</v>
      </c>
      <c r="B33" s="78" t="str">
        <f>_xlfn.CONCAT(C4,", ",C15,", ",C10,", ",C8)</f>
        <v>ATL (1), RI (1), OUC (1), EPG (2)</v>
      </c>
      <c r="C33" s="16" t="s">
        <v>1355</v>
      </c>
      <c r="D33" s="16">
        <v>40</v>
      </c>
    </row>
    <row r="34" spans="1:4">
      <c r="A34" s="16" t="s">
        <v>1356</v>
      </c>
      <c r="B34" s="78" t="str">
        <f>_xlfn.CONCAT(C4,", ",C15,", ",C10,", ",C8)</f>
        <v>ATL (1), RI (1), OUC (1), EPG (2)</v>
      </c>
      <c r="C34" s="16" t="s">
        <v>1355</v>
      </c>
      <c r="D34" s="16">
        <v>120</v>
      </c>
    </row>
    <row r="35" spans="1:4">
      <c r="A35" s="16" t="s">
        <v>620</v>
      </c>
      <c r="B35" s="78" t="str">
        <f>_xlfn.CONCAT(B26,", ",C19,", ",C14)</f>
        <v>ATL (1), ATM (4), RI (1), ParticipantsOpen (15), Sponsor (1)</v>
      </c>
      <c r="C35" s="16" t="s">
        <v>1357</v>
      </c>
      <c r="D35" s="16">
        <v>1</v>
      </c>
    </row>
    <row r="36" spans="1:4">
      <c r="A36" s="16" t="s">
        <v>734</v>
      </c>
      <c r="B36" s="78" t="str">
        <f>_xlfn.CONCAT(B26,", ",C9)</f>
        <v>ATL (1), ATM (4), RI (1), OT (1)</v>
      </c>
      <c r="C36" s="16" t="s">
        <v>601</v>
      </c>
      <c r="D36" s="16">
        <v>1</v>
      </c>
    </row>
    <row r="37" spans="1:4">
      <c r="A37" s="16" t="s">
        <v>1358</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1359</v>
      </c>
      <c r="B39" s="78" t="str">
        <f>_xlfn.CONCAT(B26,", ",C16)</f>
        <v>ATL (1), ATM (4), RI (1), ParticipantsPrelim1 (5)</v>
      </c>
      <c r="C39" s="16" t="s">
        <v>736</v>
      </c>
      <c r="D39" s="16">
        <v>1</v>
      </c>
    </row>
    <row r="40" spans="1:4">
      <c r="A40" s="16" t="s">
        <v>1360</v>
      </c>
      <c r="B40" s="78" t="str">
        <f>_xlfn.CONCAT(B26,", ",C17)</f>
        <v>ATL (1), ATM (4), RI (1), ParticipantsPrelim2 (6)</v>
      </c>
      <c r="C40" s="16" t="s">
        <v>736</v>
      </c>
      <c r="D40" s="16">
        <v>1</v>
      </c>
    </row>
    <row r="41" spans="1:4">
      <c r="A41" s="16" t="s">
        <v>1361</v>
      </c>
      <c r="B41" s="78" t="str">
        <f>_xlfn.CONCAT(C4,", ","ATM(2)",", ",C15)</f>
        <v>ATL (1), ATM(2), RI (1)</v>
      </c>
      <c r="C41" s="16" t="s">
        <v>1362</v>
      </c>
      <c r="D41" s="16">
        <v>4</v>
      </c>
    </row>
    <row r="42" spans="1:4">
      <c r="A42" s="16" t="s">
        <v>1363</v>
      </c>
      <c r="B42" s="78" t="str">
        <f>B41</f>
        <v>ATL (1), ATM(2), RI (1)</v>
      </c>
      <c r="C42" s="16" t="s">
        <v>1362</v>
      </c>
      <c r="D42" s="16">
        <v>4</v>
      </c>
    </row>
    <row r="43" spans="1:4">
      <c r="A43" s="16" t="s">
        <v>1364</v>
      </c>
      <c r="B43" s="78" t="str">
        <f>_xlfn.CONCAT(B26)</f>
        <v>ATL (1), ATM (4), RI (1)</v>
      </c>
      <c r="C43" s="16" t="s">
        <v>1365</v>
      </c>
      <c r="D43" s="16">
        <v>4</v>
      </c>
    </row>
    <row r="44" spans="1:4">
      <c r="A44" s="16" t="s">
        <v>1366</v>
      </c>
      <c r="B44" s="78" t="str">
        <f>_xlfn.CONCAT(B26,", ",C13)</f>
        <v>ATL (1), ATM (4), RI (1), SM (1)</v>
      </c>
      <c r="C44" s="16" t="s">
        <v>601</v>
      </c>
      <c r="D44" s="16">
        <v>1</v>
      </c>
    </row>
    <row r="45" spans="1:4">
      <c r="A45" s="16" t="s">
        <v>1367</v>
      </c>
      <c r="B45" s="78" t="str">
        <f>_xlfn.CONCAT(B26,", ",C14)</f>
        <v>ATL (1), ATM (4), RI (1), Sponsor (1)</v>
      </c>
      <c r="C45" s="16" t="s">
        <v>1348</v>
      </c>
      <c r="D45" s="16">
        <v>5</v>
      </c>
    </row>
    <row r="46" spans="1:4">
      <c r="A46" s="16" t="s">
        <v>1368</v>
      </c>
      <c r="B46" s="78" t="str">
        <f>_xlfn.CONCAT("ATL(1), ATM(1), RI(1) ,","",C18)</f>
        <v>ATL(1), ATM(1), RI(1) ,ParticipantsTechTest (5)</v>
      </c>
      <c r="C46" s="16" t="s">
        <v>1368</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1292</v>
      </c>
      <c r="B1" t="s">
        <v>1275</v>
      </c>
      <c r="C1" s="245" t="s">
        <v>1276</v>
      </c>
      <c r="D1" t="s">
        <v>1293</v>
      </c>
      <c r="E1" t="s">
        <v>1294</v>
      </c>
      <c r="F1" s="245" t="s">
        <v>1279</v>
      </c>
      <c r="G1" s="245" t="s">
        <v>1280</v>
      </c>
      <c r="H1" t="s">
        <v>1295</v>
      </c>
      <c r="I1" t="s">
        <v>1296</v>
      </c>
      <c r="J1" t="s">
        <v>1297</v>
      </c>
      <c r="K1" t="s">
        <v>31</v>
      </c>
      <c r="L1" t="s">
        <v>32</v>
      </c>
      <c r="M1" t="s">
        <v>33</v>
      </c>
      <c r="N1" t="s">
        <v>34</v>
      </c>
      <c r="O1" t="s">
        <v>35</v>
      </c>
      <c r="P1" t="s">
        <v>17</v>
      </c>
    </row>
    <row r="2" spans="1:16">
      <c r="A2" t="s">
        <v>1315</v>
      </c>
      <c r="B2" t="s">
        <v>1299</v>
      </c>
      <c r="C2">
        <v>1</v>
      </c>
      <c r="D2" t="s">
        <v>1486</v>
      </c>
      <c r="E2" t="s">
        <v>388</v>
      </c>
      <c r="H2" t="s">
        <v>1313</v>
      </c>
      <c r="I2" t="s">
        <v>388</v>
      </c>
      <c r="J2" t="s">
        <v>1510</v>
      </c>
      <c r="K2" t="s">
        <v>1538</v>
      </c>
      <c r="L2" t="s">
        <v>1537</v>
      </c>
      <c r="M2" t="s">
        <v>1529</v>
      </c>
      <c r="N2" t="s">
        <v>1530</v>
      </c>
      <c r="O2" t="s">
        <v>1542</v>
      </c>
      <c r="P2" t="s">
        <v>18</v>
      </c>
    </row>
    <row r="3" spans="1:16">
      <c r="A3" t="s">
        <v>1316</v>
      </c>
      <c r="B3" t="s">
        <v>1299</v>
      </c>
      <c r="C3">
        <v>2</v>
      </c>
      <c r="D3" t="s">
        <v>1487</v>
      </c>
      <c r="E3" t="s">
        <v>388</v>
      </c>
      <c r="H3" t="s">
        <v>1313</v>
      </c>
      <c r="I3" t="s">
        <v>388</v>
      </c>
      <c r="J3" t="s">
        <v>1511</v>
      </c>
      <c r="K3" t="s">
        <v>1538</v>
      </c>
      <c r="L3" t="s">
        <v>1537</v>
      </c>
      <c r="M3" t="s">
        <v>1529</v>
      </c>
      <c r="N3" t="s">
        <v>1530</v>
      </c>
      <c r="O3" t="s">
        <v>1542</v>
      </c>
      <c r="P3" t="s">
        <v>18</v>
      </c>
    </row>
    <row r="4" spans="1:16">
      <c r="A4" t="s">
        <v>1317</v>
      </c>
      <c r="B4" t="s">
        <v>1299</v>
      </c>
      <c r="C4">
        <v>1</v>
      </c>
      <c r="D4" t="s">
        <v>1488</v>
      </c>
      <c r="E4" t="s">
        <v>388</v>
      </c>
      <c r="H4" t="s">
        <v>1313</v>
      </c>
      <c r="I4" t="s">
        <v>388</v>
      </c>
      <c r="J4" t="s">
        <v>1512</v>
      </c>
      <c r="K4" t="s">
        <v>1538</v>
      </c>
      <c r="L4" t="s">
        <v>1537</v>
      </c>
      <c r="M4" t="s">
        <v>1529</v>
      </c>
      <c r="N4" t="s">
        <v>1530</v>
      </c>
      <c r="O4" t="s">
        <v>1542</v>
      </c>
      <c r="P4" t="s">
        <v>18</v>
      </c>
    </row>
    <row r="5" spans="1:16">
      <c r="A5" t="s">
        <v>1318</v>
      </c>
      <c r="B5" t="s">
        <v>1299</v>
      </c>
      <c r="C5">
        <v>1</v>
      </c>
      <c r="D5" t="s">
        <v>1489</v>
      </c>
      <c r="E5" t="s">
        <v>388</v>
      </c>
      <c r="H5" t="s">
        <v>1313</v>
      </c>
      <c r="I5" t="s">
        <v>388</v>
      </c>
      <c r="J5" t="s">
        <v>1513</v>
      </c>
      <c r="K5" t="s">
        <v>1538</v>
      </c>
      <c r="L5" t="s">
        <v>1537</v>
      </c>
      <c r="M5" t="s">
        <v>1529</v>
      </c>
      <c r="N5" t="s">
        <v>1530</v>
      </c>
      <c r="O5" t="s">
        <v>1542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9" t="s">
        <v>1798</v>
      </c>
      <c r="B1" s="409" t="s">
        <v>1292</v>
      </c>
      <c r="C1" s="409" t="s">
        <v>1275</v>
      </c>
      <c r="D1" s="409" t="s">
        <v>1276</v>
      </c>
      <c r="E1" s="409" t="s">
        <v>1799</v>
      </c>
      <c r="F1" s="409" t="s">
        <v>1294</v>
      </c>
      <c r="G1" s="409" t="s">
        <v>1279</v>
      </c>
      <c r="H1" s="409" t="s">
        <v>1280</v>
      </c>
      <c r="I1" s="409" t="s">
        <v>1296</v>
      </c>
      <c r="J1" s="409" t="s">
        <v>1800</v>
      </c>
      <c r="K1" s="409" t="s">
        <v>1801</v>
      </c>
      <c r="L1" s="409" t="s">
        <v>31</v>
      </c>
      <c r="M1" s="409" t="s">
        <v>32</v>
      </c>
      <c r="N1" s="409" t="s">
        <v>33</v>
      </c>
      <c r="O1" s="409" t="s">
        <v>34</v>
      </c>
      <c r="P1" s="409" t="s">
        <v>35</v>
      </c>
      <c r="Q1" s="409" t="s">
        <v>1802</v>
      </c>
      <c r="R1" s="409" t="s">
        <v>1803</v>
      </c>
    </row>
    <row r="2" spans="1:18">
      <c r="A2" s="410"/>
      <c r="B2" s="16" t="str">
        <f>IF(C_Support!A2="","",C_Support!A2)</f>
        <v>S1-CM</v>
      </c>
      <c r="D2" s="411">
        <f>IF(C_Support!C2="","",C_Support!C2)</f>
        <v>1</v>
      </c>
      <c r="E2" s="16" t="str">
        <f>IF(C_Support!D2="","",C_Support!D2)</f>
        <v>The Configuration Management (CM) function, manages baselines for projects and the organisation.</v>
      </c>
      <c r="F2" s="411" t="str">
        <f>IF(C_Support!E2="","",C_Support!E2)</f>
        <v>No</v>
      </c>
      <c r="G2" s="16" t="str">
        <f>IF(C_Support!F2="","",C_Support!F2)</f>
        <v/>
      </c>
      <c r="H2" s="16" t="str">
        <f>IF(C_Support!G2="","",C_Support!G2)</f>
        <v/>
      </c>
      <c r="I2" s="411" t="str">
        <f>IF(C_Support!I2="","",C_Support!I2)</f>
        <v>No</v>
      </c>
      <c r="J2" s="16" t="str">
        <f>IF(C_Support!J2="","",C_Support!J2)</f>
        <v>Surname, Configuration Manager1</v>
      </c>
      <c r="K2" s="411" t="s">
        <v>607</v>
      </c>
      <c r="Q2" s="411"/>
    </row>
    <row r="3" spans="1:18">
      <c r="A3" s="410"/>
      <c r="B3" s="16" t="str">
        <f>IF(C_Support!A3="","",C_Support!A3)</f>
        <v>S2-EPG-MA</v>
      </c>
      <c r="D3" s="41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1" t="str">
        <f>IF(C_Support!E3="","",C_Support!E3)</f>
        <v>No</v>
      </c>
      <c r="G3" s="16" t="str">
        <f>IF(C_Support!F3="","",C_Support!F3)</f>
        <v/>
      </c>
      <c r="H3" s="16" t="str">
        <f>IF(C_Support!G3="","",C_Support!G3)</f>
        <v/>
      </c>
      <c r="I3" s="411" t="str">
        <f>IF(C_Support!I3="","",C_Support!I3)</f>
        <v>No</v>
      </c>
      <c r="J3" s="16" t="str">
        <f>IF(C_Support!J3="","",C_Support!J3)</f>
        <v>Surname, Process manager2</v>
      </c>
      <c r="K3" s="411" t="s">
        <v>607</v>
      </c>
      <c r="Q3" s="411"/>
    </row>
    <row r="4" spans="1:18">
      <c r="A4" s="410"/>
      <c r="B4" s="16" t="str">
        <f>IF(C_Support!A4="","",C_Support!A4)</f>
        <v>S3-HR</v>
      </c>
      <c r="D4" s="411">
        <f>IF(C_Support!C4="","",C_Support!C4)</f>
        <v>1</v>
      </c>
      <c r="E4" s="16" t="str">
        <f>IF(C_Support!D4="","",C_Support!D4)</f>
        <v>The Human Resources (HR) function is responsible for training, skills and knowledge management. It maintains the records of staff training and training evaluation.</v>
      </c>
      <c r="F4" s="411" t="str">
        <f>IF(C_Support!E4="","",C_Support!E4)</f>
        <v>No</v>
      </c>
      <c r="G4" s="16" t="str">
        <f>IF(C_Support!F4="","",C_Support!F4)</f>
        <v/>
      </c>
      <c r="H4" s="16" t="str">
        <f>IF(C_Support!G4="","",C_Support!G4)</f>
        <v/>
      </c>
      <c r="I4" s="411" t="str">
        <f>IF(C_Support!I4="","",C_Support!I4)</f>
        <v>No</v>
      </c>
      <c r="J4" s="16" t="str">
        <f>IF(C_Support!J4="","",C_Support!J4)</f>
        <v>Surname, Training Manager3</v>
      </c>
      <c r="K4" s="411" t="s">
        <v>607</v>
      </c>
    </row>
    <row r="5" spans="1:18">
      <c r="A5" s="410"/>
      <c r="B5" s="16" t="str">
        <f>IF(C_Support!A5="","",C_Support!A5)</f>
        <v>S4-PPQA</v>
      </c>
      <c r="D5" s="411">
        <f>IF(C_Support!C5="","",C_Support!C5)</f>
        <v>1</v>
      </c>
      <c r="E5" s="16" t="str">
        <f>IF(C_Support!D5="","",C_Support!D5)</f>
        <v xml:space="preserve">The Process and Product Quality Assurance (PPQA) team manage and performs process quality assurance. </v>
      </c>
      <c r="F5" s="411" t="str">
        <f>IF(C_Support!E5="","",C_Support!E5)</f>
        <v>No</v>
      </c>
      <c r="G5" s="16" t="str">
        <f>IF(C_Support!F5="","",C_Support!F5)</f>
        <v/>
      </c>
      <c r="H5" s="16" t="str">
        <f>IF(C_Support!G5="","",C_Support!G5)</f>
        <v/>
      </c>
      <c r="I5" s="411" t="str">
        <f>IF(C_Support!I5="","",C_Support!I5)</f>
        <v>No</v>
      </c>
      <c r="J5" s="16" t="str">
        <f>IF(C_Support!J5="","",C_Support!J5)</f>
        <v>Surname, Process Assurance Manager4</v>
      </c>
      <c r="K5" s="411" t="s">
        <v>607</v>
      </c>
    </row>
    <row r="6" spans="1:18">
      <c r="A6" s="410"/>
      <c r="B6" s="16" t="str">
        <f>IF(C_Support!A6="","",C_Support!A6)</f>
        <v/>
      </c>
      <c r="D6" s="411" t="str">
        <f>IF(C_Support!C6="","",C_Support!C6)</f>
        <v/>
      </c>
      <c r="E6" s="16" t="str">
        <f>IF(C_Support!D6="","",C_Support!D6)</f>
        <v/>
      </c>
      <c r="F6" s="411" t="str">
        <f>IF(C_Support!E6="","",C_Support!E6)</f>
        <v/>
      </c>
      <c r="G6" s="16" t="str">
        <f>IF(C_Support!F6="","",C_Support!F6)</f>
        <v/>
      </c>
      <c r="H6" s="16" t="str">
        <f>IF(C_Support!G6="","",C_Support!G6)</f>
        <v/>
      </c>
      <c r="I6" s="411" t="str">
        <f>IF(C_Support!I6="","",C_Support!I6)</f>
        <v/>
      </c>
      <c r="J6" s="16" t="str">
        <f>IF(C_Support!J6="","",C_Support!J6)</f>
        <v/>
      </c>
      <c r="K6" s="411" t="s">
        <v>607</v>
      </c>
    </row>
    <row r="7" spans="1:18">
      <c r="A7" s="410"/>
      <c r="B7" s="16" t="str">
        <f>IF(C_Support!A7="","",C_Support!A7)</f>
        <v/>
      </c>
      <c r="D7" s="411" t="str">
        <f>IF(C_Support!C7="","",C_Support!C7)</f>
        <v/>
      </c>
      <c r="E7" s="16" t="str">
        <f>IF(C_Support!D7="","",C_Support!D7)</f>
        <v/>
      </c>
      <c r="F7" s="411" t="str">
        <f>IF(C_Support!E7="","",C_Support!E7)</f>
        <v/>
      </c>
      <c r="G7" s="16" t="str">
        <f>IF(C_Support!F7="","",C_Support!F7)</f>
        <v/>
      </c>
      <c r="H7" s="16" t="str">
        <f>IF(C_Support!G7="","",C_Support!G7)</f>
        <v/>
      </c>
      <c r="I7" s="411" t="str">
        <f>IF(C_Support!I7="","",C_Support!I7)</f>
        <v/>
      </c>
      <c r="J7" s="16" t="str">
        <f>IF(C_Support!J7="","",C_Support!J7)</f>
        <v/>
      </c>
      <c r="K7" s="411" t="s">
        <v>607</v>
      </c>
    </row>
    <row r="8" spans="1:18">
      <c r="A8" s="410"/>
      <c r="B8" s="16" t="str">
        <f>IF(C_Support!A8="","",C_Support!A8)</f>
        <v/>
      </c>
      <c r="D8" s="411" t="str">
        <f>IF(C_Support!C8="","",C_Support!C8)</f>
        <v/>
      </c>
      <c r="E8" s="16" t="str">
        <f>IF(C_Support!D8="","",C_Support!D8)</f>
        <v/>
      </c>
      <c r="F8" s="411" t="str">
        <f>IF(C_Support!E8="","",C_Support!E8)</f>
        <v/>
      </c>
      <c r="G8" s="16" t="str">
        <f>IF(C_Support!F8="","",C_Support!F8)</f>
        <v/>
      </c>
      <c r="H8" s="16" t="str">
        <f>IF(C_Support!G8="","",C_Support!G8)</f>
        <v/>
      </c>
      <c r="I8" s="411" t="str">
        <f>IF(C_Support!I8="","",C_Support!I8)</f>
        <v/>
      </c>
      <c r="J8" s="16" t="str">
        <f>IF(C_Support!J8="","",C_Support!J8)</f>
        <v/>
      </c>
      <c r="K8" s="411" t="s">
        <v>607</v>
      </c>
    </row>
    <row r="9" spans="1:18">
      <c r="A9" s="410"/>
      <c r="B9" s="16" t="str">
        <f>IF(C_Support!A9="","",C_Support!A9)</f>
        <v/>
      </c>
      <c r="D9" s="411" t="str">
        <f>IF(C_Support!C9="","",C_Support!C9)</f>
        <v/>
      </c>
      <c r="E9" s="16" t="str">
        <f>IF(C_Support!D9="","",C_Support!D9)</f>
        <v/>
      </c>
      <c r="F9" s="411" t="str">
        <f>IF(C_Support!E9="","",C_Support!E9)</f>
        <v/>
      </c>
      <c r="G9" s="16" t="str">
        <f>IF(C_Support!F9="","",C_Support!F9)</f>
        <v/>
      </c>
      <c r="H9" s="16" t="str">
        <f>IF(C_Support!G9="","",C_Support!G9)</f>
        <v/>
      </c>
      <c r="I9" s="411" t="str">
        <f>IF(C_Support!I9="","",C_Support!I9)</f>
        <v/>
      </c>
      <c r="J9" s="16" t="str">
        <f>IF(C_Support!J9="","",C_Support!J9)</f>
        <v/>
      </c>
      <c r="K9" s="411" t="s">
        <v>607</v>
      </c>
    </row>
    <row r="10" spans="1:18">
      <c r="A10" s="410"/>
      <c r="B10" s="16" t="str">
        <f>IF(C_Support!A10="","",C_Support!A10)</f>
        <v/>
      </c>
      <c r="D10" s="411" t="str">
        <f>IF(C_Support!C10="","",C_Support!C10)</f>
        <v/>
      </c>
      <c r="E10" s="16" t="str">
        <f>IF(C_Support!D10="","",C_Support!D10)</f>
        <v/>
      </c>
      <c r="F10" s="411" t="str">
        <f>IF(C_Support!E10="","",C_Support!E10)</f>
        <v/>
      </c>
      <c r="G10" s="16" t="str">
        <f>IF(C_Support!F10="","",C_Support!F10)</f>
        <v/>
      </c>
      <c r="H10" s="16" t="str">
        <f>IF(C_Support!G10="","",C_Support!G10)</f>
        <v/>
      </c>
      <c r="I10" s="411" t="str">
        <f>IF(C_Support!I10="","",C_Support!I10)</f>
        <v/>
      </c>
      <c r="J10" s="16" t="str">
        <f>IF(C_Support!J10="","",C_Support!J10)</f>
        <v/>
      </c>
      <c r="K10" s="411" t="s">
        <v>607</v>
      </c>
    </row>
    <row r="11" spans="1:18">
      <c r="A11" s="410"/>
      <c r="B11" s="16" t="str">
        <f>IF(C_Support!A11="","",C_Support!A11)</f>
        <v/>
      </c>
      <c r="D11" s="411" t="str">
        <f>IF(C_Support!C11="","",C_Support!C11)</f>
        <v/>
      </c>
      <c r="E11" s="16" t="str">
        <f>IF(C_Support!D11="","",C_Support!D11)</f>
        <v/>
      </c>
      <c r="F11" s="411" t="str">
        <f>IF(C_Support!E11="","",C_Support!E11)</f>
        <v/>
      </c>
      <c r="G11" s="16" t="str">
        <f>IF(C_Support!F11="","",C_Support!F11)</f>
        <v/>
      </c>
      <c r="H11" s="16" t="str">
        <f>IF(C_Support!G11="","",C_Support!G11)</f>
        <v/>
      </c>
      <c r="I11" s="411" t="str">
        <f>IF(C_Support!I11="","",C_Support!I11)</f>
        <v/>
      </c>
      <c r="J11" s="16" t="str">
        <f>IF(C_Support!J11="","",C_Support!J11)</f>
        <v/>
      </c>
      <c r="K11" s="411" t="s">
        <v>607</v>
      </c>
    </row>
    <row r="12" spans="1:18">
      <c r="A12" s="410"/>
      <c r="B12" s="16" t="str">
        <f>IF(C_Support!A12="","",C_Support!A12)</f>
        <v/>
      </c>
      <c r="D12" s="411" t="str">
        <f>IF(C_Support!C12="","",C_Support!C12)</f>
        <v/>
      </c>
      <c r="E12" s="16" t="str">
        <f>IF(C_Support!D12="","",C_Support!D12)</f>
        <v/>
      </c>
      <c r="F12" s="411" t="str">
        <f>IF(C_Support!E12="","",C_Support!E12)</f>
        <v/>
      </c>
      <c r="G12" s="16" t="str">
        <f>IF(C_Support!F12="","",C_Support!F12)</f>
        <v/>
      </c>
      <c r="H12" s="16" t="str">
        <f>IF(C_Support!G12="","",C_Support!G12)</f>
        <v/>
      </c>
      <c r="I12" s="411" t="str">
        <f>IF(C_Support!I12="","",C_Support!I12)</f>
        <v/>
      </c>
      <c r="J12" s="16" t="str">
        <f>IF(C_Support!J12="","",C_Support!J12)</f>
        <v/>
      </c>
      <c r="K12" s="411" t="s">
        <v>607</v>
      </c>
    </row>
    <row r="13" spans="1:18">
      <c r="A13" s="410"/>
      <c r="B13" s="16" t="str">
        <f>IF(C_Support!A13="","",C_Support!A13)</f>
        <v/>
      </c>
      <c r="D13" s="411" t="str">
        <f>IF(C_Support!C13="","",C_Support!C13)</f>
        <v/>
      </c>
      <c r="E13" s="16" t="str">
        <f>IF(C_Support!D13="","",C_Support!D13)</f>
        <v/>
      </c>
      <c r="F13" s="411" t="str">
        <f>IF(C_Support!E13="","",C_Support!E13)</f>
        <v/>
      </c>
      <c r="G13" s="16" t="str">
        <f>IF(C_Support!F13="","",C_Support!F13)</f>
        <v/>
      </c>
      <c r="H13" s="16" t="str">
        <f>IF(C_Support!G13="","",C_Support!G13)</f>
        <v/>
      </c>
      <c r="I13" s="411" t="str">
        <f>IF(C_Support!I13="","",C_Support!I13)</f>
        <v/>
      </c>
      <c r="J13" s="16" t="str">
        <f>IF(C_Support!J13="","",C_Support!J13)</f>
        <v/>
      </c>
      <c r="K13" s="411" t="s">
        <v>607</v>
      </c>
    </row>
    <row r="14" spans="1:18">
      <c r="A14" s="410"/>
      <c r="B14" s="16" t="str">
        <f>IF(C_Support!A14="","",C_Support!A14)</f>
        <v/>
      </c>
      <c r="D14" s="411" t="str">
        <f>IF(C_Support!C14="","",C_Support!C14)</f>
        <v/>
      </c>
      <c r="E14" s="16" t="str">
        <f>IF(C_Support!D14="","",C_Support!D14)</f>
        <v/>
      </c>
      <c r="F14" s="411" t="str">
        <f>IF(C_Support!E14="","",C_Support!E14)</f>
        <v/>
      </c>
      <c r="G14" s="16" t="str">
        <f>IF(C_Support!F14="","",C_Support!F14)</f>
        <v/>
      </c>
      <c r="H14" s="16" t="str">
        <f>IF(C_Support!G14="","",C_Support!G14)</f>
        <v/>
      </c>
      <c r="I14" s="411" t="str">
        <f>IF(C_Support!I14="","",C_Support!I14)</f>
        <v/>
      </c>
      <c r="J14" s="16" t="str">
        <f>IF(C_Support!J14="","",C_Support!J14)</f>
        <v/>
      </c>
      <c r="K14" s="411" t="s">
        <v>607</v>
      </c>
    </row>
    <row r="15" spans="1:18">
      <c r="A15" s="410"/>
      <c r="B15" s="16" t="str">
        <f>IF(C_Support!A15="","",C_Support!A15)</f>
        <v/>
      </c>
      <c r="D15" s="411" t="str">
        <f>IF(C_Support!C15="","",C_Support!C15)</f>
        <v/>
      </c>
      <c r="E15" s="16" t="str">
        <f>IF(C_Support!D15="","",C_Support!D15)</f>
        <v/>
      </c>
      <c r="F15" s="411" t="str">
        <f>IF(C_Support!E15="","",C_Support!E15)</f>
        <v/>
      </c>
      <c r="G15" s="16" t="str">
        <f>IF(C_Support!F15="","",C_Support!F15)</f>
        <v/>
      </c>
      <c r="H15" s="16" t="str">
        <f>IF(C_Support!G15="","",C_Support!G15)</f>
        <v/>
      </c>
      <c r="I15" s="411" t="str">
        <f>IF(C_Support!I15="","",C_Support!I15)</f>
        <v/>
      </c>
      <c r="J15" s="16" t="str">
        <f>IF(C_Support!J15="","",C_Support!J15)</f>
        <v/>
      </c>
      <c r="K15" s="411" t="s">
        <v>607</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1274</v>
      </c>
      <c r="B1" t="s">
        <v>1275</v>
      </c>
      <c r="C1" s="245" t="s">
        <v>1276</v>
      </c>
      <c r="D1" t="s">
        <v>1277</v>
      </c>
      <c r="E1" t="s">
        <v>1278</v>
      </c>
      <c r="F1" s="245" t="s">
        <v>1279</v>
      </c>
      <c r="G1" s="245" t="s">
        <v>1280</v>
      </c>
      <c r="H1" t="s">
        <v>1281</v>
      </c>
      <c r="I1" s="245" t="s">
        <v>1282</v>
      </c>
      <c r="J1" s="245" t="s">
        <v>1283</v>
      </c>
      <c r="K1" s="245" t="s">
        <v>1284</v>
      </c>
      <c r="L1" s="245" t="s">
        <v>1285</v>
      </c>
      <c r="M1" t="s">
        <v>1286</v>
      </c>
      <c r="N1" s="245" t="s">
        <v>1287</v>
      </c>
      <c r="O1" t="s">
        <v>1288</v>
      </c>
      <c r="P1" t="s">
        <v>32</v>
      </c>
      <c r="Q1" t="s">
        <v>1289</v>
      </c>
      <c r="R1" t="s">
        <v>34</v>
      </c>
      <c r="S1" t="s">
        <v>35</v>
      </c>
      <c r="T1" t="s">
        <v>1290</v>
      </c>
    </row>
    <row r="2" spans="1:20" ht="24" customHeight="1">
      <c r="A2" t="s">
        <v>1750</v>
      </c>
      <c r="C2">
        <v>5</v>
      </c>
      <c r="D2" t="s">
        <v>1753</v>
      </c>
      <c r="E2" t="s">
        <v>388</v>
      </c>
      <c r="H2" t="s">
        <v>1313</v>
      </c>
      <c r="I2" t="s">
        <v>1302</v>
      </c>
      <c r="J2" t="s">
        <v>1118</v>
      </c>
      <c r="K2" s="271">
        <v>44021</v>
      </c>
      <c r="L2" s="271">
        <v>44260</v>
      </c>
      <c r="M2" t="s">
        <v>388</v>
      </c>
      <c r="N2" t="s">
        <v>1494</v>
      </c>
      <c r="O2" t="s">
        <v>1538</v>
      </c>
      <c r="P2" t="s">
        <v>1537</v>
      </c>
      <c r="Q2" t="s">
        <v>1529</v>
      </c>
      <c r="R2" t="s">
        <v>1530</v>
      </c>
      <c r="S2" t="s">
        <v>1542</v>
      </c>
      <c r="T2" t="s">
        <v>18</v>
      </c>
    </row>
    <row r="3" spans="1:20" ht="24" customHeight="1">
      <c r="A3" t="s">
        <v>1749</v>
      </c>
      <c r="C3">
        <v>5</v>
      </c>
      <c r="D3" t="s">
        <v>1754</v>
      </c>
      <c r="E3" t="s">
        <v>388</v>
      </c>
      <c r="H3" t="s">
        <v>1313</v>
      </c>
      <c r="I3" t="s">
        <v>1302</v>
      </c>
      <c r="J3" t="s">
        <v>1118</v>
      </c>
      <c r="K3" s="271">
        <v>44086</v>
      </c>
      <c r="L3" s="271">
        <v>44258</v>
      </c>
      <c r="M3" t="s">
        <v>388</v>
      </c>
      <c r="N3" t="s">
        <v>1499</v>
      </c>
      <c r="O3" t="s">
        <v>1538</v>
      </c>
      <c r="P3" t="s">
        <v>1537</v>
      </c>
      <c r="Q3" t="s">
        <v>1529</v>
      </c>
      <c r="R3" t="s">
        <v>1530</v>
      </c>
      <c r="S3" t="s">
        <v>1542</v>
      </c>
      <c r="T3" t="s">
        <v>18</v>
      </c>
    </row>
    <row r="4" spans="1:20" ht="24" customHeight="1">
      <c r="A4" t="s">
        <v>1748</v>
      </c>
      <c r="C4">
        <v>5</v>
      </c>
      <c r="D4" t="s">
        <v>1755</v>
      </c>
      <c r="E4" t="s">
        <v>388</v>
      </c>
      <c r="H4" t="s">
        <v>1313</v>
      </c>
      <c r="I4" t="s">
        <v>1302</v>
      </c>
      <c r="J4" t="s">
        <v>1118</v>
      </c>
      <c r="K4" s="271">
        <v>44062</v>
      </c>
      <c r="L4" s="271">
        <v>44247</v>
      </c>
      <c r="M4" t="s">
        <v>388</v>
      </c>
      <c r="N4" t="s">
        <v>1504</v>
      </c>
      <c r="O4" t="s">
        <v>1538</v>
      </c>
      <c r="P4" t="s">
        <v>1537</v>
      </c>
      <c r="Q4" t="s">
        <v>1529</v>
      </c>
      <c r="R4" t="s">
        <v>1530</v>
      </c>
      <c r="S4" t="s">
        <v>1542</v>
      </c>
      <c r="T4" t="s">
        <v>18</v>
      </c>
    </row>
    <row r="5" spans="1:20" ht="24" customHeight="1">
      <c r="A5" t="s">
        <v>1747</v>
      </c>
      <c r="C5">
        <v>5</v>
      </c>
      <c r="D5" t="s">
        <v>1756</v>
      </c>
      <c r="E5" t="s">
        <v>388</v>
      </c>
      <c r="H5" t="s">
        <v>1313</v>
      </c>
      <c r="I5" t="s">
        <v>1302</v>
      </c>
      <c r="J5" t="s">
        <v>1118</v>
      </c>
      <c r="K5" s="271">
        <v>44116</v>
      </c>
      <c r="L5" s="271">
        <v>44265</v>
      </c>
      <c r="M5" t="s">
        <v>388</v>
      </c>
      <c r="N5" t="s">
        <v>1509</v>
      </c>
      <c r="O5" t="s">
        <v>1538</v>
      </c>
      <c r="P5" t="s">
        <v>1537</v>
      </c>
      <c r="Q5" t="s">
        <v>1529</v>
      </c>
      <c r="R5" t="s">
        <v>1530</v>
      </c>
      <c r="S5" t="s">
        <v>1542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8" t="s">
        <v>1804</v>
      </c>
      <c r="B1" s="408" t="s">
        <v>1805</v>
      </c>
      <c r="C1" s="408" t="s">
        <v>1275</v>
      </c>
      <c r="D1" s="408" t="s">
        <v>1276</v>
      </c>
      <c r="E1" s="408" t="s">
        <v>1806</v>
      </c>
      <c r="F1" s="408" t="s">
        <v>1278</v>
      </c>
      <c r="G1" s="408" t="s">
        <v>1279</v>
      </c>
      <c r="H1" s="408" t="s">
        <v>1280</v>
      </c>
      <c r="I1" s="408" t="s">
        <v>1807</v>
      </c>
      <c r="J1" s="408" t="s">
        <v>1808</v>
      </c>
      <c r="K1" s="408" t="s">
        <v>1809</v>
      </c>
      <c r="L1" s="408" t="s">
        <v>1286</v>
      </c>
      <c r="M1" s="408" t="s">
        <v>1810</v>
      </c>
      <c r="N1" s="408" t="s">
        <v>1801</v>
      </c>
      <c r="O1" s="408" t="s">
        <v>1288</v>
      </c>
      <c r="P1" s="408" t="s">
        <v>32</v>
      </c>
      <c r="Q1" s="408" t="s">
        <v>1289</v>
      </c>
      <c r="R1" s="408" t="s">
        <v>34</v>
      </c>
      <c r="S1" s="408" t="s">
        <v>35</v>
      </c>
      <c r="T1" s="408" t="s">
        <v>1811</v>
      </c>
      <c r="U1" s="408" t="s">
        <v>1803</v>
      </c>
    </row>
    <row r="2" spans="1:21" s="16" customFormat="1">
      <c r="A2" s="78"/>
      <c r="B2" s="412" t="str">
        <f>IF(C_Projects!A2="","",C_Projects!A2)</f>
        <v>p1MRE</v>
      </c>
      <c r="C2" s="412" t="str">
        <f>IF(C_Projects!J2="","",C_Projects!J2)</f>
        <v>Waterfall</v>
      </c>
      <c r="D2" s="412">
        <f>IF(C_Projects!C2="","",C_Projects!C2)</f>
        <v>5</v>
      </c>
      <c r="E2" s="412" t="str">
        <f>IF(C_Projects!D2="","",C_Projects!D2)</f>
        <v xml:space="preserve">Merlyn Rocket Engine (MRE) … </v>
      </c>
      <c r="F2" s="412" t="str">
        <f>IF(C_Projects!E2="","",C_Projects!E2)</f>
        <v>No</v>
      </c>
      <c r="G2" s="412" t="str">
        <f>IF(C_Projects!F2="","",C_Projects!F2)</f>
        <v/>
      </c>
      <c r="H2" s="412" t="str">
        <f>IF(C_Projects!G2="","",C_Projects!G2)</f>
        <v/>
      </c>
      <c r="I2" s="412" t="str">
        <f>IF(C_Projects!J2="","",C_Projects!J2)</f>
        <v>Waterfall</v>
      </c>
      <c r="J2" s="413">
        <f>IF(C_Projects!K2="","",C_Projects!K2)</f>
        <v>44021</v>
      </c>
      <c r="K2" s="413">
        <f>IF(C_Projects!L2="","",C_Projects!L2)</f>
        <v>44260</v>
      </c>
      <c r="L2" s="412" t="str">
        <f>IF(C_Projects!M2="","",C_Projects!M2)</f>
        <v>No</v>
      </c>
      <c r="M2" s="412" t="str">
        <f>IF(C_Projects!N2="","",C_Projects!N2)</f>
        <v>Surname, Project Manager1</v>
      </c>
      <c r="N2" s="412" t="s">
        <v>607</v>
      </c>
      <c r="T2" s="411"/>
    </row>
    <row r="3" spans="1:21" s="16" customFormat="1">
      <c r="A3" s="78"/>
      <c r="B3" s="412" t="str">
        <f>IF(C_Projects!A3="","",C_Projects!A3)</f>
        <v>p2RRE</v>
      </c>
      <c r="C3" s="412" t="str">
        <f>IF(C_Projects!J3="","",C_Projects!J3)</f>
        <v>Waterfall</v>
      </c>
      <c r="D3" s="412">
        <f>IF(C_Projects!C3="","",C_Projects!C3)</f>
        <v>5</v>
      </c>
      <c r="E3" s="412" t="str">
        <f>IF(C_Projects!D3="","",C_Projects!D3)</f>
        <v>Raptor Rocket Engine (RRE) …</v>
      </c>
      <c r="F3" s="412" t="str">
        <f>IF(C_Projects!E3="","",C_Projects!E3)</f>
        <v>No</v>
      </c>
      <c r="G3" s="412" t="str">
        <f>IF(C_Projects!F3="","",C_Projects!F3)</f>
        <v/>
      </c>
      <c r="H3" s="412" t="str">
        <f>IF(C_Projects!G3="","",C_Projects!G3)</f>
        <v/>
      </c>
      <c r="I3" s="412" t="str">
        <f>IF(C_Projects!J3="","",C_Projects!J3)</f>
        <v>Waterfall</v>
      </c>
      <c r="J3" s="413">
        <f>IF(C_Projects!K3="","",C_Projects!K3)</f>
        <v>44086</v>
      </c>
      <c r="K3" s="413">
        <f>IF(C_Projects!L3="","",C_Projects!L3)</f>
        <v>44258</v>
      </c>
      <c r="L3" s="412" t="str">
        <f>IF(C_Projects!M3="","",C_Projects!M3)</f>
        <v>No</v>
      </c>
      <c r="M3" s="412" t="str">
        <f>IF(C_Projects!N3="","",C_Projects!N3)</f>
        <v>Surname, Project Manager2</v>
      </c>
      <c r="N3" s="412" t="s">
        <v>607</v>
      </c>
      <c r="S3" s="411"/>
    </row>
    <row r="4" spans="1:21" s="16" customFormat="1">
      <c r="A4" s="78"/>
      <c r="B4" s="412" t="str">
        <f>IF(C_Projects!A4="","",C_Projects!A4)</f>
        <v>p3FNR</v>
      </c>
      <c r="C4" s="412" t="str">
        <f>IF(C_Projects!J4="","",C_Projects!J4)</f>
        <v>Waterfall</v>
      </c>
      <c r="D4" s="412">
        <f>IF(C_Projects!C4="","",C_Projects!C4)</f>
        <v>5</v>
      </c>
      <c r="E4" s="412" t="str">
        <f>IF(C_Projects!D4="","",C_Projects!D4)</f>
        <v>Falcon Nine Rocket (FNR) ….</v>
      </c>
      <c r="F4" s="412" t="str">
        <f>IF(C_Projects!E4="","",C_Projects!E4)</f>
        <v>No</v>
      </c>
      <c r="G4" s="412" t="str">
        <f>IF(C_Projects!F4="","",C_Projects!F4)</f>
        <v/>
      </c>
      <c r="H4" s="412" t="str">
        <f>IF(C_Projects!G4="","",C_Projects!G4)</f>
        <v/>
      </c>
      <c r="I4" s="412" t="str">
        <f>IF(C_Projects!J4="","",C_Projects!J4)</f>
        <v>Waterfall</v>
      </c>
      <c r="J4" s="413">
        <f>IF(C_Projects!K4="","",C_Projects!K4)</f>
        <v>44062</v>
      </c>
      <c r="K4" s="413">
        <f>IF(C_Projects!L4="","",C_Projects!L4)</f>
        <v>44247</v>
      </c>
      <c r="L4" s="412" t="str">
        <f>IF(C_Projects!M4="","",C_Projects!M4)</f>
        <v>No</v>
      </c>
      <c r="M4" s="412" t="str">
        <f>IF(C_Projects!N4="","",C_Projects!N4)</f>
        <v>Surname, Project Manager3</v>
      </c>
      <c r="N4" s="412" t="s">
        <v>607</v>
      </c>
      <c r="T4" s="411"/>
    </row>
    <row r="5" spans="1:21" s="16" customFormat="1">
      <c r="A5" s="78"/>
      <c r="B5" s="412" t="str">
        <f>IF(C_Projects!A5="","",C_Projects!A5)</f>
        <v>p4SSH</v>
      </c>
      <c r="C5" s="412" t="str">
        <f>IF(C_Projects!J5="","",C_Projects!J5)</f>
        <v>Waterfall</v>
      </c>
      <c r="D5" s="412">
        <f>IF(C_Projects!C5="","",C_Projects!C5)</f>
        <v>5</v>
      </c>
      <c r="E5" s="412" t="str">
        <f>IF(C_Projects!D5="","",C_Projects!D5)</f>
        <v>Starship Super Heavy (SSH) ….</v>
      </c>
      <c r="F5" s="412" t="str">
        <f>IF(C_Projects!E5="","",C_Projects!E5)</f>
        <v>No</v>
      </c>
      <c r="G5" s="412" t="str">
        <f>IF(C_Projects!F5="","",C_Projects!F5)</f>
        <v/>
      </c>
      <c r="H5" s="412" t="str">
        <f>IF(C_Projects!G5="","",C_Projects!G5)</f>
        <v/>
      </c>
      <c r="I5" s="412" t="str">
        <f>IF(C_Projects!J5="","",C_Projects!J5)</f>
        <v>Waterfall</v>
      </c>
      <c r="J5" s="413">
        <f>IF(C_Projects!K5="","",C_Projects!K5)</f>
        <v>44116</v>
      </c>
      <c r="K5" s="413">
        <f>IF(C_Projects!L5="","",C_Projects!L5)</f>
        <v>44265</v>
      </c>
      <c r="L5" s="412" t="str">
        <f>IF(C_Projects!M5="","",C_Projects!M5)</f>
        <v>No</v>
      </c>
      <c r="M5" s="412" t="str">
        <f>IF(C_Projects!N5="","",C_Projects!N5)</f>
        <v>Surname, Project Manager4</v>
      </c>
      <c r="N5" s="412" t="s">
        <v>607</v>
      </c>
    </row>
    <row r="6" spans="1:21" s="16" customFormat="1">
      <c r="A6" s="78"/>
      <c r="B6" s="412" t="str">
        <f>IF(C_Projects!A6="","",C_Projects!A6)</f>
        <v/>
      </c>
      <c r="C6" s="412" t="str">
        <f>IF(C_Projects!J6="","",C_Projects!J6)</f>
        <v/>
      </c>
      <c r="D6" s="412" t="str">
        <f>IF(C_Projects!C6="","",C_Projects!C6)</f>
        <v/>
      </c>
      <c r="E6" s="412" t="str">
        <f>IF(C_Projects!D6="","",C_Projects!D6)</f>
        <v/>
      </c>
      <c r="F6" s="412" t="str">
        <f>IF(C_Projects!E6="","",C_Projects!E6)</f>
        <v/>
      </c>
      <c r="G6" s="412" t="str">
        <f>IF(C_Projects!F6="","",C_Projects!F6)</f>
        <v/>
      </c>
      <c r="H6" s="412" t="str">
        <f>IF(C_Projects!G6="","",C_Projects!G6)</f>
        <v/>
      </c>
      <c r="I6" s="412" t="str">
        <f>IF(C_Projects!J6="","",C_Projects!J6)</f>
        <v/>
      </c>
      <c r="J6" s="413" t="str">
        <f>IF(C_Projects!K6="","",C_Projects!K6)</f>
        <v/>
      </c>
      <c r="K6" s="413" t="str">
        <f>IF(C_Projects!L6="","",C_Projects!L6)</f>
        <v/>
      </c>
      <c r="L6" s="412" t="str">
        <f>IF(C_Projects!M6="","",C_Projects!M6)</f>
        <v/>
      </c>
      <c r="M6" s="412" t="str">
        <f>IF(C_Projects!N6="","",C_Projects!N6)</f>
        <v/>
      </c>
      <c r="N6" s="412" t="s">
        <v>607</v>
      </c>
    </row>
    <row r="7" spans="1:21" s="16" customFormat="1">
      <c r="A7" s="78"/>
      <c r="B7" s="412" t="str">
        <f>IF(C_Projects!A7="","",C_Projects!A7)</f>
        <v/>
      </c>
      <c r="C7" s="412" t="str">
        <f>IF(C_Projects!J7="","",C_Projects!J7)</f>
        <v/>
      </c>
      <c r="D7" s="412" t="str">
        <f>IF(C_Projects!C7="","",C_Projects!C7)</f>
        <v/>
      </c>
      <c r="E7" s="412" t="str">
        <f>IF(C_Projects!D7="","",C_Projects!D7)</f>
        <v/>
      </c>
      <c r="F7" s="412" t="str">
        <f>IF(C_Projects!E7="","",C_Projects!E7)</f>
        <v/>
      </c>
      <c r="G7" s="412" t="str">
        <f>IF(C_Projects!F7="","",C_Projects!F7)</f>
        <v/>
      </c>
      <c r="H7" s="412" t="str">
        <f>IF(C_Projects!G7="","",C_Projects!G7)</f>
        <v/>
      </c>
      <c r="I7" s="412" t="str">
        <f>IF(C_Projects!J7="","",C_Projects!J7)</f>
        <v/>
      </c>
      <c r="J7" s="413" t="str">
        <f>IF(C_Projects!K7="","",C_Projects!K7)</f>
        <v/>
      </c>
      <c r="K7" s="413" t="str">
        <f>IF(C_Projects!L7="","",C_Projects!L7)</f>
        <v/>
      </c>
      <c r="L7" s="412" t="str">
        <f>IF(C_Projects!M7="","",C_Projects!M7)</f>
        <v/>
      </c>
      <c r="M7" s="412" t="str">
        <f>IF(C_Projects!N7="","",C_Projects!N7)</f>
        <v/>
      </c>
      <c r="N7" s="412" t="s">
        <v>607</v>
      </c>
    </row>
    <row r="8" spans="1:21" s="16" customFormat="1">
      <c r="A8" s="78"/>
      <c r="B8" s="412" t="str">
        <f>IF(C_Projects!A8="","",C_Projects!A8)</f>
        <v/>
      </c>
      <c r="C8" s="412" t="str">
        <f>IF(C_Projects!J8="","",C_Projects!J8)</f>
        <v/>
      </c>
      <c r="D8" s="412" t="str">
        <f>IF(C_Projects!C8="","",C_Projects!C8)</f>
        <v/>
      </c>
      <c r="E8" s="412" t="str">
        <f>IF(C_Projects!D8="","",C_Projects!D8)</f>
        <v/>
      </c>
      <c r="F8" s="412" t="str">
        <f>IF(C_Projects!E8="","",C_Projects!E8)</f>
        <v/>
      </c>
      <c r="G8" s="412" t="str">
        <f>IF(C_Projects!F8="","",C_Projects!F8)</f>
        <v/>
      </c>
      <c r="H8" s="412" t="str">
        <f>IF(C_Projects!G8="","",C_Projects!G8)</f>
        <v/>
      </c>
      <c r="I8" s="412" t="str">
        <f>IF(C_Projects!J8="","",C_Projects!J8)</f>
        <v/>
      </c>
      <c r="J8" s="413" t="str">
        <f>IF(C_Projects!K8="","",C_Projects!K8)</f>
        <v/>
      </c>
      <c r="K8" s="413" t="str">
        <f>IF(C_Projects!L8="","",C_Projects!L8)</f>
        <v/>
      </c>
      <c r="L8" s="412" t="str">
        <f>IF(C_Projects!M8="","",C_Projects!M8)</f>
        <v/>
      </c>
      <c r="M8" s="412" t="str">
        <f>IF(C_Projects!N8="","",C_Projects!N8)</f>
        <v/>
      </c>
      <c r="N8" s="412" t="s">
        <v>607</v>
      </c>
    </row>
    <row r="9" spans="1:21" s="16" customFormat="1">
      <c r="A9" s="78"/>
      <c r="B9" s="412" t="str">
        <f>IF(C_Projects!A9="","",C_Projects!A9)</f>
        <v/>
      </c>
      <c r="C9" s="412" t="str">
        <f>IF(C_Projects!J9="","",C_Projects!J9)</f>
        <v/>
      </c>
      <c r="D9" s="412" t="str">
        <f>IF(C_Projects!C9="","",C_Projects!C9)</f>
        <v/>
      </c>
      <c r="E9" s="412" t="str">
        <f>IF(C_Projects!D9="","",C_Projects!D9)</f>
        <v/>
      </c>
      <c r="F9" s="412" t="str">
        <f>IF(C_Projects!E9="","",C_Projects!E9)</f>
        <v/>
      </c>
      <c r="G9" s="412" t="str">
        <f>IF(C_Projects!F9="","",C_Projects!F9)</f>
        <v/>
      </c>
      <c r="H9" s="412" t="str">
        <f>IF(C_Projects!G9="","",C_Projects!G9)</f>
        <v/>
      </c>
      <c r="I9" s="412" t="str">
        <f>IF(C_Projects!J9="","",C_Projects!J9)</f>
        <v/>
      </c>
      <c r="J9" s="413" t="str">
        <f>IF(C_Projects!K9="","",C_Projects!K9)</f>
        <v/>
      </c>
      <c r="K9" s="413" t="str">
        <f>IF(C_Projects!L9="","",C_Projects!L9)</f>
        <v/>
      </c>
      <c r="L9" s="412" t="str">
        <f>IF(C_Projects!M9="","",C_Projects!M9)</f>
        <v/>
      </c>
      <c r="M9" s="412" t="str">
        <f>IF(C_Projects!N9="","",C_Projects!N9)</f>
        <v/>
      </c>
      <c r="N9" s="412" t="s">
        <v>607</v>
      </c>
    </row>
    <row r="10" spans="1:21" s="16" customFormat="1">
      <c r="A10" s="78"/>
      <c r="B10" s="412" t="str">
        <f>IF(C_Projects!A10="","",C_Projects!A10)</f>
        <v/>
      </c>
      <c r="C10" s="412" t="str">
        <f>IF(C_Projects!J10="","",C_Projects!J10)</f>
        <v/>
      </c>
      <c r="D10" s="412" t="str">
        <f>IF(C_Projects!C10="","",C_Projects!C10)</f>
        <v/>
      </c>
      <c r="E10" s="412" t="str">
        <f>IF(C_Projects!D10="","",C_Projects!D10)</f>
        <v/>
      </c>
      <c r="F10" s="412" t="str">
        <f>IF(C_Projects!E10="","",C_Projects!E10)</f>
        <v/>
      </c>
      <c r="G10" s="412" t="str">
        <f>IF(C_Projects!F10="","",C_Projects!F10)</f>
        <v/>
      </c>
      <c r="H10" s="412" t="str">
        <f>IF(C_Projects!G10="","",C_Projects!G10)</f>
        <v/>
      </c>
      <c r="I10" s="412" t="str">
        <f>IF(C_Projects!J10="","",C_Projects!J10)</f>
        <v/>
      </c>
      <c r="J10" s="413" t="str">
        <f>IF(C_Projects!K10="","",C_Projects!K10)</f>
        <v/>
      </c>
      <c r="K10" s="413" t="str">
        <f>IF(C_Projects!L10="","",C_Projects!L10)</f>
        <v/>
      </c>
      <c r="L10" s="412" t="str">
        <f>IF(C_Projects!M10="","",C_Projects!M10)</f>
        <v/>
      </c>
      <c r="M10" s="412" t="str">
        <f>IF(C_Projects!N10="","",C_Projects!N10)</f>
        <v/>
      </c>
      <c r="N10" s="412" t="s">
        <v>607</v>
      </c>
    </row>
    <row r="11" spans="1:21" s="16" customFormat="1">
      <c r="A11" s="78"/>
      <c r="B11" s="412" t="str">
        <f>IF(C_Projects!A11="","",C_Projects!A11)</f>
        <v/>
      </c>
      <c r="C11" s="412" t="str">
        <f>IF(C_Projects!J11="","",C_Projects!J11)</f>
        <v/>
      </c>
      <c r="D11" s="412" t="str">
        <f>IF(C_Projects!C11="","",C_Projects!C11)</f>
        <v/>
      </c>
      <c r="E11" s="412" t="str">
        <f>IF(C_Projects!D11="","",C_Projects!D11)</f>
        <v/>
      </c>
      <c r="F11" s="412" t="str">
        <f>IF(C_Projects!E11="","",C_Projects!E11)</f>
        <v/>
      </c>
      <c r="G11" s="412" t="str">
        <f>IF(C_Projects!F11="","",C_Projects!F11)</f>
        <v/>
      </c>
      <c r="H11" s="412" t="str">
        <f>IF(C_Projects!G11="","",C_Projects!G11)</f>
        <v/>
      </c>
      <c r="I11" s="412" t="str">
        <f>IF(C_Projects!J11="","",C_Projects!J11)</f>
        <v/>
      </c>
      <c r="J11" s="413" t="str">
        <f>IF(C_Projects!K11="","",C_Projects!K11)</f>
        <v/>
      </c>
      <c r="K11" s="413" t="str">
        <f>IF(C_Projects!L11="","",C_Projects!L11)</f>
        <v/>
      </c>
      <c r="L11" s="412" t="str">
        <f>IF(C_Projects!M11="","",C_Projects!M11)</f>
        <v/>
      </c>
      <c r="M11" s="412" t="str">
        <f>IF(C_Projects!N11="","",C_Projects!N11)</f>
        <v/>
      </c>
      <c r="N11" s="412" t="s">
        <v>607</v>
      </c>
    </row>
    <row r="12" spans="1:21" s="16" customFormat="1">
      <c r="A12" s="78"/>
      <c r="B12" s="412" t="str">
        <f>IF(C_Projects!A12="","",C_Projects!A12)</f>
        <v/>
      </c>
      <c r="C12" s="412" t="str">
        <f>IF(C_Projects!J12="","",C_Projects!J12)</f>
        <v/>
      </c>
      <c r="D12" s="412" t="str">
        <f>IF(C_Projects!C12="","",C_Projects!C12)</f>
        <v/>
      </c>
      <c r="E12" s="412" t="str">
        <f>IF(C_Projects!D12="","",C_Projects!D12)</f>
        <v/>
      </c>
      <c r="F12" s="412" t="str">
        <f>IF(C_Projects!E12="","",C_Projects!E12)</f>
        <v/>
      </c>
      <c r="G12" s="412" t="str">
        <f>IF(C_Projects!F12="","",C_Projects!F12)</f>
        <v/>
      </c>
      <c r="H12" s="412" t="str">
        <f>IF(C_Projects!G12="","",C_Projects!G12)</f>
        <v/>
      </c>
      <c r="I12" s="412" t="str">
        <f>IF(C_Projects!J12="","",C_Projects!J12)</f>
        <v/>
      </c>
      <c r="J12" s="413" t="str">
        <f>IF(C_Projects!K12="","",C_Projects!K12)</f>
        <v/>
      </c>
      <c r="K12" s="413" t="str">
        <f>IF(C_Projects!L12="","",C_Projects!L12)</f>
        <v/>
      </c>
      <c r="L12" s="412" t="str">
        <f>IF(C_Projects!M12="","",C_Projects!M12)</f>
        <v/>
      </c>
      <c r="M12" s="412" t="str">
        <f>IF(C_Projects!N12="","",C_Projects!N12)</f>
        <v/>
      </c>
      <c r="N12" s="412" t="s">
        <v>607</v>
      </c>
    </row>
    <row r="13" spans="1:21" s="16" customFormat="1">
      <c r="A13" s="78"/>
      <c r="B13" s="412" t="str">
        <f>IF(C_Projects!A13="","",C_Projects!A13)</f>
        <v/>
      </c>
      <c r="C13" s="412" t="str">
        <f>IF(C_Projects!J13="","",C_Projects!J13)</f>
        <v/>
      </c>
      <c r="D13" s="412" t="str">
        <f>IF(C_Projects!C13="","",C_Projects!C13)</f>
        <v/>
      </c>
      <c r="E13" s="412" t="str">
        <f>IF(C_Projects!D13="","",C_Projects!D13)</f>
        <v/>
      </c>
      <c r="F13" s="412" t="str">
        <f>IF(C_Projects!E13="","",C_Projects!E13)</f>
        <v/>
      </c>
      <c r="G13" s="412" t="str">
        <f>IF(C_Projects!F13="","",C_Projects!F13)</f>
        <v/>
      </c>
      <c r="H13" s="412" t="str">
        <f>IF(C_Projects!G13="","",C_Projects!G13)</f>
        <v/>
      </c>
      <c r="I13" s="412" t="str">
        <f>IF(C_Projects!J13="","",C_Projects!J13)</f>
        <v/>
      </c>
      <c r="J13" s="413" t="str">
        <f>IF(C_Projects!K13="","",C_Projects!K13)</f>
        <v/>
      </c>
      <c r="K13" s="413" t="str">
        <f>IF(C_Projects!L13="","",C_Projects!L13)</f>
        <v/>
      </c>
      <c r="L13" s="412" t="str">
        <f>IF(C_Projects!M13="","",C_Projects!M13)</f>
        <v/>
      </c>
      <c r="M13" s="412" t="str">
        <f>IF(C_Projects!N13="","",C_Projects!N13)</f>
        <v/>
      </c>
      <c r="N13" s="412" t="s">
        <v>607</v>
      </c>
    </row>
    <row r="14" spans="1:21" s="16" customFormat="1">
      <c r="A14" s="78"/>
      <c r="B14" s="412" t="str">
        <f>IF(C_Projects!A14="","",C_Projects!A14)</f>
        <v/>
      </c>
      <c r="C14" s="412" t="str">
        <f>IF(C_Projects!J14="","",C_Projects!J14)</f>
        <v/>
      </c>
      <c r="D14" s="412" t="str">
        <f>IF(C_Projects!C14="","",C_Projects!C14)</f>
        <v/>
      </c>
      <c r="E14" s="412" t="str">
        <f>IF(C_Projects!D14="","",C_Projects!D14)</f>
        <v/>
      </c>
      <c r="F14" s="412" t="str">
        <f>IF(C_Projects!E14="","",C_Projects!E14)</f>
        <v/>
      </c>
      <c r="G14" s="412" t="str">
        <f>IF(C_Projects!F14="","",C_Projects!F14)</f>
        <v/>
      </c>
      <c r="H14" s="412" t="str">
        <f>IF(C_Projects!G14="","",C_Projects!G14)</f>
        <v/>
      </c>
      <c r="I14" s="412" t="str">
        <f>IF(C_Projects!J14="","",C_Projects!J14)</f>
        <v/>
      </c>
      <c r="J14" s="413" t="str">
        <f>IF(C_Projects!K14="","",C_Projects!K14)</f>
        <v/>
      </c>
      <c r="K14" s="413" t="str">
        <f>IF(C_Projects!L14="","",C_Projects!L14)</f>
        <v/>
      </c>
      <c r="L14" s="412" t="str">
        <f>IF(C_Projects!M14="","",C_Projects!M14)</f>
        <v/>
      </c>
      <c r="M14" s="412" t="str">
        <f>IF(C_Projects!N14="","",C_Projects!N14)</f>
        <v/>
      </c>
      <c r="N14" s="412" t="s">
        <v>607</v>
      </c>
    </row>
    <row r="15" spans="1:21" s="16" customFormat="1">
      <c r="A15" s="78"/>
      <c r="B15" s="412" t="str">
        <f>IF(C_Projects!A15="","",C_Projects!A15)</f>
        <v/>
      </c>
      <c r="C15" s="412" t="str">
        <f>IF(C_Projects!J15="","",C_Projects!J15)</f>
        <v/>
      </c>
      <c r="D15" s="412" t="str">
        <f>IF(C_Projects!C15="","",C_Projects!C15)</f>
        <v/>
      </c>
      <c r="E15" s="412" t="str">
        <f>IF(C_Projects!D15="","",C_Projects!D15)</f>
        <v/>
      </c>
      <c r="F15" s="412" t="str">
        <f>IF(C_Projects!E15="","",C_Projects!E15)</f>
        <v/>
      </c>
      <c r="G15" s="412" t="str">
        <f>IF(C_Projects!F15="","",C_Projects!F15)</f>
        <v/>
      </c>
      <c r="H15" s="412" t="str">
        <f>IF(C_Projects!G15="","",C_Projects!G15)</f>
        <v/>
      </c>
      <c r="I15" s="412" t="str">
        <f>IF(C_Projects!J15="","",C_Projects!J15)</f>
        <v/>
      </c>
      <c r="J15" s="413" t="str">
        <f>IF(C_Projects!K15="","",C_Projects!K15)</f>
        <v/>
      </c>
      <c r="K15" s="413" t="str">
        <f>IF(C_Projects!L15="","",C_Projects!L15)</f>
        <v/>
      </c>
      <c r="L15" s="412" t="str">
        <f>IF(C_Projects!M15="","",C_Projects!M15)</f>
        <v/>
      </c>
      <c r="M15" s="412" t="str">
        <f>IF(C_Projects!N15="","",C_Projects!N15)</f>
        <v/>
      </c>
      <c r="N15" s="412" t="s">
        <v>607</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1252</v>
      </c>
      <c r="B1" t="s">
        <v>1253</v>
      </c>
      <c r="C1" t="s">
        <v>1254</v>
      </c>
    </row>
    <row r="2" spans="1:3">
      <c r="A2" t="s">
        <v>1492</v>
      </c>
      <c r="B2" t="s">
        <v>1123</v>
      </c>
      <c r="C2" t="s">
        <v>1313</v>
      </c>
    </row>
    <row r="3" spans="1:3">
      <c r="A3" t="s">
        <v>1491</v>
      </c>
      <c r="B3" t="s">
        <v>890</v>
      </c>
      <c r="C3" t="s">
        <v>1313</v>
      </c>
    </row>
    <row r="4" spans="1:3">
      <c r="A4" t="s">
        <v>1495</v>
      </c>
      <c r="B4" t="s">
        <v>889</v>
      </c>
      <c r="C4" t="s">
        <v>1313</v>
      </c>
    </row>
    <row r="5" spans="1:3">
      <c r="A5" t="s">
        <v>1497</v>
      </c>
      <c r="B5" t="s">
        <v>1123</v>
      </c>
      <c r="C5" t="s">
        <v>1313</v>
      </c>
    </row>
    <row r="6" spans="1:3">
      <c r="A6" t="s">
        <v>1504</v>
      </c>
      <c r="B6" t="s">
        <v>1324</v>
      </c>
      <c r="C6" t="s">
        <v>1313</v>
      </c>
    </row>
    <row r="7" spans="1:3">
      <c r="A7" t="s">
        <v>1509</v>
      </c>
      <c r="B7" t="s">
        <v>1324</v>
      </c>
      <c r="C7" t="s">
        <v>1313</v>
      </c>
    </row>
    <row r="8" spans="1:3">
      <c r="A8" t="s">
        <v>1510</v>
      </c>
      <c r="B8" t="s">
        <v>1323</v>
      </c>
      <c r="C8" t="s">
        <v>1313</v>
      </c>
    </row>
    <row r="9" spans="1:3">
      <c r="A9" t="s">
        <v>1511</v>
      </c>
      <c r="B9" t="s">
        <v>1325</v>
      </c>
      <c r="C9" t="s">
        <v>1313</v>
      </c>
    </row>
    <row r="10" spans="1:3">
      <c r="A10" t="s">
        <v>1512</v>
      </c>
      <c r="B10" t="s">
        <v>1322</v>
      </c>
      <c r="C10" t="s">
        <v>1313</v>
      </c>
    </row>
    <row r="11" spans="1:3">
      <c r="A11" t="s">
        <v>1513</v>
      </c>
      <c r="B11" t="s">
        <v>1206</v>
      </c>
      <c r="C11" t="s">
        <v>1313</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1482</v>
      </c>
      <c r="C1" t="s">
        <v>1483</v>
      </c>
      <c r="D1" t="s">
        <v>1484</v>
      </c>
      <c r="E1" t="s">
        <v>1485</v>
      </c>
      <c r="F1" t="s">
        <v>1315</v>
      </c>
      <c r="G1" t="s">
        <v>1316</v>
      </c>
      <c r="H1" t="s">
        <v>1317</v>
      </c>
      <c r="I1" t="s">
        <v>1318</v>
      </c>
    </row>
    <row r="2" spans="1:9">
      <c r="A2" t="s">
        <v>1492</v>
      </c>
      <c r="B2" t="s">
        <v>1271</v>
      </c>
    </row>
    <row r="3" spans="1:9">
      <c r="A3" t="s">
        <v>1491</v>
      </c>
      <c r="B3" t="s">
        <v>1271</v>
      </c>
    </row>
    <row r="4" spans="1:9">
      <c r="A4" t="s">
        <v>1495</v>
      </c>
      <c r="C4" t="s">
        <v>1271</v>
      </c>
    </row>
    <row r="5" spans="1:9">
      <c r="A5" t="s">
        <v>1497</v>
      </c>
      <c r="C5" t="s">
        <v>1271</v>
      </c>
    </row>
    <row r="6" spans="1:9">
      <c r="A6" t="s">
        <v>1504</v>
      </c>
      <c r="D6" t="s">
        <v>1271</v>
      </c>
    </row>
    <row r="7" spans="1:9">
      <c r="A7" t="s">
        <v>1509</v>
      </c>
      <c r="E7" t="s">
        <v>1271</v>
      </c>
    </row>
    <row r="8" spans="1:9">
      <c r="A8" t="s">
        <v>1510</v>
      </c>
      <c r="F8" t="s">
        <v>1271</v>
      </c>
    </row>
    <row r="9" spans="1:9">
      <c r="A9" t="s">
        <v>1511</v>
      </c>
      <c r="G9" t="s">
        <v>1271</v>
      </c>
    </row>
    <row r="10" spans="1:9">
      <c r="A10" t="s">
        <v>1512</v>
      </c>
      <c r="H10" t="s">
        <v>1271</v>
      </c>
    </row>
    <row r="11" spans="1:9">
      <c r="A11" t="s">
        <v>1513</v>
      </c>
      <c r="I11" t="s">
        <v>1271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1492</v>
      </c>
      <c r="D2" t="s">
        <v>1271</v>
      </c>
      <c r="E2" t="s">
        <v>1271</v>
      </c>
      <c r="F2" t="s">
        <v>1271</v>
      </c>
      <c r="G2" t="s">
        <v>1271</v>
      </c>
    </row>
    <row r="3" spans="1:20">
      <c r="A3" t="s">
        <v>1491</v>
      </c>
      <c r="E3" t="s">
        <v>1271</v>
      </c>
      <c r="F3" t="s">
        <v>1271</v>
      </c>
    </row>
    <row r="4" spans="1:20">
      <c r="A4" t="s">
        <v>1495</v>
      </c>
      <c r="B4" t="s">
        <v>1271</v>
      </c>
      <c r="E4" t="s">
        <v>1271</v>
      </c>
    </row>
    <row r="5" spans="1:20">
      <c r="A5" t="s">
        <v>1497</v>
      </c>
      <c r="D5" t="s">
        <v>1271</v>
      </c>
      <c r="E5" t="s">
        <v>1271</v>
      </c>
      <c r="F5" t="s">
        <v>1271</v>
      </c>
      <c r="G5" t="s">
        <v>1271</v>
      </c>
    </row>
    <row r="6" spans="1:20">
      <c r="A6" t="s">
        <v>1504</v>
      </c>
      <c r="E6" t="s">
        <v>1271</v>
      </c>
      <c r="H6" t="s">
        <v>1271</v>
      </c>
      <c r="I6" t="s">
        <v>1271</v>
      </c>
      <c r="J6" t="s">
        <v>1271</v>
      </c>
      <c r="K6" t="s">
        <v>1271</v>
      </c>
      <c r="M6" t="s">
        <v>1271</v>
      </c>
      <c r="N6" t="s">
        <v>1271</v>
      </c>
    </row>
    <row r="7" spans="1:20">
      <c r="A7" t="s">
        <v>1509</v>
      </c>
      <c r="E7" t="s">
        <v>1271</v>
      </c>
      <c r="H7" t="s">
        <v>1271</v>
      </c>
      <c r="I7" t="s">
        <v>1271</v>
      </c>
      <c r="J7" t="s">
        <v>1271</v>
      </c>
      <c r="K7" t="s">
        <v>1271</v>
      </c>
      <c r="M7" t="s">
        <v>1271</v>
      </c>
      <c r="N7" t="s">
        <v>1271</v>
      </c>
    </row>
    <row r="8" spans="1:20">
      <c r="A8" t="s">
        <v>1510</v>
      </c>
      <c r="O8" t="s">
        <v>1271</v>
      </c>
    </row>
    <row r="9" spans="1:20">
      <c r="A9" t="s">
        <v>1511</v>
      </c>
      <c r="M9" t="s">
        <v>1271</v>
      </c>
      <c r="N9" t="s">
        <v>1271</v>
      </c>
      <c r="P9" t="s">
        <v>1271</v>
      </c>
      <c r="Q9" t="s">
        <v>1271</v>
      </c>
      <c r="R9" t="s">
        <v>1271</v>
      </c>
    </row>
    <row r="10" spans="1:20">
      <c r="A10" t="s">
        <v>1512</v>
      </c>
      <c r="L10" t="s">
        <v>1271</v>
      </c>
    </row>
    <row r="11" spans="1:20">
      <c r="A11" t="s">
        <v>1513</v>
      </c>
      <c r="C11" t="s">
        <v>1271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8" t="s">
        <v>1057</v>
      </c>
      <c r="C2" s="538" t="s">
        <v>1058</v>
      </c>
      <c r="D2" s="532" t="s">
        <v>1059</v>
      </c>
      <c r="E2" s="534"/>
      <c r="F2" s="535" t="s">
        <v>1060</v>
      </c>
      <c r="G2" s="537"/>
      <c r="H2" s="532" t="s">
        <v>1061</v>
      </c>
      <c r="I2" s="533"/>
      <c r="J2" s="533"/>
      <c r="K2" s="534"/>
      <c r="L2" s="535" t="s">
        <v>1062</v>
      </c>
      <c r="M2" s="536"/>
      <c r="N2" s="537"/>
      <c r="O2" s="179" t="s">
        <v>1063</v>
      </c>
      <c r="P2" s="180" t="s">
        <v>1064</v>
      </c>
      <c r="Q2" s="532" t="s">
        <v>1065</v>
      </c>
      <c r="R2" s="533"/>
      <c r="S2" s="534"/>
      <c r="T2" s="535" t="s">
        <v>1066</v>
      </c>
      <c r="U2" s="536"/>
      <c r="V2" s="537"/>
      <c r="W2" s="176" t="s">
        <v>1067</v>
      </c>
    </row>
    <row r="3" spans="2:28" ht="15.6">
      <c r="B3" s="539"/>
      <c r="C3" s="539"/>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29" t="s">
        <v>1068</v>
      </c>
      <c r="C5" s="183"/>
      <c r="D5" s="248"/>
      <c r="E5" s="248"/>
      <c r="F5" s="248"/>
      <c r="G5" s="248"/>
      <c r="H5" s="248"/>
      <c r="I5" s="248"/>
      <c r="J5" s="248"/>
      <c r="K5" s="248"/>
      <c r="L5" s="248"/>
      <c r="M5" s="248"/>
      <c r="N5" s="248"/>
      <c r="O5" s="248"/>
      <c r="P5" s="248"/>
      <c r="Q5" s="248"/>
      <c r="R5" s="248"/>
      <c r="S5" s="248"/>
      <c r="T5" s="248"/>
      <c r="U5" s="248"/>
      <c r="V5" s="248"/>
      <c r="W5" s="166" t="s">
        <v>1073</v>
      </c>
      <c r="Z5" s="388" t="s">
        <v>1637</v>
      </c>
    </row>
    <row r="6" spans="2:28" ht="15" customHeight="1">
      <c r="B6" s="530"/>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30"/>
      <c r="C7" s="182">
        <v>1.2</v>
      </c>
      <c r="D7" s="249"/>
      <c r="E7" s="249"/>
      <c r="F7" s="249"/>
      <c r="G7" s="249"/>
      <c r="H7" s="249"/>
      <c r="I7" s="249"/>
      <c r="J7" s="249"/>
      <c r="K7" s="249"/>
      <c r="L7" s="249"/>
      <c r="M7" s="249"/>
      <c r="N7" s="249"/>
      <c r="O7" s="249"/>
      <c r="P7" s="249"/>
      <c r="Q7" s="249"/>
      <c r="R7" s="249"/>
      <c r="S7" s="249"/>
      <c r="T7" s="249"/>
      <c r="U7" s="249"/>
      <c r="V7" s="249"/>
      <c r="W7" s="166" t="s">
        <v>891</v>
      </c>
      <c r="Z7" s="8" t="s">
        <v>1635</v>
      </c>
      <c r="AB7" s="387" t="s">
        <v>1072</v>
      </c>
    </row>
    <row r="8" spans="2:28" ht="15" customHeight="1">
      <c r="B8" s="531"/>
      <c r="C8" s="182">
        <v>1.3</v>
      </c>
      <c r="D8" s="249"/>
      <c r="E8" s="249"/>
      <c r="F8" s="249"/>
      <c r="G8" s="249"/>
      <c r="H8" s="249"/>
      <c r="I8" s="249"/>
      <c r="J8" s="249"/>
      <c r="K8" s="249"/>
      <c r="L8" s="249"/>
      <c r="M8" s="249"/>
      <c r="N8" s="249"/>
      <c r="O8" s="249"/>
      <c r="P8" s="249"/>
      <c r="Q8" s="249"/>
      <c r="R8" s="249"/>
      <c r="S8" s="249"/>
      <c r="T8" s="249"/>
      <c r="U8" s="249"/>
      <c r="V8" s="249"/>
      <c r="W8" s="166" t="s">
        <v>1070</v>
      </c>
      <c r="Z8" s="8" t="s">
        <v>1636</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29"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1643</v>
      </c>
    </row>
    <row r="11" spans="2:28" ht="15" customHeight="1">
      <c r="B11" s="530"/>
      <c r="C11" s="182">
        <v>2.1</v>
      </c>
      <c r="D11" s="183"/>
      <c r="E11" s="183"/>
      <c r="F11" s="183"/>
      <c r="G11" s="183"/>
      <c r="H11" s="183"/>
      <c r="I11" s="362" t="s">
        <v>1577</v>
      </c>
      <c r="J11" s="183"/>
      <c r="K11" s="183"/>
      <c r="L11" s="183"/>
      <c r="M11" s="183"/>
      <c r="N11" s="183"/>
      <c r="O11" s="183"/>
      <c r="P11" s="183"/>
      <c r="Q11" s="183"/>
      <c r="R11" s="183"/>
      <c r="S11" s="183"/>
      <c r="T11" s="183"/>
      <c r="U11" s="183"/>
      <c r="V11" s="183"/>
      <c r="W11" s="166"/>
    </row>
    <row r="12" spans="2:28" ht="15" customHeight="1">
      <c r="B12" s="530"/>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1638</v>
      </c>
      <c r="AB12" s="386" t="s">
        <v>1069</v>
      </c>
    </row>
    <row r="13" spans="2:28" ht="15" customHeight="1">
      <c r="B13" s="530"/>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1639</v>
      </c>
      <c r="AB13" s="386" t="s">
        <v>1070</v>
      </c>
    </row>
    <row r="14" spans="2:28" ht="15" customHeight="1">
      <c r="B14" s="530"/>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1640</v>
      </c>
      <c r="AB14" s="386" t="s">
        <v>891</v>
      </c>
    </row>
    <row r="15" spans="2:28" ht="15" customHeight="1">
      <c r="B15" s="530"/>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1641</v>
      </c>
      <c r="AB15" s="386" t="s">
        <v>1071</v>
      </c>
    </row>
    <row r="16" spans="2:28" ht="15" customHeight="1">
      <c r="B16" s="530"/>
      <c r="C16" s="182">
        <v>2.6</v>
      </c>
      <c r="D16" s="183"/>
      <c r="E16" s="183"/>
      <c r="F16" s="183"/>
      <c r="G16" s="183"/>
      <c r="H16" s="183"/>
      <c r="I16" s="183"/>
      <c r="J16" s="183"/>
      <c r="K16" s="183"/>
      <c r="L16" s="183"/>
      <c r="M16" s="183"/>
      <c r="N16" s="183"/>
      <c r="O16" s="183"/>
      <c r="P16" s="183"/>
      <c r="Q16" s="183"/>
      <c r="R16" s="183"/>
      <c r="S16" s="183"/>
      <c r="T16" s="183"/>
      <c r="U16" s="183"/>
      <c r="V16" s="183"/>
      <c r="W16" s="166"/>
      <c r="Z16" s="8" t="s">
        <v>1642</v>
      </c>
      <c r="AB16" s="386" t="s">
        <v>1075</v>
      </c>
    </row>
    <row r="17" spans="2:23" ht="15" customHeight="1">
      <c r="B17" s="530"/>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1"/>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29"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0"/>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0"/>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30"/>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30"/>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0"/>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0"/>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1"/>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29"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0"/>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0"/>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30"/>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0"/>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1"/>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25"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25"/>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25"/>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25"/>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28" t="s">
        <v>1057</v>
      </c>
      <c r="C49" s="528" t="s">
        <v>1058</v>
      </c>
      <c r="D49" s="526" t="s">
        <v>1059</v>
      </c>
      <c r="E49" s="526"/>
      <c r="F49" s="527" t="s">
        <v>1060</v>
      </c>
      <c r="G49" s="527"/>
      <c r="H49" s="526" t="s">
        <v>1061</v>
      </c>
      <c r="I49" s="526"/>
      <c r="J49" s="526"/>
      <c r="K49" s="526"/>
      <c r="L49" s="527" t="s">
        <v>1062</v>
      </c>
      <c r="M49" s="527"/>
      <c r="N49" s="527"/>
      <c r="O49" s="179" t="s">
        <v>1063</v>
      </c>
      <c r="P49" s="180" t="s">
        <v>1064</v>
      </c>
      <c r="Q49" s="526" t="s">
        <v>1065</v>
      </c>
      <c r="R49" s="526"/>
      <c r="S49" s="526"/>
      <c r="T49" s="527" t="s">
        <v>1066</v>
      </c>
      <c r="U49" s="527"/>
      <c r="V49" s="527"/>
    </row>
    <row r="50" spans="2:28" ht="93.6">
      <c r="B50" s="528"/>
      <c r="C50" s="528"/>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29"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30"/>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30"/>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31"/>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25"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25"/>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25"/>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25"/>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25"/>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25"/>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25"/>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25"/>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25"/>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25"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25"/>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25"/>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25"/>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25"/>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25"/>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25"/>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25"/>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25"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25"/>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25"/>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25"/>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25"/>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25"/>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25"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25"/>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25"/>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25"/>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12" stopIfTrue="1" operator="equal">
      <formula>"DM"</formula>
    </cfRule>
    <cfRule type="cellIs" dxfId="104" priority="111" stopIfTrue="1" operator="equal">
      <formula>"PM"</formula>
    </cfRule>
    <cfRule type="cellIs" dxfId="103" priority="110" stopIfTrue="1" operator="equal">
      <formula>"LM"</formula>
    </cfRule>
    <cfRule type="cellIs" dxfId="102" priority="109" stopIfTrue="1" operator="equal">
      <formula>"FM"</formula>
    </cfRule>
    <cfRule type="cellIs" dxfId="101" priority="108" operator="equal">
      <formula>"S"</formula>
    </cfRule>
  </conditionalFormatting>
  <conditionalFormatting sqref="C10">
    <cfRule type="cellIs" dxfId="100" priority="105" stopIfTrue="1" operator="equal">
      <formula>"LM"</formula>
    </cfRule>
    <cfRule type="cellIs" dxfId="99" priority="107" stopIfTrue="1" operator="equal">
      <formula>"DM"</formula>
    </cfRule>
    <cfRule type="cellIs" dxfId="98" priority="106" stopIfTrue="1" operator="equal">
      <formula>"PM"</formula>
    </cfRule>
    <cfRule type="cellIs" dxfId="97" priority="104" stopIfTrue="1" operator="equal">
      <formula>"FM"</formula>
    </cfRule>
    <cfRule type="cellIs" dxfId="96" priority="103" operator="equal">
      <formula>"S"</formula>
    </cfRule>
  </conditionalFormatting>
  <conditionalFormatting sqref="C20">
    <cfRule type="cellIs" dxfId="95" priority="99" stopIfTrue="1" operator="equal">
      <formula>"FM"</formula>
    </cfRule>
    <cfRule type="cellIs" dxfId="94" priority="98" operator="equal">
      <formula>"S"</formula>
    </cfRule>
    <cfRule type="cellIs" dxfId="93" priority="102" stopIfTrue="1" operator="equal">
      <formula>"DM"</formula>
    </cfRule>
    <cfRule type="cellIs" dxfId="92" priority="101" stopIfTrue="1" operator="equal">
      <formula>"PM"</formula>
    </cfRule>
    <cfRule type="cellIs" dxfId="91" priority="100" stopIfTrue="1" operator="equal">
      <formula>"LM"</formula>
    </cfRule>
  </conditionalFormatting>
  <conditionalFormatting sqref="C29">
    <cfRule type="cellIs" dxfId="90" priority="94" stopIfTrue="1" operator="equal">
      <formula>"FM"</formula>
    </cfRule>
    <cfRule type="cellIs" dxfId="89" priority="95" stopIfTrue="1" operator="equal">
      <formula>"LM"</formula>
    </cfRule>
    <cfRule type="cellIs" dxfId="88" priority="96" stopIfTrue="1" operator="equal">
      <formula>"PM"</formula>
    </cfRule>
    <cfRule type="cellIs" dxfId="87" priority="97" stopIfTrue="1" operator="equal">
      <formula>"DM"</formula>
    </cfRule>
    <cfRule type="cellIs" dxfId="86" priority="93" operator="equal">
      <formula>"S"</formula>
    </cfRule>
  </conditionalFormatting>
  <conditionalFormatting sqref="C36">
    <cfRule type="cellIs" dxfId="85" priority="92" stopIfTrue="1" operator="equal">
      <formula>"DM"</formula>
    </cfRule>
    <cfRule type="cellIs" dxfId="84" priority="91" stopIfTrue="1" operator="equal">
      <formula>"PM"</formula>
    </cfRule>
    <cfRule type="cellIs" dxfId="83" priority="90" stopIfTrue="1" operator="equal">
      <formula>"LM"</formula>
    </cfRule>
    <cfRule type="cellIs" dxfId="82" priority="89" stopIfTrue="1" operator="equal">
      <formula>"FM"</formula>
    </cfRule>
    <cfRule type="cellIs" dxfId="81" priority="88" operator="equal">
      <formula>"S"</formula>
    </cfRule>
  </conditionalFormatting>
  <conditionalFormatting sqref="C52">
    <cfRule type="cellIs" dxfId="80" priority="79" stopIfTrue="1" operator="equal">
      <formula>"FM"</formula>
    </cfRule>
    <cfRule type="cellIs" dxfId="79" priority="82" stopIfTrue="1" operator="equal">
      <formula>"DM"</formula>
    </cfRule>
    <cfRule type="cellIs" dxfId="78" priority="81" stopIfTrue="1" operator="equal">
      <formula>"PM"</formula>
    </cfRule>
    <cfRule type="cellIs" dxfId="77" priority="80" stopIfTrue="1" operator="equal">
      <formula>"LM"</formula>
    </cfRule>
    <cfRule type="cellIs" dxfId="76" priority="78" operator="equal">
      <formula>"S"</formula>
    </cfRule>
  </conditionalFormatting>
  <conditionalFormatting sqref="C57">
    <cfRule type="cellIs" dxfId="75" priority="73" operator="equal">
      <formula>"S"</formula>
    </cfRule>
    <cfRule type="cellIs" dxfId="74" priority="77" stopIfTrue="1" operator="equal">
      <formula>"DM"</formula>
    </cfRule>
    <cfRule type="cellIs" dxfId="73" priority="76" stopIfTrue="1" operator="equal">
      <formula>"PM"</formula>
    </cfRule>
    <cfRule type="cellIs" dxfId="72" priority="75" stopIfTrue="1" operator="equal">
      <formula>"LM"</formula>
    </cfRule>
    <cfRule type="cellIs" dxfId="71" priority="74" stopIfTrue="1" operator="equal">
      <formula>"FM"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6" stopIfTrue="1" operator="equal">
      <formula>"PM"</formula>
    </cfRule>
    <cfRule type="cellIs" dxfId="64" priority="67" stopIfTrue="1" operator="equal">
      <formula>"DM"</formula>
    </cfRule>
    <cfRule type="cellIs" dxfId="63" priority="63" operator="equal">
      <formula>"S"</formula>
    </cfRule>
    <cfRule type="cellIs" dxfId="62" priority="64" stopIfTrue="1" operator="equal">
      <formula>"FM"</formula>
    </cfRule>
    <cfRule type="cellIs" dxfId="61" priority="65" stopIfTrue="1" operator="equal">
      <formula>"LM"</formula>
    </cfRule>
  </conditionalFormatting>
  <conditionalFormatting sqref="C83">
    <cfRule type="cellIs" dxfId="60" priority="62" stopIfTrue="1" operator="equal">
      <formula>"DM"</formula>
    </cfRule>
    <cfRule type="cellIs" dxfId="59" priority="61" stopIfTrue="1" operator="equal">
      <formula>"PM"</formula>
    </cfRule>
    <cfRule type="cellIs" dxfId="58" priority="60" stopIfTrue="1" operator="equal">
      <formula>"LM"</formula>
    </cfRule>
    <cfRule type="cellIs" dxfId="57" priority="59" stopIfTrue="1" operator="equal">
      <formula>"FM"</formula>
    </cfRule>
    <cfRule type="cellIs" dxfId="56" priority="58" operator="equal">
      <formula>"S"</formula>
    </cfRule>
  </conditionalFormatting>
  <conditionalFormatting sqref="D5:V8">
    <cfRule type="cellIs" dxfId="55" priority="26" stopIfTrue="1" operator="equal">
      <formula>"DM"</formula>
    </cfRule>
    <cfRule type="cellIs" dxfId="54" priority="24" stopIfTrue="1" operator="equal">
      <formula>"LM"</formula>
    </cfRule>
    <cfRule type="cellIs" dxfId="53" priority="25" stopIfTrue="1" operator="equal">
      <formula>"PM"</formula>
    </cfRule>
    <cfRule type="cellIs" dxfId="52" priority="22" operator="equal">
      <formula>"S"</formula>
    </cfRule>
    <cfRule type="cellIs" dxfId="51" priority="23" stopIfTrue="1" operator="equal">
      <formula>"FM"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2" operator="equal">
      <formula>"S"</formula>
    </cfRule>
    <cfRule type="cellIs" dxfId="44" priority="14" stopIfTrue="1" operator="equal">
      <formula>"LM"</formula>
    </cfRule>
    <cfRule type="cellIs" dxfId="43" priority="15" stopIfTrue="1" operator="equal">
      <formula>"PM"</formula>
    </cfRule>
    <cfRule type="cellIs" dxfId="42" priority="13" stopIfTrue="1" operator="equal">
      <formula>"FM"</formula>
    </cfRule>
    <cfRule type="cellIs" dxfId="41" priority="16" stopIfTrue="1" operator="equal">
      <formula>"DM"</formula>
    </cfRule>
  </conditionalFormatting>
  <conditionalFormatting sqref="D29:V34">
    <cfRule type="cellIs" dxfId="40" priority="40" stopIfTrue="1" operator="equal">
      <formula>"PM"</formula>
    </cfRule>
    <cfRule type="cellIs" dxfId="39" priority="39" stopIfTrue="1" operator="equal">
      <formula>"LM"</formula>
    </cfRule>
    <cfRule type="cellIs" dxfId="38" priority="37" operator="equal">
      <formula>"S"</formula>
    </cfRule>
    <cfRule type="cellIs" dxfId="37" priority="38" stopIfTrue="1" operator="equal">
      <formula>"FM"</formula>
    </cfRule>
    <cfRule type="cellIs" dxfId="36" priority="41" stopIfTrue="1" operator="equal">
      <formula>"DM"</formula>
    </cfRule>
  </conditionalFormatting>
  <conditionalFormatting sqref="D36:V39">
    <cfRule type="cellIs" dxfId="35" priority="35" stopIfTrue="1" operator="equal">
      <formula>"PM"</formula>
    </cfRule>
    <cfRule type="cellIs" dxfId="34" priority="34" stopIfTrue="1" operator="equal">
      <formula>"LM"</formula>
    </cfRule>
    <cfRule type="cellIs" dxfId="33" priority="33" stopIfTrue="1" operator="equal">
      <formula>"FM"</formula>
    </cfRule>
    <cfRule type="cellIs" dxfId="32" priority="32" operator="equal">
      <formula>"S"</formula>
    </cfRule>
    <cfRule type="cellIs" dxfId="31" priority="36" stopIfTrue="1" operator="equal">
      <formula>"DM"</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67" stopIfTrue="1" operator="equal">
      <formula>"DM"</formula>
    </cfRule>
    <cfRule type="cellIs" dxfId="23" priority="118" operator="equal">
      <formula>"S"</formula>
    </cfRule>
    <cfRule type="cellIs" dxfId="22" priority="119" stopIfTrue="1" operator="equal">
      <formula>"FM"</formula>
    </cfRule>
    <cfRule type="cellIs" dxfId="21" priority="120" stopIfTrue="1" operator="equal">
      <formula>"LM"</formula>
    </cfRule>
    <cfRule type="cellIs" dxfId="20" priority="121" stopIfTrue="1" operator="equal">
      <formula>"PM"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11" stopIfTrue="1" operator="equal">
      <formula>"DM"</formula>
    </cfRule>
    <cfRule type="cellIs" dxfId="11" priority="9" stopIfTrue="1" operator="equal">
      <formula>"LM"</formula>
    </cfRule>
    <cfRule type="cellIs" dxfId="10" priority="8" stopIfTrue="1" operator="equal">
      <formula>"FM"</formula>
    </cfRule>
    <cfRule type="cellIs" dxfId="9" priority="10" stopIfTrue="1" operator="equal">
      <formula>"PM"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1495</v>
      </c>
      <c r="B6">
        <v>2</v>
      </c>
    </row>
    <row r="7" spans="1:2">
      <c r="A7" s="106" t="s">
        <v>1323</v>
      </c>
      <c r="B7">
        <v>1</v>
      </c>
    </row>
    <row r="8" spans="1:2">
      <c r="A8" s="243" t="s">
        <v>1510</v>
      </c>
      <c r="B8">
        <v>1</v>
      </c>
    </row>
    <row r="9" spans="1:2">
      <c r="A9" s="106" t="s">
        <v>890</v>
      </c>
      <c r="B9">
        <v>1</v>
      </c>
    </row>
    <row r="10" spans="1:2">
      <c r="A10" s="243" t="s">
        <v>1491</v>
      </c>
      <c r="B10">
        <v>1</v>
      </c>
    </row>
    <row r="11" spans="1:2">
      <c r="A11" s="106" t="s">
        <v>1123</v>
      </c>
      <c r="B11">
        <v>2</v>
      </c>
    </row>
    <row r="12" spans="1:2">
      <c r="A12" s="243" t="s">
        <v>1492</v>
      </c>
      <c r="B12">
        <v>1</v>
      </c>
    </row>
    <row r="13" spans="1:2">
      <c r="A13" s="243" t="s">
        <v>1497</v>
      </c>
      <c r="B13">
        <v>1</v>
      </c>
    </row>
    <row r="14" spans="1:2">
      <c r="A14" s="106" t="s">
        <v>1324</v>
      </c>
      <c r="B14">
        <v>4</v>
      </c>
    </row>
    <row r="15" spans="1:2">
      <c r="A15" s="243" t="s">
        <v>1504</v>
      </c>
      <c r="B15">
        <v>3</v>
      </c>
    </row>
    <row r="16" spans="1:2">
      <c r="A16" s="243" t="s">
        <v>1509</v>
      </c>
      <c r="B16">
        <v>1</v>
      </c>
    </row>
    <row r="17" spans="1:2">
      <c r="A17" s="106" t="s">
        <v>1206</v>
      </c>
      <c r="B17">
        <v>1</v>
      </c>
    </row>
    <row r="18" spans="1:2">
      <c r="A18" s="243" t="s">
        <v>1513</v>
      </c>
      <c r="B18">
        <v>1</v>
      </c>
    </row>
    <row r="19" spans="1:2">
      <c r="A19" s="106" t="s">
        <v>1322</v>
      </c>
      <c r="B19">
        <v>1</v>
      </c>
    </row>
    <row r="20" spans="1:2">
      <c r="A20" s="243" t="s">
        <v>1512</v>
      </c>
      <c r="B20">
        <v>1</v>
      </c>
    </row>
    <row r="21" spans="1:2">
      <c r="A21" s="106" t="s">
        <v>1325</v>
      </c>
      <c r="B21">
        <v>5</v>
      </c>
    </row>
    <row r="22" spans="1:2">
      <c r="A22" s="243" t="s">
        <v>1511</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1495</v>
      </c>
    </row>
    <row r="5" spans="1:6">
      <c r="A5" s="106" t="s">
        <v>862</v>
      </c>
    </row>
    <row r="6" spans="1:6">
      <c r="A6" s="106" t="s">
        <v>863</v>
      </c>
    </row>
    <row r="7" spans="1:6">
      <c r="A7" s="108" t="s">
        <v>1510</v>
      </c>
    </row>
    <row r="8" spans="1:6">
      <c r="A8" s="106" t="s">
        <v>732</v>
      </c>
    </row>
    <row r="9" spans="1:6">
      <c r="A9" s="108" t="s">
        <v>1491</v>
      </c>
    </row>
    <row r="10" spans="1:6">
      <c r="A10" s="106" t="s">
        <v>861</v>
      </c>
    </row>
    <row r="11" spans="1:6">
      <c r="A11" s="108" t="s">
        <v>1492</v>
      </c>
    </row>
    <row r="12" spans="1:6">
      <c r="A12" s="106" t="s">
        <v>860</v>
      </c>
    </row>
    <row r="13" spans="1:6">
      <c r="A13" s="108" t="s">
        <v>1497</v>
      </c>
    </row>
    <row r="14" spans="1:6">
      <c r="A14" s="106" t="s">
        <v>864</v>
      </c>
    </row>
    <row r="15" spans="1:6">
      <c r="A15" s="108" t="s">
        <v>1513</v>
      </c>
    </row>
    <row r="16" spans="1:6">
      <c r="A16" s="106" t="s">
        <v>814</v>
      </c>
    </row>
    <row r="17" spans="1:1">
      <c r="A17" s="108" t="s">
        <v>1511</v>
      </c>
    </row>
    <row r="18" spans="1:1">
      <c r="A18" s="106" t="s">
        <v>872</v>
      </c>
    </row>
    <row r="19" spans="1:1">
      <c r="A19" s="106" t="s">
        <v>873</v>
      </c>
    </row>
    <row r="20" spans="1:1">
      <c r="A20" s="106" t="s">
        <v>865</v>
      </c>
    </row>
    <row r="21" spans="1:1">
      <c r="A21" s="106" t="s">
        <v>866</v>
      </c>
    </row>
    <row r="22" spans="1:1">
      <c r="A22" s="106" t="s">
        <v>867</v>
      </c>
    </row>
    <row r="23" spans="1:1">
      <c r="A23" s="108" t="s">
        <v>1504</v>
      </c>
    </row>
    <row r="24" spans="1:1">
      <c r="A24" s="106" t="s">
        <v>869</v>
      </c>
    </row>
    <row r="25" spans="1:1">
      <c r="A25" s="106" t="s">
        <v>870</v>
      </c>
    </row>
    <row r="26" spans="1:1">
      <c r="A26" s="106" t="s">
        <v>871</v>
      </c>
    </row>
    <row r="27" spans="1:1">
      <c r="A27" s="108" t="s">
        <v>1509</v>
      </c>
    </row>
    <row r="28" spans="1:1">
      <c r="A28" s="106" t="s">
        <v>868</v>
      </c>
    </row>
    <row r="29" spans="1:1">
      <c r="A29" s="108" t="s">
        <v>1512</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1482</v>
      </c>
    </row>
    <row r="7" spans="1:6">
      <c r="A7" s="106" t="s">
        <v>1492</v>
      </c>
    </row>
    <row r="8" spans="1:6">
      <c r="A8" s="106" t="s">
        <v>1491</v>
      </c>
    </row>
    <row r="9" spans="1:6">
      <c r="A9" s="108" t="s">
        <v>1483</v>
      </c>
    </row>
    <row r="10" spans="1:6">
      <c r="A10" s="106" t="s">
        <v>1495</v>
      </c>
    </row>
    <row r="11" spans="1:6">
      <c r="A11" s="106" t="s">
        <v>1497</v>
      </c>
    </row>
    <row r="12" spans="1:6">
      <c r="A12" s="108" t="s">
        <v>1484</v>
      </c>
    </row>
    <row r="13" spans="1:6">
      <c r="A13" s="106" t="s">
        <v>1504</v>
      </c>
    </row>
    <row r="14" spans="1:6">
      <c r="A14" s="108" t="s">
        <v>1485</v>
      </c>
    </row>
    <row r="15" spans="1:6">
      <c r="A15" s="106" t="s">
        <v>1509</v>
      </c>
    </row>
    <row r="16" spans="1:6">
      <c r="A16" s="108" t="s">
        <v>1315</v>
      </c>
    </row>
    <row r="17" spans="1:1">
      <c r="A17" s="106" t="s">
        <v>1510</v>
      </c>
    </row>
    <row r="18" spans="1:1">
      <c r="A18" s="108" t="s">
        <v>1316</v>
      </c>
    </row>
    <row r="19" spans="1:1">
      <c r="A19" s="106" t="s">
        <v>1511</v>
      </c>
    </row>
    <row r="20" spans="1:1">
      <c r="A20" s="108" t="s">
        <v>1317</v>
      </c>
    </row>
    <row r="21" spans="1:1">
      <c r="A21" s="106" t="s">
        <v>1512</v>
      </c>
    </row>
    <row r="22" spans="1:1">
      <c r="A22" s="108" t="s">
        <v>1318</v>
      </c>
    </row>
    <row r="23" spans="1:1">
      <c r="A23" s="106" t="s">
        <v>1513</v>
      </c>
    </row>
    <row r="24" spans="1:1">
      <c r="A24" s="108" t="s">
        <v>896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1504</v>
      </c>
    </row>
    <row r="8" spans="1:1">
      <c r="A8" s="106" t="s">
        <v>1509</v>
      </c>
    </row>
    <row r="9" spans="1:1">
      <c r="A9" s="108" t="s">
        <v>966</v>
      </c>
    </row>
    <row r="10" spans="1:1">
      <c r="A10" s="106" t="s">
        <v>1492</v>
      </c>
    </row>
    <row r="11" spans="1:1">
      <c r="A11" s="106" t="s">
        <v>1491</v>
      </c>
    </row>
    <row r="12" spans="1:1">
      <c r="A12" s="106" t="s">
        <v>1495</v>
      </c>
    </row>
    <row r="13" spans="1:1">
      <c r="A13" s="106" t="s">
        <v>1497</v>
      </c>
    </row>
    <row r="14" spans="1:1">
      <c r="A14" s="108" t="s">
        <v>967</v>
      </c>
    </row>
    <row r="15" spans="1:1">
      <c r="A15" s="106" t="s">
        <v>1510</v>
      </c>
    </row>
    <row r="16" spans="1:1">
      <c r="A16" s="108" t="s">
        <v>968</v>
      </c>
    </row>
    <row r="17" spans="1:1">
      <c r="A17" s="106" t="s">
        <v>1511</v>
      </c>
    </row>
    <row r="18" spans="1:1">
      <c r="A18" s="108" t="s">
        <v>969</v>
      </c>
    </row>
    <row r="19" spans="1:1">
      <c r="A19" s="106" t="s">
        <v>1512</v>
      </c>
    </row>
    <row r="20" spans="1:1">
      <c r="A20" s="108" t="s">
        <v>974</v>
      </c>
    </row>
    <row r="21" spans="1:1">
      <c r="A21" s="106" t="s">
        <v>1513</v>
      </c>
    </row>
    <row r="22" spans="1:1">
      <c r="A22" s="108" t="s">
        <v>896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41" t="str">
        <f>StartupInfo!B3</f>
        <v>Software for Mars (Pty) Ltd</v>
      </c>
      <c r="C2" s="541"/>
      <c r="D2" s="541"/>
      <c r="E2" s="541"/>
      <c r="F2" s="541"/>
      <c r="G2" s="541"/>
      <c r="H2" s="541"/>
      <c r="I2" s="541"/>
      <c r="J2" s="357"/>
      <c r="K2" s="357"/>
    </row>
    <row r="3" spans="1:11" ht="19.5" customHeight="1">
      <c r="B3" s="541" t="str">
        <f>StartupInfo!B4</f>
        <v>Mars</v>
      </c>
      <c r="C3" s="541"/>
      <c r="D3" s="541"/>
      <c r="E3" s="541"/>
      <c r="F3" s="541"/>
      <c r="G3" s="541"/>
      <c r="H3" s="541"/>
      <c r="I3" s="541"/>
      <c r="J3" s="358"/>
      <c r="K3" s="202"/>
    </row>
    <row r="4" spans="1:11" ht="24" customHeight="1">
      <c r="A4" s="203"/>
      <c r="B4" s="542" t="str">
        <f>IF(StartupInfo!B18="","",StartupInfo!B18)</f>
        <v>R&amp;D Department</v>
      </c>
      <c r="C4" s="542"/>
      <c r="D4" s="542"/>
      <c r="E4" s="542"/>
      <c r="F4" s="542"/>
      <c r="G4" s="542"/>
      <c r="H4" s="542"/>
      <c r="I4" s="542"/>
    </row>
    <row r="5" spans="1:11">
      <c r="A5" s="203"/>
      <c r="B5" s="543" t="str">
        <f>IF(StartupInfo!B19="","",StartupInfo!B19)</f>
        <v/>
      </c>
      <c r="C5" s="543"/>
      <c r="D5" s="543"/>
      <c r="E5" s="543"/>
      <c r="F5" s="543"/>
      <c r="G5" s="543"/>
      <c r="H5" s="543"/>
      <c r="I5" s="543"/>
      <c r="J5" s="203"/>
      <c r="K5" s="203"/>
    </row>
    <row r="6" spans="1:11">
      <c r="A6" s="202"/>
      <c r="B6" s="358"/>
      <c r="C6" s="358"/>
      <c r="D6" s="358"/>
      <c r="E6" s="358"/>
      <c r="F6" s="358"/>
      <c r="G6" s="358"/>
      <c r="H6" s="358"/>
      <c r="I6" s="358"/>
      <c r="J6" s="358"/>
      <c r="K6" s="202"/>
    </row>
    <row r="7" spans="1:11" s="361" customFormat="1">
      <c r="A7" s="359"/>
      <c r="B7" s="544" t="str">
        <f>CONCATENATE("was rated on ",TEXT(Planning!B48,"dd mmmm yyyy")," at ",Planning!B16)</f>
        <v>was rated on 16 April 2021 at Maturity Level 5</v>
      </c>
      <c r="C7" s="544"/>
      <c r="D7" s="544"/>
      <c r="E7" s="544"/>
      <c r="F7" s="544"/>
      <c r="G7" s="544"/>
      <c r="H7" s="544"/>
      <c r="I7" s="544"/>
      <c r="J7" s="360"/>
      <c r="K7" s="359"/>
    </row>
    <row r="8" spans="1:11">
      <c r="A8" s="203"/>
      <c r="B8" s="203"/>
      <c r="C8" s="203"/>
      <c r="E8" s="545"/>
      <c r="F8" s="545"/>
      <c r="G8" s="545"/>
      <c r="H8" s="203"/>
      <c r="I8" s="203"/>
      <c r="J8" s="203"/>
      <c r="K8" s="203"/>
    </row>
    <row r="9" spans="1:11">
      <c r="A9" s="203"/>
      <c r="B9" s="203"/>
      <c r="C9" s="203"/>
      <c r="D9" s="203"/>
      <c r="E9" s="545"/>
      <c r="F9" s="545"/>
      <c r="G9" s="545"/>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6" t="str">
        <f>_xlfn.CONCAT("CAS ID",'Agreement 3'!B5)</f>
        <v>CAS ID53517</v>
      </c>
      <c r="G11" s="546"/>
      <c r="H11" s="546"/>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0" t="str">
        <f>'Agreement 3'!B7</f>
        <v>Dr Pieter van Zyl</v>
      </c>
      <c r="H13" s="540"/>
      <c r="I13" s="540"/>
      <c r="J13" s="203"/>
      <c r="K13" s="203"/>
    </row>
    <row r="14" spans="1:11">
      <c r="A14" s="203"/>
      <c r="B14" s="203"/>
      <c r="C14" s="203"/>
      <c r="D14" s="203"/>
      <c r="E14" s="203"/>
      <c r="F14" s="203"/>
      <c r="G14" s="540" t="str">
        <f>'Agreement 3'!B9</f>
        <v>CMMI V2.0 High Maturity Lead Appraiser</v>
      </c>
      <c r="H14" s="540"/>
      <c r="I14" s="540"/>
      <c r="J14" s="203"/>
      <c r="K14" s="203"/>
    </row>
    <row r="15" spans="1:11">
      <c r="A15" s="203"/>
      <c r="B15" s="203"/>
      <c r="C15" s="203"/>
      <c r="D15" s="203"/>
      <c r="E15" s="203"/>
      <c r="F15" s="203"/>
      <c r="G15" s="540" t="str">
        <f>'Agreement 3'!B11</f>
        <v>0500535-01</v>
      </c>
      <c r="H15" s="540"/>
      <c r="I15" s="540"/>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853</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1605</v>
      </c>
      <c r="C27" s="149" t="s">
        <v>1017</v>
      </c>
      <c r="D27" s="150">
        <f>'P1-OrgScope'!B88</f>
        <v>44322</v>
      </c>
      <c r="E27" s="136"/>
      <c r="G27" s="151" t="str">
        <f>G24</f>
        <v>16 Apr 2024</v>
      </c>
      <c r="H27" s="145" t="s">
        <v>1018</v>
      </c>
    </row>
    <row r="28" spans="1:9" s="8" customFormat="1" ht="15.6">
      <c r="A28" s="134"/>
      <c r="B28" s="149" t="s">
        <v>1693</v>
      </c>
      <c r="C28" s="149" t="s">
        <v>1019</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47" t="s">
        <v>1604</v>
      </c>
      <c r="C31" s="547"/>
      <c r="D31" s="547"/>
      <c r="E31" s="136"/>
      <c r="G31" s="154" t="s">
        <v>1369</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1606</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1595</v>
      </c>
    </row>
    <row r="10" spans="1:10">
      <c r="A10" s="326" t="s">
        <v>954</v>
      </c>
      <c r="B10" s="327" t="str">
        <f>'Agreement 3'!B28</f>
        <v>Prof Donald Kessler</v>
      </c>
    </row>
    <row r="11" spans="1:10">
      <c r="A11" s="335" t="s">
        <v>843</v>
      </c>
      <c r="B11" s="328" t="str">
        <f>'Agreement 3'!B29</f>
        <v>The Boss</v>
      </c>
    </row>
    <row r="12" spans="1:10">
      <c r="A12" s="335" t="s">
        <v>949</v>
      </c>
      <c r="B12" s="329" t="str">
        <f>StartupInfo!B37</f>
        <v>Internal</v>
      </c>
    </row>
    <row r="14" spans="1:10">
      <c r="A14" s="326" t="s">
        <v>950</v>
      </c>
      <c r="B14" s="327" t="str">
        <f>'Agreement 3'!B7</f>
        <v>Dr Pieter van Zyl</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Dr Pieter van Zyl - Demix (Pty) Ltd</v>
      </c>
    </row>
    <row r="21" spans="1:2">
      <c r="A21" s="335" t="s">
        <v>959</v>
      </c>
      <c r="B21" s="328" t="str">
        <f>_xlfn.CONCAT('P1-Personnel'!B13," - ",'P1-Personnel'!D13)</f>
        <v>ATM-1 - Demix (Pty) Ltd</v>
      </c>
    </row>
    <row r="22" spans="1:2">
      <c r="A22" s="335" t="s">
        <v>959</v>
      </c>
      <c r="B22" s="328" t="str">
        <f>_xlfn.CONCAT('P1-Personnel'!B14," - ",'P1-Personnel'!D14)</f>
        <v>ATM-2 - Demix (Pty) Ltd</v>
      </c>
    </row>
    <row r="23" spans="1:2">
      <c r="A23" s="335" t="s">
        <v>959</v>
      </c>
      <c r="B23" s="328" t="str">
        <f>_xlfn.CONCAT('P1-Personnel'!B15," - ",'P1-Personnel'!D15)</f>
        <v>ATM-3 - Demix (Pty) Ltd</v>
      </c>
    </row>
    <row r="24" spans="1:2">
      <c r="A24" s="335" t="s">
        <v>959</v>
      </c>
      <c r="B24" s="328" t="str">
        <f>_xlfn.CONCAT('P1-Personnel'!B16," - ",'P1-Personnel'!D16)</f>
        <v>ATM-4 - Demix (Pty) Ltd</v>
      </c>
    </row>
    <row r="25" spans="1:2">
      <c r="A25" s="335" t="s">
        <v>959</v>
      </c>
      <c r="B25" s="328" t="str">
        <f>_xlfn.CONCAT('P1-Personnel'!B17," - ",'P1-Personnel'!D17)</f>
        <v>ATM-5 - Demix (Pty) Ltd</v>
      </c>
    </row>
    <row r="26" spans="1:2">
      <c r="A26" s="335" t="s">
        <v>959</v>
      </c>
      <c r="B26" s="328" t="str">
        <f>_xlfn.CONCAT('P1-Personnel'!B18," - ",'P1-Personnel'!D18)</f>
        <v>ATM-6 - Demix (Pty) Ltd</v>
      </c>
    </row>
    <row r="27" spans="1:2">
      <c r="A27" s="335" t="s">
        <v>959</v>
      </c>
      <c r="B27" s="328" t="str">
        <f>_xlfn.CONCAT('P1-Personnel'!B19," - ",'P1-Personnel'!D19)</f>
        <v>ATM-7 - Demix (Pty) Ltd</v>
      </c>
    </row>
    <row r="28" spans="1:2">
      <c r="A28" s="335" t="s">
        <v>959</v>
      </c>
      <c r="B28" s="328" t="str">
        <f>_xlfn.CONCAT('P1-Personnel'!B20," - ",'P1-Personnel'!D20)</f>
        <v>ATM-8 - Demix (Pty) Ltd</v>
      </c>
    </row>
    <row r="29" spans="1:2">
      <c r="A29" s="335" t="s">
        <v>959</v>
      </c>
      <c r="B29" s="328" t="str">
        <f>_xlfn.CONCAT('P1-Personnel'!B21," - ",'P1-Personnel'!D21)</f>
        <v>ATM-9 - Demix (Pty) Ltd</v>
      </c>
    </row>
    <row r="30" spans="1:2">
      <c r="A30" s="335" t="s">
        <v>960</v>
      </c>
      <c r="B30" s="328" t="str">
        <f>_xlfn.CONCAT('Agreement 3'!B33," - ",'Agreement 3'!B35)</f>
        <v>Miss Nathalie Lake - Software for Mars (Pty) Ltd</v>
      </c>
    </row>
    <row r="31" spans="1:2">
      <c r="A31" s="335" t="s">
        <v>27</v>
      </c>
      <c r="B31" s="328" t="str">
        <f>_xlfn.CONCAT('P1-Personnel'!B8," - ",'P1-Personnel'!D8)</f>
        <v>Miss Barbara Land - Freelance</v>
      </c>
    </row>
    <row r="33" spans="1:2">
      <c r="A33" s="326" t="s">
        <v>1446</v>
      </c>
      <c r="B33" s="326" t="s">
        <v>382</v>
      </c>
    </row>
    <row r="34" spans="1:2" ht="31.95" customHeight="1">
      <c r="A34" s="335" t="s">
        <v>774</v>
      </c>
      <c r="B34" s="331" t="s">
        <v>1447</v>
      </c>
    </row>
    <row r="35" spans="1:2" ht="31.95" customHeight="1">
      <c r="A35" s="335" t="s">
        <v>1448</v>
      </c>
      <c r="B35" s="332" t="s">
        <v>1338</v>
      </c>
    </row>
    <row r="36" spans="1:2" ht="31.95" customHeight="1">
      <c r="A36" s="335" t="s">
        <v>775</v>
      </c>
      <c r="B36" s="332" t="s">
        <v>1335</v>
      </c>
    </row>
    <row r="37" spans="1:2" ht="31.95" customHeight="1">
      <c r="A37" s="335" t="s">
        <v>1449</v>
      </c>
      <c r="B37" s="332" t="s">
        <v>1336</v>
      </c>
    </row>
    <row r="38" spans="1:2" ht="31.95" customHeight="1">
      <c r="A38" s="335" t="s">
        <v>658</v>
      </c>
      <c r="B38" s="332" t="s">
        <v>1450</v>
      </c>
    </row>
    <row r="39" spans="1:2">
      <c r="A39" s="326" t="s">
        <v>1451</v>
      </c>
      <c r="B39" s="326" t="s">
        <v>382</v>
      </c>
    </row>
    <row r="40" spans="1:2" ht="34.950000000000003" customHeight="1">
      <c r="A40" s="335" t="s">
        <v>1452</v>
      </c>
      <c r="B40" s="332" t="s">
        <v>1453</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organization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50" t="str">
        <f>Planning!B26</f>
        <v>CMMI Development V2.0 (CMMI-DEV) without SAM</v>
      </c>
      <c r="B2" s="551"/>
      <c r="C2" s="551"/>
      <c r="D2" s="550"/>
      <c r="E2" s="551"/>
      <c r="F2" s="551"/>
      <c r="G2" s="551"/>
      <c r="H2" s="551"/>
      <c r="I2" s="551"/>
      <c r="L2" s="267" t="s">
        <v>1261</v>
      </c>
      <c r="M2" s="267">
        <f>VALUE(RIGHT(Planning!B16,1))</f>
        <v>5</v>
      </c>
      <c r="N2" s="16" t="s">
        <v>1262</v>
      </c>
    </row>
    <row r="3" spans="1:16" s="8" customFormat="1">
      <c r="A3" s="552" t="str">
        <f>'P1-OrgScope'!B48</f>
        <v>Maturity Level 5</v>
      </c>
      <c r="B3" s="553"/>
      <c r="C3" s="553"/>
      <c r="D3" s="552"/>
      <c r="E3" s="553"/>
      <c r="F3" s="553"/>
      <c r="G3" s="553"/>
      <c r="H3" s="553"/>
      <c r="I3" s="553"/>
      <c r="J3" s="125"/>
      <c r="K3" s="302"/>
      <c r="L3" s="302"/>
      <c r="M3" s="302"/>
      <c r="N3" s="125"/>
      <c r="O3" s="125"/>
      <c r="P3" s="125"/>
    </row>
    <row r="4" spans="1:16">
      <c r="A4" s="305" t="s">
        <v>1427</v>
      </c>
      <c r="B4" s="305" t="s">
        <v>897</v>
      </c>
      <c r="C4" s="306" t="s">
        <v>1428</v>
      </c>
      <c r="D4" s="319" t="s">
        <v>897</v>
      </c>
      <c r="E4" s="320">
        <v>1</v>
      </c>
      <c r="F4" s="320">
        <v>2</v>
      </c>
      <c r="G4" s="320">
        <v>3</v>
      </c>
      <c r="H4" s="320">
        <v>4</v>
      </c>
      <c r="I4" s="320">
        <v>5</v>
      </c>
      <c r="M4" s="302" t="s">
        <v>1443</v>
      </c>
    </row>
    <row r="5" spans="1:16" ht="20.7" customHeight="1">
      <c r="A5" s="554" t="s">
        <v>1432</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54"/>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54"/>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54"/>
      <c r="B8" s="307" t="s">
        <v>1433</v>
      </c>
      <c r="C8" s="287">
        <f t="shared" si="0"/>
        <v>3</v>
      </c>
      <c r="D8" s="321" t="s">
        <v>1433</v>
      </c>
      <c r="E8" s="322" t="str">
        <f t="shared" si="2"/>
        <v>x</v>
      </c>
      <c r="F8" s="322" t="str">
        <f t="shared" si="1"/>
        <v>x</v>
      </c>
      <c r="G8" s="322" t="str">
        <f t="shared" si="1"/>
        <v>x</v>
      </c>
      <c r="H8" s="322" t="str">
        <f t="shared" si="1"/>
        <v/>
      </c>
      <c r="I8" s="322" t="str">
        <f t="shared" si="1"/>
        <v/>
      </c>
      <c r="M8" s="302">
        <v>3</v>
      </c>
    </row>
    <row r="9" spans="1:16" ht="20.7" customHeight="1">
      <c r="A9" s="555" t="s">
        <v>1435</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55"/>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1444</v>
      </c>
      <c r="B11" s="310" t="s">
        <v>1445</v>
      </c>
      <c r="C11" s="287">
        <f t="shared" si="0"/>
        <v>4</v>
      </c>
      <c r="D11" s="321" t="s">
        <v>1445</v>
      </c>
      <c r="E11" s="322" t="str">
        <f t="shared" si="2"/>
        <v>x</v>
      </c>
      <c r="F11" s="322" t="str">
        <f t="shared" si="1"/>
        <v>x</v>
      </c>
      <c r="G11" s="322" t="str">
        <f t="shared" si="1"/>
        <v>x</v>
      </c>
      <c r="H11" s="322" t="str">
        <f t="shared" si="1"/>
        <v>x</v>
      </c>
      <c r="I11" s="322" t="str">
        <f t="shared" si="1"/>
        <v/>
      </c>
      <c r="M11" s="302">
        <v>4</v>
      </c>
    </row>
    <row r="12" spans="1:16" ht="20.7" customHeight="1">
      <c r="A12" s="556" t="s">
        <v>1442</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56"/>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56"/>
      <c r="B14" s="311" t="s">
        <v>1436</v>
      </c>
      <c r="C14" s="287">
        <f t="shared" si="0"/>
        <v>3</v>
      </c>
      <c r="D14" s="321" t="s">
        <v>1436</v>
      </c>
      <c r="E14" s="322" t="str">
        <f t="shared" si="2"/>
        <v>x</v>
      </c>
      <c r="F14" s="322" t="str">
        <f t="shared" si="1"/>
        <v>x</v>
      </c>
      <c r="G14" s="322" t="str">
        <f t="shared" si="1"/>
        <v>x</v>
      </c>
      <c r="H14" s="322" t="str">
        <f t="shared" si="1"/>
        <v/>
      </c>
      <c r="I14" s="322" t="str">
        <f t="shared" si="1"/>
        <v/>
      </c>
      <c r="M14" s="302">
        <v>3</v>
      </c>
    </row>
    <row r="15" spans="1:16" ht="20.7" customHeight="1">
      <c r="A15" s="312" t="s">
        <v>1441</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1440</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57" t="s">
        <v>1439</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57"/>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57"/>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48" t="s">
        <v>1438</v>
      </c>
      <c r="B20" s="317" t="s">
        <v>1596</v>
      </c>
      <c r="C20" s="287">
        <f t="shared" si="0"/>
        <v>4</v>
      </c>
      <c r="D20" s="321" t="s">
        <v>1596</v>
      </c>
      <c r="E20" s="322" t="str">
        <f t="shared" si="2"/>
        <v>x</v>
      </c>
      <c r="F20" s="322" t="str">
        <f t="shared" si="1"/>
        <v>x</v>
      </c>
      <c r="G20" s="322" t="str">
        <f t="shared" si="1"/>
        <v>x</v>
      </c>
      <c r="H20" s="322" t="str">
        <f t="shared" si="1"/>
        <v>x</v>
      </c>
      <c r="I20" s="322" t="str">
        <f t="shared" si="1"/>
        <v/>
      </c>
      <c r="M20" s="302">
        <v>4</v>
      </c>
    </row>
    <row r="21" spans="1:13" ht="20.7" customHeight="1">
      <c r="A21" s="548"/>
      <c r="B21" s="317" t="s">
        <v>1437</v>
      </c>
      <c r="C21" s="287">
        <f t="shared" si="0"/>
        <v>3</v>
      </c>
      <c r="D21" s="321" t="s">
        <v>1437</v>
      </c>
      <c r="E21" s="322" t="str">
        <f t="shared" si="2"/>
        <v>x</v>
      </c>
      <c r="F21" s="322" t="str">
        <f t="shared" si="2"/>
        <v>x</v>
      </c>
      <c r="G21" s="322" t="str">
        <f t="shared" si="2"/>
        <v>x</v>
      </c>
      <c r="H21" s="322" t="str">
        <f t="shared" si="2"/>
        <v/>
      </c>
      <c r="I21" s="322" t="str">
        <f t="shared" si="2"/>
        <v/>
      </c>
      <c r="M21" s="302">
        <v>3</v>
      </c>
    </row>
    <row r="22" spans="1:13" ht="20.7" customHeight="1">
      <c r="A22" s="549" t="s">
        <v>1434</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49"/>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49"/>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1133</v>
      </c>
      <c r="E24" s="200" t="s">
        <v>1169</v>
      </c>
      <c r="G24" s="212" t="s">
        <v>1142</v>
      </c>
      <c r="H24" s="125" t="s">
        <v>1170</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61" t="str">
        <f>_xlfn.CONCAT('P1-OrgScope'!B133,"(",'P1-OrgScope'!B134,")")</f>
        <v>All projects(AP)</v>
      </c>
      <c r="B2" s="197" t="str">
        <f>'Project&amp;Support'!B3</f>
        <v>p1MRE</v>
      </c>
      <c r="C2" s="198" t="str">
        <f>'Project&amp;Support'!AB3</f>
        <v>xx</v>
      </c>
      <c r="D2" s="197" t="str">
        <f>'Project&amp;Support'!C3</f>
        <v xml:space="preserve">Merlyn Rocket Engine (MRE) … </v>
      </c>
      <c r="E2" s="561" t="str">
        <f>_xlfn.CONCAT(StartupInfo!B5,", ",StartupInfo!B6,", ",StartupInfo!B7,CHAR(13),CHAR(10),StartupInfo!B8,", ",StartupInfo!B9)</f>
        <v>Room 1, Dome 1, No. 1 First Street, Base Alpha City_x000D_
Tharsis, Planet04</v>
      </c>
    </row>
    <row r="3" spans="1:5" ht="63" customHeight="1">
      <c r="A3" s="561"/>
      <c r="B3" s="197" t="str">
        <f>'Project&amp;Support'!B4</f>
        <v>p2RRE</v>
      </c>
      <c r="C3" s="198" t="str">
        <f>'Project&amp;Support'!AB4</f>
        <v>xx</v>
      </c>
      <c r="D3" s="197" t="str">
        <f>'Project&amp;Support'!C4</f>
        <v>Raptor Rocket Engine (RRE) …</v>
      </c>
      <c r="E3" s="561"/>
    </row>
    <row r="4" spans="1:5" ht="63" customHeight="1">
      <c r="A4" s="561"/>
      <c r="B4" s="197" t="str">
        <f>'Project&amp;Support'!B5</f>
        <v>p3FNR</v>
      </c>
      <c r="C4" s="198" t="str">
        <f>'Project&amp;Support'!AB5</f>
        <v>xx</v>
      </c>
      <c r="D4" s="197" t="str">
        <f>'Project&amp;Support'!C5</f>
        <v>Falcon Nine Rocket (FNR) ….</v>
      </c>
      <c r="E4" s="561"/>
    </row>
    <row r="5" spans="1:5" ht="63" customHeight="1">
      <c r="A5" s="561"/>
      <c r="B5" s="197" t="str">
        <f>'Project&amp;Support'!B6</f>
        <v>p4SSH</v>
      </c>
      <c r="C5" s="198" t="str">
        <f>'Project&amp;Support'!AB6</f>
        <v>xx</v>
      </c>
      <c r="D5" s="197" t="str">
        <f>'Project&amp;Support'!C6</f>
        <v>Starship Super Heavy (SSH) ….</v>
      </c>
      <c r="E5" s="561"/>
    </row>
    <row r="6" spans="1:5" ht="42" hidden="1">
      <c r="A6" s="561"/>
      <c r="B6" s="197" t="s">
        <v>1597</v>
      </c>
      <c r="C6" s="198">
        <f>'Project&amp;Support'!AB10</f>
        <v>1</v>
      </c>
      <c r="D6" s="197" t="str">
        <f>'Project&amp;Support'!C10</f>
        <v>The Configuration Management (CM) function, manages baselines for projects and the organization.</v>
      </c>
      <c r="E6" s="561"/>
    </row>
    <row r="7" spans="1:5" ht="105" hidden="1">
      <c r="A7" s="561"/>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1"/>
    </row>
    <row r="8" spans="1:5" ht="63" hidden="1">
      <c r="A8" s="561"/>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1"/>
    </row>
    <row r="9" spans="1:5" ht="42" hidden="1">
      <c r="A9" s="561"/>
      <c r="B9" s="197" t="str">
        <f>'Project&amp;Support'!B13</f>
        <v>s4PPQA</v>
      </c>
      <c r="C9" s="198">
        <f>'Project&amp;Support'!AB13</f>
        <v>1</v>
      </c>
      <c r="D9" s="197" t="str">
        <f>'Project&amp;Support'!C13</f>
        <v xml:space="preserve">The Process and Product Quality Assurance (PPQA) team manage and performs process quality assurance. </v>
      </c>
      <c r="E9" s="561"/>
    </row>
    <row r="10" spans="1:5" ht="21" hidden="1">
      <c r="A10" s="561"/>
      <c r="B10" s="197">
        <f>'Project&amp;Support'!B14</f>
        <v>0</v>
      </c>
      <c r="C10" s="198">
        <f>'Project&amp;Support'!AB14</f>
        <v>0</v>
      </c>
      <c r="D10" s="197">
        <f>'Project&amp;Support'!C14</f>
        <v>0</v>
      </c>
      <c r="E10" s="561"/>
    </row>
    <row r="11" spans="1:5" ht="21" hidden="1">
      <c r="A11" s="561"/>
      <c r="B11" s="197">
        <f>'Project&amp;Support'!B15</f>
        <v>0</v>
      </c>
      <c r="C11" s="198">
        <f>'Project&amp;Support'!AB15</f>
        <v>0</v>
      </c>
      <c r="D11" s="197">
        <f>'Project&amp;Support'!C15</f>
        <v>0</v>
      </c>
      <c r="E11" s="561"/>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58" t="s">
        <v>1096</v>
      </c>
      <c r="B16" s="197" t="str">
        <f>'Project&amp;Support'!B10</f>
        <v>s1CM</v>
      </c>
      <c r="C16" s="199">
        <f>'Project&amp;Support'!AB10</f>
        <v>1</v>
      </c>
      <c r="D16" s="197" t="str">
        <f>'Project&amp;Support'!C10</f>
        <v>The Configuration Management (CM) function, manages baselines for projects and the organization.</v>
      </c>
      <c r="E16" s="562" t="str">
        <f>StartupInfo!B11</f>
        <v>Room 1, Dome 1, No. 1 First Street, Base Alpha City, Tharsis, Planet04, China</v>
      </c>
    </row>
    <row r="17" spans="1:5" ht="105">
      <c r="A17" s="559"/>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3"/>
    </row>
    <row r="18" spans="1:5" ht="63">
      <c r="A18" s="559"/>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3"/>
    </row>
    <row r="19" spans="1:5" ht="42">
      <c r="A19" s="559"/>
      <c r="B19" s="197" t="str">
        <f>'Project&amp;Support'!B13</f>
        <v>s4PPQA</v>
      </c>
      <c r="C19" s="199">
        <f>'Project&amp;Support'!AB13</f>
        <v>1</v>
      </c>
      <c r="D19" s="197" t="str">
        <f>'Project&amp;Support'!C13</f>
        <v xml:space="preserve">The Process and Product Quality Assurance (PPQA) team manage and performs process quality assurance. </v>
      </c>
      <c r="E19" s="563"/>
    </row>
    <row r="20" spans="1:5" ht="126" hidden="1" customHeight="1">
      <c r="A20" s="559"/>
      <c r="B20" s="197">
        <f>'Project&amp;Support'!B14</f>
        <v>0</v>
      </c>
      <c r="C20" s="199">
        <f>'Project&amp;Support'!AB14</f>
        <v>0</v>
      </c>
      <c r="D20" s="197">
        <f>'Project&amp;Support'!C14</f>
        <v>0</v>
      </c>
      <c r="E20" s="563"/>
    </row>
    <row r="21" spans="1:5" ht="126" hidden="1" customHeight="1">
      <c r="A21" s="560"/>
      <c r="B21" s="197">
        <f>'Project&amp;Support'!B15</f>
        <v>0</v>
      </c>
      <c r="C21" s="199">
        <f>'Project&amp;Support'!AB15</f>
        <v>0</v>
      </c>
      <c r="D21" s="197">
        <f>'Project&amp;Support'!C15</f>
        <v>0</v>
      </c>
      <c r="E21" s="564"/>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hidden="1" customHeight="1">
      <c r="B3" s="345" t="s">
        <v>586</v>
      </c>
      <c r="C3" s="345" t="str">
        <f>'Agreement 3'!B28</f>
        <v>Prof Donald Kessler</v>
      </c>
      <c r="D3" s="345"/>
      <c r="E3" s="346">
        <f>'P1-OrgScope'!B87</f>
        <v>44302</v>
      </c>
    </row>
    <row r="4" spans="2:5" s="187" customFormat="1" ht="30" customHeight="1">
      <c r="B4" s="345" t="s">
        <v>1083</v>
      </c>
      <c r="C4" s="345" t="str">
        <f>'Agreement 3'!B7</f>
        <v>Dr Pieter van Zyl</v>
      </c>
      <c r="D4" s="345"/>
      <c r="E4" s="346">
        <f>E3</f>
        <v>44302</v>
      </c>
    </row>
    <row r="5" spans="2:5" s="187" customFormat="1" ht="30" customHeight="1">
      <c r="B5" s="345" t="s">
        <v>1082</v>
      </c>
      <c r="C5" s="345" t="str">
        <f>'P1-Personnel'!B13</f>
        <v>ATM-1</v>
      </c>
      <c r="D5" s="345"/>
      <c r="E5" s="346">
        <f>E4</f>
        <v>44302</v>
      </c>
    </row>
    <row r="6" spans="2:5" s="187" customFormat="1" ht="30" customHeight="1">
      <c r="B6" s="345" t="s">
        <v>1082</v>
      </c>
      <c r="C6" s="345" t="str">
        <f>'P1-Personnel'!B14</f>
        <v>ATM-2</v>
      </c>
      <c r="D6" s="345"/>
      <c r="E6" s="346">
        <f>E5</f>
        <v>44302</v>
      </c>
    </row>
    <row r="7" spans="2:5" s="187" customFormat="1" ht="30" customHeight="1">
      <c r="B7" s="345" t="s">
        <v>1082</v>
      </c>
      <c r="C7" s="345" t="str">
        <f>'P1-Personnel'!B15</f>
        <v>ATM-3</v>
      </c>
      <c r="D7" s="345"/>
      <c r="E7" s="346">
        <f t="shared" ref="E7:E13" si="0">E6</f>
        <v>44302</v>
      </c>
    </row>
    <row r="8" spans="2:5" s="187" customFormat="1" ht="30" customHeight="1">
      <c r="B8" s="345" t="s">
        <v>1082</v>
      </c>
      <c r="C8" s="345" t="str">
        <f>'P1-Personnel'!B16</f>
        <v>ATM-4</v>
      </c>
      <c r="D8" s="345"/>
      <c r="E8" s="346">
        <f t="shared" si="0"/>
        <v>44302</v>
      </c>
    </row>
    <row r="9" spans="2:5" s="187" customFormat="1" ht="30" customHeight="1">
      <c r="B9" s="345" t="s">
        <v>1082</v>
      </c>
      <c r="C9" s="345" t="str">
        <f>'P1-Personnel'!B17</f>
        <v>ATM-5</v>
      </c>
      <c r="D9" s="345"/>
      <c r="E9" s="346">
        <f t="shared" si="0"/>
        <v>44302</v>
      </c>
    </row>
    <row r="10" spans="2:5" s="187" customFormat="1" ht="30" customHeight="1">
      <c r="B10" s="345" t="s">
        <v>1082</v>
      </c>
      <c r="C10" s="345" t="str">
        <f>'P1-Personnel'!B18</f>
        <v>ATM-6</v>
      </c>
      <c r="D10" s="345"/>
      <c r="E10" s="346">
        <f t="shared" si="0"/>
        <v>44302</v>
      </c>
    </row>
    <row r="11" spans="2:5" s="187" customFormat="1" ht="30" customHeight="1">
      <c r="B11" s="345" t="s">
        <v>1082</v>
      </c>
      <c r="C11" s="345" t="str">
        <f>'P1-Personnel'!B19</f>
        <v>ATM-7</v>
      </c>
      <c r="D11" s="345"/>
      <c r="E11" s="346">
        <f t="shared" si="0"/>
        <v>44302</v>
      </c>
    </row>
    <row r="12" spans="2:5" s="187" customFormat="1" ht="30" customHeight="1">
      <c r="B12" s="345" t="s">
        <v>1082</v>
      </c>
      <c r="C12" s="345" t="str">
        <f>'P1-Personnel'!B20</f>
        <v>ATM-8</v>
      </c>
      <c r="D12" s="345"/>
      <c r="E12" s="346">
        <f t="shared" si="0"/>
        <v>44302</v>
      </c>
    </row>
    <row r="13" spans="2:5" s="187" customFormat="1" ht="30" customHeight="1">
      <c r="B13" s="345" t="s">
        <v>1082</v>
      </c>
      <c r="C13" s="345" t="str">
        <f>'P1-Personnel'!B21</f>
        <v>ATM-9</v>
      </c>
      <c r="D13" s="345"/>
      <c r="E13" s="346">
        <f t="shared" si="0"/>
        <v>44302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5" t="s">
        <v>1089</v>
      </c>
      <c r="C2" s="566"/>
      <c r="D2" s="566"/>
      <c r="E2" s="324"/>
      <c r="F2" s="324"/>
      <c r="G2" s="324"/>
      <c r="H2" s="324"/>
      <c r="I2" s="324"/>
      <c r="J2" s="324"/>
      <c r="K2" s="324"/>
      <c r="L2" s="324"/>
      <c r="M2" s="324"/>
    </row>
    <row r="3" spans="2:13" ht="31.2">
      <c r="B3" s="350">
        <v>1</v>
      </c>
      <c r="C3" s="345" t="s">
        <v>1171</v>
      </c>
      <c r="D3" s="345" t="s">
        <v>1172</v>
      </c>
    </row>
    <row r="4" spans="2:13" ht="31.2">
      <c r="B4" s="350">
        <v>2</v>
      </c>
      <c r="C4" s="345" t="s">
        <v>1173</v>
      </c>
      <c r="D4" s="345" t="s">
        <v>1174</v>
      </c>
    </row>
    <row r="5" spans="2:13" ht="31.2">
      <c r="B5" s="350">
        <v>3</v>
      </c>
      <c r="C5" s="345" t="s">
        <v>1175</v>
      </c>
      <c r="D5" s="345" t="s">
        <v>1176</v>
      </c>
    </row>
    <row r="6" spans="2:13">
      <c r="B6" s="350">
        <v>4</v>
      </c>
      <c r="C6" s="345" t="s">
        <v>1090</v>
      </c>
      <c r="D6" s="345" t="s">
        <v>1091</v>
      </c>
    </row>
    <row r="7" spans="2:13" ht="31.2">
      <c r="B7" s="350">
        <v>5</v>
      </c>
      <c r="C7" s="345" t="s">
        <v>1177</v>
      </c>
      <c r="D7" s="345" t="s">
        <v>1178</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5" t="s">
        <v>1088</v>
      </c>
      <c r="C18" s="566"/>
      <c r="D18" s="566"/>
    </row>
    <row r="19" spans="2:4" ht="31.2">
      <c r="B19" s="350">
        <v>1</v>
      </c>
      <c r="C19" s="345" t="s">
        <v>1179</v>
      </c>
      <c r="D19" s="345" t="s">
        <v>1180</v>
      </c>
    </row>
    <row r="20" spans="2:4" ht="46.8">
      <c r="B20" s="350">
        <v>2</v>
      </c>
      <c r="C20" s="345" t="s">
        <v>1181</v>
      </c>
      <c r="D20" s="345" t="s">
        <v>1182</v>
      </c>
    </row>
    <row r="21" spans="2:4" ht="46.8">
      <c r="B21" s="350">
        <v>3</v>
      </c>
      <c r="C21" s="345" t="s">
        <v>1183</v>
      </c>
      <c r="D21" s="345" t="s">
        <v>1184</v>
      </c>
    </row>
    <row r="22" spans="2:4" ht="46.8">
      <c r="B22" s="350">
        <v>4</v>
      </c>
      <c r="C22" s="345" t="s">
        <v>1185</v>
      </c>
      <c r="D22" s="345" t="s">
        <v>1186</v>
      </c>
    </row>
    <row r="23" spans="2:4" ht="46.8">
      <c r="B23" s="350">
        <v>5</v>
      </c>
      <c r="C23" s="345" t="s">
        <v>1187</v>
      </c>
      <c r="D23" s="345" t="s">
        <v>1188</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1134</v>
      </c>
      <c r="AN4" s="25" t="s">
        <v>1578</v>
      </c>
      <c r="AP4" s="25" t="s">
        <v>1761</v>
      </c>
      <c r="AR4" s="25" t="s">
        <v>1261</v>
      </c>
    </row>
    <row r="5" spans="2:44">
      <c r="B5" t="s">
        <v>36</v>
      </c>
      <c r="D5" t="s">
        <v>293</v>
      </c>
      <c r="E5" t="s">
        <v>406</v>
      </c>
      <c r="F5" t="s">
        <v>1770</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1762</v>
      </c>
    </row>
    <row r="6" spans="2:44">
      <c r="B6" t="s">
        <v>272</v>
      </c>
      <c r="D6" t="s">
        <v>294</v>
      </c>
      <c r="E6" t="s">
        <v>406</v>
      </c>
      <c r="F6" t="s">
        <v>1771</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1772</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1773</v>
      </c>
      <c r="H8" t="s">
        <v>411</v>
      </c>
      <c r="J8" t="s">
        <v>419</v>
      </c>
      <c r="L8" t="s">
        <v>426</v>
      </c>
      <c r="N8" t="s">
        <v>440</v>
      </c>
      <c r="T8" s="16" t="s">
        <v>601</v>
      </c>
      <c r="V8" t="s">
        <v>612</v>
      </c>
      <c r="X8" t="s">
        <v>625</v>
      </c>
      <c r="Z8" t="s">
        <v>630</v>
      </c>
      <c r="AB8" t="s">
        <v>649</v>
      </c>
      <c r="AD8" t="s">
        <v>658</v>
      </c>
      <c r="AF8" t="s">
        <v>675</v>
      </c>
      <c r="AH8" t="s">
        <v>695</v>
      </c>
      <c r="AJ8" s="16" t="s">
        <v>716</v>
      </c>
      <c r="AL8" t="s">
        <v>658</v>
      </c>
      <c r="AR8" t="s">
        <v>1763</v>
      </c>
    </row>
    <row r="9" spans="2:44">
      <c r="B9" t="s">
        <v>39</v>
      </c>
      <c r="D9" t="s">
        <v>297</v>
      </c>
      <c r="E9" t="s">
        <v>406</v>
      </c>
      <c r="F9" t="s">
        <v>1774</v>
      </c>
      <c r="H9" t="s">
        <v>412</v>
      </c>
      <c r="L9" t="s">
        <v>427</v>
      </c>
      <c r="N9" t="s">
        <v>441</v>
      </c>
      <c r="T9" s="16" t="s">
        <v>602</v>
      </c>
      <c r="V9" t="s">
        <v>428</v>
      </c>
      <c r="X9" t="s">
        <v>428</v>
      </c>
      <c r="Z9" t="s">
        <v>631</v>
      </c>
      <c r="AB9" t="s">
        <v>650</v>
      </c>
      <c r="AD9" t="s">
        <v>659</v>
      </c>
      <c r="AF9" t="s">
        <v>676</v>
      </c>
      <c r="AH9" t="s">
        <v>428</v>
      </c>
      <c r="AJ9" s="16" t="s">
        <v>715</v>
      </c>
      <c r="AL9" t="s">
        <v>1135</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1272</v>
      </c>
    </row>
    <row r="2" spans="1:3">
      <c r="A2" s="16" t="s">
        <v>1273</v>
      </c>
      <c r="B2" s="16" t="s">
        <v>1300</v>
      </c>
      <c r="C2" s="16" t="s">
        <v>1301</v>
      </c>
    </row>
    <row r="3" spans="1:3">
      <c r="A3" s="16" t="s">
        <v>863</v>
      </c>
      <c r="B3" s="16" t="s">
        <v>1292</v>
      </c>
      <c r="C3" s="16" t="s">
        <v>1274</v>
      </c>
    </row>
    <row r="4" spans="1:3">
      <c r="A4" s="16" t="s">
        <v>814</v>
      </c>
      <c r="B4" s="16" t="s">
        <v>1275</v>
      </c>
      <c r="C4" s="16" t="s">
        <v>1275</v>
      </c>
    </row>
    <row r="5" spans="1:3">
      <c r="A5" s="16" t="s">
        <v>864</v>
      </c>
      <c r="B5" s="16" t="s">
        <v>1276</v>
      </c>
      <c r="C5" s="16" t="s">
        <v>1276</v>
      </c>
    </row>
    <row r="6" spans="1:3">
      <c r="A6" s="16" t="s">
        <v>862</v>
      </c>
      <c r="B6" s="16" t="s">
        <v>1293</v>
      </c>
      <c r="C6" s="16" t="s">
        <v>1277</v>
      </c>
    </row>
    <row r="7" spans="1:3">
      <c r="A7" s="16" t="s">
        <v>861</v>
      </c>
      <c r="B7" s="16" t="s">
        <v>1294</v>
      </c>
      <c r="C7" s="16" t="s">
        <v>1278</v>
      </c>
    </row>
    <row r="8" spans="1:3">
      <c r="A8" s="16" t="s">
        <v>860</v>
      </c>
      <c r="B8" s="16" t="s">
        <v>1279</v>
      </c>
      <c r="C8" s="16" t="s">
        <v>1279</v>
      </c>
    </row>
    <row r="9" spans="1:3">
      <c r="A9" s="16" t="s">
        <v>869</v>
      </c>
      <c r="B9" s="16" t="s">
        <v>1280</v>
      </c>
      <c r="C9" s="16" t="s">
        <v>1280</v>
      </c>
    </row>
    <row r="10" spans="1:3">
      <c r="A10" s="16" t="s">
        <v>871</v>
      </c>
      <c r="B10" s="16" t="s">
        <v>1295</v>
      </c>
      <c r="C10" s="16" t="s">
        <v>1281</v>
      </c>
    </row>
    <row r="11" spans="1:3">
      <c r="A11" s="16" t="s">
        <v>870</v>
      </c>
      <c r="B11" s="16" t="s">
        <v>1296</v>
      </c>
      <c r="C11" s="16" t="s">
        <v>1282</v>
      </c>
    </row>
    <row r="12" spans="1:3">
      <c r="A12" s="16" t="s">
        <v>868</v>
      </c>
      <c r="B12" s="16" t="s">
        <v>1297</v>
      </c>
      <c r="C12" s="16" t="s">
        <v>1283</v>
      </c>
    </row>
    <row r="13" spans="1:3">
      <c r="A13" s="16" t="s">
        <v>734</v>
      </c>
      <c r="B13" s="16" t="s">
        <v>31</v>
      </c>
      <c r="C13" s="16" t="s">
        <v>1284</v>
      </c>
    </row>
    <row r="14" spans="1:3">
      <c r="A14" s="16" t="s">
        <v>872</v>
      </c>
      <c r="B14" s="16" t="s">
        <v>32</v>
      </c>
      <c r="C14" s="16" t="s">
        <v>1285</v>
      </c>
    </row>
    <row r="15" spans="1:3">
      <c r="A15" s="16" t="s">
        <v>873</v>
      </c>
      <c r="B15" s="16" t="s">
        <v>33</v>
      </c>
      <c r="C15" s="16" t="s">
        <v>1286</v>
      </c>
    </row>
    <row r="16" spans="1:3">
      <c r="A16" s="16" t="s">
        <v>732</v>
      </c>
      <c r="B16" s="16" t="s">
        <v>34</v>
      </c>
      <c r="C16" s="16" t="s">
        <v>1287</v>
      </c>
    </row>
    <row r="17" spans="1:3">
      <c r="A17" s="16" t="s">
        <v>867</v>
      </c>
      <c r="B17" s="16" t="s">
        <v>35</v>
      </c>
      <c r="C17" s="16" t="s">
        <v>1288</v>
      </c>
    </row>
    <row r="18" spans="1:3">
      <c r="A18" s="16" t="s">
        <v>866</v>
      </c>
      <c r="B18" s="16" t="s">
        <v>17</v>
      </c>
      <c r="C18" s="16" t="s">
        <v>32</v>
      </c>
    </row>
    <row r="19" spans="1:3">
      <c r="A19" s="16" t="s">
        <v>865</v>
      </c>
      <c r="B19" s="16" t="s">
        <v>1298</v>
      </c>
      <c r="C19" s="16" t="s">
        <v>1289</v>
      </c>
    </row>
    <row r="20" spans="1:3">
      <c r="A20" s="16" t="s">
        <v>887</v>
      </c>
      <c r="C20" s="16" t="s">
        <v>34</v>
      </c>
    </row>
    <row r="21" spans="1:3">
      <c r="A21" s="16" t="s">
        <v>888</v>
      </c>
      <c r="C21" s="16" t="s">
        <v>35</v>
      </c>
    </row>
    <row r="22" spans="1:3">
      <c r="C22" s="16" t="s">
        <v>1290</v>
      </c>
    </row>
    <row r="23" spans="1:3">
      <c r="C23" s="16" t="s">
        <v>1291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2023-11-28T12:46:43Z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