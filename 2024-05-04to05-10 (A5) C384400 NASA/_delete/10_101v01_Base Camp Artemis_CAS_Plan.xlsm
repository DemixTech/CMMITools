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demix365.sharepoint.com/sites/DemixGlobal/Shared Documents/10_BASE/2024-05-04to05-10 (A5) C384400 NASA/"/>
    </mc:Choice>
  </mc:AlternateContent>
  <xr:revisionPtr revIDLastSave="3" documentId="8_{6E604853-DF60-49CA-9A5B-97AAEC71066F}" xr6:coauthVersionLast="47" xr6:coauthVersionMax="47" xr10:uidLastSave="{A0E95701-B55F-4D13-9E5E-5264D429C391}"/>
  <bookViews>
    <workbookView xWindow="-108" yWindow="-108" windowWidth="23256" windowHeight="12456" firstSheet="49" activeTab="53" xr2:uid="{00000000-000D-0000-FFFF-FFFF00000000}"/>
  </bookViews>
  <sheets>
    <sheet name="_FieldMap" sheetId="1" r:id="rId1"/>
    <sheet name="Copyright" sheetId="2" r:id="rId2"/>
    <sheet name="Automation" sheetId="3" r:id="rId3"/>
    <sheet name="Release" sheetId="4" r:id="rId4"/>
    <sheet name="Guide" sheetId="5" r:id="rId5"/>
    <sheet name="Control" sheetId="6" state="hidden" r:id="rId6"/>
    <sheet name="Emails" sheetId="7" r:id="rId7"/>
    <sheet name="RR" sheetId="8" r:id="rId8"/>
    <sheet name="Agreement 3" sheetId="9" r:id="rId9"/>
    <sheet name="Planning" sheetId="10" r:id="rId10"/>
    <sheet name="MDD Appraisal Tool" sheetId="11" r:id="rId11"/>
    <sheet name="StartupInfo" sheetId="12" r:id="rId12"/>
    <sheet name="Project&amp;Support" sheetId="14" r:id="rId13"/>
    <sheet name="Staff" sheetId="15" r:id="rId14"/>
    <sheet name="StaffGuide" sheetId="13" r:id="rId15"/>
    <sheet name="PvtProjectFTEs" sheetId="16" r:id="rId16"/>
    <sheet name="PvtStaffDistinct" sheetId="17" r:id="rId17"/>
    <sheet name="PvtPACheck" sheetId="18" r:id="rId18"/>
    <sheet name="P1-OrgScope" sheetId="22" r:id="rId19"/>
    <sheet name="P1-Personnel" sheetId="23" r:id="rId20"/>
    <sheet name="P1PA-RSG" sheetId="24" r:id="rId21"/>
    <sheet name="P1PA-R" sheetId="25" r:id="rId22"/>
    <sheet name="ScheduleISACA" sheetId="26" r:id="rId23"/>
    <sheet name="P2CA" sheetId="27" r:id="rId24"/>
    <sheet name="P3RF" sheetId="28" r:id="rId25"/>
    <sheet name="Schedule" sheetId="29" r:id="rId26"/>
    <sheet name="PvtCheck1" sheetId="30" r:id="rId27"/>
    <sheet name="Schedule2" sheetId="31" r:id="rId28"/>
    <sheet name="PvtEffort" sheetId="32" r:id="rId29"/>
    <sheet name="Schedule4-1P" sheetId="33" state="hidden" r:id="rId30"/>
    <sheet name="Schedule4-1A" sheetId="34" state="hidden" r:id="rId31"/>
    <sheet name="Schedule4-2" sheetId="35" r:id="rId32"/>
    <sheet name="C_Resource_Estimates" sheetId="36" r:id="rId33"/>
    <sheet name="C_Support" sheetId="37" r:id="rId34"/>
    <sheet name="C_SupportV2" sheetId="38" r:id="rId35"/>
    <sheet name="C_Projects" sheetId="39" r:id="rId36"/>
    <sheet name="C_ProjectsV2" sheetId="40" r:id="rId37"/>
    <sheet name="C_OUParticipants" sheetId="41" r:id="rId38"/>
    <sheet name="C_OUProjects" sheetId="42" r:id="rId39"/>
    <sheet name="C_OUPracticeAreas" sheetId="43" r:id="rId40"/>
    <sheet name="C_LogisticalRequirments" sheetId="60" r:id="rId41"/>
    <sheet name="C_AppraisalConstraints" sheetId="61" r:id="rId42"/>
    <sheet name="C_RiskIdentification" sheetId="62" r:id="rId43"/>
    <sheet name="C_COI" sheetId="63" r:id="rId44"/>
    <sheet name="OULC" sheetId="44" state="hidden" r:id="rId45"/>
    <sheet name="PvtPartDistinct" sheetId="45" r:id="rId46"/>
    <sheet name="PvtPart_PA" sheetId="46" r:id="rId47"/>
    <sheet name="PvtPart_PrjSup" sheetId="47" r:id="rId48"/>
    <sheet name="PvtPart_Session" sheetId="48" r:id="rId49"/>
    <sheet name="pptxCertificate" sheetId="49" r:id="rId50"/>
    <sheet name="pptxCover" sheetId="50" r:id="rId51"/>
    <sheet name="pptxLink1" sheetId="51" r:id="rId52"/>
    <sheet name="pptxLink2" sheetId="52" r:id="rId53"/>
    <sheet name="pptxLink3" sheetId="53" r:id="rId54"/>
    <sheet name="pptxLink4" sheetId="54" r:id="rId55"/>
    <sheet name="pptxLink5" sheetId="55" r:id="rId56"/>
    <sheet name="pptxLink6" sheetId="56" r:id="rId57"/>
    <sheet name="pptxLink7" sheetId="57" r:id="rId58"/>
    <sheet name="Tables" sheetId="58" r:id="rId59"/>
    <sheet name="BASE" sheetId="59" r:id="rId60"/>
  </sheets>
  <functionGroups builtInGroupCount="19"/>
  <definedNames>
    <definedName name="_xlnm._FilterDatabase" localSheetId="58" hidden="1">Tables!$AT$5:$AT$8</definedName>
    <definedName name="_xlnm.Print_Area" localSheetId="12">'Project&amp;Support'!$A$1:$AJ$20</definedName>
    <definedName name="_xlnm.Print_Area" localSheetId="16">PvtStaffDistinct!$A$2:$A$31</definedName>
    <definedName name="_xlnm.Print_Area" localSheetId="27">Schedule2!$A$1:$I$10</definedName>
    <definedName name="_xlnm.Print_Area" localSheetId="30">'Schedule4-1A'!$A$1:$G$110</definedName>
    <definedName name="_xlnm.Print_Area" localSheetId="29">'Schedule4-1P'!$A$1:$G$110</definedName>
    <definedName name="_xlnm.Print_Area" localSheetId="22">ScheduleISACA!$A$1:$R$30</definedName>
    <definedName name="_xlnm.Print_Area" localSheetId="13">Staff!$A$2:$Y$34</definedName>
    <definedName name="_xlnm.Print_Area" localSheetId="14">StaffGuide!$A$2:$V$2</definedName>
    <definedName name="_xlnm.Print_Area" localSheetId="11">StartupInfo!$A$1:$B$62</definedName>
    <definedName name="_xlnm.Print_Titles" localSheetId="13">Staff!$2:$2</definedName>
    <definedName name="_xlnm.Print_Titles" localSheetId="14">StaffGuide!$2:$2</definedName>
    <definedName name="tbl_Affiliation">Tables!$AN$5:$AN$6</definedName>
    <definedName name="tbl_Application_domain">#REF!</definedName>
    <definedName name="tbl_AppraisalArtifacts">Tables!$AL$5:$AL$10</definedName>
    <definedName name="tbl_appraisalrole">Tables!$J$5:$J$8</definedName>
    <definedName name="tbl_Business_Category">#REF!</definedName>
    <definedName name="tbl_CMMI_models">#REF!</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#REF!</definedName>
    <definedName name="tbl_equipment">Tables!$Z$5:$Z$17</definedName>
    <definedName name="tbl_followon">Tables!$AH$5:$AH$9</definedName>
    <definedName name="tbl_FTE">Tables!$AV$5:$AV$15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61"/>
    <pivotCache cacheId="1" r:id="rId62"/>
    <pivotCache cacheId="2" r:id="rId63"/>
    <pivotCache cacheId="3" r:id="rId64"/>
    <pivotCache cacheId="4" r:id="rId65"/>
    <pivotCache cacheId="5" r:id="rId6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6" i="15" l="1"/>
  <c r="B26" i="15"/>
  <c r="B12" i="15"/>
  <c r="B17" i="15"/>
  <c r="B23" i="15"/>
  <c r="E23" i="15"/>
  <c r="E17" i="15"/>
  <c r="E12" i="15"/>
  <c r="B61" i="10"/>
  <c r="V56" i="58" l="1"/>
  <c r="W56" i="58" s="1"/>
  <c r="X56" i="58" s="1"/>
  <c r="Y56" i="58" s="1"/>
  <c r="Z56" i="58" s="1"/>
  <c r="V55" i="58"/>
  <c r="W55" i="58" s="1"/>
  <c r="X55" i="58" s="1"/>
  <c r="Y55" i="58" s="1"/>
  <c r="Z55" i="58" s="1"/>
  <c r="V54" i="58"/>
  <c r="W54" i="58" s="1"/>
  <c r="X54" i="58" s="1"/>
  <c r="Y54" i="58" s="1"/>
  <c r="Z54" i="58" s="1"/>
  <c r="W53" i="58"/>
  <c r="X53" i="58" s="1"/>
  <c r="Y53" i="58" s="1"/>
  <c r="Z53" i="58" s="1"/>
  <c r="V53" i="58"/>
  <c r="V52" i="58"/>
  <c r="W52" i="58" s="1"/>
  <c r="X52" i="58" s="1"/>
  <c r="Y52" i="58" s="1"/>
  <c r="Z52" i="58" s="1"/>
  <c r="V51" i="58"/>
  <c r="W51" i="58" s="1"/>
  <c r="X51" i="58" s="1"/>
  <c r="Y51" i="58" s="1"/>
  <c r="Z51" i="58" s="1"/>
  <c r="V50" i="58"/>
  <c r="W50" i="58" s="1"/>
  <c r="X50" i="58" s="1"/>
  <c r="Y50" i="58" s="1"/>
  <c r="Z50" i="58" s="1"/>
  <c r="W49" i="58"/>
  <c r="X49" i="58" s="1"/>
  <c r="Y49" i="58" s="1"/>
  <c r="Z49" i="58" s="1"/>
  <c r="V49" i="58"/>
  <c r="X48" i="58"/>
  <c r="Y48" i="58" s="1"/>
  <c r="Z48" i="58" s="1"/>
  <c r="W48" i="58"/>
  <c r="V48" i="58"/>
  <c r="W47" i="58"/>
  <c r="X47" i="58" s="1"/>
  <c r="Y47" i="58" s="1"/>
  <c r="Z47" i="58" s="1"/>
  <c r="V47" i="58"/>
  <c r="V46" i="58"/>
  <c r="W46" i="58" s="1"/>
  <c r="X46" i="58" s="1"/>
  <c r="Y46" i="58" s="1"/>
  <c r="Z46" i="58" s="1"/>
  <c r="W45" i="58"/>
  <c r="X45" i="58" s="1"/>
  <c r="Y45" i="58" s="1"/>
  <c r="Z45" i="58" s="1"/>
  <c r="V45" i="58"/>
  <c r="V44" i="58"/>
  <c r="W44" i="58" s="1"/>
  <c r="X44" i="58" s="1"/>
  <c r="Y44" i="58" s="1"/>
  <c r="Z44" i="58" s="1"/>
  <c r="W43" i="58"/>
  <c r="X43" i="58" s="1"/>
  <c r="Y43" i="58" s="1"/>
  <c r="Z43" i="58" s="1"/>
  <c r="V43" i="58"/>
  <c r="V42" i="58"/>
  <c r="W42" i="58" s="1"/>
  <c r="X42" i="58" s="1"/>
  <c r="Y42" i="58" s="1"/>
  <c r="Z42" i="58" s="1"/>
  <c r="W41" i="58"/>
  <c r="X41" i="58" s="1"/>
  <c r="Y41" i="58" s="1"/>
  <c r="Z41" i="58" s="1"/>
  <c r="V41" i="58"/>
  <c r="V40" i="58"/>
  <c r="W40" i="58" s="1"/>
  <c r="X40" i="58" s="1"/>
  <c r="Y40" i="58" s="1"/>
  <c r="Z40" i="58" s="1"/>
  <c r="W39" i="58"/>
  <c r="X39" i="58" s="1"/>
  <c r="Y39" i="58" s="1"/>
  <c r="Z39" i="58" s="1"/>
  <c r="V39" i="58"/>
  <c r="V38" i="58"/>
  <c r="W38" i="58" s="1"/>
  <c r="X38" i="58" s="1"/>
  <c r="Y38" i="58" s="1"/>
  <c r="Z38" i="58" s="1"/>
  <c r="W37" i="58"/>
  <c r="X37" i="58" s="1"/>
  <c r="Y37" i="58" s="1"/>
  <c r="Z37" i="58" s="1"/>
  <c r="V37" i="58"/>
  <c r="C13" i="56"/>
  <c r="C12" i="56"/>
  <c r="C11" i="56"/>
  <c r="C10" i="56"/>
  <c r="C9" i="56"/>
  <c r="C8" i="56"/>
  <c r="C7" i="56"/>
  <c r="C6" i="56"/>
  <c r="C5" i="56"/>
  <c r="C4" i="56"/>
  <c r="C3" i="56"/>
  <c r="D21" i="55"/>
  <c r="C21" i="55"/>
  <c r="B21" i="55"/>
  <c r="D20" i="55"/>
  <c r="C20" i="55"/>
  <c r="B20" i="55"/>
  <c r="D19" i="55"/>
  <c r="C19" i="55"/>
  <c r="B19" i="55"/>
  <c r="D18" i="55"/>
  <c r="C18" i="55"/>
  <c r="B18" i="55"/>
  <c r="D17" i="55"/>
  <c r="C17" i="55"/>
  <c r="B17" i="55"/>
  <c r="D16" i="55"/>
  <c r="C16" i="55"/>
  <c r="B16" i="55"/>
  <c r="D11" i="55"/>
  <c r="C11" i="55"/>
  <c r="B11" i="55"/>
  <c r="D10" i="55"/>
  <c r="C10" i="55"/>
  <c r="B10" i="55"/>
  <c r="D9" i="55"/>
  <c r="C9" i="55"/>
  <c r="B9" i="55"/>
  <c r="D8" i="55"/>
  <c r="C8" i="55"/>
  <c r="B8" i="55"/>
  <c r="D7" i="55"/>
  <c r="C7" i="55"/>
  <c r="B7" i="55"/>
  <c r="D6" i="55"/>
  <c r="C6" i="55"/>
  <c r="D5" i="55"/>
  <c r="C5" i="55"/>
  <c r="B5" i="55"/>
  <c r="D4" i="55"/>
  <c r="C4" i="55"/>
  <c r="B4" i="55"/>
  <c r="D3" i="55"/>
  <c r="C3" i="55"/>
  <c r="B3" i="55"/>
  <c r="D2" i="55"/>
  <c r="C2" i="55"/>
  <c r="B2" i="55"/>
  <c r="A2" i="55"/>
  <c r="U22" i="54"/>
  <c r="T22" i="54"/>
  <c r="S22" i="54"/>
  <c r="R22" i="54"/>
  <c r="Q22" i="54"/>
  <c r="P22" i="54"/>
  <c r="O22" i="54"/>
  <c r="N22" i="54"/>
  <c r="M22" i="54"/>
  <c r="L22" i="54"/>
  <c r="K22" i="54"/>
  <c r="J22" i="54"/>
  <c r="I22" i="54"/>
  <c r="H22" i="54"/>
  <c r="G22" i="54"/>
  <c r="F22" i="54"/>
  <c r="E22" i="54"/>
  <c r="D22" i="54"/>
  <c r="C22" i="54"/>
  <c r="B22" i="54"/>
  <c r="A22" i="54"/>
  <c r="U21" i="54"/>
  <c r="T21" i="54"/>
  <c r="S21" i="54"/>
  <c r="R21" i="54"/>
  <c r="Q21" i="54"/>
  <c r="P21" i="54"/>
  <c r="O21" i="54"/>
  <c r="N21" i="54"/>
  <c r="M21" i="54"/>
  <c r="L21" i="54"/>
  <c r="K21" i="54"/>
  <c r="J21" i="54"/>
  <c r="I21" i="54"/>
  <c r="H21" i="54"/>
  <c r="G21" i="54"/>
  <c r="F21" i="54"/>
  <c r="E21" i="54"/>
  <c r="D21" i="54"/>
  <c r="C21" i="54"/>
  <c r="B21" i="54"/>
  <c r="A21" i="54"/>
  <c r="U20" i="54"/>
  <c r="T20" i="54"/>
  <c r="S20" i="54"/>
  <c r="R20" i="54"/>
  <c r="Q20" i="54"/>
  <c r="P20" i="54"/>
  <c r="O20" i="54"/>
  <c r="N20" i="54"/>
  <c r="M20" i="54"/>
  <c r="L20" i="54"/>
  <c r="K20" i="54"/>
  <c r="J20" i="54"/>
  <c r="I20" i="54"/>
  <c r="H20" i="54"/>
  <c r="G20" i="54"/>
  <c r="F20" i="54"/>
  <c r="E20" i="54"/>
  <c r="D20" i="54"/>
  <c r="C20" i="54"/>
  <c r="B20" i="54"/>
  <c r="A20" i="54"/>
  <c r="U19" i="54"/>
  <c r="T19" i="54"/>
  <c r="S19" i="54"/>
  <c r="R19" i="54"/>
  <c r="Q19" i="54"/>
  <c r="P19" i="54"/>
  <c r="O19" i="54"/>
  <c r="N19" i="54"/>
  <c r="M19" i="54"/>
  <c r="L19" i="54"/>
  <c r="K19" i="54"/>
  <c r="J19" i="54"/>
  <c r="I19" i="54"/>
  <c r="H19" i="54"/>
  <c r="G19" i="54"/>
  <c r="F19" i="54"/>
  <c r="E19" i="54"/>
  <c r="D19" i="54"/>
  <c r="C19" i="54"/>
  <c r="B19" i="54"/>
  <c r="A19" i="54"/>
  <c r="U14" i="54"/>
  <c r="T14" i="54"/>
  <c r="S14" i="54"/>
  <c r="R14" i="54"/>
  <c r="Q14" i="54"/>
  <c r="P14" i="54"/>
  <c r="O14" i="54"/>
  <c r="N14" i="54"/>
  <c r="M14" i="54"/>
  <c r="L14" i="54"/>
  <c r="K14" i="54"/>
  <c r="J14" i="54"/>
  <c r="I14" i="54"/>
  <c r="H14" i="54"/>
  <c r="G14" i="54"/>
  <c r="F14" i="54"/>
  <c r="E14" i="54"/>
  <c r="D14" i="54"/>
  <c r="C14" i="54"/>
  <c r="B14" i="54"/>
  <c r="A14" i="54"/>
  <c r="U13" i="54"/>
  <c r="T13" i="54"/>
  <c r="S13" i="54"/>
  <c r="R13" i="54"/>
  <c r="Q13" i="54"/>
  <c r="P13" i="54"/>
  <c r="O13" i="54"/>
  <c r="N13" i="54"/>
  <c r="M13" i="54"/>
  <c r="L13" i="54"/>
  <c r="K13" i="54"/>
  <c r="J13" i="54"/>
  <c r="I13" i="54"/>
  <c r="H13" i="54"/>
  <c r="G13" i="54"/>
  <c r="F13" i="54"/>
  <c r="E13" i="54"/>
  <c r="D13" i="54"/>
  <c r="C13" i="54"/>
  <c r="B13" i="54"/>
  <c r="A13" i="54"/>
  <c r="U12" i="54"/>
  <c r="T12" i="54"/>
  <c r="S12" i="54"/>
  <c r="R12" i="54"/>
  <c r="Q12" i="54"/>
  <c r="P12" i="54"/>
  <c r="O12" i="54"/>
  <c r="N12" i="54"/>
  <c r="M12" i="54"/>
  <c r="L12" i="54"/>
  <c r="K12" i="54"/>
  <c r="J12" i="54"/>
  <c r="I12" i="54"/>
  <c r="H12" i="54"/>
  <c r="G12" i="54"/>
  <c r="F12" i="54"/>
  <c r="E12" i="54"/>
  <c r="D12" i="54"/>
  <c r="C12" i="54"/>
  <c r="B12" i="54"/>
  <c r="A12" i="54"/>
  <c r="U11" i="54"/>
  <c r="T11" i="54"/>
  <c r="S11" i="54"/>
  <c r="R11" i="54"/>
  <c r="Q11" i="54"/>
  <c r="P11" i="54"/>
  <c r="O11" i="54"/>
  <c r="N11" i="54"/>
  <c r="M11" i="54"/>
  <c r="L11" i="54"/>
  <c r="K11" i="54"/>
  <c r="J11" i="54"/>
  <c r="I11" i="54"/>
  <c r="H11" i="54"/>
  <c r="G11" i="54"/>
  <c r="F11" i="54"/>
  <c r="E11" i="54"/>
  <c r="D11" i="54"/>
  <c r="C11" i="54"/>
  <c r="B11" i="54"/>
  <c r="A11" i="54"/>
  <c r="U10" i="54"/>
  <c r="T10" i="54"/>
  <c r="S10" i="54"/>
  <c r="R10" i="54"/>
  <c r="Q10" i="54"/>
  <c r="P10" i="54"/>
  <c r="O10" i="54"/>
  <c r="N10" i="54"/>
  <c r="M10" i="54"/>
  <c r="L10" i="54"/>
  <c r="K10" i="54"/>
  <c r="J10" i="54"/>
  <c r="I10" i="54"/>
  <c r="H10" i="54"/>
  <c r="G10" i="54"/>
  <c r="F10" i="54"/>
  <c r="E10" i="54"/>
  <c r="D10" i="54"/>
  <c r="C10" i="54"/>
  <c r="B10" i="54"/>
  <c r="A10" i="54"/>
  <c r="A4" i="54"/>
  <c r="A3" i="54"/>
  <c r="A2" i="54"/>
  <c r="I21" i="53"/>
  <c r="H21" i="53"/>
  <c r="G21" i="53"/>
  <c r="F21" i="53"/>
  <c r="E21" i="53"/>
  <c r="A2" i="53"/>
  <c r="A35" i="52"/>
  <c r="A34" i="52"/>
  <c r="A33" i="52"/>
  <c r="A31" i="52"/>
  <c r="A30" i="52"/>
  <c r="A19" i="52"/>
  <c r="A18" i="52"/>
  <c r="A16" i="52"/>
  <c r="A15" i="52"/>
  <c r="A13" i="52"/>
  <c r="A12" i="52"/>
  <c r="A10" i="52"/>
  <c r="A9" i="52"/>
  <c r="A7" i="52"/>
  <c r="A6" i="52"/>
  <c r="A3" i="52"/>
  <c r="A2" i="52"/>
  <c r="B29" i="51"/>
  <c r="B28" i="51"/>
  <c r="B27" i="51"/>
  <c r="B26" i="51"/>
  <c r="B25" i="51"/>
  <c r="B24" i="51"/>
  <c r="B23" i="51"/>
  <c r="B22" i="51"/>
  <c r="B21" i="51"/>
  <c r="B20" i="51"/>
  <c r="B18" i="51"/>
  <c r="B17" i="51"/>
  <c r="B16" i="51"/>
  <c r="B15" i="51"/>
  <c r="B14" i="51"/>
  <c r="B12" i="51"/>
  <c r="B11" i="51"/>
  <c r="B10" i="51"/>
  <c r="D9" i="51"/>
  <c r="D7" i="51"/>
  <c r="B7" i="51"/>
  <c r="B6" i="51"/>
  <c r="A4" i="51"/>
  <c r="A3" i="51"/>
  <c r="A2" i="51"/>
  <c r="G33" i="50"/>
  <c r="C33" i="50" s="1"/>
  <c r="C29" i="50"/>
  <c r="B29" i="50"/>
  <c r="B18" i="50"/>
  <c r="B17" i="50"/>
  <c r="B16" i="50"/>
  <c r="B13" i="50"/>
  <c r="B33" i="50" s="1"/>
  <c r="B12" i="50"/>
  <c r="B11" i="50"/>
  <c r="B10" i="50"/>
  <c r="B7" i="50"/>
  <c r="B5" i="50"/>
  <c r="G15" i="49"/>
  <c r="G14" i="49"/>
  <c r="G13" i="49"/>
  <c r="F11" i="49"/>
  <c r="B5" i="49"/>
  <c r="B4" i="49"/>
  <c r="M15" i="40"/>
  <c r="L15" i="40"/>
  <c r="K15" i="40"/>
  <c r="J15" i="40"/>
  <c r="I15" i="40"/>
  <c r="H15" i="40"/>
  <c r="G15" i="40"/>
  <c r="F15" i="40"/>
  <c r="E15" i="40"/>
  <c r="D15" i="40"/>
  <c r="C15" i="40"/>
  <c r="B15" i="40"/>
  <c r="M14" i="40"/>
  <c r="L14" i="40"/>
  <c r="K14" i="40"/>
  <c r="J14" i="40"/>
  <c r="I14" i="40"/>
  <c r="H14" i="40"/>
  <c r="G14" i="40"/>
  <c r="F14" i="40"/>
  <c r="E14" i="40"/>
  <c r="D14" i="40"/>
  <c r="C14" i="40"/>
  <c r="B14" i="40"/>
  <c r="M13" i="40"/>
  <c r="L13" i="40"/>
  <c r="K13" i="40"/>
  <c r="J13" i="40"/>
  <c r="I13" i="40"/>
  <c r="H13" i="40"/>
  <c r="G13" i="40"/>
  <c r="F13" i="40"/>
  <c r="E13" i="40"/>
  <c r="D13" i="40"/>
  <c r="C13" i="40"/>
  <c r="B13" i="40"/>
  <c r="M12" i="40"/>
  <c r="L12" i="40"/>
  <c r="K12" i="40"/>
  <c r="J12" i="40"/>
  <c r="I12" i="40"/>
  <c r="H12" i="40"/>
  <c r="G12" i="40"/>
  <c r="F12" i="40"/>
  <c r="E12" i="40"/>
  <c r="D12" i="40"/>
  <c r="C12" i="40"/>
  <c r="B12" i="40"/>
  <c r="M11" i="40"/>
  <c r="L11" i="40"/>
  <c r="K11" i="40"/>
  <c r="J11" i="40"/>
  <c r="I11" i="40"/>
  <c r="H11" i="40"/>
  <c r="G11" i="40"/>
  <c r="F11" i="40"/>
  <c r="E11" i="40"/>
  <c r="D11" i="40"/>
  <c r="C11" i="40"/>
  <c r="B11" i="40"/>
  <c r="M10" i="40"/>
  <c r="L10" i="40"/>
  <c r="K10" i="40"/>
  <c r="J10" i="40"/>
  <c r="I10" i="40"/>
  <c r="H10" i="40"/>
  <c r="G10" i="40"/>
  <c r="F10" i="40"/>
  <c r="E10" i="40"/>
  <c r="D10" i="40"/>
  <c r="C10" i="40"/>
  <c r="B10" i="40"/>
  <c r="M9" i="40"/>
  <c r="L9" i="40"/>
  <c r="K9" i="40"/>
  <c r="J9" i="40"/>
  <c r="I9" i="40"/>
  <c r="H9" i="40"/>
  <c r="G9" i="40"/>
  <c r="F9" i="40"/>
  <c r="E9" i="40"/>
  <c r="D9" i="40"/>
  <c r="C9" i="40"/>
  <c r="B9" i="40"/>
  <c r="M8" i="40"/>
  <c r="L8" i="40"/>
  <c r="K8" i="40"/>
  <c r="J8" i="40"/>
  <c r="I8" i="40"/>
  <c r="H8" i="40"/>
  <c r="G8" i="40"/>
  <c r="F8" i="40"/>
  <c r="E8" i="40"/>
  <c r="D8" i="40"/>
  <c r="C8" i="40"/>
  <c r="B8" i="40"/>
  <c r="M7" i="40"/>
  <c r="L7" i="40"/>
  <c r="K7" i="40"/>
  <c r="J7" i="40"/>
  <c r="I7" i="40"/>
  <c r="H7" i="40"/>
  <c r="G7" i="40"/>
  <c r="F7" i="40"/>
  <c r="E7" i="40"/>
  <c r="D7" i="40"/>
  <c r="C7" i="40"/>
  <c r="B7" i="40"/>
  <c r="M6" i="40"/>
  <c r="L6" i="40"/>
  <c r="K6" i="40"/>
  <c r="J6" i="40"/>
  <c r="I6" i="40"/>
  <c r="H6" i="40"/>
  <c r="G6" i="40"/>
  <c r="F6" i="40"/>
  <c r="E6" i="40"/>
  <c r="D6" i="40"/>
  <c r="C6" i="40"/>
  <c r="B6" i="40"/>
  <c r="M5" i="40"/>
  <c r="L5" i="40"/>
  <c r="K5" i="40"/>
  <c r="J5" i="40"/>
  <c r="I5" i="40"/>
  <c r="H5" i="40"/>
  <c r="G5" i="40"/>
  <c r="F5" i="40"/>
  <c r="E5" i="40"/>
  <c r="D5" i="40"/>
  <c r="C5" i="40"/>
  <c r="B5" i="40"/>
  <c r="M4" i="40"/>
  <c r="L4" i="40"/>
  <c r="K4" i="40"/>
  <c r="J4" i="40"/>
  <c r="I4" i="40"/>
  <c r="H4" i="40"/>
  <c r="G4" i="40"/>
  <c r="F4" i="40"/>
  <c r="E4" i="40"/>
  <c r="D4" i="40"/>
  <c r="C4" i="40"/>
  <c r="B4" i="40"/>
  <c r="M3" i="40"/>
  <c r="L3" i="40"/>
  <c r="K3" i="40"/>
  <c r="J3" i="40"/>
  <c r="I3" i="40"/>
  <c r="H3" i="40"/>
  <c r="G3" i="40"/>
  <c r="F3" i="40"/>
  <c r="E3" i="40"/>
  <c r="D3" i="40"/>
  <c r="C3" i="40"/>
  <c r="B3" i="40"/>
  <c r="M2" i="40"/>
  <c r="L2" i="40"/>
  <c r="K2" i="40"/>
  <c r="J2" i="40"/>
  <c r="I2" i="40"/>
  <c r="H2" i="40"/>
  <c r="G2" i="40"/>
  <c r="F2" i="40"/>
  <c r="E2" i="40"/>
  <c r="D2" i="40"/>
  <c r="C2" i="40"/>
  <c r="B2" i="40"/>
  <c r="J15" i="38"/>
  <c r="I15" i="38"/>
  <c r="H15" i="38"/>
  <c r="G15" i="38"/>
  <c r="F15" i="38"/>
  <c r="E15" i="38"/>
  <c r="D15" i="38"/>
  <c r="B15" i="38"/>
  <c r="J14" i="38"/>
  <c r="I14" i="38"/>
  <c r="H14" i="38"/>
  <c r="G14" i="38"/>
  <c r="F14" i="38"/>
  <c r="E14" i="38"/>
  <c r="D14" i="38"/>
  <c r="B14" i="38"/>
  <c r="J13" i="38"/>
  <c r="I13" i="38"/>
  <c r="H13" i="38"/>
  <c r="G13" i="38"/>
  <c r="F13" i="38"/>
  <c r="E13" i="38"/>
  <c r="D13" i="38"/>
  <c r="B13" i="38"/>
  <c r="J12" i="38"/>
  <c r="I12" i="38"/>
  <c r="H12" i="38"/>
  <c r="G12" i="38"/>
  <c r="F12" i="38"/>
  <c r="E12" i="38"/>
  <c r="D12" i="38"/>
  <c r="B12" i="38"/>
  <c r="J11" i="38"/>
  <c r="I11" i="38"/>
  <c r="H11" i="38"/>
  <c r="G11" i="38"/>
  <c r="F11" i="38"/>
  <c r="E11" i="38"/>
  <c r="D11" i="38"/>
  <c r="B11" i="38"/>
  <c r="J10" i="38"/>
  <c r="I10" i="38"/>
  <c r="H10" i="38"/>
  <c r="G10" i="38"/>
  <c r="F10" i="38"/>
  <c r="E10" i="38"/>
  <c r="D10" i="38"/>
  <c r="B10" i="38"/>
  <c r="J9" i="38"/>
  <c r="I9" i="38"/>
  <c r="H9" i="38"/>
  <c r="G9" i="38"/>
  <c r="F9" i="38"/>
  <c r="E9" i="38"/>
  <c r="D9" i="38"/>
  <c r="B9" i="38"/>
  <c r="J8" i="38"/>
  <c r="I8" i="38"/>
  <c r="H8" i="38"/>
  <c r="G8" i="38"/>
  <c r="F8" i="38"/>
  <c r="E8" i="38"/>
  <c r="D8" i="38"/>
  <c r="B8" i="38"/>
  <c r="J7" i="38"/>
  <c r="I7" i="38"/>
  <c r="H7" i="38"/>
  <c r="G7" i="38"/>
  <c r="F7" i="38"/>
  <c r="E7" i="38"/>
  <c r="D7" i="38"/>
  <c r="B7" i="38"/>
  <c r="J6" i="38"/>
  <c r="I6" i="38"/>
  <c r="H6" i="38"/>
  <c r="G6" i="38"/>
  <c r="F6" i="38"/>
  <c r="E6" i="38"/>
  <c r="D6" i="38"/>
  <c r="B6" i="38"/>
  <c r="J5" i="38"/>
  <c r="I5" i="38"/>
  <c r="H5" i="38"/>
  <c r="G5" i="38"/>
  <c r="F5" i="38"/>
  <c r="E5" i="38"/>
  <c r="D5" i="38"/>
  <c r="B5" i="38"/>
  <c r="J4" i="38"/>
  <c r="I4" i="38"/>
  <c r="H4" i="38"/>
  <c r="G4" i="38"/>
  <c r="F4" i="38"/>
  <c r="E4" i="38"/>
  <c r="D4" i="38"/>
  <c r="B4" i="38"/>
  <c r="J3" i="38"/>
  <c r="I3" i="38"/>
  <c r="H3" i="38"/>
  <c r="G3" i="38"/>
  <c r="F3" i="38"/>
  <c r="E3" i="38"/>
  <c r="D3" i="38"/>
  <c r="B3" i="38"/>
  <c r="J2" i="38"/>
  <c r="I2" i="38"/>
  <c r="H2" i="38"/>
  <c r="G2" i="38"/>
  <c r="F2" i="38"/>
  <c r="E2" i="38"/>
  <c r="D2" i="38"/>
  <c r="B2" i="38"/>
  <c r="B33" i="36"/>
  <c r="B24" i="36"/>
  <c r="C20" i="36"/>
  <c r="B20" i="36"/>
  <c r="B19" i="36"/>
  <c r="C19" i="36" s="1"/>
  <c r="C18" i="36"/>
  <c r="B46" i="36" s="1"/>
  <c r="B17" i="36"/>
  <c r="C17" i="36" s="1"/>
  <c r="C16" i="36"/>
  <c r="B16" i="36"/>
  <c r="C15" i="36"/>
  <c r="C14" i="36"/>
  <c r="C13" i="36"/>
  <c r="C12" i="36"/>
  <c r="C11" i="36"/>
  <c r="C10" i="36"/>
  <c r="C9" i="36"/>
  <c r="C8" i="36"/>
  <c r="C7" i="36"/>
  <c r="C6" i="36"/>
  <c r="C5" i="36"/>
  <c r="B25" i="36" s="1"/>
  <c r="C4" i="36"/>
  <c r="B26" i="36" s="1"/>
  <c r="H39" i="35"/>
  <c r="H38" i="35"/>
  <c r="H37" i="35"/>
  <c r="H36" i="35"/>
  <c r="H35" i="35"/>
  <c r="H34" i="35"/>
  <c r="H33" i="35"/>
  <c r="H32" i="35"/>
  <c r="H31" i="35"/>
  <c r="H30" i="35"/>
  <c r="H29" i="35"/>
  <c r="H28" i="35"/>
  <c r="H27" i="35"/>
  <c r="H26" i="35"/>
  <c r="H25" i="35"/>
  <c r="H24" i="35"/>
  <c r="H23" i="35"/>
  <c r="H19" i="35"/>
  <c r="H18" i="35"/>
  <c r="H17" i="35"/>
  <c r="H16" i="35"/>
  <c r="H15" i="35"/>
  <c r="H14" i="35"/>
  <c r="H13" i="35"/>
  <c r="H12" i="35"/>
  <c r="H11" i="35"/>
  <c r="H10" i="35"/>
  <c r="H9" i="35"/>
  <c r="H8" i="35"/>
  <c r="H7" i="35"/>
  <c r="H6" i="35"/>
  <c r="H5" i="35"/>
  <c r="H4" i="35"/>
  <c r="H3" i="35"/>
  <c r="L18" i="34"/>
  <c r="L17" i="34"/>
  <c r="E17" i="34"/>
  <c r="E36" i="34" s="1"/>
  <c r="E55" i="34" s="1"/>
  <c r="E74" i="34" s="1"/>
  <c r="E93" i="34" s="1"/>
  <c r="L16" i="34"/>
  <c r="L15" i="34"/>
  <c r="A15" i="34"/>
  <c r="L14" i="34"/>
  <c r="L13" i="34"/>
  <c r="I13" i="34"/>
  <c r="L12" i="34"/>
  <c r="I12" i="34"/>
  <c r="J11" i="34" s="1"/>
  <c r="L11" i="34"/>
  <c r="M11" i="34" s="1"/>
  <c r="E4" i="34"/>
  <c r="L18" i="33"/>
  <c r="L17" i="33"/>
  <c r="D17" i="33"/>
  <c r="D36" i="33" s="1"/>
  <c r="D55" i="33" s="1"/>
  <c r="D74" i="33" s="1"/>
  <c r="D93" i="33" s="1"/>
  <c r="L16" i="33"/>
  <c r="L15" i="33"/>
  <c r="A15" i="33"/>
  <c r="L14" i="33"/>
  <c r="I14" i="33"/>
  <c r="L13" i="33"/>
  <c r="I13" i="33"/>
  <c r="L12" i="33"/>
  <c r="I12" i="33"/>
  <c r="M11" i="33"/>
  <c r="L11" i="33"/>
  <c r="J11" i="33"/>
  <c r="C4" i="33" s="1"/>
  <c r="E4" i="33"/>
  <c r="E17" i="33" s="1"/>
  <c r="E36" i="33" s="1"/>
  <c r="E55" i="33" s="1"/>
  <c r="E74" i="33" s="1"/>
  <c r="E93" i="33" s="1"/>
  <c r="D4" i="33"/>
  <c r="D4" i="34" s="1"/>
  <c r="D17" i="34" s="1"/>
  <c r="D36" i="34" s="1"/>
  <c r="D55" i="34" s="1"/>
  <c r="D74" i="34" s="1"/>
  <c r="D93" i="34" s="1"/>
  <c r="H18" i="31"/>
  <c r="H17" i="31"/>
  <c r="H16" i="31"/>
  <c r="H15" i="31"/>
  <c r="H14" i="31"/>
  <c r="H13" i="31"/>
  <c r="H12" i="31"/>
  <c r="H11" i="31"/>
  <c r="H10" i="31"/>
  <c r="H9" i="31"/>
  <c r="H8" i="31"/>
  <c r="H7" i="31"/>
  <c r="H6" i="31"/>
  <c r="H5" i="31"/>
  <c r="H4" i="31"/>
  <c r="H3" i="31"/>
  <c r="H2" i="31"/>
  <c r="Q3" i="26"/>
  <c r="B152" i="25"/>
  <c r="B100" i="25"/>
  <c r="B90" i="25"/>
  <c r="V9" i="23"/>
  <c r="I9" i="23"/>
  <c r="H9" i="23"/>
  <c r="D9" i="23"/>
  <c r="B9" i="23"/>
  <c r="B103" i="22" s="1"/>
  <c r="A9" i="23"/>
  <c r="V8" i="23"/>
  <c r="G8" i="23"/>
  <c r="F8" i="23"/>
  <c r="E8" i="23"/>
  <c r="V7" i="23"/>
  <c r="H7" i="23"/>
  <c r="B7" i="23"/>
  <c r="V6" i="23"/>
  <c r="Y6" i="23" s="1"/>
  <c r="I6" i="23"/>
  <c r="D6" i="23"/>
  <c r="B6" i="23"/>
  <c r="B132" i="22"/>
  <c r="B114" i="22"/>
  <c r="B108" i="22"/>
  <c r="B97" i="22"/>
  <c r="B69" i="22"/>
  <c r="B60" i="22"/>
  <c r="B59" i="22"/>
  <c r="B58" i="22"/>
  <c r="B57" i="22"/>
  <c r="B56" i="22"/>
  <c r="B55" i="22"/>
  <c r="B54" i="22"/>
  <c r="B53" i="22"/>
  <c r="B49" i="22"/>
  <c r="B48" i="22"/>
  <c r="B41" i="22"/>
  <c r="B40" i="22"/>
  <c r="B36" i="22"/>
  <c r="B35" i="22"/>
  <c r="B34" i="22"/>
  <c r="B33" i="22"/>
  <c r="B3" i="11" s="1"/>
  <c r="B27" i="22"/>
  <c r="B26" i="22"/>
  <c r="B24" i="22"/>
  <c r="B22" i="22"/>
  <c r="B19" i="22"/>
  <c r="B18" i="22"/>
  <c r="B16" i="22"/>
  <c r="B2" i="11" s="1"/>
  <c r="B5" i="22"/>
  <c r="B4" i="22"/>
  <c r="A1" i="22"/>
  <c r="E7" i="15"/>
  <c r="B7" i="15"/>
  <c r="E21" i="15"/>
  <c r="B21" i="15"/>
  <c r="E20" i="15"/>
  <c r="B20" i="15"/>
  <c r="E15" i="15"/>
  <c r="B15" i="15"/>
  <c r="E10" i="15"/>
  <c r="B10" i="15"/>
  <c r="E5" i="15"/>
  <c r="B5" i="15"/>
  <c r="E19" i="15"/>
  <c r="B19" i="15"/>
  <c r="E14" i="15"/>
  <c r="B14" i="15"/>
  <c r="E9" i="15"/>
  <c r="B9" i="15"/>
  <c r="E4" i="15"/>
  <c r="B4" i="15"/>
  <c r="E18" i="15"/>
  <c r="B18" i="15"/>
  <c r="E13" i="15"/>
  <c r="B13" i="15"/>
  <c r="E8" i="15"/>
  <c r="B8" i="15"/>
  <c r="E3" i="15"/>
  <c r="B3" i="15"/>
  <c r="E22" i="15"/>
  <c r="B22" i="15"/>
  <c r="E16" i="15"/>
  <c r="B16" i="15"/>
  <c r="E11" i="15"/>
  <c r="B11" i="15"/>
  <c r="E6" i="15"/>
  <c r="B6" i="15"/>
  <c r="E27" i="15"/>
  <c r="B27" i="15"/>
  <c r="E25" i="15"/>
  <c r="B25" i="15"/>
  <c r="E28" i="15"/>
  <c r="B28" i="15"/>
  <c r="E24" i="15"/>
  <c r="B24" i="15"/>
  <c r="Y1" i="15"/>
  <c r="X1" i="15"/>
  <c r="W1" i="15"/>
  <c r="V1" i="15"/>
  <c r="U1" i="15"/>
  <c r="T1" i="15"/>
  <c r="S1" i="15"/>
  <c r="R1" i="15"/>
  <c r="Q1" i="15"/>
  <c r="P1" i="15"/>
  <c r="O1" i="15"/>
  <c r="N1" i="15"/>
  <c r="M1" i="15"/>
  <c r="L1" i="15"/>
  <c r="K1" i="15"/>
  <c r="J1" i="15"/>
  <c r="I1" i="15"/>
  <c r="H1" i="15"/>
  <c r="G1" i="15"/>
  <c r="F1" i="15"/>
  <c r="V15" i="13"/>
  <c r="U15" i="13"/>
  <c r="T15" i="13"/>
  <c r="S15" i="13"/>
  <c r="R15" i="13"/>
  <c r="Q15" i="13"/>
  <c r="P15" i="13"/>
  <c r="O15" i="13"/>
  <c r="N15" i="13"/>
  <c r="M15" i="13"/>
  <c r="L15" i="13"/>
  <c r="K15" i="13"/>
  <c r="J15" i="13"/>
  <c r="I15" i="13"/>
  <c r="H15" i="13"/>
  <c r="G15" i="13"/>
  <c r="F15" i="13"/>
  <c r="E15" i="13"/>
  <c r="D15" i="13"/>
  <c r="C15" i="13"/>
  <c r="B61" i="12"/>
  <c r="B60" i="12"/>
  <c r="I8" i="23" s="1"/>
  <c r="B56" i="12"/>
  <c r="D8" i="23" s="1"/>
  <c r="B55" i="12"/>
  <c r="B8" i="23" s="1"/>
  <c r="B52" i="12"/>
  <c r="B51" i="12"/>
  <c r="B49" i="12"/>
  <c r="B46" i="12"/>
  <c r="B45" i="12"/>
  <c r="B42" i="12"/>
  <c r="B41" i="12"/>
  <c r="B40" i="12"/>
  <c r="B34" i="12"/>
  <c r="B33" i="12"/>
  <c r="B30" i="12"/>
  <c r="B29" i="12"/>
  <c r="B24" i="12"/>
  <c r="B28" i="22" s="1"/>
  <c r="B14" i="12"/>
  <c r="A14" i="12"/>
  <c r="B13" i="12"/>
  <c r="B10" i="12"/>
  <c r="B3" i="51" s="1"/>
  <c r="B8" i="12"/>
  <c r="B21" i="22" s="1"/>
  <c r="B7" i="12"/>
  <c r="B31" i="12" s="1"/>
  <c r="B4" i="12"/>
  <c r="B2" i="51" s="1"/>
  <c r="B3" i="12"/>
  <c r="B1" i="51" s="1"/>
  <c r="B35" i="11"/>
  <c r="B34" i="11"/>
  <c r="B33" i="11"/>
  <c r="B32" i="11"/>
  <c r="B31" i="11"/>
  <c r="B30" i="11"/>
  <c r="B29" i="11"/>
  <c r="B28" i="11"/>
  <c r="B27" i="11"/>
  <c r="B26" i="11"/>
  <c r="B25" i="11"/>
  <c r="B23" i="11"/>
  <c r="A4" i="52"/>
  <c r="B58" i="10"/>
  <c r="B50" i="10"/>
  <c r="B49" i="10" s="1"/>
  <c r="B53" i="10" s="1"/>
  <c r="B33" i="10"/>
  <c r="C2" i="22" s="1"/>
  <c r="B31" i="10"/>
  <c r="B16" i="10"/>
  <c r="M2" i="53" s="1"/>
  <c r="B3" i="10"/>
  <c r="B37" i="9"/>
  <c r="B30" i="51" s="1"/>
  <c r="B28" i="9"/>
  <c r="B27" i="9"/>
  <c r="B86" i="22" s="1"/>
  <c r="M23" i="8"/>
  <c r="M22" i="8"/>
  <c r="M20" i="8"/>
  <c r="M19" i="8"/>
  <c r="M17" i="8"/>
  <c r="M16" i="8"/>
  <c r="M15" i="8"/>
  <c r="M11" i="8"/>
  <c r="M10" i="8"/>
  <c r="M9" i="8"/>
  <c r="M8" i="8"/>
  <c r="M6" i="8"/>
  <c r="M5" i="8"/>
  <c r="M4" i="8"/>
  <c r="M3" i="8"/>
  <c r="B14" i="7"/>
  <c r="B12" i="7"/>
  <c r="B11" i="7"/>
  <c r="B10" i="7"/>
  <c r="B9" i="7"/>
  <c r="B8" i="7"/>
  <c r="B6" i="7"/>
  <c r="B5" i="7"/>
  <c r="B4" i="7"/>
  <c r="B3" i="7"/>
  <c r="I54" i="6"/>
  <c r="I53" i="6"/>
  <c r="I52" i="6"/>
  <c r="I51" i="6"/>
  <c r="I50" i="6"/>
  <c r="I49" i="6"/>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I12" i="6"/>
  <c r="I11" i="6"/>
  <c r="I10" i="6"/>
  <c r="I9" i="6"/>
  <c r="I8" i="6"/>
  <c r="I7" i="6"/>
  <c r="C115" i="1"/>
  <c r="B31" i="51" l="1"/>
  <c r="C16" i="53"/>
  <c r="C8" i="53"/>
  <c r="C24" i="53"/>
  <c r="C13" i="53"/>
  <c r="C5" i="53"/>
  <c r="C18" i="53"/>
  <c r="C10" i="53"/>
  <c r="C15" i="53"/>
  <c r="C7" i="53"/>
  <c r="C23" i="53"/>
  <c r="C20" i="53"/>
  <c r="C12" i="53"/>
  <c r="C17" i="53"/>
  <c r="C9" i="53"/>
  <c r="C14" i="53"/>
  <c r="C6" i="53"/>
  <c r="C22" i="53"/>
  <c r="C19" i="53"/>
  <c r="C11" i="53"/>
  <c r="C17" i="33"/>
  <c r="C36" i="33" s="1"/>
  <c r="C55" i="33" s="1"/>
  <c r="C74" i="33" s="1"/>
  <c r="C93" i="33" s="1"/>
  <c r="C4" i="34"/>
  <c r="C17" i="34" s="1"/>
  <c r="C36" i="34" s="1"/>
  <c r="C55" i="34" s="1"/>
  <c r="C74" i="34" s="1"/>
  <c r="C93" i="34" s="1"/>
  <c r="B32" i="36"/>
  <c r="B30" i="36"/>
  <c r="B45" i="36"/>
  <c r="B29" i="36"/>
  <c r="B44" i="36"/>
  <c r="B28" i="36"/>
  <c r="B43" i="36"/>
  <c r="B27" i="36"/>
  <c r="B40" i="36"/>
  <c r="B39" i="36"/>
  <c r="B38" i="36"/>
  <c r="B37" i="36"/>
  <c r="B36" i="36"/>
  <c r="B35" i="36"/>
  <c r="B31" i="36"/>
  <c r="B91" i="22"/>
  <c r="E3" i="56" s="1"/>
  <c r="E4" i="56" s="1"/>
  <c r="E5" i="56" s="1"/>
  <c r="E6" i="56" s="1"/>
  <c r="E7" i="56" s="1"/>
  <c r="E8" i="56" s="1"/>
  <c r="E9" i="56" s="1"/>
  <c r="E10" i="56" s="1"/>
  <c r="E11" i="56" s="1"/>
  <c r="E12" i="56" s="1"/>
  <c r="E13" i="56" s="1"/>
  <c r="B55" i="10"/>
  <c r="B92" i="22" s="1"/>
  <c r="D27" i="50" s="1"/>
  <c r="D28" i="50" s="1"/>
  <c r="D29" i="50" s="1"/>
  <c r="B32" i="12"/>
  <c r="B35" i="12" s="1"/>
  <c r="B8" i="51" s="1"/>
  <c r="B6" i="50"/>
  <c r="C32" i="22"/>
  <c r="C94" i="22"/>
  <c r="A1" i="26"/>
  <c r="B34" i="36"/>
  <c r="B3" i="22"/>
  <c r="D7" i="23"/>
  <c r="C11" i="23"/>
  <c r="B6" i="22"/>
  <c r="C27" i="23"/>
  <c r="C15" i="22"/>
  <c r="C66" i="22"/>
  <c r="C30" i="23"/>
  <c r="C33" i="23"/>
  <c r="B17" i="22"/>
  <c r="B37" i="22"/>
  <c r="C36" i="23"/>
  <c r="B2" i="49"/>
  <c r="C39" i="23"/>
  <c r="L1" i="31"/>
  <c r="B3" i="49"/>
  <c r="B11" i="12"/>
  <c r="B41" i="36"/>
  <c r="B42" i="36" s="1"/>
  <c r="E2" i="55"/>
  <c r="B20" i="22"/>
  <c r="B47" i="10"/>
  <c r="E1" i="32"/>
  <c r="B7" i="49"/>
  <c r="B21" i="50"/>
  <c r="B50" i="22"/>
  <c r="A3" i="53" s="1"/>
  <c r="C4" i="23"/>
  <c r="B22" i="50"/>
  <c r="G24" i="50" s="1"/>
  <c r="B23" i="22"/>
  <c r="B87" i="22"/>
  <c r="B6" i="11" s="1"/>
  <c r="I9" i="53" l="1"/>
  <c r="H9" i="53"/>
  <c r="G9" i="53"/>
  <c r="F9" i="53"/>
  <c r="E9" i="53"/>
  <c r="I7" i="53"/>
  <c r="H7" i="53"/>
  <c r="G7" i="53"/>
  <c r="F7" i="53"/>
  <c r="E7" i="53"/>
  <c r="I13" i="31"/>
  <c r="I5" i="31"/>
  <c r="I12" i="31"/>
  <c r="I4" i="31"/>
  <c r="I11" i="31"/>
  <c r="I3" i="31"/>
  <c r="I18" i="31"/>
  <c r="I10" i="31"/>
  <c r="I2" i="31"/>
  <c r="I17" i="31"/>
  <c r="I9" i="31"/>
  <c r="I16" i="31"/>
  <c r="I8" i="31"/>
  <c r="I15" i="31"/>
  <c r="I7" i="31"/>
  <c r="I14" i="31"/>
  <c r="I6" i="31"/>
  <c r="I15" i="53"/>
  <c r="H15" i="53"/>
  <c r="G15" i="53"/>
  <c r="F15" i="53"/>
  <c r="E15" i="53"/>
  <c r="H10" i="53"/>
  <c r="G10" i="53"/>
  <c r="F10" i="53"/>
  <c r="E10" i="53"/>
  <c r="I10" i="53"/>
  <c r="I20" i="53"/>
  <c r="H20" i="53"/>
  <c r="G20" i="53"/>
  <c r="F20" i="53"/>
  <c r="E20" i="53"/>
  <c r="H18" i="53"/>
  <c r="G18" i="53"/>
  <c r="F18" i="53"/>
  <c r="E18" i="53"/>
  <c r="I18" i="53"/>
  <c r="G23" i="50"/>
  <c r="G27" i="50"/>
  <c r="F5" i="53"/>
  <c r="E5" i="53"/>
  <c r="I5" i="53"/>
  <c r="H5" i="53"/>
  <c r="G5" i="53"/>
  <c r="B4" i="51"/>
  <c r="B44" i="12"/>
  <c r="E16" i="55"/>
  <c r="I17" i="53"/>
  <c r="H17" i="53"/>
  <c r="G17" i="53"/>
  <c r="F17" i="53"/>
  <c r="E17" i="53"/>
  <c r="F13" i="53"/>
  <c r="E13" i="53"/>
  <c r="I13" i="53"/>
  <c r="H13" i="53"/>
  <c r="G13" i="53"/>
  <c r="I11" i="53"/>
  <c r="H11" i="53"/>
  <c r="G11" i="53"/>
  <c r="F11" i="53"/>
  <c r="E11" i="53"/>
  <c r="E24" i="53"/>
  <c r="I24" i="53"/>
  <c r="H24" i="53"/>
  <c r="G24" i="53"/>
  <c r="F24" i="53"/>
  <c r="I19" i="53"/>
  <c r="H19" i="53"/>
  <c r="G19" i="53"/>
  <c r="F19" i="53"/>
  <c r="E19" i="53"/>
  <c r="I8" i="53"/>
  <c r="H8" i="53"/>
  <c r="G8" i="53"/>
  <c r="F8" i="53"/>
  <c r="E8" i="53"/>
  <c r="I4" i="33"/>
  <c r="B20" i="50"/>
  <c r="B44" i="10"/>
  <c r="I4" i="34"/>
  <c r="B4" i="11"/>
  <c r="I22" i="53"/>
  <c r="H22" i="53"/>
  <c r="G22" i="53"/>
  <c r="F22" i="53"/>
  <c r="E22" i="53"/>
  <c r="I16" i="53"/>
  <c r="H16" i="53"/>
  <c r="G16" i="53"/>
  <c r="F16" i="53"/>
  <c r="E16" i="53"/>
  <c r="I23" i="53"/>
  <c r="H23" i="53"/>
  <c r="G23" i="53"/>
  <c r="F23" i="53"/>
  <c r="E23" i="53"/>
  <c r="F9" i="32"/>
  <c r="G9" i="32" s="1"/>
  <c r="I9" i="32" s="1"/>
  <c r="J9" i="32" s="1"/>
  <c r="F5" i="32"/>
  <c r="G5" i="32" s="1"/>
  <c r="I5" i="32" s="1"/>
  <c r="J5" i="32" s="1"/>
  <c r="F8" i="32"/>
  <c r="G8" i="32" s="1"/>
  <c r="I8" i="32" s="1"/>
  <c r="J8" i="32" s="1"/>
  <c r="F4" i="32"/>
  <c r="G4" i="32" s="1"/>
  <c r="I4" i="32" s="1"/>
  <c r="J4" i="32" s="1"/>
  <c r="F7" i="32"/>
  <c r="G7" i="32" s="1"/>
  <c r="I7" i="32" s="1"/>
  <c r="J7" i="32" s="1"/>
  <c r="F6" i="32"/>
  <c r="G6" i="32" s="1"/>
  <c r="I6" i="32" s="1"/>
  <c r="J6" i="32" s="1"/>
  <c r="I6" i="53"/>
  <c r="H6" i="53"/>
  <c r="G6" i="53"/>
  <c r="F6" i="53"/>
  <c r="E6" i="53"/>
  <c r="I12" i="53"/>
  <c r="H12" i="53"/>
  <c r="G12" i="53"/>
  <c r="F12" i="53"/>
  <c r="E12" i="53"/>
  <c r="I14" i="53"/>
  <c r="H14" i="53"/>
  <c r="G14" i="53"/>
  <c r="F14" i="53"/>
  <c r="E14" i="53"/>
  <c r="I5" i="34" l="1"/>
  <c r="C16" i="34"/>
  <c r="B6" i="10"/>
  <c r="B22" i="35"/>
  <c r="C22" i="35" s="1"/>
  <c r="D22" i="35" s="1"/>
  <c r="E22" i="35" s="1"/>
  <c r="F22" i="35" s="1"/>
  <c r="G22" i="35" s="1"/>
  <c r="B85" i="22"/>
  <c r="B15" i="7"/>
  <c r="K3" i="33"/>
  <c r="B43" i="10"/>
  <c r="I3" i="33"/>
  <c r="B40" i="10"/>
  <c r="B2" i="35"/>
  <c r="C2" i="35" s="1"/>
  <c r="D2" i="35" s="1"/>
  <c r="E2" i="35" s="1"/>
  <c r="F2" i="35" s="1"/>
  <c r="G2" i="35" s="1"/>
  <c r="B37" i="10"/>
  <c r="C5" i="26"/>
  <c r="K3" i="34"/>
  <c r="I3" i="34"/>
  <c r="B51" i="10"/>
  <c r="B88" i="22" s="1"/>
  <c r="C16" i="33"/>
  <c r="I5" i="33"/>
  <c r="C3" i="34" l="1"/>
  <c r="C3" i="33"/>
  <c r="B76" i="25"/>
  <c r="B38" i="10"/>
  <c r="B24" i="50"/>
  <c r="A2" i="34"/>
  <c r="A2" i="33"/>
  <c r="B70" i="22"/>
  <c r="B5" i="11"/>
  <c r="C35" i="33"/>
  <c r="I6" i="33"/>
  <c r="L3" i="34"/>
  <c r="E5" i="26"/>
  <c r="D5" i="26"/>
  <c r="C4" i="26"/>
  <c r="T4" i="26"/>
  <c r="B80" i="25"/>
  <c r="B41" i="10"/>
  <c r="L3" i="33"/>
  <c r="C35" i="34"/>
  <c r="I6" i="34"/>
  <c r="B101" i="25" l="1"/>
  <c r="B102" i="25" s="1"/>
  <c r="B78" i="22"/>
  <c r="C34" i="26"/>
  <c r="G5" i="26"/>
  <c r="E4" i="26"/>
  <c r="C54" i="33"/>
  <c r="I7" i="33"/>
  <c r="T5" i="26"/>
  <c r="T6" i="26" s="1"/>
  <c r="T7" i="26" s="1"/>
  <c r="T8" i="26" s="1"/>
  <c r="A3" i="26" s="1"/>
  <c r="F5" i="26"/>
  <c r="D4" i="26"/>
  <c r="L4" i="34"/>
  <c r="J3" i="34"/>
  <c r="A3" i="34" s="1"/>
  <c r="F3" i="34" s="1"/>
  <c r="B91" i="25"/>
  <c r="B92" i="25" s="1"/>
  <c r="B74" i="22"/>
  <c r="C54" i="34"/>
  <c r="I7" i="34"/>
  <c r="J3" i="33"/>
  <c r="A3" i="33" s="1"/>
  <c r="F3" i="33" s="1"/>
  <c r="L4" i="33"/>
  <c r="B75" i="22" l="1"/>
  <c r="B99" i="22" s="1"/>
  <c r="B98" i="22"/>
  <c r="I8" i="33"/>
  <c r="C73" i="33"/>
  <c r="B79" i="22"/>
  <c r="B110" i="22" s="1"/>
  <c r="B109" i="22"/>
  <c r="L5" i="34"/>
  <c r="J4" i="34"/>
  <c r="A16" i="34" s="1"/>
  <c r="F16" i="34" s="1"/>
  <c r="H5" i="26"/>
  <c r="F4" i="26"/>
  <c r="I5" i="26"/>
  <c r="G4" i="26"/>
  <c r="C35" i="26"/>
  <c r="J4" i="33"/>
  <c r="A16" i="33" s="1"/>
  <c r="F16" i="33" s="1"/>
  <c r="L5" i="33"/>
  <c r="C73" i="34"/>
  <c r="I8" i="34"/>
  <c r="J5" i="26" l="1"/>
  <c r="H4" i="26"/>
  <c r="K5" i="26"/>
  <c r="I4" i="26"/>
  <c r="L6" i="34"/>
  <c r="J5" i="34"/>
  <c r="A35" i="34" s="1"/>
  <c r="F35" i="34" s="1"/>
  <c r="I9" i="33"/>
  <c r="C92" i="33"/>
  <c r="L6" i="33"/>
  <c r="J5" i="33"/>
  <c r="A35" i="33" s="1"/>
  <c r="F35" i="33" s="1"/>
  <c r="C92" i="34"/>
  <c r="I9" i="34"/>
  <c r="L7" i="33" l="1"/>
  <c r="J6" i="33"/>
  <c r="A54" i="33" s="1"/>
  <c r="F54" i="33" s="1"/>
  <c r="J6" i="34"/>
  <c r="A54" i="34" s="1"/>
  <c r="F54" i="34" s="1"/>
  <c r="L7" i="34"/>
  <c r="M5" i="26"/>
  <c r="K4" i="26"/>
  <c r="L5" i="26"/>
  <c r="J4" i="26"/>
  <c r="N5" i="26" l="1"/>
  <c r="L4" i="26"/>
  <c r="O5" i="26"/>
  <c r="O4" i="26" s="1"/>
  <c r="M4" i="26"/>
  <c r="L8" i="34"/>
  <c r="J7" i="34"/>
  <c r="A73" i="34" s="1"/>
  <c r="F73" i="34" s="1"/>
  <c r="L8" i="33"/>
  <c r="J7" i="33"/>
  <c r="A73" i="33" s="1"/>
  <c r="F73" i="33" s="1"/>
  <c r="L9" i="33" l="1"/>
  <c r="J9" i="33" s="1"/>
  <c r="J8" i="33"/>
  <c r="A92" i="33" s="1"/>
  <c r="F92" i="33" s="1"/>
  <c r="L9" i="34"/>
  <c r="J9" i="34" s="1"/>
  <c r="J8" i="34"/>
  <c r="A92" i="34" s="1"/>
  <c r="F92" i="34" s="1"/>
  <c r="N4" i="26"/>
  <c r="P5" i="26"/>
  <c r="P4"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00000000-0006-0000-0900-000001000000}">
      <text>
        <r>
          <rPr>
            <sz val="11"/>
            <color theme="1"/>
            <rFont val="Calibri"/>
            <family val="2"/>
            <scheme val="minor"/>
          </rPr>
          <t>Pieter van Zyl:
Time zone of the primary location where the appraisal is being conducted.</t>
        </r>
      </text>
    </comment>
    <comment ref="A28" authorId="0" shapeId="0" xr:uid="{00000000-0006-0000-0900-000002000000}">
      <text>
        <r>
          <rPr>
            <sz val="11"/>
            <color theme="1"/>
            <rFont val="Calibri"/>
            <family val="2"/>
            <scheme val="minor"/>
          </rPr>
          <t>Pieter van Zyl: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00000000-0006-0000-0B00-000001000000}">
      <text>
        <r>
          <rPr>
            <sz val="11"/>
            <color theme="1"/>
            <rFont val="Calibri"/>
            <family val="2"/>
            <scheme val="minor"/>
          </rPr>
          <t>Pieter van Zyl:
Street address, P.O. box, company name, c/o</t>
        </r>
      </text>
    </comment>
    <comment ref="A6" authorId="0" shapeId="0" xr:uid="{00000000-0006-0000-0B00-000002000000}">
      <text>
        <r>
          <rPr>
            <sz val="11"/>
            <color theme="1"/>
            <rFont val="Calibri"/>
            <family val="2"/>
            <scheme val="minor"/>
          </rPr>
          <t>Pieter van Zyl:
Apartment, suite, unit, building, floor, etc.</t>
        </r>
      </text>
    </comment>
    <comment ref="A29" authorId="0" shapeId="0" xr:uid="{00000000-0006-0000-0B00-000003000000}">
      <text>
        <r>
          <rPr>
            <sz val="11"/>
            <color theme="1"/>
            <rFont val="Calibri"/>
            <family val="2"/>
            <scheme val="minor"/>
          </rPr>
          <t>Pieter van Zyl:
Street address, P.O. box, company name, c/o</t>
        </r>
      </text>
    </comment>
    <comment ref="A30" authorId="0" shapeId="0" xr:uid="{00000000-0006-0000-0B00-000004000000}">
      <text>
        <r>
          <rPr>
            <sz val="11"/>
            <color theme="1"/>
            <rFont val="Calibri"/>
            <family val="2"/>
            <scheme val="minor"/>
          </rPr>
          <t>Pieter van Zyl: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00000000-0006-0000-0D00-000001000000}">
      <text>
        <r>
          <rPr>
            <sz val="11"/>
            <color theme="1"/>
            <rFont val="Calibri"/>
            <family val="2"/>
            <scheme val="minor"/>
          </rPr>
          <t>Pieter van Zyl:
Get from Tab:PvtProjectFTEs</t>
        </r>
      </text>
    </comment>
    <comment ref="I2" authorId="0" shapeId="0" xr:uid="{00000000-0006-0000-0D00-000002000000}">
      <text>
        <r>
          <rPr>
            <sz val="11"/>
            <color theme="1"/>
            <rFont val="Calibri"/>
            <family val="2"/>
            <scheme val="minor"/>
          </rPr>
          <t xml:space="preserve">What projects should be included in the sample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00000000-0006-0000-1500-000001000000}">
      <text>
        <r>
          <rPr>
            <sz val="11"/>
            <color theme="1"/>
            <rFont val="Calibri"/>
            <family val="2"/>
            <scheme val="minor"/>
          </rPr>
          <t>Pieter van Zyl:
Time zone of the primary location where the appraisal is being conducted.</t>
        </r>
      </text>
    </comment>
    <comment ref="A7" authorId="0" shapeId="0" xr:uid="{00000000-0006-0000-1500-000002000000}">
      <text>
        <r>
          <rPr>
            <sz val="11"/>
            <color theme="1"/>
            <rFont val="Calibri"/>
            <family val="2"/>
            <scheme val="minor"/>
          </rPr>
          <t>Pieter van Zyl:
As the Appraisal Team Leader, you may decide on the tailoring option of whether Appraisal Team Members will sign the Appraisal Plan, or only review it.</t>
        </r>
      </text>
    </comment>
    <comment ref="A9" authorId="0" shapeId="0" xr:uid="{00000000-0006-0000-1500-000003000000}">
      <text>
        <r>
          <rPr>
            <sz val="11"/>
            <color theme="1"/>
            <rFont val="Calibri"/>
            <family val="2"/>
            <scheme val="minor"/>
          </rPr>
          <t>Pieter van Zyl:
If yes, ignore question 2, and continue to question 3.</t>
        </r>
      </text>
    </comment>
    <comment ref="A11" authorId="0" shapeId="0" xr:uid="{00000000-0006-0000-1500-000004000000}">
      <text>
        <r>
          <rPr>
            <sz val="11"/>
            <color theme="1"/>
            <rFont val="Calibri"/>
            <family val="2"/>
            <scheme val="minor"/>
          </rPr>
          <t>Pieter van Zyl:
Select the virtual data collection technique.</t>
        </r>
      </text>
    </comment>
    <comment ref="A16" authorId="0" shapeId="0" xr:uid="{00000000-0006-0000-1500-000005000000}">
      <text>
        <r>
          <rPr>
            <sz val="11"/>
            <color theme="1"/>
            <rFont val="Calibri"/>
            <family val="2"/>
            <scheme val="minor"/>
          </rPr>
          <t>Pieter van Zyl:
Enter legal name of company being appraised.</t>
        </r>
      </text>
    </comment>
    <comment ref="A17" authorId="0" shapeId="0" xr:uid="{00000000-0006-0000-1500-000006000000}">
      <text>
        <r>
          <rPr>
            <sz val="11"/>
            <color theme="1"/>
            <rFont val="Calibri"/>
            <family val="2"/>
            <scheme val="minor"/>
          </rPr>
          <t>Pieter van Zyl:
Enter legal name in native language. If English leave blank.</t>
        </r>
      </text>
    </comment>
    <comment ref="A18" authorId="0" shapeId="0" xr:uid="{00000000-0006-0000-1500-000007000000}">
      <text>
        <r>
          <rPr>
            <sz val="11"/>
            <color theme="1"/>
            <rFont val="Calibri"/>
            <family val="2"/>
            <scheme val="minor"/>
          </rPr>
          <t>Pieter van Zyl:
Street address, P.O. box, company name, c/o</t>
        </r>
      </text>
    </comment>
    <comment ref="A19" authorId="0" shapeId="0" xr:uid="{00000000-0006-0000-1500-000008000000}">
      <text>
        <r>
          <rPr>
            <sz val="11"/>
            <color theme="1"/>
            <rFont val="Calibri"/>
            <family val="2"/>
            <scheme val="minor"/>
          </rPr>
          <t>Pieter van Zyl:
Apartment, suite, unit, building, floor, etc.</t>
        </r>
      </text>
    </comment>
    <comment ref="A26" authorId="0" shapeId="0" xr:uid="{00000000-0006-0000-1500-000009000000}">
      <text>
        <r>
          <rPr>
            <sz val="11"/>
            <color theme="1"/>
            <rFont val="Calibri"/>
            <family val="2"/>
            <scheme val="minor"/>
          </rPr>
          <t>Pieter van Zyl:
Pick the classification that best identifies the activity the organization performs.</t>
        </r>
      </text>
    </comment>
    <comment ref="A33" authorId="0" shapeId="0" xr:uid="{00000000-0006-0000-1500-00000A000000}">
      <text>
        <r>
          <rPr>
            <sz val="11"/>
            <color theme="1"/>
            <rFont val="Calibri"/>
            <family val="2"/>
            <scheme val="minor"/>
          </rPr>
          <t>Pieter van Zyl:
Enter a name for the OU. It cannot be the same as the organization's name.</t>
        </r>
      </text>
    </comment>
    <comment ref="A37" authorId="0" shapeId="0" xr:uid="{00000000-0006-0000-1500-00000B000000}">
      <text>
        <r>
          <rPr>
            <sz val="11"/>
            <color theme="1"/>
            <rFont val="Calibri"/>
            <family val="2"/>
            <scheme val="minor"/>
          </rPr>
          <t>Pieter van Zyl:
If more than one organization, insert into Organization: Organization Info above, and list all applicable here</t>
        </r>
      </text>
    </comment>
    <comment ref="A41" authorId="0" shapeId="0" xr:uid="{00000000-0006-0000-1500-00000C000000}">
      <text>
        <r>
          <rPr>
            <sz val="11"/>
            <color theme="1"/>
            <rFont val="Calibri"/>
            <family val="2"/>
            <scheme val="minor"/>
          </rPr>
          <t>Pieter van Zyl:
If this Organizational Unit has multiple prior appraisals, enter numbers separated by commas (e.g. 1001, 2140).</t>
        </r>
      </text>
    </comment>
    <comment ref="A69" authorId="0" shapeId="0" xr:uid="{00000000-0006-0000-1500-00000D000000}">
      <text>
        <r>
          <rPr>
            <sz val="11"/>
            <color theme="1"/>
            <rFont val="Calibri"/>
            <family val="2"/>
            <scheme val="minor"/>
          </rPr>
          <t>Pieter van Zyl:
Date for the start of the plan appraisal phase.</t>
        </r>
      </text>
    </comment>
    <comment ref="A70" authorId="0" shapeId="0" xr:uid="{00000000-0006-0000-1500-00000E000000}">
      <text>
        <r>
          <rPr>
            <sz val="11"/>
            <color theme="1"/>
            <rFont val="Calibri"/>
            <family val="2"/>
            <scheme val="minor"/>
          </rPr>
          <t>Pieter van Zyl:
Date for the end of the plan appraisal phase.</t>
        </r>
      </text>
    </comment>
    <comment ref="A72" authorId="0" shapeId="0" xr:uid="{00000000-0006-0000-1500-00000F000000}">
      <text>
        <r>
          <rPr>
            <sz val="11"/>
            <color theme="1"/>
            <rFont val="Calibri"/>
            <family val="2"/>
            <scheme val="minor"/>
          </rPr>
          <t>Pieter van Zyl:
For each readiness review planned, specify the following information. Readiness reviews can also be viewed in the Appraisal Timeline in Phase 1: Plan Appraisal - Sample Scope.</t>
        </r>
      </text>
    </comment>
    <comment ref="A96" authorId="0" shapeId="0" xr:uid="{00000000-0006-0000-1500-000010000000}">
      <text>
        <r>
          <rPr>
            <sz val="11"/>
            <color theme="1"/>
            <rFont val="Calibri"/>
            <family val="2"/>
            <scheme val="minor"/>
          </rPr>
          <t>Pieter van Zyl: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00000000-0006-0000-1600-000001000000}">
      <text>
        <r>
          <rPr>
            <sz val="11"/>
            <color theme="1"/>
            <rFont val="Calibri"/>
            <family val="2"/>
            <scheme val="minor"/>
          </rPr>
          <t>Pieter van Zyl:
Search for the individual who will be assigned as Appraisal Sponsor. For more accurate search results, use the full name of the individual.
NOTE: If not in dashboard, use Go to Community Search</t>
        </r>
      </text>
    </comment>
    <comment ref="B6" authorId="0" shapeId="0" xr:uid="{00000000-0006-0000-1600-000002000000}">
      <text>
        <r>
          <rPr>
            <sz val="11"/>
            <color theme="1"/>
            <rFont val="Calibri"/>
            <family val="2"/>
            <scheme val="minor"/>
          </rPr>
          <t>Pieter van Zyl:
Need to be registered in CAS</t>
        </r>
      </text>
    </comment>
    <comment ref="A7" authorId="0" shapeId="0" xr:uid="{00000000-0006-0000-1600-000003000000}">
      <text>
        <r>
          <rPr>
            <sz val="11"/>
            <color theme="1"/>
            <rFont val="Calibri"/>
            <family val="2"/>
            <scheme val="minor"/>
          </rPr>
          <t>Pieter van Zyl:
Select appraisal team members, including observers or translators if applicable. All team members must have created an account before they can be included on an Appraisal Team.</t>
        </r>
      </text>
    </comment>
    <comment ref="B7" authorId="0" shapeId="0" xr:uid="{00000000-0006-0000-1600-000004000000}">
      <text>
        <r>
          <rPr>
            <sz val="11"/>
            <color theme="1"/>
            <rFont val="Calibri"/>
            <family val="2"/>
            <scheme val="minor"/>
          </rPr>
          <t>Pieter van Zyl:
Need to be registered in CAS</t>
        </r>
      </text>
    </comment>
    <comment ref="A8" authorId="0" shapeId="0" xr:uid="{00000000-0006-0000-1600-000005000000}">
      <text>
        <r>
          <rPr>
            <sz val="11"/>
            <color theme="1"/>
            <rFont val="Calibri"/>
            <family val="2"/>
            <scheme val="minor"/>
          </rPr>
          <t>Pieter van Zyl:
Select appraisal team members, including observers or translators if applicable. All team members must have created an account before they can be included on an Appraisal Team.</t>
        </r>
      </text>
    </comment>
    <comment ref="B8" authorId="0" shapeId="0" xr:uid="{00000000-0006-0000-1600-000006000000}">
      <text>
        <r>
          <rPr>
            <sz val="11"/>
            <color theme="1"/>
            <rFont val="Calibri"/>
            <family val="2"/>
            <scheme val="minor"/>
          </rPr>
          <t>Pieter van Zyl: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00000000-0006-0000-1700-000001000000}">
      <text>
        <r>
          <rPr>
            <sz val="11"/>
            <color theme="1"/>
            <rFont val="Calibri"/>
            <family val="2"/>
            <scheme val="minor"/>
          </rPr>
          <t xml:space="preserve">Pieter van Zyl: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00000000-0006-0000-1800-000001000000}">
      <text>
        <r>
          <rPr>
            <sz val="11"/>
            <color theme="1"/>
            <rFont val="Calibri"/>
            <family val="2"/>
            <scheme val="minor"/>
          </rPr>
          <t>Pieter van Zyl:
Provide a detailed description of how this output will be delivered to the sponsor.</t>
        </r>
      </text>
    </comment>
    <comment ref="A5" authorId="0" shapeId="0" xr:uid="{00000000-0006-0000-1800-000002000000}">
      <text>
        <r>
          <rPr>
            <sz val="11"/>
            <color theme="1"/>
            <rFont val="Calibri"/>
            <family val="2"/>
            <scheme val="minor"/>
          </rPr>
          <t>Pieter van Zyl:
Specity the owner of each output</t>
        </r>
      </text>
    </comment>
    <comment ref="A9" authorId="0" shapeId="0" xr:uid="{00000000-0006-0000-1800-000003000000}">
      <text>
        <r>
          <rPr>
            <sz val="11"/>
            <color theme="1"/>
            <rFont val="Calibri"/>
            <family val="2"/>
            <scheme val="minor"/>
          </rPr>
          <t>Pieter van Zyl:
Provide a detailed description of how this output will be delivered to the sponsor.</t>
        </r>
      </text>
    </comment>
    <comment ref="A10" authorId="0" shapeId="0" xr:uid="{00000000-0006-0000-1800-000004000000}">
      <text>
        <r>
          <rPr>
            <sz val="11"/>
            <color theme="1"/>
            <rFont val="Calibri"/>
            <family val="2"/>
            <scheme val="minor"/>
          </rPr>
          <t>Pieter van Zyl:
Specity the owner of each output</t>
        </r>
      </text>
    </comment>
    <comment ref="A14" authorId="0" shapeId="0" xr:uid="{00000000-0006-0000-1800-000005000000}">
      <text>
        <r>
          <rPr>
            <sz val="11"/>
            <color theme="1"/>
            <rFont val="Calibri"/>
            <family val="2"/>
            <scheme val="minor"/>
          </rPr>
          <t>Pieter van Zyl:
Provide a detailed description of how this output will be delivered to the sponsor.</t>
        </r>
      </text>
    </comment>
    <comment ref="A15" authorId="0" shapeId="0" xr:uid="{00000000-0006-0000-1800-000006000000}">
      <text>
        <r>
          <rPr>
            <sz val="11"/>
            <color theme="1"/>
            <rFont val="Calibri"/>
            <family val="2"/>
            <scheme val="minor"/>
          </rPr>
          <t>Pieter van Zyl:
Specity the owner of each output</t>
        </r>
      </text>
    </comment>
    <comment ref="A18" authorId="0" shapeId="0" xr:uid="{00000000-0006-0000-1800-000007000000}">
      <text>
        <r>
          <rPr>
            <sz val="11"/>
            <color theme="1"/>
            <rFont val="Calibri"/>
            <family val="2"/>
            <scheme val="minor"/>
          </rPr>
          <t>Pieter van Zyl:
List logistical requirements for the appraisal. Identify roles responsible for ensuring these needs are met.</t>
        </r>
      </text>
    </comment>
    <comment ref="A19" authorId="0" shapeId="0" xr:uid="{00000000-0006-0000-1800-000008000000}">
      <text>
        <r>
          <rPr>
            <sz val="11"/>
            <color theme="1"/>
            <rFont val="Calibri"/>
            <family val="2"/>
            <scheme val="minor"/>
          </rPr>
          <t>Pieter van Zyl:
Provide a detailed description of how this output will be delivered to the sponsor.</t>
        </r>
      </text>
    </comment>
    <comment ref="A20" authorId="0" shapeId="0" xr:uid="{00000000-0006-0000-1800-000009000000}">
      <text>
        <r>
          <rPr>
            <sz val="11"/>
            <color theme="1"/>
            <rFont val="Calibri"/>
            <family val="2"/>
            <scheme val="minor"/>
          </rPr>
          <t>Pieter van Zyl:
Specity the owner of each output</t>
        </r>
      </text>
    </comment>
    <comment ref="A23" authorId="0" shapeId="0" xr:uid="{00000000-0006-0000-1800-00000A000000}">
      <text>
        <r>
          <rPr>
            <sz val="11"/>
            <color theme="1"/>
            <rFont val="Calibri"/>
            <family val="2"/>
            <scheme val="minor"/>
          </rPr>
          <t>Pieter van Zyl:
List logistical requirements for the appraisal. Identify roles responsible for ensuring these needs are met.</t>
        </r>
      </text>
    </comment>
    <comment ref="A24" authorId="0" shapeId="0" xr:uid="{00000000-0006-0000-1800-00000B000000}">
      <text>
        <r>
          <rPr>
            <sz val="11"/>
            <color theme="1"/>
            <rFont val="Calibri"/>
            <family val="2"/>
            <scheme val="minor"/>
          </rPr>
          <t>Pieter van Zyl:
Provide a detailed description of how this output will be delivered to the sponsor.</t>
        </r>
      </text>
    </comment>
    <comment ref="A26" authorId="0" shapeId="0" xr:uid="{00000000-0006-0000-1800-00000C000000}">
      <text>
        <r>
          <rPr>
            <sz val="11"/>
            <color theme="1"/>
            <rFont val="Calibri"/>
            <family val="2"/>
            <scheme val="minor"/>
          </rPr>
          <t>Pieter van Zyl:
Identify any optional appraisal outputs.</t>
        </r>
      </text>
    </comment>
    <comment ref="A28" authorId="0" shapeId="0" xr:uid="{00000000-0006-0000-1800-00000D000000}">
      <text>
        <r>
          <rPr>
            <sz val="11"/>
            <color theme="1"/>
            <rFont val="Calibri"/>
            <family val="2"/>
            <scheme val="minor"/>
          </rPr>
          <t>Pieter van Zyl:
Name the optional output if "other" was selected from the dropdown.</t>
        </r>
      </text>
    </comment>
    <comment ref="A29" authorId="0" shapeId="0" xr:uid="{00000000-0006-0000-1800-00000E000000}">
      <text>
        <r>
          <rPr>
            <sz val="11"/>
            <color theme="1"/>
            <rFont val="Calibri"/>
            <family val="2"/>
            <scheme val="minor"/>
          </rPr>
          <t>Pieter van Zyl:
Provide a detailed description of how this output will be delivered to the sponsor.</t>
        </r>
      </text>
    </comment>
    <comment ref="A30" authorId="0" shapeId="0" xr:uid="{00000000-0006-0000-1800-00000F000000}">
      <text>
        <r>
          <rPr>
            <sz val="11"/>
            <color theme="1"/>
            <rFont val="Calibri"/>
            <family val="2"/>
            <scheme val="minor"/>
          </rPr>
          <t>Pieter van Zyl:
Specity the owner of each output</t>
        </r>
      </text>
    </comment>
    <comment ref="A34" authorId="0" shapeId="0" xr:uid="{00000000-0006-0000-1800-000010000000}">
      <text>
        <r>
          <rPr>
            <sz val="11"/>
            <color theme="1"/>
            <rFont val="Calibri"/>
            <family val="2"/>
            <scheme val="minor"/>
          </rPr>
          <t>Pieter van Zyl:
Name the optional output if "other" was selected from the dropdown.</t>
        </r>
      </text>
    </comment>
    <comment ref="A35" authorId="0" shapeId="0" xr:uid="{00000000-0006-0000-1800-000011000000}">
      <text>
        <r>
          <rPr>
            <sz val="11"/>
            <color theme="1"/>
            <rFont val="Calibri"/>
            <family val="2"/>
            <scheme val="minor"/>
          </rPr>
          <t>Pieter van Zyl:
Provide a detailed description of how this output will be delivered to the sponsor.</t>
        </r>
      </text>
    </comment>
    <comment ref="A36" authorId="0" shapeId="0" xr:uid="{00000000-0006-0000-1800-000012000000}">
      <text>
        <r>
          <rPr>
            <sz val="11"/>
            <color theme="1"/>
            <rFont val="Calibri"/>
            <family val="2"/>
            <scheme val="minor"/>
          </rPr>
          <t>Pieter van Zyl:
Specity the owner of each output</t>
        </r>
      </text>
    </comment>
    <comment ref="A40" authorId="0" shapeId="0" xr:uid="{00000000-0006-0000-1800-000013000000}">
      <text>
        <r>
          <rPr>
            <sz val="11"/>
            <color theme="1"/>
            <rFont val="Calibri"/>
            <family val="2"/>
            <scheme val="minor"/>
          </rPr>
          <t>Pieter van Zyl:
Name the optional output if "other" was selected from the dropdown.</t>
        </r>
      </text>
    </comment>
    <comment ref="A41" authorId="0" shapeId="0" xr:uid="{00000000-0006-0000-1800-000014000000}">
      <text>
        <r>
          <rPr>
            <sz val="11"/>
            <color theme="1"/>
            <rFont val="Calibri"/>
            <family val="2"/>
            <scheme val="minor"/>
          </rPr>
          <t>Pieter van Zyl:
Provide a detailed description of how this output will be delivered to the sponsor.</t>
        </r>
      </text>
    </comment>
    <comment ref="A42" authorId="0" shapeId="0" xr:uid="{00000000-0006-0000-1800-000015000000}">
      <text>
        <r>
          <rPr>
            <sz val="11"/>
            <color theme="1"/>
            <rFont val="Calibri"/>
            <family val="2"/>
            <scheme val="minor"/>
          </rPr>
          <t>Pieter van Zyl:
Specity the owner of each output</t>
        </r>
      </text>
    </comment>
    <comment ref="A49" authorId="0" shapeId="0" xr:uid="{00000000-0006-0000-1800-000016000000}">
      <text>
        <r>
          <rPr>
            <sz val="11"/>
            <color theme="1"/>
            <rFont val="Calibri"/>
            <family val="2"/>
            <scheme val="minor"/>
          </rPr>
          <t>Pieter van Zyl:
List logistical requirements for the appraisal. Identify roles responsible for ensuring these needs are met.</t>
        </r>
      </text>
    </comment>
    <comment ref="A50" authorId="0" shapeId="0" xr:uid="{00000000-0006-0000-1800-000017000000}">
      <text>
        <r>
          <rPr>
            <sz val="11"/>
            <color theme="1"/>
            <rFont val="Calibri"/>
            <family val="2"/>
            <scheme val="minor"/>
          </rPr>
          <t>Pieter van Zyl:
Select the OE Collection Approach.</t>
        </r>
      </text>
    </comment>
    <comment ref="A51" authorId="0" shapeId="0" xr:uid="{00000000-0006-0000-1800-000018000000}">
      <text>
        <r>
          <rPr>
            <sz val="11"/>
            <color theme="1"/>
            <rFont val="Calibri"/>
            <family val="2"/>
            <scheme val="minor"/>
          </rPr>
          <t>Pieter van Zyl:
Describe the reasoning for using this approach.</t>
        </r>
      </text>
    </comment>
    <comment ref="A53" authorId="0" shapeId="0" xr:uid="{00000000-0006-0000-1800-000019000000}">
      <text>
        <r>
          <rPr>
            <sz val="11"/>
            <color theme="1"/>
            <rFont val="Calibri"/>
            <family val="2"/>
            <scheme val="minor"/>
          </rPr>
          <t>Pieter van Zyl:
List logistical requirements for the appraisal. Identify roles responsible for ensuring these needs are met.</t>
        </r>
      </text>
    </comment>
    <comment ref="A54" authorId="0" shapeId="0" xr:uid="{00000000-0006-0000-1800-00001A000000}">
      <text>
        <r>
          <rPr>
            <sz val="11"/>
            <color theme="1"/>
            <rFont val="Calibri"/>
            <family val="2"/>
            <scheme val="minor"/>
          </rPr>
          <t>Pieter van Zyl:
Select the technique used for collecting the OE.</t>
        </r>
      </text>
    </comment>
    <comment ref="A55" authorId="0" shapeId="0" xr:uid="{00000000-0006-0000-1800-00001B000000}">
      <text>
        <r>
          <rPr>
            <sz val="11"/>
            <color theme="1"/>
            <rFont val="Calibri"/>
            <family val="2"/>
            <scheme val="minor"/>
          </rPr>
          <t>Pieter van Zyl:
Name the technique if "other" was selected from the dropdown.</t>
        </r>
      </text>
    </comment>
    <comment ref="A57" authorId="0" shapeId="0" xr:uid="{00000000-0006-0000-1800-00001C000000}">
      <text>
        <r>
          <rPr>
            <sz val="11"/>
            <color theme="1"/>
            <rFont val="Calibri"/>
            <family val="2"/>
            <scheme val="minor"/>
          </rPr>
          <t>Pieter van Zyl:
Describe how this technique will be used for collecting OE.</t>
        </r>
      </text>
    </comment>
    <comment ref="A62" authorId="0" shapeId="0" xr:uid="{00000000-0006-0000-1800-00001D000000}">
      <text>
        <r>
          <rPr>
            <sz val="11"/>
            <color theme="1"/>
            <rFont val="Calibri"/>
            <family val="2"/>
            <scheme val="minor"/>
          </rPr>
          <t xml:space="preserve">Pieter van Zyl:
Select the entity responsible for collecting OE for the appraisal team to review.
</t>
        </r>
      </text>
    </comment>
    <comment ref="A63" authorId="0" shapeId="0" xr:uid="{00000000-0006-0000-1800-00001E000000}">
      <text>
        <r>
          <rPr>
            <sz val="11"/>
            <color theme="1"/>
            <rFont val="Calibri"/>
            <family val="2"/>
            <scheme val="minor"/>
          </rPr>
          <t>Pieter van Zyl:
Name the entity if "other" was selected from the dropdown.</t>
        </r>
      </text>
    </comment>
    <comment ref="A64" authorId="0" shapeId="0" xr:uid="{00000000-0006-0000-1800-00001F000000}">
      <text>
        <r>
          <rPr>
            <sz val="11"/>
            <color theme="1"/>
            <rFont val="Calibri"/>
            <family val="2"/>
            <scheme val="minor"/>
          </rPr>
          <t>Pieter van Zyl:
Describe the roles played by individuals from this entity responsible for OE collection.</t>
        </r>
      </text>
    </comment>
    <comment ref="A67" authorId="0" shapeId="0" xr:uid="{00000000-0006-0000-1800-000020000000}">
      <text>
        <r>
          <rPr>
            <sz val="11"/>
            <color theme="1"/>
            <rFont val="Calibri"/>
            <family val="2"/>
            <scheme val="minor"/>
          </rPr>
          <t>Pieter van Zyl:
Select the individual or team responsible for collecting information for the Performance Report.</t>
        </r>
      </text>
    </comment>
    <comment ref="A68" authorId="0" shapeId="0" xr:uid="{00000000-0006-0000-1800-000021000000}">
      <text>
        <r>
          <rPr>
            <sz val="11"/>
            <color theme="1"/>
            <rFont val="Calibri"/>
            <family val="2"/>
            <scheme val="minor"/>
          </rPr>
          <t>Pieter van Zyl:
Name the approach if "other" was selected from the dropdown.</t>
        </r>
      </text>
    </comment>
    <comment ref="A69" authorId="0" shapeId="0" xr:uid="{00000000-0006-0000-1800-000022000000}">
      <text>
        <r>
          <rPr>
            <sz val="11"/>
            <color theme="1"/>
            <rFont val="Calibri"/>
            <family val="2"/>
            <scheme val="minor"/>
          </rPr>
          <t>Pieter van Zyl:
Describe how the information needed to complete the Performance Report will be collected.</t>
        </r>
      </text>
    </comment>
    <comment ref="A72" authorId="0" shapeId="0" xr:uid="{00000000-0006-0000-1800-000023000000}">
      <text>
        <r>
          <rPr>
            <sz val="11"/>
            <color theme="1"/>
            <rFont val="Calibri"/>
            <family val="2"/>
            <scheme val="minor"/>
          </rPr>
          <t>Pieter van Zyl:
Summarize any additional project for which OE was requested, or any additional needs that remain after the performance of readiness reviews.</t>
        </r>
      </text>
    </comment>
    <comment ref="A85" authorId="0" shapeId="0" xr:uid="{00000000-0006-0000-1800-000024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89" authorId="0" shapeId="0" xr:uid="{00000000-0006-0000-1800-000025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113" authorId="0" shapeId="0" xr:uid="{00000000-0006-0000-1800-000026000000}">
      <text>
        <r>
          <rPr>
            <sz val="11"/>
            <color theme="1"/>
            <rFont val="Calibri"/>
            <family val="2"/>
            <scheme val="minor"/>
          </rPr>
          <t>Pieter van Zyl:
If the appraisal team will be seeking additional information, describe the kinds of information to be sought. If no additional information is being collected, write 'none'.</t>
        </r>
      </text>
    </comment>
    <comment ref="A118" authorId="0" shapeId="0" xr:uid="{00000000-0006-0000-1800-000027000000}">
      <text>
        <r>
          <rPr>
            <sz val="11"/>
            <color theme="1"/>
            <rFont val="Calibri"/>
            <family val="2"/>
            <scheme val="minor"/>
          </rPr>
          <t xml:space="preserve">Pieter van Zyl:
Specify the required equipment if "Equipment and material requirements for ATMs." was selected from the dropdown
</t>
        </r>
      </text>
    </comment>
    <comment ref="A119" authorId="0" shapeId="0" xr:uid="{00000000-0006-0000-1800-000028000000}">
      <text>
        <r>
          <rPr>
            <sz val="11"/>
            <color theme="1"/>
            <rFont val="Calibri"/>
            <family val="2"/>
            <scheme val="minor"/>
          </rPr>
          <t>Pieter van Zyl:
Name the logistical requirement if "other" was selected from the dropdown</t>
        </r>
      </text>
    </comment>
    <comment ref="A124" authorId="0" shapeId="0" xr:uid="{00000000-0006-0000-1800-000029000000}">
      <text>
        <r>
          <rPr>
            <sz val="11"/>
            <color theme="1"/>
            <rFont val="Calibri"/>
            <family val="2"/>
            <scheme val="minor"/>
          </rPr>
          <t xml:space="preserve">Pieter van Zyl:
Specify the required equipment if "Equipment and material requirements for ATMs." was selected from the dropdown
</t>
        </r>
      </text>
    </comment>
    <comment ref="A125" authorId="0" shapeId="0" xr:uid="{00000000-0006-0000-1800-00002A000000}">
      <text>
        <r>
          <rPr>
            <sz val="11"/>
            <color theme="1"/>
            <rFont val="Calibri"/>
            <family val="2"/>
            <scheme val="minor"/>
          </rPr>
          <t>Pieter van Zyl:
Name the logistical requirement if "other" was selected from the dropdown</t>
        </r>
      </text>
    </comment>
    <comment ref="A130" authorId="0" shapeId="0" xr:uid="{00000000-0006-0000-1800-00002B000000}">
      <text>
        <r>
          <rPr>
            <sz val="11"/>
            <color theme="1"/>
            <rFont val="Calibri"/>
            <family val="2"/>
            <scheme val="minor"/>
          </rPr>
          <t xml:space="preserve">Pieter van Zyl:
Specify the required equipment if "Equipment and material requirements for ATMs." was selected from the dropdown
</t>
        </r>
      </text>
    </comment>
    <comment ref="A131" authorId="0" shapeId="0" xr:uid="{00000000-0006-0000-1800-00002C000000}">
      <text>
        <r>
          <rPr>
            <sz val="11"/>
            <color theme="1"/>
            <rFont val="Calibri"/>
            <family val="2"/>
            <scheme val="minor"/>
          </rPr>
          <t>Pieter van Zyl:
Name the logistical requirement if "other" was selected from the dropdown</t>
        </r>
      </text>
    </comment>
    <comment ref="A136" authorId="0" shapeId="0" xr:uid="{00000000-0006-0000-1800-00002D000000}">
      <text>
        <r>
          <rPr>
            <sz val="11"/>
            <color theme="1"/>
            <rFont val="Calibri"/>
            <family val="2"/>
            <scheme val="minor"/>
          </rPr>
          <t xml:space="preserve">Pieter van Zyl:
Specify the required equipment if "Equipment and material requirements for ATMs." was selected from the dropdown
</t>
        </r>
      </text>
    </comment>
    <comment ref="A137" authorId="0" shapeId="0" xr:uid="{00000000-0006-0000-1800-00002E000000}">
      <text>
        <r>
          <rPr>
            <sz val="11"/>
            <color theme="1"/>
            <rFont val="Calibri"/>
            <family val="2"/>
            <scheme val="minor"/>
          </rPr>
          <t>Pieter van Zyl:
Name the logistical requirement if "other" was selected from the dropdown</t>
        </r>
      </text>
    </comment>
    <comment ref="A142" authorId="0" shapeId="0" xr:uid="{00000000-0006-0000-1800-00002F000000}">
      <text>
        <r>
          <rPr>
            <sz val="11"/>
            <color theme="1"/>
            <rFont val="Calibri"/>
            <family val="2"/>
            <scheme val="minor"/>
          </rPr>
          <t xml:space="preserve">Pieter van Zyl:
Specify the required equipment if "Equipment and material requirements for ATMs." was selected from the dropdown
</t>
        </r>
      </text>
    </comment>
    <comment ref="A143" authorId="0" shapeId="0" xr:uid="{00000000-0006-0000-1800-000030000000}">
      <text>
        <r>
          <rPr>
            <sz val="11"/>
            <color theme="1"/>
            <rFont val="Calibri"/>
            <family val="2"/>
            <scheme val="minor"/>
          </rPr>
          <t>Pieter van Zyl:
Name the logistical requirement if "other" was selected from the dropdown</t>
        </r>
      </text>
    </comment>
    <comment ref="A149" authorId="0" shapeId="0" xr:uid="{00000000-0006-0000-1800-000031000000}">
      <text>
        <r>
          <rPr>
            <sz val="11"/>
            <color theme="1"/>
            <rFont val="Calibri"/>
            <family val="2"/>
            <scheme val="minor"/>
          </rPr>
          <t>Pieter van Zyl: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00000000-0006-0000-1800-000032000000}">
      <text>
        <r>
          <rPr>
            <sz val="11"/>
            <color theme="1"/>
            <rFont val="Calibri"/>
            <family val="2"/>
            <scheme val="minor"/>
          </rPr>
          <t>Pieter van Zyl:
Name the constraint if "other" was selected from the dropdown</t>
        </r>
      </text>
    </comment>
    <comment ref="A156" authorId="0" shapeId="0" xr:uid="{00000000-0006-0000-1800-000033000000}">
      <text>
        <r>
          <rPr>
            <sz val="11"/>
            <color theme="1"/>
            <rFont val="Calibri"/>
            <family val="2"/>
            <scheme val="minor"/>
          </rPr>
          <t>Pieter van Zyl: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00000000-0006-0000-1800-000034000000}">
      <text>
        <r>
          <rPr>
            <sz val="11"/>
            <color theme="1"/>
            <rFont val="Calibri"/>
            <family val="2"/>
            <scheme val="minor"/>
          </rPr>
          <t>Pieter van Zyl:
Only necessary if the Risk Category selected was "Other"</t>
        </r>
      </text>
    </comment>
    <comment ref="A167" authorId="0" shapeId="0" xr:uid="{00000000-0006-0000-1800-000035000000}">
      <text>
        <r>
          <rPr>
            <sz val="11"/>
            <color theme="1"/>
            <rFont val="Calibri"/>
            <family val="2"/>
            <scheme val="minor"/>
          </rPr>
          <t>Pieter van Zyl:
Only necessary if the Risk Category selected was "Other"</t>
        </r>
      </text>
    </comment>
    <comment ref="A175" authorId="0" shapeId="0" xr:uid="{00000000-0006-0000-1800-000036000000}">
      <text>
        <r>
          <rPr>
            <sz val="11"/>
            <color theme="1"/>
            <rFont val="Calibri"/>
            <family val="2"/>
            <scheme val="minor"/>
          </rPr>
          <t>Pieter van Zyl:
Only necessary if the Risk Category selected was "Other"</t>
        </r>
      </text>
    </comment>
    <comment ref="A183" authorId="0" shapeId="0" xr:uid="{00000000-0006-0000-1800-000037000000}">
      <text>
        <r>
          <rPr>
            <sz val="11"/>
            <color theme="1"/>
            <rFont val="Calibri"/>
            <family val="2"/>
            <scheme val="minor"/>
          </rPr>
          <t>Pieter van Zyl:
Only necessary if the Risk Category selected was "Other"</t>
        </r>
      </text>
    </comment>
    <comment ref="A191" authorId="0" shapeId="0" xr:uid="{00000000-0006-0000-1800-000038000000}">
      <text>
        <r>
          <rPr>
            <sz val="11"/>
            <color theme="1"/>
            <rFont val="Calibri"/>
            <family val="2"/>
            <scheme val="minor"/>
          </rPr>
          <t>Pieter van Zyl:
Only necessary if the Risk Category selected was "Other"</t>
        </r>
      </text>
    </comment>
    <comment ref="A199" authorId="0" shapeId="0" xr:uid="{00000000-0006-0000-1800-000039000000}">
      <text>
        <r>
          <rPr>
            <sz val="11"/>
            <color theme="1"/>
            <rFont val="Calibri"/>
            <family val="2"/>
            <scheme val="minor"/>
          </rPr>
          <t>Pieter van Zyl:
Only necessary if the Risk Category selected was "Other"</t>
        </r>
      </text>
    </comment>
    <comment ref="A208" authorId="0" shapeId="0" xr:uid="{00000000-0006-0000-1800-00003A000000}">
      <text>
        <r>
          <rPr>
            <sz val="11"/>
            <color theme="1"/>
            <rFont val="Calibri"/>
            <family val="2"/>
            <scheme val="minor"/>
          </rPr>
          <t>Pieter van Zyl:
Only necessary if the Risk Category selected was "Other"</t>
        </r>
      </text>
    </comment>
    <comment ref="A216" authorId="0" shapeId="0" xr:uid="{00000000-0006-0000-1800-00003B000000}">
      <text>
        <r>
          <rPr>
            <sz val="11"/>
            <color theme="1"/>
            <rFont val="Calibri"/>
            <family val="2"/>
            <scheme val="minor"/>
          </rPr>
          <t>Pieter van Zyl:
Only necessary if the Risk Category selected was "Other"</t>
        </r>
      </text>
    </comment>
    <comment ref="A224" authorId="0" shapeId="0" xr:uid="{00000000-0006-0000-1800-00003C000000}">
      <text>
        <r>
          <rPr>
            <sz val="11"/>
            <color theme="1"/>
            <rFont val="Calibri"/>
            <family val="2"/>
            <scheme val="minor"/>
          </rPr>
          <t>Pieter van Zyl:
Only necessary if the Risk Category selected was "Other"</t>
        </r>
      </text>
    </comment>
    <comment ref="A232" authorId="0" shapeId="0" xr:uid="{00000000-0006-0000-1800-00003D000000}">
      <text>
        <r>
          <rPr>
            <sz val="11"/>
            <color theme="1"/>
            <rFont val="Calibri"/>
            <family val="2"/>
            <scheme val="minor"/>
          </rPr>
          <t>Pieter van Zyl:
Only necessary if the Risk Category selected was "Other"</t>
        </r>
      </text>
    </comment>
    <comment ref="A240" authorId="0" shapeId="0" xr:uid="{00000000-0006-0000-1800-00003E000000}">
      <text>
        <r>
          <rPr>
            <sz val="11"/>
            <color theme="1"/>
            <rFont val="Calibri"/>
            <family val="2"/>
            <scheme val="minor"/>
          </rPr>
          <t>Pieter van Zyl:
Only necessary if the Risk Category selected was "Other"</t>
        </r>
      </text>
    </comment>
    <comment ref="A248" authorId="0" shapeId="0" xr:uid="{00000000-0006-0000-1800-00003F000000}">
      <text>
        <r>
          <rPr>
            <sz val="11"/>
            <color theme="1"/>
            <rFont val="Calibri"/>
            <family val="2"/>
            <scheme val="minor"/>
          </rPr>
          <t>Pieter van Zyl:
Only necessary if the Risk Category selected was "Other"</t>
        </r>
      </text>
    </comment>
    <comment ref="A258" authorId="0" shapeId="0" xr:uid="{00000000-0006-0000-1800-000040000000}">
      <text>
        <r>
          <rPr>
            <sz val="11"/>
            <color theme="1"/>
            <rFont val="Calibri"/>
            <family val="2"/>
            <scheme val="minor"/>
          </rPr>
          <t>Pieter van Zyl:
Name the conflict of interest if "other" was selected from the dropdown.</t>
        </r>
      </text>
    </comment>
    <comment ref="A265" authorId="0" shapeId="0" xr:uid="{00000000-0006-0000-1800-000041000000}">
      <text>
        <r>
          <rPr>
            <sz val="11"/>
            <color theme="1"/>
            <rFont val="Calibri"/>
            <family val="2"/>
            <scheme val="minor"/>
          </rPr>
          <t>Pieter van Zyl:
Name the conflict of interest if "other" was selected from the dropdown.</t>
        </r>
      </text>
    </comment>
    <comment ref="A273" authorId="0" shapeId="0" xr:uid="{00000000-0006-0000-1800-000042000000}">
      <text>
        <r>
          <rPr>
            <sz val="11"/>
            <color theme="1"/>
            <rFont val="Calibri"/>
            <family val="2"/>
            <scheme val="minor"/>
          </rPr>
          <t>Pieter van Zyl:
Name the conflict of interest if "other" was selected from the dropdown.</t>
        </r>
      </text>
    </comment>
    <comment ref="A280" authorId="0" shapeId="0" xr:uid="{00000000-0006-0000-1800-000043000000}">
      <text>
        <r>
          <rPr>
            <sz val="11"/>
            <color theme="1"/>
            <rFont val="Calibri"/>
            <family val="2"/>
            <scheme val="minor"/>
          </rPr>
          <t>Pieter van Zyl:
Name the conflict of interest if "other" was selected from the dropdown.</t>
        </r>
      </text>
    </comment>
    <comment ref="A287" authorId="0" shapeId="0" xr:uid="{00000000-0006-0000-1800-000044000000}">
      <text>
        <r>
          <rPr>
            <sz val="11"/>
            <color theme="1"/>
            <rFont val="Calibri"/>
            <family val="2"/>
            <scheme val="minor"/>
          </rPr>
          <t>Pieter van Zyl:
Name the conflict of interest if "other" was selected from the dropdown.</t>
        </r>
      </text>
    </comment>
    <comment ref="A298" authorId="0" shapeId="0" xr:uid="{00000000-0006-0000-1800-000045000000}">
      <text>
        <r>
          <rPr>
            <sz val="11"/>
            <color theme="1"/>
            <rFont val="Calibri"/>
            <family val="2"/>
            <scheme val="minor"/>
          </rPr>
          <t>Pieter van Zyl:
Name the follow-on activity if "Other" was selected from the dropdown</t>
        </r>
      </text>
    </comment>
    <comment ref="A303" authorId="0" shapeId="0" xr:uid="{00000000-0006-0000-1800-000046000000}">
      <text>
        <r>
          <rPr>
            <sz val="11"/>
            <color theme="1"/>
            <rFont val="Calibri"/>
            <family val="2"/>
            <scheme val="minor"/>
          </rPr>
          <t>Pieter van Zyl: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<sst xmlns="http://schemas.openxmlformats.org/spreadsheetml/2006/main" count="5629" uniqueCount="2096">
  <si>
    <t>Sheet</t>
  </si>
  <si>
    <t>Heading</t>
  </si>
  <si>
    <t>FieldName</t>
  </si>
  <si>
    <t>Row</t>
  </si>
  <si>
    <t>Type</t>
  </si>
  <si>
    <t>Aliases</t>
  </si>
  <si>
    <t>Notes</t>
  </si>
  <si>
    <t>Agreement 3</t>
  </si>
  <si>
    <t>AGREEMENT 3 - LEAD APPRAISER and DEMIX</t>
  </si>
  <si>
    <t>[HEADING]</t>
  </si>
  <si>
    <t>heading</t>
  </si>
  <si>
    <t>Access record number</t>
  </si>
  <si>
    <t>value</t>
  </si>
  <si>
    <t>Access version number</t>
  </si>
  <si>
    <t>Old request nubmer</t>
  </si>
  <si>
    <t>CAS ID</t>
  </si>
  <si>
    <t>Lead appraiser</t>
  </si>
  <si>
    <t>Surname, Name</t>
  </si>
  <si>
    <t>Organisational affiliation</t>
  </si>
  <si>
    <t>Title/designation</t>
  </si>
  <si>
    <t>Full title / designation</t>
  </si>
  <si>
    <t>CMMI Appraiser Team Lead ID</t>
  </si>
  <si>
    <t>CMMI v2.0 Appraiser Team Lead ID</t>
  </si>
  <si>
    <t>Phone</t>
  </si>
  <si>
    <t>Email</t>
  </si>
  <si>
    <t>Dropbox</t>
  </si>
  <si>
    <t>Company to be appraised detail</t>
  </si>
  <si>
    <t>Name</t>
  </si>
  <si>
    <t>Indigenous name</t>
  </si>
  <si>
    <t>Destination city</t>
  </si>
  <si>
    <t>Province</t>
  </si>
  <si>
    <t>Country</t>
  </si>
  <si>
    <t>Appraisal requirements information</t>
  </si>
  <si>
    <t>Date of request</t>
  </si>
  <si>
    <t>Initial requirements and objectives</t>
  </si>
  <si>
    <t>Phase 2 start date</t>
  </si>
  <si>
    <t>On-site from date</t>
  </si>
  <si>
    <t>Phase 2 end date</t>
  </si>
  <si>
    <t>On-site to date</t>
  </si>
  <si>
    <t>Days document review</t>
  </si>
  <si>
    <t>Normally on-site from date</t>
  </si>
  <si>
    <t>formula</t>
  </si>
  <si>
    <t>Initial expected final findings date</t>
  </si>
  <si>
    <t>Sponsor detail</t>
  </si>
  <si>
    <t>Site co-ordinator</t>
  </si>
  <si>
    <t>Translator</t>
  </si>
  <si>
    <t>CMMI Institute Business Point of Contact (BPOC)</t>
  </si>
  <si>
    <t>Planning</t>
  </si>
  <si>
    <t>Demix information</t>
  </si>
  <si>
    <t>Info from Agreement 3</t>
  </si>
  <si>
    <t>Long name</t>
  </si>
  <si>
    <t>SPS short name</t>
  </si>
  <si>
    <t>SPS directory (suggested)</t>
  </si>
  <si>
    <t>SPS directory (actual)</t>
  </si>
  <si>
    <t>Time Zone</t>
  </si>
  <si>
    <t>New Target</t>
  </si>
  <si>
    <t>Maturity Level / Capability level</t>
  </si>
  <si>
    <t>Level</t>
  </si>
  <si>
    <t>Target</t>
  </si>
  <si>
    <t>Domain</t>
  </si>
  <si>
    <t>Data</t>
  </si>
  <si>
    <t>Development</t>
  </si>
  <si>
    <t>People</t>
  </si>
  <si>
    <t>Safety</t>
  </si>
  <si>
    <t>Security</t>
  </si>
  <si>
    <t>Services</t>
  </si>
  <si>
    <t>Suppliers</t>
  </si>
  <si>
    <t>Virtual</t>
  </si>
  <si>
    <t>Model View</t>
  </si>
  <si>
    <t>If you are selecting a Model View which excludes one or more Practice Areas, please explain why</t>
  </si>
  <si>
    <t>Appraisal Name (suggested)</t>
  </si>
  <si>
    <t>Appraisal Name (actual)</t>
  </si>
  <si>
    <t>CAS appraisal ID</t>
  </si>
  <si>
    <t>Additionl schedule infor</t>
  </si>
  <si>
    <t>Virtual methods</t>
  </si>
  <si>
    <t>1st RR OE provided 30%</t>
  </si>
  <si>
    <t>1st RR performed</t>
  </si>
  <si>
    <t>2nd RR OE provided 90%</t>
  </si>
  <si>
    <t>2nd RR performed</t>
  </si>
  <si>
    <t>Technology test</t>
  </si>
  <si>
    <t>Phase 2 start</t>
  </si>
  <si>
    <t>Non working days</t>
  </si>
  <si>
    <t>Document review days</t>
  </si>
  <si>
    <t>Phase 2 opening meeting</t>
  </si>
  <si>
    <t>Days prelim before ff</t>
  </si>
  <si>
    <t>Preliminary findings</t>
  </si>
  <si>
    <t>Days On Site</t>
  </si>
  <si>
    <t>Days Phase2 (prelim) to Phase 3 (ff)</t>
  </si>
  <si>
    <t>Phase 3 start</t>
  </si>
  <si>
    <t>Days in phase 3 (incl start and end)</t>
  </si>
  <si>
    <t>Phase 3 end</t>
  </si>
  <si>
    <t>Business objectives and appraisal objectives</t>
  </si>
  <si>
    <t>Initial requirements</t>
  </si>
  <si>
    <t>Business Objective Title</t>
  </si>
  <si>
    <t>Business Objective Description</t>
  </si>
  <si>
    <t>Appraisal objectives</t>
  </si>
  <si>
    <t>StartupInfo</t>
  </si>
  <si>
    <t>Demix appraisal start-up information</t>
  </si>
  <si>
    <t>Organization</t>
  </si>
  <si>
    <t>Organization name (legal entity name)</t>
  </si>
  <si>
    <t>Address Line 1</t>
  </si>
  <si>
    <t>Address Line 2</t>
  </si>
  <si>
    <t>City</t>
  </si>
  <si>
    <t>State/Province/Region</t>
  </si>
  <si>
    <t>ZIP/Postal Code</t>
  </si>
  <si>
    <t>Organization main address including City, ZIP/Postal Code, and Country</t>
  </si>
  <si>
    <t>Website address / URL</t>
  </si>
  <si>
    <t>Business objectives</t>
  </si>
  <si>
    <t>Company logo</t>
  </si>
  <si>
    <t>OU Information</t>
  </si>
  <si>
    <t>OU Name</t>
  </si>
  <si>
    <t>OU Name  (Chinese)</t>
  </si>
  <si>
    <t>OU Description</t>
  </si>
  <si>
    <t>OU Structure (write, no picture)</t>
  </si>
  <si>
    <t>FTEs from Project&amp;Support</t>
  </si>
  <si>
    <t>Numbe of FTEs</t>
  </si>
  <si>
    <t>Previous appraisal ID</t>
  </si>
  <si>
    <t>OU locations</t>
  </si>
  <si>
    <t>Appraisal Sponsor and ATL Information</t>
  </si>
  <si>
    <t>Title</t>
  </si>
  <si>
    <t>Sponsor Name</t>
  </si>
  <si>
    <t>Organizational affiliation</t>
  </si>
  <si>
    <t>Relationship to the Organizational Unit (OU)</t>
  </si>
  <si>
    <t>Appraisal Sponsor mailing address including city, ZIP/Postal Code, country</t>
  </si>
  <si>
    <t>Sponsor email address</t>
  </si>
  <si>
    <t>Sponsor phone number</t>
  </si>
  <si>
    <t>OU Coordinator</t>
  </si>
  <si>
    <t>OU Coordinator name</t>
  </si>
  <si>
    <t>Relationship to the OU being appraised</t>
  </si>
  <si>
    <t>Phone number</t>
  </si>
  <si>
    <t>Email address</t>
  </si>
  <si>
    <t>Organizational Affiliation</t>
  </si>
  <si>
    <t>OU Relationship</t>
  </si>
  <si>
    <t>Reporting Relationship</t>
  </si>
  <si>
    <t>Other Reporting Relationship</t>
  </si>
  <si>
    <t>Copyright (c) 2020-2024, Demix (Pty) Ltd, All rights reserved</t>
  </si>
  <si>
    <t>http://www.demix.org</t>
  </si>
  <si>
    <t xml:space="preserve">License agreement </t>
  </si>
  <si>
    <t>https://github.com/DemixTech/CMMITools/blob/main/LICENSE</t>
  </si>
  <si>
    <t>Lates releases of the Demix CMMI Tools</t>
  </si>
  <si>
    <t>https://github.com/DemixTech/CMMITools</t>
  </si>
  <si>
    <t>Source sheet</t>
  </si>
  <si>
    <t>S:\2024-05-04to05-10 (A5) C384400 NASA\00_Startup\Wuhan Winsse Security Technology Co.,LTD. -CAS_Plan-v2.xlsm</t>
  </si>
  <si>
    <t>Destination sheet</t>
  </si>
  <si>
    <t>S:\2024-05-04to05-10 (A5) C384400 NASA\10_94v03_Base Camp Artemis_CAS_Plan.xlsm</t>
  </si>
  <si>
    <t>Merge</t>
  </si>
  <si>
    <t>aa_bbvcc, where aa is  document sort order as per user needs, bb is the template release number and cc is the document version</t>
  </si>
  <si>
    <t>(r) Template release</t>
  </si>
  <si>
    <t xml:space="preserve">https://www.compart.com/en/unicode/U+2022 </t>
  </si>
  <si>
    <t>Version</t>
  </si>
  <si>
    <t>Date</t>
  </si>
  <si>
    <t>Made by</t>
  </si>
  <si>
    <t>Description</t>
  </si>
  <si>
    <t>Pieter van Zyl</t>
  </si>
  <si>
    <t>Updates for company x</t>
  </si>
  <si>
    <t>Version history table added</t>
  </si>
  <si>
    <t>Combine 01 and 02 plan in one. Merge tables . Move address sections into StartupInfo</t>
  </si>
  <si>
    <t>Updated the macros</t>
  </si>
  <si>
    <t>Added OU location formula</t>
  </si>
  <si>
    <t>Include Opening briefing lookup (Standard). Add macros back</t>
  </si>
  <si>
    <t>Included resource estimates 12_ResourceEstimatesV3</t>
  </si>
  <si>
    <t>Start working on Participant List (All staff, all potential participants, recommended participants)</t>
  </si>
  <si>
    <t>Included PPQA quality flag</t>
  </si>
  <si>
    <t>Updated pivot table data sources.</t>
  </si>
  <si>
    <t>Pieter and Francois</t>
  </si>
  <si>
    <t>Updates to align with latest BASE release 3.8.0.44 and incorporate Francois planning input.</t>
  </si>
  <si>
    <t>Updated formula error in P1PA-SS and Function Solution Domain reference</t>
  </si>
  <si>
    <t>Included the Measurement manager role and measurement management process</t>
  </si>
  <si>
    <t>Update the schedule to only full team.</t>
  </si>
  <si>
    <t>Small updates. Formulas in Schedule fixed. List of artifacts in tab:P3RF. Added VV3.2 (was omitted)</t>
  </si>
  <si>
    <t>Jared Twigg</t>
  </si>
  <si>
    <t xml:space="preserve">Added minor changes to Schedule and </t>
  </si>
  <si>
    <t>Include performance report in schedule.</t>
  </si>
  <si>
    <t>Removed 1.4 from OULC tab (DPI #6)</t>
  </si>
  <si>
    <t>Planning &amp; Managing Work</t>
  </si>
  <si>
    <t>Engineering &amp; Developing Products</t>
  </si>
  <si>
    <t>Ensuring Quality</t>
  </si>
  <si>
    <t>Managing Business Resilience</t>
  </si>
  <si>
    <t>Managing the Workforce</t>
  </si>
  <si>
    <t>Supporting Implementation</t>
  </si>
  <si>
    <t>Sustaining Habit and Persistence</t>
  </si>
  <si>
    <t>Improving Performance</t>
  </si>
  <si>
    <t>Selecting &amp; Managing Suppliers</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</si>
  <si>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</si>
  <si>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</si>
  <si>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</si>
  <si>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</si>
  <si>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</si>
  <si>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</si>
  <si>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</si>
  <si>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</si>
  <si>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</si>
  <si>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</si>
  <si>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</si>
  <si>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Copyright</t>
  </si>
  <si>
    <t>The copyright statement for the use of this template and the associated Demix CMMI software tools.</t>
  </si>
  <si>
    <t>Release</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</si>
  <si>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</si>
  <si>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</si>
  <si>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</si>
  <si>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Control</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</si>
  <si>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</si>
  <si>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</si>
  <si>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</si>
  <si>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</si>
  <si>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Project&amp;Support</t>
  </si>
  <si>
    <t>See startupInfo. Initially Project&amp;Support information is obtained, excluding the sample information. At this point in time, the LA has enoug informatino to populate CAS (see P1PA-SS), get the scope approved and obtain an the random sample.</t>
  </si>
  <si>
    <t>Staff</t>
  </si>
  <si>
    <t xml:space="preserve">See startupInfo. </t>
  </si>
  <si>
    <t>guideStaff</t>
  </si>
  <si>
    <t>pvtProjectFTEs</t>
  </si>
  <si>
    <t>pvtStaffDistinct</t>
  </si>
  <si>
    <t>pvtCheck</t>
  </si>
  <si>
    <t>P1PA-SS</t>
  </si>
  <si>
    <t>P1PA-RSG</t>
  </si>
  <si>
    <t>P1PA-R</t>
  </si>
  <si>
    <t>P2CA</t>
  </si>
  <si>
    <t>P3RF</t>
  </si>
  <si>
    <t>Schedule</t>
  </si>
  <si>
    <t>pvtCheck1</t>
  </si>
  <si>
    <t>Schedule2</t>
  </si>
  <si>
    <t>pvtCheck2</t>
  </si>
  <si>
    <t>pvtPart_PA</t>
  </si>
  <si>
    <t>pvtPart_PrjSup</t>
  </si>
  <si>
    <t>pvtPart_Session</t>
  </si>
  <si>
    <t>Schedule4</t>
  </si>
  <si>
    <t>ATM_PA</t>
  </si>
  <si>
    <t>Schedule4Actual</t>
  </si>
  <si>
    <t>pptxCertificate</t>
  </si>
  <si>
    <t>pptxCover</t>
  </si>
  <si>
    <t>Standard</t>
  </si>
  <si>
    <t>Standard2</t>
  </si>
  <si>
    <t>Standard3</t>
  </si>
  <si>
    <t>OULC</t>
  </si>
  <si>
    <t>Tables</t>
  </si>
  <si>
    <t>Number of sheets</t>
  </si>
  <si>
    <t>Step 1-10</t>
  </si>
  <si>
    <t>Step 11-20</t>
  </si>
  <si>
    <t>CAS
RND</t>
  </si>
  <si>
    <t>BASE</t>
  </si>
  <si>
    <t>Revie 1</t>
  </si>
  <si>
    <t>Print
review 1</t>
  </si>
  <si>
    <t>Print plan approval</t>
  </si>
  <si>
    <t>x</t>
  </si>
  <si>
    <t>StaffGuide</t>
  </si>
  <si>
    <t>PvtProjectFTEs</t>
  </si>
  <si>
    <t>PvtStaffDistinct</t>
  </si>
  <si>
    <t>PvtPACheck</t>
  </si>
  <si>
    <t>PvtCheck1</t>
  </si>
  <si>
    <t>PvtEffort</t>
  </si>
  <si>
    <t>Schedule4-1P</t>
  </si>
  <si>
    <t>Schedule4-1A</t>
  </si>
  <si>
    <t>Schedule4-2</t>
  </si>
  <si>
    <t>C_Resource_Estimates</t>
  </si>
  <si>
    <t>C_Support</t>
  </si>
  <si>
    <t>C_Projects</t>
  </si>
  <si>
    <t>C_OUParticipants</t>
  </si>
  <si>
    <t>C_OUProjects</t>
  </si>
  <si>
    <t>C_OUPracticeAreas</t>
  </si>
  <si>
    <t>PvtPartDistinct</t>
  </si>
  <si>
    <t>PvtPart_PA</t>
  </si>
  <si>
    <t>PvtPart_PrjSup</t>
  </si>
  <si>
    <t>PvtPart_Session</t>
  </si>
  <si>
    <t>pptxLink1</t>
  </si>
  <si>
    <t>pptxLink2</t>
  </si>
  <si>
    <t>pptxLink3</t>
  </si>
  <si>
    <t>pptxLink4</t>
  </si>
  <si>
    <t>pptxLink5</t>
  </si>
  <si>
    <t>pptxLink6</t>
  </si>
  <si>
    <t>pptxLink7</t>
  </si>
  <si>
    <t>Information for various emails</t>
  </si>
  <si>
    <t>First planning email</t>
  </si>
  <si>
    <t>21_v02_FirstPlanningEmail</t>
  </si>
  <si>
    <t>To (translator)</t>
  </si>
  <si>
    <t>cc: (sponsor and site coordinator)</t>
  </si>
  <si>
    <t>Subject</t>
  </si>
  <si>
    <t>Sponsor name</t>
  </si>
  <si>
    <t>Organisation</t>
  </si>
  <si>
    <t>Sponsor title</t>
  </si>
  <si>
    <t>Sponsor phone</t>
  </si>
  <si>
    <t>Sponsor email</t>
  </si>
  <si>
    <t>Site coordinator name</t>
  </si>
  <si>
    <t>Days before phase 2 start</t>
  </si>
  <si>
    <t>Check</t>
  </si>
  <si>
    <t>ATL</t>
  </si>
  <si>
    <t>Sign R&amp;R</t>
  </si>
  <si>
    <t>No</t>
  </si>
  <si>
    <t>Sign Plan</t>
  </si>
  <si>
    <t>Sign C&amp;NA</t>
  </si>
  <si>
    <t>Picture</t>
  </si>
  <si>
    <t>Sponsor</t>
  </si>
  <si>
    <t>ATMs loaded</t>
  </si>
  <si>
    <t>ATMs agreed</t>
  </si>
  <si>
    <t>ATM1</t>
  </si>
  <si>
    <t>ATM2</t>
  </si>
  <si>
    <t>ATM3</t>
  </si>
  <si>
    <t>AMT4</t>
  </si>
  <si>
    <t>ATM5</t>
  </si>
  <si>
    <t>Experience ok</t>
  </si>
  <si>
    <t>Sign plan</t>
  </si>
  <si>
    <t>RI</t>
  </si>
  <si>
    <t>OUC</t>
  </si>
  <si>
    <t>OEdb</t>
  </si>
  <si>
    <t>30% practices linked</t>
  </si>
  <si>
    <t>Each PA, each practice</t>
  </si>
  <si>
    <t>At least one file link</t>
  </si>
  <si>
    <t>Website valid</t>
  </si>
  <si>
    <t>&lt;&lt; NOTE EXCLUDE FINANCIALS AT THE BOTTOM</t>
  </si>
  <si>
    <t>Appraisal.AccessRecordNumber</t>
  </si>
  <si>
    <t>Appraisal.AccessVersionNumber</t>
  </si>
  <si>
    <t>R0000</t>
  </si>
  <si>
    <t>Appraisal.OldRequestNumber</t>
  </si>
  <si>
    <t>Appraisal.CAS_ID</t>
  </si>
  <si>
    <t>Dr Pieter van Zyl</t>
  </si>
  <si>
    <t>LeadAppraiser.Name</t>
  </si>
  <si>
    <t>Demix</t>
  </si>
  <si>
    <t>LeadAppraiser.OrganizationalAffiliation</t>
  </si>
  <si>
    <t>CMMI High Maturity Lead Appraiser</t>
  </si>
  <si>
    <t>LeadAppraiser.TitleDesignation</t>
  </si>
  <si>
    <t>CMMI High Maturity ATL, MDDAP ATL, Observer, Instructor</t>
  </si>
  <si>
    <t>LeadAppraiser.FullTitleDesignation</t>
  </si>
  <si>
    <t>0500535-01</t>
  </si>
  <si>
    <t>LeadAppraiser.TeamLeadID</t>
  </si>
  <si>
    <t>+27-82-900-0008</t>
  </si>
  <si>
    <t>LeadAppraiser.Phone</t>
  </si>
  <si>
    <t>pieter.vanzyl@demix.org</t>
  </si>
  <si>
    <t>LeadAppraiser.Email</t>
  </si>
  <si>
    <t>LA_PieterVZ</t>
  </si>
  <si>
    <t>LeadAppraiser.DropBoxFolder</t>
  </si>
  <si>
    <t>Organization.Name</t>
  </si>
  <si>
    <t>Organization.IndigenousName</t>
  </si>
  <si>
    <t>Guangzhou</t>
  </si>
  <si>
    <t>Organization.City</t>
  </si>
  <si>
    <t>Guangdong</t>
  </si>
  <si>
    <t>Organization.StateProvinceRegion</t>
  </si>
  <si>
    <t>China</t>
  </si>
  <si>
    <t>Organization.Country</t>
  </si>
  <si>
    <t>Appraisal.DateOfRequest</t>
  </si>
  <si>
    <t>Conduct Maturity Level 5 appraisal in  2025</t>
  </si>
  <si>
    <t>&lt;&lt; Can update</t>
  </si>
  <si>
    <t>Appraisal.InitialRequirements</t>
  </si>
  <si>
    <t>Appraisal.Phase2StartDate</t>
  </si>
  <si>
    <t>Appraisal.Phase2EndDate</t>
  </si>
  <si>
    <t>Appraisal.DaysDocumentReview</t>
  </si>
  <si>
    <t>Appraisal.NormallyOnsiteFromDate</t>
  </si>
  <si>
    <t>Appraisal.InitialExpectedFinalFindingsDate</t>
  </si>
  <si>
    <t>Sponsor.Name</t>
  </si>
  <si>
    <t>General Manager</t>
  </si>
  <si>
    <t>Sponsor.TitleDesignation</t>
  </si>
  <si>
    <t>Sponsor.Phone</t>
  </si>
  <si>
    <t>Sponsor.Email</t>
  </si>
  <si>
    <t>SiteCoordinator.Name</t>
  </si>
  <si>
    <t>SiteCoordinator.TitleDesignation</t>
  </si>
  <si>
    <t>SiteCoordinator.OrganizationalAffiliation</t>
  </si>
  <si>
    <t>SiteCoordinator.Phone</t>
  </si>
  <si>
    <t>SiteCoordinator.Email</t>
  </si>
  <si>
    <t>Translator.Name</t>
  </si>
  <si>
    <t>Freelance</t>
  </si>
  <si>
    <t>Translator.OrganizationalAffiliation</t>
  </si>
  <si>
    <t>Registered Interpreter</t>
  </si>
  <si>
    <t>Translator.TitleDesignation</t>
  </si>
  <si>
    <t>+1 202-358-0003</t>
  </si>
  <si>
    <t>Translator.Phone</t>
  </si>
  <si>
    <t>Translator.Email</t>
  </si>
  <si>
    <t>van Zyl, Joan</t>
  </si>
  <si>
    <t>Mrs Joan van Zyl</t>
  </si>
  <si>
    <t>Mrs Melanie van Zyl</t>
  </si>
  <si>
    <t>CMMI_BPOC.Name</t>
  </si>
  <si>
    <t>Demix (Pty) Ltd</t>
  </si>
  <si>
    <t>Demix (China) Information Technology</t>
  </si>
  <si>
    <t>CMMI_BPOC.OrganizationalAffiliation</t>
  </si>
  <si>
    <t>+27 82 787 4208</t>
  </si>
  <si>
    <t>+27 82 590 3669</t>
  </si>
  <si>
    <t>CMMI_BPOC.Phone</t>
  </si>
  <si>
    <t>joan.vanzyl@demix.org</t>
  </si>
  <si>
    <t>melanie.vanzyl@demix.org</t>
  </si>
  <si>
    <t>CMMI_BPOC.Email</t>
  </si>
  <si>
    <t>A3</t>
  </si>
  <si>
    <t>Appraisal.LongName</t>
  </si>
  <si>
    <t>Appraisal.SPSShortName</t>
  </si>
  <si>
    <t>.</t>
  </si>
  <si>
    <t>Appraisal.SPSDirectorySuggested</t>
  </si>
  <si>
    <t>Appraisal.SPSDirectoryActual</t>
  </si>
  <si>
    <t>(UTC+08:00) Beijing, Chongqing, Hong Kong, Urumqi</t>
  </si>
  <si>
    <t>Drop down</t>
  </si>
  <si>
    <t>Organization.TimeZone</t>
  </si>
  <si>
    <t>Maturity Level</t>
  </si>
  <si>
    <t>Appraisal.LevelType</t>
  </si>
  <si>
    <t>Level 5</t>
  </si>
  <si>
    <t>Appraisal.Level</t>
  </si>
  <si>
    <t>Appraisal.Target</t>
  </si>
  <si>
    <t>Appraisal.Data</t>
  </si>
  <si>
    <t>Appraisal.Development</t>
  </si>
  <si>
    <t>Appraisal.People</t>
  </si>
  <si>
    <t>Appraisal.Safety</t>
  </si>
  <si>
    <t>Appraisal.Security</t>
  </si>
  <si>
    <t>Appraisal.Services</t>
  </si>
  <si>
    <t>Appraisal.Suppliers</t>
  </si>
  <si>
    <t>Appraisal.Virtual</t>
  </si>
  <si>
    <t>CMMI Development V2.0 (CMMI-DEV) without SAM</t>
  </si>
  <si>
    <t>Appraisal.ModelView</t>
  </si>
  <si>
    <t>SAM since all software is developed inhouse.</t>
  </si>
  <si>
    <t>Appraisal.ExcludedPracticeAreasExplanation</t>
  </si>
  <si>
    <t>Appraisal.AppraisalNameSuggested</t>
  </si>
  <si>
    <t>Appraisal.AppraisalNameActual</t>
  </si>
  <si>
    <t>Appraisal.VirtualMethodsInfo</t>
  </si>
  <si>
    <t>Appraisal.FirstRROEProvided30</t>
  </si>
  <si>
    <t xml:space="preserve">1st RR performed </t>
  </si>
  <si>
    <t>Appraisal.FirstRRPerformed</t>
  </si>
  <si>
    <t>Appraisal.SecondRROEProvided90</t>
  </si>
  <si>
    <t>Appraisal.SecondRRPerformed</t>
  </si>
  <si>
    <t>Appraisal.TechnologyTest</t>
  </si>
  <si>
    <t>Appraisal.Phase2Start</t>
  </si>
  <si>
    <t>Appraisal.NonWorkingDays</t>
  </si>
  <si>
    <t>Enter Doc Review days</t>
  </si>
  <si>
    <t>Appraisal.DocumentReviewDays</t>
  </si>
  <si>
    <t>Appraisal.Phase2OpeningMeeting</t>
  </si>
  <si>
    <t>Appraisal.DaysPrelimBeforeFF</t>
  </si>
  <si>
    <t>Appraisal.PreliminaryFindings</t>
  </si>
  <si>
    <t>Appraisal.Phase2End</t>
  </si>
  <si>
    <t>Appraisal.DaysOnSite</t>
  </si>
  <si>
    <t>Appraisal.DaysPhase2ToPhase3</t>
  </si>
  <si>
    <t>Appraisal.Phase3Start</t>
  </si>
  <si>
    <t>Appraisal.DaysPhase3</t>
  </si>
  <si>
    <t>Appraisal.Phase3End</t>
  </si>
  <si>
    <t>AppraisalRequirements.InitialRequirements</t>
  </si>
  <si>
    <t>PR</t>
  </si>
  <si>
    <t>start with tbd</t>
  </si>
  <si>
    <t>Organization.BusinessObjectiveTitle</t>
  </si>
  <si>
    <t>Organization.BusinessObjectives</t>
  </si>
  <si>
    <t>Organization.AppraisalObjectives</t>
  </si>
  <si>
    <t>Organizational Unit Information</t>
  </si>
  <si>
    <t>Company</t>
  </si>
  <si>
    <t>Organization Unit Name</t>
  </si>
  <si>
    <t>Location</t>
  </si>
  <si>
    <t>Conduct Appraisal (Phase 2) Start Date</t>
  </si>
  <si>
    <t>Appraisal (Phase 2) Completion Date</t>
  </si>
  <si>
    <t>Appraisal Information</t>
  </si>
  <si>
    <t>Appraisal Type</t>
  </si>
  <si>
    <t>Benchmark or Sustainment</t>
  </si>
  <si>
    <t>Appraisal Assessment Type</t>
  </si>
  <si>
    <t>Maturity</t>
  </si>
  <si>
    <t>Core</t>
  </si>
  <si>
    <t>Target Level</t>
  </si>
  <si>
    <t>Level 5 (Optimizing)</t>
  </si>
  <si>
    <t>With Data?</t>
  </si>
  <si>
    <t>With Development (DEV)?</t>
  </si>
  <si>
    <t>Yes</t>
  </si>
  <si>
    <t>With People (PPL)?</t>
  </si>
  <si>
    <t>With Safety (SAF)?</t>
  </si>
  <si>
    <t>With Security (SEC)?</t>
  </si>
  <si>
    <t>With Services (SVC)?</t>
  </si>
  <si>
    <t>With Suppliers (SPM)?</t>
  </si>
  <si>
    <t>With Virtual (VRT)?</t>
  </si>
  <si>
    <t>Organizational and Sample Eligible Projects Information</t>
  </si>
  <si>
    <t>Number of Projects</t>
  </si>
  <si>
    <t>Project 1</t>
  </si>
  <si>
    <t>Project 2</t>
  </si>
  <si>
    <t>Project 3</t>
  </si>
  <si>
    <t>Project 4</t>
  </si>
  <si>
    <t>Project 5</t>
  </si>
  <si>
    <t>Project 6</t>
  </si>
  <si>
    <t>Project 7</t>
  </si>
  <si>
    <t>Project 8</t>
  </si>
  <si>
    <t>Project 9</t>
  </si>
  <si>
    <t>Project 10</t>
  </si>
  <si>
    <t>Project 11</t>
  </si>
  <si>
    <t>Project 12</t>
  </si>
  <si>
    <t>P-12</t>
  </si>
  <si>
    <t>Project 13</t>
  </si>
  <si>
    <t>P-13</t>
  </si>
  <si>
    <t>Project 14</t>
  </si>
  <si>
    <t>P-14</t>
  </si>
  <si>
    <t>Project 15</t>
  </si>
  <si>
    <t>P-15</t>
  </si>
  <si>
    <t>Project 16</t>
  </si>
  <si>
    <t>P-16</t>
  </si>
  <si>
    <t>Project 17</t>
  </si>
  <si>
    <t>P-17</t>
  </si>
  <si>
    <t>Project 18</t>
  </si>
  <si>
    <t>P-18</t>
  </si>
  <si>
    <t>Project 19</t>
  </si>
  <si>
    <t>P-19</t>
  </si>
  <si>
    <t>Project 20</t>
  </si>
  <si>
    <t>P-20</t>
  </si>
  <si>
    <t>Source</t>
  </si>
  <si>
    <t>Room 610, Building A, Vanke Cloud</t>
  </si>
  <si>
    <t>Organization.AddressLine1</t>
  </si>
  <si>
    <t>No. 1933 Huaguan Road, Tianhe District</t>
  </si>
  <si>
    <t>Organization.AddressLine2</t>
  </si>
  <si>
    <t>Organization.ZIPPostalCode</t>
  </si>
  <si>
    <t>Organization.FullAddress</t>
  </si>
  <si>
    <t>Organization.Website</t>
  </si>
  <si>
    <t>Organization.CompanyLogo</t>
  </si>
  <si>
    <t xml:space="preserve">OU Name </t>
  </si>
  <si>
    <t>Software R&amp;D Department</t>
  </si>
  <si>
    <t>OUInformation.OUName</t>
  </si>
  <si>
    <t>OUInformation.OUNameChinese</t>
  </si>
  <si>
    <t>OUInformation.OUDescription</t>
  </si>
  <si>
    <t>OUInformation.OUStructure</t>
  </si>
  <si>
    <t>(J-62) Information and communication - Computer programming, consultancy and related activities</t>
  </si>
  <si>
    <t>OUInformation.Domain</t>
  </si>
  <si>
    <t>OUInformation.FTEsFromProjectSupport</t>
  </si>
  <si>
    <t>0-50</t>
  </si>
  <si>
    <t>OUInformation.NumberOfFTEs</t>
  </si>
  <si>
    <t>OUInformation.PreviousAppraisalID</t>
  </si>
  <si>
    <t xml:space="preserve">If address is different from the organisation, manually enter the address in StartupInfo/below, and unhide the new address in pptxLink1, so it displays in the pptx	  </t>
  </si>
  <si>
    <t>OULocations.AddressLine1</t>
  </si>
  <si>
    <t>OULocations.AddressLine2</t>
  </si>
  <si>
    <t>OULocations.City</t>
  </si>
  <si>
    <t>OULocations.StateProvinceRegion</t>
  </si>
  <si>
    <t>OULocations.ZIPPostalCode</t>
  </si>
  <si>
    <t>OULocations.Country</t>
  </si>
  <si>
    <t>OULocations.FullAddress</t>
  </si>
  <si>
    <t>SponsorATL.Title</t>
  </si>
  <si>
    <t>SponsorATL.SponsorName</t>
  </si>
  <si>
    <t>SponsorATL.OrganizationalAffiliation</t>
  </si>
  <si>
    <t>Internal</t>
  </si>
  <si>
    <t>SponsorATL.RelationshipToOU</t>
  </si>
  <si>
    <t>SponsorATL.MailingAddress</t>
  </si>
  <si>
    <t>SponsorATL.Email</t>
  </si>
  <si>
    <t>SponsorATL.Phone</t>
  </si>
  <si>
    <t>OUCoordinator.Name</t>
  </si>
  <si>
    <t>OUCoordinator.RelationshipToOU</t>
  </si>
  <si>
    <t>OUCoordinator.Phone</t>
  </si>
  <si>
    <t>OUCoordinator.Email</t>
  </si>
  <si>
    <t>External</t>
  </si>
  <si>
    <t>Translator.OURelationship</t>
  </si>
  <si>
    <t>Other</t>
  </si>
  <si>
    <t>Translator.ReportingRelationship</t>
  </si>
  <si>
    <t>Reports directly to the ATL</t>
  </si>
  <si>
    <t>Translator.OtherReportingRelationship</t>
  </si>
  <si>
    <t>Staff list - Guide</t>
  </si>
  <si>
    <t>Role</t>
  </si>
  <si>
    <t>Interview session</t>
  </si>
  <si>
    <t>CAR</t>
  </si>
  <si>
    <t>CM</t>
  </si>
  <si>
    <t>DAR</t>
  </si>
  <si>
    <t>EST</t>
  </si>
  <si>
    <t>GOV</t>
  </si>
  <si>
    <t>II</t>
  </si>
  <si>
    <t>MPM</t>
  </si>
  <si>
    <t>MC</t>
  </si>
  <si>
    <t>OT</t>
  </si>
  <si>
    <t>PLAN</t>
  </si>
  <si>
    <t>PAD</t>
  </si>
  <si>
    <t>PCM</t>
  </si>
  <si>
    <t>PQA</t>
  </si>
  <si>
    <t>PI</t>
  </si>
  <si>
    <t>RDM</t>
  </si>
  <si>
    <t>RSK</t>
  </si>
  <si>
    <t>TS</t>
  </si>
  <si>
    <t>VV</t>
  </si>
  <si>
    <t>SAM</t>
  </si>
  <si>
    <t>Analyst</t>
  </si>
  <si>
    <t>[4] Engineering</t>
  </si>
  <si>
    <t>Configuration manager</t>
  </si>
  <si>
    <t>[5] Configuration Management</t>
  </si>
  <si>
    <t>Designer</t>
  </si>
  <si>
    <t>Developer</t>
  </si>
  <si>
    <t>Executive</t>
  </si>
  <si>
    <t>[9] Senior Management</t>
  </si>
  <si>
    <t>Measurements manager</t>
  </si>
  <si>
    <t>[6] Process Management</t>
  </si>
  <si>
    <t>Process Assurance Manager</t>
  </si>
  <si>
    <t>[8] Process Quality Assurance</t>
  </si>
  <si>
    <t>Process manager</t>
  </si>
  <si>
    <t>Project manager</t>
  </si>
  <si>
    <t>[3] Project Management</t>
  </si>
  <si>
    <t>Tester</t>
  </si>
  <si>
    <t>Training manager</t>
  </si>
  <si>
    <t>[7] Organisational Training</t>
  </si>
  <si>
    <t>Project and support function information and sample</t>
  </si>
  <si>
    <t>FTEs</t>
  </si>
  <si>
    <t>Process</t>
  </si>
  <si>
    <t>WorkID</t>
  </si>
  <si>
    <t>Lifecyle</t>
  </si>
  <si>
    <t>Stage</t>
  </si>
  <si>
    <t>Start</t>
  </si>
  <si>
    <t>End</t>
  </si>
  <si>
    <t>Sub groups</t>
  </si>
  <si>
    <t>Project/
Support</t>
  </si>
  <si>
    <t>Engineering</t>
  </si>
  <si>
    <t>Project Management</t>
  </si>
  <si>
    <t>Configuration Management</t>
  </si>
  <si>
    <t>Process Management</t>
  </si>
  <si>
    <t>Measurement Management</t>
  </si>
  <si>
    <t>Organisational Training</t>
  </si>
  <si>
    <t>Process Quality Assurance</t>
  </si>
  <si>
    <t>END</t>
  </si>
  <si>
    <t>p1</t>
  </si>
  <si>
    <t>p1DCMS</t>
  </si>
  <si>
    <t>The Distributed Conference Management System (DCMS) provides a conference homepage, intelligent scheduling, multi-conference support, automated notifications, cross-platform integration, and data analytics to enable efficient enterprise conference organization and management.</t>
  </si>
  <si>
    <t>Waterfall</t>
  </si>
  <si>
    <t>Delivery</t>
  </si>
  <si>
    <t>Project</t>
  </si>
  <si>
    <t>S</t>
  </si>
  <si>
    <t>p2</t>
  </si>
  <si>
    <t>p2PCMEP</t>
  </si>
  <si>
    <t>The Privatized Conference Management Expansion Project (PCMEP) provides an integrated Tencent Meeting platform with license and user management, full meeting lifecycle control, multi-terminal support, and unified enterprise resource scheduling.</t>
  </si>
  <si>
    <t>s</t>
  </si>
  <si>
    <t>p3</t>
  </si>
  <si>
    <t>p3UMMS</t>
  </si>
  <si>
    <t>The Umeet Meeting Management System (UMMS) provides full-process conference management, integrates AIGC and optimized APIs, and supports scan-to-join, quality monitoring, and recording-to-transcription for enhanced enterprise collaboration across terminals.</t>
  </si>
  <si>
    <t>p4</t>
  </si>
  <si>
    <t>p4PMMP</t>
  </si>
  <si>
    <t>The Public Meeting Management Platform (PMMP) integrates Tencent, Zoom, and private enterprise tools, enabling unified resource management, one-click switching, and centralized identity control across meeting systems.</t>
  </si>
  <si>
    <t>p5</t>
  </si>
  <si>
    <t>p5OMAP</t>
  </si>
  <si>
    <t>The Online Meeting Analysis Platform (OMAP) intelligently collects and analyzes meeting data, quantifying participation, discussion quality, and efficiency to optimize organization, enhance collaboration, and improve decision-making.</t>
  </si>
  <si>
    <t>s1</t>
  </si>
  <si>
    <t>S1-CM</t>
  </si>
  <si>
    <t>The Configuration Management (CM) function, manages baselines for projects and the organisation.</t>
  </si>
  <si>
    <t>All</t>
  </si>
  <si>
    <t>All Projects</t>
  </si>
  <si>
    <t>Support</t>
  </si>
  <si>
    <t>s2</t>
  </si>
  <si>
    <t>S2-EPG</t>
  </si>
  <si>
    <t>The Engineering Process Group (EPG) provides process management capability including establishing processes, standards, process measurements, process performance  management and directing its implementation and adoption.</t>
  </si>
  <si>
    <t>s3</t>
  </si>
  <si>
    <t>S3-HR</t>
  </si>
  <si>
    <t>The Human Resources (HR) function is responsible for training, skills and knowledge management. It maintains the records of staff training and training evaluation.</t>
  </si>
  <si>
    <t>s4</t>
  </si>
  <si>
    <t>S4-QA</t>
  </si>
  <si>
    <t xml:space="preserve">The Quality Assurance (QA) team manage and performs process quality assurance. </t>
  </si>
  <si>
    <t>use in tab:C_Support for the "Function Solution Domain"</t>
  </si>
  <si>
    <t>Supports software development configuration management requirements.</t>
  </si>
  <si>
    <t xml:space="preserve">Supports software development process management, and measurement &amp; analysis requirements. </t>
  </si>
  <si>
    <t>Supports software development organizational training requirements.</t>
  </si>
  <si>
    <t>Supports software development process quality assurance requirements.</t>
  </si>
  <si>
    <t>Staff list</t>
  </si>
  <si>
    <t>Work name</t>
  </si>
  <si>
    <t>Function/OU Name</t>
  </si>
  <si>
    <t>Jin, Bangxin</t>
  </si>
  <si>
    <t>Project Manager</t>
  </si>
  <si>
    <t>Huang, Xiaozhen</t>
  </si>
  <si>
    <t>Cheng, Yiheng</t>
  </si>
  <si>
    <t>Zhou, Zhiyang</t>
  </si>
  <si>
    <t>Zheng, Xiaoqing</t>
  </si>
  <si>
    <t>Jing, Chaowen</t>
  </si>
  <si>
    <t>P4</t>
  </si>
  <si>
    <t>Zeng, Cheng</t>
  </si>
  <si>
    <t>Huang, Rong</t>
  </si>
  <si>
    <t>He, Kaiwang</t>
  </si>
  <si>
    <t>Zhou, Kengran</t>
  </si>
  <si>
    <t>Configuration Manager</t>
  </si>
  <si>
    <t>Xu, Jia</t>
  </si>
  <si>
    <t>He, Yusong (MA)</t>
  </si>
  <si>
    <t>Bai, Huiqing</t>
  </si>
  <si>
    <t>Training Manager</t>
  </si>
  <si>
    <t>Yang, Kehan</t>
  </si>
  <si>
    <t>Count of Work name</t>
  </si>
  <si>
    <t>Column Labels</t>
  </si>
  <si>
    <t>Row Labels</t>
  </si>
  <si>
    <t>(blank)</t>
  </si>
  <si>
    <t>Grand Total</t>
  </si>
  <si>
    <t>S2-EPG-MA</t>
  </si>
  <si>
    <t>S4-PPQA</t>
  </si>
  <si>
    <t>P1-Falcon9</t>
  </si>
  <si>
    <t>P2-Raptor</t>
  </si>
  <si>
    <t>P3-Starship</t>
  </si>
  <si>
    <t>P4-SupperHeavy</t>
  </si>
  <si>
    <t>Refresh pivot</t>
  </si>
  <si>
    <t>All staff</t>
  </si>
  <si>
    <t>Count of WorkID</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</si>
  <si>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</si>
  <si>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</si>
  <si>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</si>
  <si>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</si>
  <si>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</si>
  <si>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</si>
  <si>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</si>
  <si>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</si>
  <si>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</si>
  <si>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</si>
  <si>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</si>
  <si>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</si>
  <si>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</si>
  <si>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</si>
  <si>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</si>
  <si>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</si>
  <si>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</si>
  <si>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</si>
  <si>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</si>
  <si>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</si>
  <si>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</si>
  <si>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</si>
  <si>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Measurement manager2</t>
  </si>
  <si>
    <t>Surname, Training Manager3</t>
  </si>
  <si>
    <t>Surname, Process Assurance Manager4</t>
  </si>
  <si>
    <t>Count of PA</t>
  </si>
  <si>
    <t>Excluded</t>
  </si>
  <si>
    <t xml:space="preserve">SAM </t>
  </si>
  <si>
    <t>Appraisal Name</t>
  </si>
  <si>
    <t>Partner</t>
  </si>
  <si>
    <t>Business and Appraisal Objectives</t>
  </si>
  <si>
    <t>Objectives</t>
  </si>
  <si>
    <t>ATM Signatures Required</t>
  </si>
  <si>
    <t>Website Address/URL</t>
  </si>
  <si>
    <t>ISIC Section - Division</t>
  </si>
  <si>
    <t>Size (FTEs)</t>
  </si>
  <si>
    <t>Size</t>
  </si>
  <si>
    <t>Organizational Structure Description</t>
  </si>
  <si>
    <t>Number of Sr. Management (FTEs)</t>
  </si>
  <si>
    <t>Number of Sr. Management Talked To</t>
  </si>
  <si>
    <t>Plan Appraisal Start Date</t>
  </si>
  <si>
    <t>Plan Appraisal End Date</t>
  </si>
  <si>
    <t>Conduct Appraisal Start Date</t>
  </si>
  <si>
    <t>Conduct Appraisal End Date</t>
  </si>
  <si>
    <t>Report Results Start Date</t>
  </si>
  <si>
    <t>Report Results End Date</t>
  </si>
  <si>
    <t>Outcomes</t>
  </si>
  <si>
    <t>Sampling Factor Name</t>
  </si>
  <si>
    <t>Other Sampling Factor</t>
  </si>
  <si>
    <t>Definition</t>
  </si>
  <si>
    <t>Sampling Factor</t>
  </si>
  <si>
    <t>Value</t>
  </si>
  <si>
    <t>Abbreviation</t>
  </si>
  <si>
    <t>Other Conflict of Interest</t>
  </si>
  <si>
    <t>Impact</t>
  </si>
  <si>
    <t>Management Strategy</t>
  </si>
  <si>
    <t>Status</t>
  </si>
  <si>
    <t>Follow-on Activity</t>
  </si>
  <si>
    <t>Other Follow-on Activity</t>
  </si>
  <si>
    <t>Follow-on Activity Description</t>
  </si>
  <si>
    <t>Projects</t>
  </si>
  <si>
    <t>Appraisal Name and Type</t>
  </si>
  <si>
    <t>Organizational Info</t>
  </si>
  <si>
    <t>Native Language Name</t>
  </si>
  <si>
    <t>MOVE TO STARTUP</t>
  </si>
  <si>
    <t>Rationale for Projects Excluded from OU</t>
  </si>
  <si>
    <t>No projects excluded</t>
  </si>
  <si>
    <t>FTE verification check</t>
  </si>
  <si>
    <t>COPY AND REPEAT ABOVE FOR ADDITIONAL</t>
  </si>
  <si>
    <t>Organizational Units (OU)</t>
  </si>
  <si>
    <t>Organizations</t>
  </si>
  <si>
    <t>Has this Organizational Unit been in any prior appraisals?</t>
  </si>
  <si>
    <t>Appraisal Scope</t>
  </si>
  <si>
    <t>Target Level Details</t>
  </si>
  <si>
    <t>DO IN CAS</t>
  </si>
  <si>
    <t>Leave as is</t>
  </si>
  <si>
    <t>Timeline and Scheduling</t>
  </si>
  <si>
    <t>Appraisal Timeline</t>
  </si>
  <si>
    <t>Phase 1: Plan Appraisal</t>
  </si>
  <si>
    <t>Readiness Review</t>
  </si>
  <si>
    <t>PULLED FROM LATER PLANNING INFO</t>
  </si>
  <si>
    <t>Readiness Review Name</t>
  </si>
  <si>
    <t>30% Readiness review</t>
  </si>
  <si>
    <t>Readiness Review Start Date</t>
  </si>
  <si>
    <t>Readiness Review End Date</t>
  </si>
  <si>
    <t>90% Readiness review</t>
  </si>
  <si>
    <t>Phase 2: Conduct Appraisal</t>
  </si>
  <si>
    <t>&gt;&gt; Onsite start</t>
  </si>
  <si>
    <t>Phase 3: Report Results</t>
  </si>
  <si>
    <t>Readiness reviews</t>
  </si>
  <si>
    <t>- Translate all OEdb docs.
- Check Appraisal Sponsor R&amp;R signed
- ATMs identified and loaded
- Check C&amp;NA signed by Sponsor, ATL, ATMs, and OUC
- Is pictures in CAS (Sponsor, OUC, and ATMs)
- OEdb must be 30% completed
- Website must be a valid</t>
  </si>
  <si>
    <t>Success Criteria</t>
  </si>
  <si>
    <t>- 30% OEdb translated
- ATMs identified and loaded
- Inform ATMs, OUC, Sponsor, and RI to sign C&amp;NA and Plan
- Inform pictures not loaded
- OEdb is 30% completed8 (else communicate to OUC)
- Website valid (else communicate to OUC)</t>
  </si>
  <si>
    <t>Required Members</t>
  </si>
  <si>
    <t>All checks completed. The appraisal can progress as planned.</t>
  </si>
  <si>
    <t>None</t>
  </si>
  <si>
    <t>- Translate all OEdb docs.
- Check Appraisal Sponsor R&amp;R signed
- ATMs identified, loaded, and training scheduled if needed
- Check C&amp;NA signed by Sponsor, ATL, ATMs, and OUC
- Is pictures in CAS (Sponsor, OUC, and ATMs)
- OEdb must be 90% completed
- Website must be a valid</t>
  </si>
  <si>
    <t xml:space="preserve">- 90% OEdb translated
- ATMs identified, loaded, and trained
- Inform ATMs, OUC, Sponsor, and RI that have signed C&amp;NA and Plan
- All profile pictures loaded
- OEdb is 90% completed 
- Website valid </t>
  </si>
  <si>
    <t>Organizational Support Functions In Scope</t>
  </si>
  <si>
    <t>Update project descriptions</t>
  </si>
  <si>
    <t>OU Sample Eligible Projects</t>
  </si>
  <si>
    <t>1) Download from CAS 2) Copy C_Projects (generated from BASE) 3) Upload</t>
  </si>
  <si>
    <t>Sampling Factors</t>
  </si>
  <si>
    <t>Type of Work</t>
  </si>
  <si>
    <t>All development projects</t>
  </si>
  <si>
    <t>Sampling Factor Values</t>
  </si>
  <si>
    <t>All projects</t>
  </si>
  <si>
    <t>Project Subgroups</t>
  </si>
  <si>
    <t>AP</t>
  </si>
  <si>
    <t>Check box</t>
  </si>
  <si>
    <t>[x] All projects</t>
  </si>
  <si>
    <t>Project Subgroup Assignment</t>
  </si>
  <si>
    <t>Assign All Projects (AP) to each project</t>
  </si>
  <si>
    <t>Targets and Scope</t>
  </si>
  <si>
    <t>Organizational Support Function PA Exceptions</t>
  </si>
  <si>
    <t>IS - In-Scope</t>
  </si>
  <si>
    <t>IS-OoS- In-Scope (default other Projects to Out-of-Scope)</t>
  </si>
  <si>
    <t>Select support function</t>
  </si>
  <si>
    <t>Practice Area</t>
  </si>
  <si>
    <t>Select scope</t>
  </si>
  <si>
    <t>In-Scope</t>
  </si>
  <si>
    <t>Justification for in-Scope</t>
  </si>
  <si>
    <t>The process is performed by this support function.</t>
  </si>
  <si>
    <t>Managing Performance and Measurement</t>
  </si>
  <si>
    <t>Process Asset Development</t>
  </si>
  <si>
    <t>In-Scope (default other Projects to Out-of-Scope)</t>
  </si>
  <si>
    <t>Causal Analysis and Resolution</t>
  </si>
  <si>
    <t>Decision Analysis and Resolution</t>
  </si>
  <si>
    <t>Select</t>
  </si>
  <si>
    <t>Organizational Training</t>
  </si>
  <si>
    <t>OU Project PA Exceptions</t>
  </si>
  <si>
    <t>For all projects</t>
  </si>
  <si>
    <t>Only checked that PAD, PCM, OT is removed from projects (it is automatically done by the previous step)</t>
  </si>
  <si>
    <t>Justification</t>
  </si>
  <si>
    <t>Project to Include in Random Sample</t>
  </si>
  <si>
    <t>Select from 02_Plan:Projects Info</t>
  </si>
  <si>
    <t>None selected</t>
  </si>
  <si>
    <t>Appraisal Personnel</t>
  </si>
  <si>
    <t>Appraisal Sponsor</t>
  </si>
  <si>
    <t>Updated</t>
  </si>
  <si>
    <t>Personnel</t>
  </si>
  <si>
    <t>PADDING</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</si>
  <si>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</si>
  <si>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</si>
  <si>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</si>
  <si>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</si>
  <si>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</si>
  <si>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</si>
  <si>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</si>
  <si>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</si>
  <si>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</si>
  <si>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</si>
  <si>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</si>
  <si>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</si>
  <si>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</si>
  <si>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</si>
  <si>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</si>
  <si>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CAS email</t>
  </si>
  <si>
    <t>A3/Planning</t>
  </si>
  <si>
    <t>Individual reports to management within the OU</t>
  </si>
  <si>
    <t>Executive Manager</t>
  </si>
  <si>
    <t>dkessler@gmail.com</t>
  </si>
  <si>
    <t>Provides interpretation services to the ATL.</t>
  </si>
  <si>
    <t>Before on-site</t>
  </si>
  <si>
    <t>na</t>
  </si>
  <si>
    <t xml:space="preserve">Have been active in the full life cycle for product development. </t>
  </si>
  <si>
    <t>Create Appraisal Team</t>
  </si>
  <si>
    <t>Appraisal team member</t>
  </si>
  <si>
    <t>ATM-1</t>
  </si>
  <si>
    <t>01_xxvyy_CMMIv2ATMInfo</t>
  </si>
  <si>
    <t>Individual is employed by the ATL's organisation.</t>
  </si>
  <si>
    <t>Consultant</t>
  </si>
  <si>
    <t>0 0000 000001</t>
  </si>
  <si>
    <t>Before onsite</t>
  </si>
  <si>
    <t>Full team</t>
  </si>
  <si>
    <t>Team member responsible for specific practice areas XX, XX, and XX.</t>
  </si>
  <si>
    <t>atm1.email@gmail.com</t>
  </si>
  <si>
    <t>ATM-2</t>
  </si>
  <si>
    <t>1 0000 000001</t>
  </si>
  <si>
    <t>atm2.email@gmail.com</t>
  </si>
  <si>
    <t>ATM-3</t>
  </si>
  <si>
    <t>2 0000 000001</t>
  </si>
  <si>
    <t>atm3.email@gmail.com</t>
  </si>
  <si>
    <t>ATM-4</t>
  </si>
  <si>
    <t>3 0000 000001</t>
  </si>
  <si>
    <t>atm4.email@gmail.com</t>
  </si>
  <si>
    <t>ATM-5</t>
  </si>
  <si>
    <t>4 0000 000001</t>
  </si>
  <si>
    <t>Group</t>
  </si>
  <si>
    <t>atm5.email@gmail.com</t>
  </si>
  <si>
    <t>ATM-6</t>
  </si>
  <si>
    <t>5 0000 000001</t>
  </si>
  <si>
    <t>atm6.email@gmail.com</t>
  </si>
  <si>
    <t>ATM-7</t>
  </si>
  <si>
    <t>Manager</t>
  </si>
  <si>
    <t>6 0000 000001</t>
  </si>
  <si>
    <t>atm7.email@gmail.com</t>
  </si>
  <si>
    <t>ATM-8</t>
  </si>
  <si>
    <t>7 0000 000001</t>
  </si>
  <si>
    <t>atm8.email@gmail.com</t>
  </si>
  <si>
    <t>ATM-9</t>
  </si>
  <si>
    <t>8 0000 000001</t>
  </si>
  <si>
    <t>atm9.email@gmail.com</t>
  </si>
  <si>
    <t>CPOC</t>
  </si>
  <si>
    <t>Hemswoth, Chris</t>
  </si>
  <si>
    <t>chris.hemswoth@mailcom</t>
  </si>
  <si>
    <t>ATM Training Schedule</t>
  </si>
  <si>
    <t>Do directly in CAS - Take from 01_CMMIv2ATMinfo</t>
  </si>
  <si>
    <t>Team Member Experience and Responsibilities</t>
  </si>
  <si>
    <t>Appraisal Sponsor Role and Responsibilities</t>
  </si>
  <si>
    <t>SIGN ONLINE - Sponsor and ATL</t>
  </si>
  <si>
    <t>OU Appraisal Participants</t>
  </si>
  <si>
    <t>1) Download from CAS 2) Copy C_OUParticipants (generated from BASE) 3) Upload</t>
  </si>
  <si>
    <t>Not all staff, just participants</t>
  </si>
  <si>
    <t>Participant Responsibilities</t>
  </si>
  <si>
    <t>1) Download from CAS 2) Copy C_OUProjects &amp; C_OUPracticeAreas (generated from BASE) 3) Upload</t>
  </si>
  <si>
    <t>Phase1: Plan Appraisal - Random Generated Sample</t>
  </si>
  <si>
    <t>Sample Scope</t>
  </si>
  <si>
    <t>Do in CAS</t>
  </si>
  <si>
    <t>Random Sample Creation</t>
  </si>
  <si>
    <t xml:space="preserve">
Project Substitution</t>
  </si>
  <si>
    <t>The recommendation is not to substitute.</t>
  </si>
  <si>
    <t>Random Sample Acceptance</t>
  </si>
  <si>
    <t>Sample Addition</t>
  </si>
  <si>
    <t>The recommendation is not to add anything. See the note here (hover on the cell).</t>
  </si>
  <si>
    <t>Sampled Project Details</t>
  </si>
  <si>
    <t>Appraisal Outputs</t>
  </si>
  <si>
    <t>Required Outputs</t>
  </si>
  <si>
    <t>Final Findings</t>
  </si>
  <si>
    <t>Description of output delivery</t>
  </si>
  <si>
    <t>The Final Findings will be presented as a PowerPoint presentation on the last on-site day, highlighting the strengths and weaknesses identified.</t>
  </si>
  <si>
    <t>Owner</t>
  </si>
  <si>
    <t>Final Findings - Sponsor</t>
  </si>
  <si>
    <t>Controls or Restrictions On Use</t>
  </si>
  <si>
    <t>Sampled Project and OSF-level Practice Characterization Worksheets</t>
  </si>
  <si>
    <t>OSF-level Practice Characterization Worksheets and Matrix included in the Final Findings presentation.</t>
  </si>
  <si>
    <t>Final Findings with OSF-level Practice Characterization Worksheets - Sponsor</t>
  </si>
  <si>
    <t>For the sponsor to decide.</t>
  </si>
  <si>
    <t>Sampled Project and OSF-level Ratings Worksheets</t>
  </si>
  <si>
    <t>OSF-level Practice Ratings Worksheets and Matrix included in the Final Findings presentation.</t>
  </si>
  <si>
    <t>Final Findings with Project and OSF-level Rating Worksheets - Sponsor</t>
  </si>
  <si>
    <t>In the opening briefing presentation. The schedule shows the time slots allocated for each of the planned activities during the on-site phase of the appraisal.</t>
  </si>
  <si>
    <t>Distributed to sponsor and all participants.</t>
  </si>
  <si>
    <t>Performance Report Output</t>
  </si>
  <si>
    <t>The Performance Report records the Appraisal Team's consolidated judgment as to how performance is managed and improved in the OU.</t>
  </si>
  <si>
    <t>Optional Appraisal Outputs</t>
  </si>
  <si>
    <t>Optional Output</t>
  </si>
  <si>
    <t>Other Optional Output</t>
  </si>
  <si>
    <t>Follow up actions</t>
  </si>
  <si>
    <t>Immediately follow-up actions after the Final Findings are presented.</t>
  </si>
  <si>
    <t>Non-model findings</t>
  </si>
  <si>
    <t>Non-model findings will be provided as part of the Final finding presentation in the annexures.</t>
  </si>
  <si>
    <t>Improvement opportunities report</t>
  </si>
  <si>
    <t>Improvement opportunities will be provided as part of the Final Finding presentation in the annexures.</t>
  </si>
  <si>
    <t>OE Collection Plan</t>
  </si>
  <si>
    <t>OE Collection Approach</t>
  </si>
  <si>
    <t>Collection Approach</t>
  </si>
  <si>
    <t>Managed Discovery</t>
  </si>
  <si>
    <t xml:space="preserve">More than 90% of evidence will be provided in an OE database document, which will subsequently be used for verification with 10% or less in managed discovery mode. </t>
  </si>
  <si>
    <t>OE Collection Techniques</t>
  </si>
  <si>
    <t>Collection Technique</t>
  </si>
  <si>
    <t>OE Database</t>
  </si>
  <si>
    <t>Other Technique</t>
  </si>
  <si>
    <t>OE Type</t>
  </si>
  <si>
    <t>Artifacts and Affirmations</t>
  </si>
  <si>
    <t>The team members will review the OE Database beforehand, from there creating the questions and during the appraisal use affirmations to corroborate the evidence with the affirmations.</t>
  </si>
  <si>
    <t>Responsibility for Collection</t>
  </si>
  <si>
    <t>Responsible Entity</t>
  </si>
  <si>
    <t>Other Entity</t>
  </si>
  <si>
    <t>EPG member</t>
  </si>
  <si>
    <t>Process engineering group members to populate the OE.</t>
  </si>
  <si>
    <t>Performance Report Collection Approach</t>
  </si>
  <si>
    <t>Other Approach</t>
  </si>
  <si>
    <t>The ATL will collect it from the sponsor and the MA/EPG team.</t>
  </si>
  <si>
    <t>Summary of Initial OE</t>
  </si>
  <si>
    <t>Summary</t>
  </si>
  <si>
    <t>Data Collection Timing</t>
  </si>
  <si>
    <t>Name of timeline milestones</t>
  </si>
  <si>
    <t>Version 1 of OE database</t>
  </si>
  <si>
    <t>Date that OE collection is completed</t>
  </si>
  <si>
    <t>List of participants in the OE collection activities</t>
  </si>
  <si>
    <t>ATL, ATMs and EPG members.</t>
  </si>
  <si>
    <t>Version 2 of OE database</t>
  </si>
  <si>
    <t>ATL, ATMs and EPG member: A revised list based on a review of OE database version 1.</t>
  </si>
  <si>
    <t>Additional Information</t>
  </si>
  <si>
    <t>None.</t>
  </si>
  <si>
    <t>Readiness Reviews</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</si>
  <si>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</si>
  <si>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</si>
  <si>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</si>
  <si>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</si>
  <si>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Further Details</t>
  </si>
  <si>
    <t>Characterized Objective Evidence</t>
  </si>
  <si>
    <t>- 90% of OE linked in OE Database against sampled projects.
- Participants invited
- Risks mitigated
- Outstanding items identified</t>
  </si>
  <si>
    <t>90% of OE against sampled projects and support functions received - Yes
On-site schedule completed and participants invited - Yes
Risks mitigated - Yes
Outstanding items
- None</t>
  </si>
  <si>
    <t>Logistics and Constraints</t>
  </si>
  <si>
    <t>Resource Effort Estimate</t>
  </si>
  <si>
    <t>1) Complete information in C_Resource_Estimates 2) Download teamplate from CAS 3) Copy information from C_Resource_Estimates to template 4) Import template into CAS</t>
  </si>
  <si>
    <t>Logistical Requirements</t>
  </si>
  <si>
    <t>Logistical requirement</t>
  </si>
  <si>
    <t>Description of the location(s) within the OU where appraisal activities will take place</t>
  </si>
  <si>
    <t>Logistical requirement Equipment</t>
  </si>
  <si>
    <t>A room or rooms that can be used for performing interviews and delivering presentations</t>
  </si>
  <si>
    <t>Other logistical requirement</t>
  </si>
  <si>
    <t>Description of the requirement</t>
  </si>
  <si>
    <t>Confidential site meeting rooms with virtual delivery facilities, such as a laptop with a camera and speakers, will be made available by the organisation.</t>
  </si>
  <si>
    <t>Role responsible for requirement</t>
  </si>
  <si>
    <t>ATL and Site coordinator.</t>
  </si>
  <si>
    <t>Accommodations and travel support for ATMs, as needed</t>
  </si>
  <si>
    <t>No travel is required, the appraisal is conducted using virtual methods.</t>
  </si>
  <si>
    <t>Meals, snacks, beverages, etc. for the appraisal team and participants</t>
  </si>
  <si>
    <t>Lunch is scheduled during on-site and each participant is responsible for their own.</t>
  </si>
  <si>
    <t>Equipment and material requirements for ATMs.</t>
  </si>
  <si>
    <t>Appropriate computer equipment for the appraisal team to use throughout the appraisal</t>
  </si>
  <si>
    <t>Each appraisal team member brings their own laptop.</t>
  </si>
  <si>
    <t>ATMs and ATL.</t>
  </si>
  <si>
    <t>Appropriate telecommunications equipment and rooms to accommodate interviews conducted using virtual techniques</t>
  </si>
  <si>
    <t>Demix Virtual Services Tools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</si>
  <si>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</si>
  <si>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ATL, Each team member and participant.</t>
  </si>
  <si>
    <t>Appraisal Constraints</t>
  </si>
  <si>
    <t>Constraint</t>
  </si>
  <si>
    <t>Schedule Constraints</t>
  </si>
  <si>
    <t>Other Constraint</t>
  </si>
  <si>
    <t>Constraint Description</t>
  </si>
  <si>
    <t>Risk Identification and Management</t>
  </si>
  <si>
    <t>Risk Name 1</t>
  </si>
  <si>
    <t>1) ATM may become ill</t>
  </si>
  <si>
    <t>Risk Category</t>
  </si>
  <si>
    <t>Other Risk Category Name</t>
  </si>
  <si>
    <t>Risk Description</t>
  </si>
  <si>
    <t xml:space="preserve">One of the appraisal team members may become ill or unavailable during the appraisal. </t>
  </si>
  <si>
    <t>Risk Impact</t>
  </si>
  <si>
    <t>Low</t>
  </si>
  <si>
    <t>Risk Mitigation</t>
  </si>
  <si>
    <t>1) Excluding the LA, plan for 4+ ATMs.
2) LA will work as an ATM if required.
3) Setup the schedule so that all appraisal team members are in all affirmation interviews.</t>
  </si>
  <si>
    <t>Risk Status</t>
  </si>
  <si>
    <t>Closed</t>
  </si>
  <si>
    <t>Risk Name 2</t>
  </si>
  <si>
    <t>2) Virtual Tool Failure</t>
  </si>
  <si>
    <t>Virtual technology</t>
  </si>
  <si>
    <t>DVS (Demix virtual services) tools may become unavailable due to network failures.</t>
  </si>
  <si>
    <t>High</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</si>
  <si>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</si>
  <si>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Risk Name 3</t>
  </si>
  <si>
    <t xml:space="preserve">3) Confidentiality breaches as result of Virtual Delivery. </t>
  </si>
  <si>
    <t>Virtual Delivery</t>
  </si>
  <si>
    <t xml:space="preserve">Potential Confidentiality breaches could happen when participant meetings and ATM meetings happen when using Virtual Delivery methods.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</si>
  <si>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</si>
  <si>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Open</t>
  </si>
  <si>
    <t>Risk Name 4</t>
  </si>
  <si>
    <t>4) Virtual Delivery Toolset being new</t>
  </si>
  <si>
    <t>The usage of DVS (Demix virtual services) tools is new or unfamiliar with some participants and ATMs.</t>
  </si>
  <si>
    <t>Medium</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</si>
  <si>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</si>
  <si>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Risk Name 5</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</si>
  <si>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</si>
  <si>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</si>
  <si>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</si>
  <si>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</si>
  <si>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</si>
  <si>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</si>
  <si>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</si>
  <si>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</si>
  <si>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</si>
  <si>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</si>
  <si>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</si>
  <si>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Risk Name 8</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</si>
  <si>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</si>
  <si>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</si>
  <si>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</si>
  <si>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Risk Name 9</t>
  </si>
  <si>
    <t>9)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</si>
  <si>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</si>
  <si>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</si>
  <si>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10</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</si>
  <si>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</si>
  <si>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</si>
  <si>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</si>
  <si>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Risk Name 11</t>
  </si>
  <si>
    <t>11) Impact of differences in language</t>
  </si>
  <si>
    <t>Language difference could impact the effectiveness of the team</t>
  </si>
  <si>
    <t>1) Use a bulk document translator to translate all .xlsx, .pptx, and .docx files. These are not perfect translations, but they are good enough.
2) Use additional supporting translation tools such as ChatGPT, Google Translate, and WeChat Translate as needed.</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</si>
  <si>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</si>
  <si>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</si>
  <si>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</si>
  <si>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</si>
  <si>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COI Identification and Management</t>
  </si>
  <si>
    <t>Conflict of Interest</t>
  </si>
  <si>
    <t>Translator works for a consulting company that has supported the OU with process development or implementation</t>
  </si>
  <si>
    <t xml:space="preserve">The translator is contracted by the consulting company but was not directly involved with the organization undergoing the appraisal before this appraisal. The ATL has worked previously with the translator.	</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</si>
  <si>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</si>
  <si>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Experienced ATM's may feel less OE review necessary because of experience or may be biased if OU is similar to an OU from a previous appraisal.</t>
  </si>
  <si>
    <t>Possible reduced objectivity due to prior experience or similar OU context.</t>
  </si>
  <si>
    <t>Reinforce OE independence and rotate reviewers where overlap exists.</t>
  </si>
  <si>
    <t>ATM and Freelance ATLs are being paid - could cause subconscious pressure</t>
  </si>
  <si>
    <t>Payment may create subconscious bias or perceived pressure.</t>
  </si>
  <si>
    <t>Maintain transparency and apply independent peer oversight.</t>
  </si>
  <si>
    <t>Appraisal participant coached for interviews</t>
  </si>
  <si>
    <t>Prior coaching may influence participant responses in interviews.</t>
  </si>
  <si>
    <t>Use cross-validation and multiple data sources to confirm accuracy.</t>
  </si>
  <si>
    <t>Previous experience of ATMs with ATLs may make them biased to agree with ATL rather than express their actual opinions during characterization</t>
  </si>
  <si>
    <t>ATM–ATL familiarity may bias ATMs toward agreement.</t>
  </si>
  <si>
    <t>Encourage independent judgment and use anonymous consensus checks.</t>
  </si>
  <si>
    <t>Optional Follow-on Activities</t>
  </si>
  <si>
    <t>Lessons Learned</t>
  </si>
  <si>
    <t>After the Final Findings, the Appraisal Team will discuss the lessons learned.</t>
  </si>
  <si>
    <t>Confidentiality and Non-Attribution</t>
  </si>
  <si>
    <t>1) Download docx from CAS, 2) upload docx to CAS. 3) Accept sponsor sign in CAS, 4) Sign yourself in CAS. 5) Ask ATMs to sign in CAS. 6) Upload signed PDF as supporting docs. NBNBNB: DO NOT TOUCH AFTER STEP 4!!!!!!!!!!!!!!!!</t>
  </si>
  <si>
    <t>Done</t>
  </si>
  <si>
    <t>Readiness Documents</t>
  </si>
  <si>
    <t>Appraisal Plan Summary and Signature</t>
  </si>
  <si>
    <t>1) Export plan from CAS, 2) Send to sponsor as part of final readiness review and for approval + R&amp;R. 3) Accept sponsor sign in CAS, 4) Sign yourself in CAS. 5) Ask ATMs to sign in CAS. 6) NOTHING NEEDS TO BE UPLOADED HERE&gt;  NBNBNB: DO NOT TOUCH AFTER STEP 4!!!!!!!!!!!!!!!!</t>
  </si>
  <si>
    <t>Supporting Document Upload</t>
  </si>
  <si>
    <t>Planned</t>
  </si>
  <si>
    <t>Actual</t>
  </si>
  <si>
    <t>GMT+8</t>
  </si>
  <si>
    <t>GMT+2</t>
  </si>
  <si>
    <t>Team meeting</t>
  </si>
  <si>
    <t>[1] Sponsor</t>
  </si>
  <si>
    <t>[8] Process quality assurance</t>
  </si>
  <si>
    <t>[9] Senior management</t>
  </si>
  <si>
    <t>Document Review</t>
  </si>
  <si>
    <t>[2] Opening Briefing</t>
  </si>
  <si>
    <t>[6] Process management</t>
  </si>
  <si>
    <t>Verification</t>
  </si>
  <si>
    <t>Break</t>
  </si>
  <si>
    <t>[12] Final findings and performance report</t>
  </si>
  <si>
    <t>[3] Project management</t>
  </si>
  <si>
    <t>Practice ratings and Draft preliminary findings</t>
  </si>
  <si>
    <t>Obtain signatures, debriefing, lessons learned, and feedback to ISACA.</t>
  </si>
  <si>
    <t xml:space="preserve">[10] Preliminary findings </t>
  </si>
  <si>
    <t>[11] Preliminary findings</t>
  </si>
  <si>
    <t>[5] Configuration management</t>
  </si>
  <si>
    <t>Practice ratings and Draft Final findings</t>
  </si>
  <si>
    <t>Verification, status Check</t>
  </si>
  <si>
    <t>Verification, Status Check</t>
  </si>
  <si>
    <t>Buffer</t>
  </si>
  <si>
    <t>Description of Change</t>
  </si>
  <si>
    <t>Approval</t>
  </si>
  <si>
    <t>Verify, Status check, Characterization, Practice Rating, OU Rating, Package</t>
  </si>
  <si>
    <t>Final version for on-site</t>
  </si>
  <si>
    <t>Document Review, Interviews, Affirmation</t>
  </si>
  <si>
    <t>2.0</t>
  </si>
  <si>
    <t>Updated change in schedule.</t>
  </si>
  <si>
    <t>Opening, preliminary and final findings</t>
  </si>
  <si>
    <t>Replanning</t>
  </si>
  <si>
    <t>Ratings</t>
  </si>
  <si>
    <t>Practice Level Caharacterizations</t>
  </si>
  <si>
    <t>Download and upload to CAS</t>
  </si>
  <si>
    <t>Pracice Area Ratings</t>
  </si>
  <si>
    <t>Select practice area ratings</t>
  </si>
  <si>
    <t>Appraisal Results and Feedback</t>
  </si>
  <si>
    <t>Team Feedback Froms</t>
  </si>
  <si>
    <t>Perform in CAS</t>
  </si>
  <si>
    <t>Appraisal Artifacts</t>
  </si>
  <si>
    <t>see list in 03_P3RF</t>
  </si>
  <si>
    <t>PA</t>
  </si>
  <si>
    <t>Participant Name</t>
  </si>
  <si>
    <t>WordID2</t>
  </si>
  <si>
    <t>Included</t>
  </si>
  <si>
    <t>Interview</t>
  </si>
  <si>
    <t>PA count</t>
  </si>
  <si>
    <t>&lt;&lt; Change in Planning:B10</t>
  </si>
  <si>
    <t>Sum of PA count</t>
  </si>
  <si>
    <t>Interviews</t>
  </si>
  <si>
    <t>Total Practices</t>
  </si>
  <si>
    <t>Min per practice</t>
  </si>
  <si>
    <t>m required</t>
  </si>
  <si>
    <t>h required</t>
  </si>
  <si>
    <t>Benchmark CMMI DEV - On-site Schedule</t>
  </si>
  <si>
    <t>Phase 2 on-site dates below</t>
  </si>
  <si>
    <t>Day</t>
  </si>
  <si>
    <t>Day 1</t>
  </si>
  <si>
    <t>to Day</t>
  </si>
  <si>
    <t>From - To
GMT+8</t>
  </si>
  <si>
    <t>From - To
GMT+2</t>
  </si>
  <si>
    <t>Review OE</t>
  </si>
  <si>
    <t>LA review OE</t>
  </si>
  <si>
    <t>Mini team 1</t>
  </si>
  <si>
    <t>Teams Review PIIDs</t>
  </si>
  <si>
    <t>Oversight and support</t>
  </si>
  <si>
    <t>[1] Sponsor Meeting</t>
  </si>
  <si>
    <t>[2] Opening Meeting</t>
  </si>
  <si>
    <t>Lunch</t>
  </si>
  <si>
    <t>Consolidation</t>
  </si>
  <si>
    <t>[3] Project Management (continued)</t>
  </si>
  <si>
    <t>Optional - Time allocation in case of virtual service disruptions</t>
  </si>
  <si>
    <t>[4] Engineering (continued)</t>
  </si>
  <si>
    <t>Interview data consolidation, basic unit characterisation and further planning.</t>
  </si>
  <si>
    <t>[6] Process Management (continued)</t>
  </si>
  <si>
    <t>Follow-up &amp; informal interviews as needed</t>
  </si>
  <si>
    <t>[10] Preliminary findings presentation 1</t>
  </si>
  <si>
    <t>[11] Preliminary findings presentation 2</t>
  </si>
  <si>
    <t>Conclude ratings (incl performance report)</t>
  </si>
  <si>
    <t>[12] Final findings presentaiton (incl performance report)</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</si>
  <si>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</si>
  <si>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</si>
  <si>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Benchmark CMMI DEV - On-site Schedule - ACTUAL</t>
  </si>
  <si>
    <t>Consolidation and initial ratings</t>
  </si>
  <si>
    <t>[6] Process Management - additional EPG follow up</t>
  </si>
  <si>
    <t>Planned Schedule:</t>
  </si>
  <si>
    <t>CN</t>
  </si>
  <si>
    <t>ZA</t>
  </si>
  <si>
    <t>OE Review</t>
  </si>
  <si>
    <t>Team Review</t>
  </si>
  <si>
    <t>Consolidate
- Prepare Prelims</t>
  </si>
  <si>
    <t>Rate / Prep FF</t>
  </si>
  <si>
    <t>Review</t>
  </si>
  <si>
    <t xml:space="preserve">[4b] PT2 - 
(RDM/PR/
VV/DAR) </t>
  </si>
  <si>
    <t>[6] Process - EPG/MA- (PAD/PCM/
CAR/MPM)</t>
  </si>
  <si>
    <t>Team Refresher Training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</si>
  <si>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</si>
  <si>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</si>
  <si>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</si>
  <si>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</si>
  <si>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</si>
  <si>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</si>
  <si>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</si>
  <si>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</si>
  <si>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</si>
  <si>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</si>
  <si>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</si>
  <si>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</si>
  <si>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</si>
  <si>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</si>
  <si>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Final Findings (incl PR)</t>
  </si>
  <si>
    <t>Sponsor Debriefing</t>
  </si>
  <si>
    <t>Perf Rpt</t>
  </si>
  <si>
    <t>ATM Debrief
- Lessons
- CAS Upd</t>
  </si>
  <si>
    <t>For resource estimation</t>
  </si>
  <si>
    <t>Step 1: Complete section below</t>
  </si>
  <si>
    <t>Effort</t>
  </si>
  <si>
    <t>Formula</t>
  </si>
  <si>
    <t>ATM</t>
  </si>
  <si>
    <t>Engineers</t>
  </si>
  <si>
    <t>EPG</t>
  </si>
  <si>
    <t>PMs</t>
  </si>
  <si>
    <t>SM</t>
  </si>
  <si>
    <t>ParticipantsPrelim1</t>
  </si>
  <si>
    <t>ParticipantsPrelim2</t>
  </si>
  <si>
    <t>ParticipantsTechTest</t>
  </si>
  <si>
    <t>ParticipantsOpen</t>
  </si>
  <si>
    <t>ParticipantsFinal</t>
  </si>
  <si>
    <t xml:space="preserve">Step 2: Download CAS resource estimate, copy and paste the section below </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</si>
  <si>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</si>
  <si>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</si>
  <si>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</si>
  <si>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</si>
  <si>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</si>
  <si>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</si>
  <si>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</si>
  <si>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</si>
  <si>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</si>
  <si>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</si>
  <si>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EPG/MA</t>
  </si>
  <si>
    <t>Final findings</t>
  </si>
  <si>
    <t>Phase 2 OE review</t>
  </si>
  <si>
    <t>OE collection 1</t>
  </si>
  <si>
    <t>Collect OE</t>
  </si>
  <si>
    <t>OE collection 2</t>
  </si>
  <si>
    <t>Opening briefing</t>
  </si>
  <si>
    <t>Opening Presentation</t>
  </si>
  <si>
    <t>PPQA</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</si>
  <si>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</si>
  <si>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</si>
  <si>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</si>
  <si>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</si>
  <si>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</si>
  <si>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</si>
  <si>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</si>
  <si>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</si>
  <si>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</si>
  <si>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</si>
  <si>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Function Name (required)</t>
  </si>
  <si>
    <t>Project Type</t>
  </si>
  <si>
    <t>Size (FTEs)
(required)</t>
  </si>
  <si>
    <t>Brief Function Description</t>
  </si>
  <si>
    <t>Is this function sensitive? (required)</t>
  </si>
  <si>
    <t>Point of Contact
(required if project marked sensitive)</t>
  </si>
  <si>
    <t>Point of Contact's email address
(required if project marked sensitive)</t>
  </si>
  <si>
    <t>Function Solution Domain</t>
  </si>
  <si>
    <t>Function Uses Suppliers (required)</t>
  </si>
  <si>
    <t>Current Function Manager's Name(s)</t>
  </si>
  <si>
    <t>Support Function</t>
  </si>
  <si>
    <t>Database ID
(blank for new records)</t>
  </si>
  <si>
    <t>Function Description</t>
  </si>
  <si>
    <t>Current Manager's Name(s)</t>
  </si>
  <si>
    <t>Same as organization's address</t>
  </si>
  <si>
    <t>Address Line 1 (required)</t>
  </si>
  <si>
    <t>City (required)</t>
  </si>
  <si>
    <t>State/Province/Region (required)</t>
  </si>
  <si>
    <t>ZIP/Postal Code (required)</t>
  </si>
  <si>
    <t>Country/Region (required)</t>
  </si>
  <si>
    <t>Additional Function Information</t>
  </si>
  <si>
    <t>Project Name (Not Updatable)</t>
  </si>
  <si>
    <t>Brief Project Description (required)</t>
  </si>
  <si>
    <t>Is this project sensitive? (required)</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</si>
  <si>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</si>
  <si>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</si>
  <si>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</si>
  <si>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</si>
  <si>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</si>
  <si>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</si>
  <si>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</si>
  <si>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Country (required)</t>
  </si>
  <si>
    <t>Same as business objective.</t>
  </si>
  <si>
    <t>Database ID (blank for new records)</t>
  </si>
  <si>
    <t>Project Name (required)</t>
  </si>
  <si>
    <t>Project Description (required)</t>
  </si>
  <si>
    <t>Current Life Cycle Phase (required)</t>
  </si>
  <si>
    <t>Start Date (required)</t>
  </si>
  <si>
    <t>Projected End Date (required)</t>
  </si>
  <si>
    <t>Current Manager's Name(s)
(required)</t>
  </si>
  <si>
    <t>Addition Justification (required)</t>
  </si>
  <si>
    <t>Participant's Full Name (required)</t>
  </si>
  <si>
    <t>Participant's Role (required)</t>
  </si>
  <si>
    <t>Function (required)</t>
  </si>
  <si>
    <t>X</t>
  </si>
  <si>
    <t>Practice Group</t>
  </si>
  <si>
    <t>Practice Number</t>
  </si>
  <si>
    <t>Sustaining Habit and Persistence Capability</t>
  </si>
  <si>
    <t>Engineering and Developing Products</t>
  </si>
  <si>
    <t>Planning and Managing Work</t>
  </si>
  <si>
    <t>Selecting and Managing Suppliers</t>
  </si>
  <si>
    <t xml:space="preserve">Level 1 </t>
  </si>
  <si>
    <t>U</t>
  </si>
  <si>
    <t>Practice Group Ratings</t>
  </si>
  <si>
    <t>DM</t>
  </si>
  <si>
    <t>PM</t>
  </si>
  <si>
    <t>Satisfied</t>
  </si>
  <si>
    <t>LM</t>
  </si>
  <si>
    <t>Unsatisfied</t>
  </si>
  <si>
    <t>Level 2</t>
  </si>
  <si>
    <t>Practice Characterization</t>
  </si>
  <si>
    <t>COPY FROM OE DB</t>
  </si>
  <si>
    <t>Fully Meets</t>
  </si>
  <si>
    <t>FM</t>
  </si>
  <si>
    <t>Largely Meets</t>
  </si>
  <si>
    <t>Partially Meets</t>
  </si>
  <si>
    <t>Does Not Meet</t>
  </si>
  <si>
    <t>Not Yet</t>
  </si>
  <si>
    <t>NY</t>
  </si>
  <si>
    <t>Level 3</t>
  </si>
  <si>
    <t xml:space="preserve">Level 4 </t>
  </si>
  <si>
    <t>EXAMPLE</t>
  </si>
  <si>
    <t>Participant Practice Areas</t>
  </si>
  <si>
    <t>Participant projects</t>
  </si>
  <si>
    <t>The sections below are automatically updated and copied to the presentations, do not change it.</t>
  </si>
  <si>
    <t>CMMI® Benchmark Appraisal</t>
  </si>
  <si>
    <t xml:space="preserve">        </t>
  </si>
  <si>
    <t xml:space="preserve"> </t>
  </si>
  <si>
    <t>Opening presentation</t>
  </si>
  <si>
    <t>&lt;&lt; Check, can be same as FF or one day earlier</t>
  </si>
  <si>
    <t>SCAMPI A &gt;&gt;&gt;</t>
  </si>
  <si>
    <t>Next steps</t>
  </si>
  <si>
    <t>Responsibility</t>
  </si>
  <si>
    <t>Provide appraisal feedback to ISACA.</t>
  </si>
  <si>
    <t>Sponsor, LA and ATMs</t>
  </si>
  <si>
    <t>&lt;&lt; Check Date + 3 years</t>
  </si>
  <si>
    <t>Take actions on Final Findings report recommendations and weaknesses.</t>
  </si>
  <si>
    <t>Sponsor and EPG</t>
  </si>
  <si>
    <t>Management agrees and commits to implement an action plan on the findings of this CMMI® Benchmark Appraisal report.</t>
  </si>
  <si>
    <t>&lt;&lt; Searched for EPG's Name</t>
  </si>
  <si>
    <t>OU name</t>
  </si>
  <si>
    <t>OU description</t>
  </si>
  <si>
    <t>Linked to "Ratings for" in presentation</t>
  </si>
  <si>
    <t>Appraisal sponsor</t>
  </si>
  <si>
    <t>Relationship to OU</t>
  </si>
  <si>
    <t>ATL Name</t>
  </si>
  <si>
    <t>LA ID#</t>
  </si>
  <si>
    <t>Home organisation</t>
  </si>
  <si>
    <t>Sponsor organisation</t>
  </si>
  <si>
    <t>ATL name</t>
  </si>
  <si>
    <t>ATM name</t>
  </si>
  <si>
    <t>OUC name</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</si>
  <si>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</si>
  <si>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</si>
  <si>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</si>
  <si>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</si>
  <si>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</si>
  <si>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</si>
  <si>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</si>
  <si>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</si>
  <si>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Capability Area</t>
  </si>
  <si>
    <t>MAX</t>
  </si>
  <si>
    <t>Ensuring Quality (ENQ)</t>
  </si>
  <si>
    <t>Requirements Development and Management (RDM)</t>
  </si>
  <si>
    <t>Process Quality Assurance (PQA)</t>
  </si>
  <si>
    <t>Verification and Validation (VV)</t>
  </si>
  <si>
    <t>Peer Reviews (PR)</t>
  </si>
  <si>
    <t>Engineering &amp; Developing Products (EDP)</t>
  </si>
  <si>
    <t>Technical Solution (TS)</t>
  </si>
  <si>
    <t>Product Integration (PI)</t>
  </si>
  <si>
    <t>Supplier Agreement Management</t>
  </si>
  <si>
    <t>Planning and Managing Work (PMW)</t>
  </si>
  <si>
    <t>Estimating (EST)</t>
  </si>
  <si>
    <t>Planning (PLAN)</t>
  </si>
  <si>
    <t>Monitor and Control (MC)</t>
  </si>
  <si>
    <t>Managing Business Resilience (MBR)</t>
  </si>
  <si>
    <t>Risk and Opportunity Management (RSK)</t>
  </si>
  <si>
    <t>Managing the Workforce (MWF)</t>
  </si>
  <si>
    <t>Organizational Training (OT)</t>
  </si>
  <si>
    <t>Supporting Implementation (SI)</t>
  </si>
  <si>
    <t>Causal Analysis and Resolution (CAR)</t>
  </si>
  <si>
    <t>Decision Analysis and Resolution (DAR)</t>
  </si>
  <si>
    <t>Configuration Management (CM)</t>
  </si>
  <si>
    <t>Sustaining Habit and Persistence (SHP)</t>
  </si>
  <si>
    <t>Governance (GOV)</t>
  </si>
  <si>
    <t>Implementation Infrastructure (II)</t>
  </si>
  <si>
    <t>Improving Performance (IMP)</t>
  </si>
  <si>
    <t>Managing Performance and Measurement (MPM)</t>
  </si>
  <si>
    <t>Process Management (PCM)</t>
  </si>
  <si>
    <t>Process Asset Development (PAD)</t>
  </si>
  <si>
    <t>Sampled</t>
  </si>
  <si>
    <t>Sub group</t>
  </si>
  <si>
    <t>Project name</t>
  </si>
  <si>
    <t>FTE</t>
  </si>
  <si>
    <t>Address</t>
  </si>
  <si>
    <t>c</t>
  </si>
  <si>
    <t>Support functions</t>
  </si>
  <si>
    <t>Organizational</t>
  </si>
  <si>
    <t>Team Role</t>
  </si>
  <si>
    <t>Name (printed/typed)</t>
  </si>
  <si>
    <t>Signature</t>
  </si>
  <si>
    <t>Appraisal team leader</t>
  </si>
  <si>
    <t>公司需要提升的：What the company needs to improve</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</si>
  <si>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</si>
  <si>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</si>
  <si>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</si>
  <si>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</si>
  <si>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</si>
  <si>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</si>
  <si>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做组织行业专家研讨、培训</t>
  </si>
  <si>
    <t>Organize industry experts to discuss and train</t>
  </si>
  <si>
    <t>加班福利较少，希望增加补贴</t>
  </si>
  <si>
    <t>Overtime benefits are less, hope the organization to increase compensation</t>
  </si>
  <si>
    <t>公司好的方面：What's good about the company</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</si>
  <si>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</si>
  <si>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</si>
  <si>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</si>
  <si>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</si>
  <si>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</si>
  <si>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</si>
  <si>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</si>
  <si>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</si>
  <si>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</si>
  <si>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</si>
  <si>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Special characters lookup</t>
  </si>
  <si>
    <t>Appraisal Role</t>
  </si>
  <si>
    <t>Constraints</t>
  </si>
  <si>
    <t>COI</t>
  </si>
  <si>
    <t>Affiliation</t>
  </si>
  <si>
    <t>Level Type</t>
  </si>
  <si>
    <t>Afghanistan</t>
  </si>
  <si>
    <t>(A-01) Agriculture, forestry and fishing - Crop and animal production, hunting and related service activities</t>
  </si>
  <si>
    <t>Maturity Level 2 Dep</t>
  </si>
  <si>
    <t>CMMI Development (CMMI-DEV)</t>
  </si>
  <si>
    <t>Appraisal Team Member</t>
  </si>
  <si>
    <t>UTC</t>
  </si>
  <si>
    <t>Benchmark</t>
  </si>
  <si>
    <t>Discovery</t>
  </si>
  <si>
    <t>Demonstration</t>
  </si>
  <si>
    <t>Consultants</t>
  </si>
  <si>
    <t>Access to the storage of OE on the OU network</t>
  </si>
  <si>
    <t>Duration</t>
  </si>
  <si>
    <t>Team member authors one or more processes</t>
  </si>
  <si>
    <t>Executive Session</t>
  </si>
  <si>
    <t>Individual reports to another team member</t>
  </si>
  <si>
    <t>Level 1</t>
  </si>
  <si>
    <t>Åland Islands</t>
  </si>
  <si>
    <t>(A-02) Agriculture, forestry and fishing - Forestry and logging</t>
  </si>
  <si>
    <t>Maturity Level 3 Dep</t>
  </si>
  <si>
    <t>Observer</t>
  </si>
  <si>
    <t>Customer</t>
  </si>
  <si>
    <t>(UTC-12:00) International Date Line West</t>
  </si>
  <si>
    <t>Sustainment</t>
  </si>
  <si>
    <t>Project Team Members</t>
  </si>
  <si>
    <t>Funding</t>
  </si>
  <si>
    <t>Logistics</t>
  </si>
  <si>
    <t>Team member is a member of the organization's process group</t>
  </si>
  <si>
    <t>Capability Level</t>
  </si>
  <si>
    <t>51-100</t>
  </si>
  <si>
    <t>Albania</t>
  </si>
  <si>
    <t>(A-03) Agriculture, forestry and fishing - Fishing and aquaculter</t>
  </si>
  <si>
    <t>Maturity Level 4 Dep</t>
  </si>
  <si>
    <t>CMMI Services (CMMI-SVC)</t>
  </si>
  <si>
    <t>(UTC-11:00) Coordinated Universal Time-11</t>
  </si>
  <si>
    <t>Evaluation</t>
  </si>
  <si>
    <t>Data Call</t>
  </si>
  <si>
    <t>Required tools and software</t>
  </si>
  <si>
    <t>Facilities</t>
  </si>
  <si>
    <t>Team member is a process owner</t>
  </si>
  <si>
    <t>Process Improvement Action Plan</t>
  </si>
  <si>
    <t>Individual reports to any org support functions or in-scope projects within the OU</t>
  </si>
  <si>
    <t>Gaungzhou Kingden Sofware Technology</t>
  </si>
  <si>
    <t>101-150</t>
  </si>
  <si>
    <t>Algeria</t>
  </si>
  <si>
    <t>(B-05) Mining and quarrying - Mining of coal and lignite</t>
  </si>
  <si>
    <t>Maturity Level 5 Dep</t>
  </si>
  <si>
    <t>Organizational Structure</t>
  </si>
  <si>
    <t>(UTC-10:00) Hawaii</t>
  </si>
  <si>
    <t>OU</t>
  </si>
  <si>
    <t>Security and access needs (e.g., badges, escorts, etc.)</t>
  </si>
  <si>
    <t>Security and Information Management</t>
  </si>
  <si>
    <t>Team member has a supervisory authority over one or more parts of the OU</t>
  </si>
  <si>
    <t>Recommendation Report</t>
  </si>
  <si>
    <t>Individual is employed by the ATL's organization</t>
  </si>
  <si>
    <t>Level 4</t>
  </si>
  <si>
    <t>ISAC</t>
  </si>
  <si>
    <t>151-200</t>
  </si>
  <si>
    <t>American Samoa</t>
  </si>
  <si>
    <t>(B-06) Mining and quarrying - Extraction of crude petroleum and natural gas</t>
  </si>
  <si>
    <t>Capability Level Dep</t>
  </si>
  <si>
    <t>CMMI Supplier Management (CMMI-SPM)</t>
  </si>
  <si>
    <t>(UTC-10:00) Aleutian Islands</t>
  </si>
  <si>
    <t>Presentation</t>
  </si>
  <si>
    <t>Specific Sample Size</t>
  </si>
  <si>
    <t>Cost</t>
  </si>
  <si>
    <t>Team member has served on previous appraisals in the same OU</t>
  </si>
  <si>
    <t>Individual is employed by the org helping the OU develop, deploy, or provide consulting for processes</t>
  </si>
  <si>
    <t>Executive Summary</t>
  </si>
  <si>
    <t>201-250</t>
  </si>
  <si>
    <t>Andorra</t>
  </si>
  <si>
    <t>(B-07) Mining and quarrying - Mining of metal ores</t>
  </si>
  <si>
    <t>(UTC-09:30) Marquesas Islands</t>
  </si>
  <si>
    <t>Written</t>
  </si>
  <si>
    <t>Staffing</t>
  </si>
  <si>
    <t>Team member has been interviewed or provided evidence</t>
  </si>
  <si>
    <t>251-300</t>
  </si>
  <si>
    <t>Angola</t>
  </si>
  <si>
    <t>(B-08) Mining and quarrying - Other mining and quarrying</t>
  </si>
  <si>
    <t>(UTC-09:00) Coordinated Universal Time-09</t>
  </si>
  <si>
    <t>A facility with a projector available for performing the opening presentation findings briefings</t>
  </si>
  <si>
    <t>Team member is involved in process or product quality audits</t>
  </si>
  <si>
    <t>301-350</t>
  </si>
  <si>
    <t>Anguilla</t>
  </si>
  <si>
    <t>(B-09) Mining and quarrying - Mining support service activities</t>
  </si>
  <si>
    <t>(UTC-09:00) Alaska</t>
  </si>
  <si>
    <t>Access to a copier</t>
  </si>
  <si>
    <t>Team member provided coaching, consulting, or labor for the OU in support of this appraisal</t>
  </si>
  <si>
    <t>351-400</t>
  </si>
  <si>
    <t>Antarctica</t>
  </si>
  <si>
    <t>(C-10) Manufacturing - Manufacture of food products</t>
  </si>
  <si>
    <t>(UTC-08:00) Pacific Time (US &amp; Canada)</t>
  </si>
  <si>
    <t>Access to a printer that can be used to print potentially appraisal-confidential information</t>
  </si>
  <si>
    <t>Team member is internal to the organization being appraised</t>
  </si>
  <si>
    <t>401-450</t>
  </si>
  <si>
    <t>Antigua &amp; Barbuda</t>
  </si>
  <si>
    <t>(C-11) Manufacturing - Manufacture of beverages</t>
  </si>
  <si>
    <t>(UTC-08:00) Coordinated Universal Time-08</t>
  </si>
  <si>
    <t>Office supplies (e.g., self-sticking flip chart paper, notepads or other paper, white board pens, magic markers, writing pens)</t>
  </si>
  <si>
    <t>Translator is an ATM</t>
  </si>
  <si>
    <t>451-500</t>
  </si>
  <si>
    <t>Argentina</t>
  </si>
  <si>
    <t>(C-12) Manufacturing - Manufacture of tobacco products</t>
  </si>
  <si>
    <t>(UTC-08:00) Baja California</t>
  </si>
  <si>
    <t>Projector(s) for use throughout the appraisal, as needed</t>
  </si>
  <si>
    <t>Translator works for appraised organization</t>
  </si>
  <si>
    <t>&gt;500</t>
  </si>
  <si>
    <t>Armenia</t>
  </si>
  <si>
    <t>(C-13) Manufacturing - Manufacture of textiles</t>
  </si>
  <si>
    <t>(UTC-07:00) Mountain Time (US &amp; Canada)</t>
  </si>
  <si>
    <t>Document storage boxes (if necessary)</t>
  </si>
  <si>
    <t>Translator works within the OU</t>
  </si>
  <si>
    <t>Aruba</t>
  </si>
  <si>
    <t>(C-14) Manufacturing - Manufacture of wearing apparel</t>
  </si>
  <si>
    <t>(UTC-07:00) Chihuahua, La Paz, Mazatlan</t>
  </si>
  <si>
    <t>A mechanism for use by the appraisal team to securely dispose of notes and intermediate work products to protect confidentiality and non-attribution.</t>
  </si>
  <si>
    <t>Ascension Island</t>
  </si>
  <si>
    <t>(C-15) Manufacturing - Manufacture of leather and related products</t>
  </si>
  <si>
    <t>(UTC-07:00) Arizona</t>
  </si>
  <si>
    <t>Appraisal Team Leader is internal to the OU (only applies to Evaluation appraisals)</t>
  </si>
  <si>
    <t>Australia</t>
  </si>
  <si>
    <t>(C-16) Manufacturing - Manufacture of wood and of products of wood and cork, except furniture; manufacture of articles of straw and plaiting materials</t>
  </si>
  <si>
    <t>(UTC-06:00) Saskatchewan</t>
  </si>
  <si>
    <t>Austria</t>
  </si>
  <si>
    <t>(C-17) Manufacturing - Manufacture of paper and paper products</t>
  </si>
  <si>
    <t>(UTC-06:00) Guadalajara, Mexico City, Monterrey</t>
  </si>
  <si>
    <t>Azerbaijan</t>
  </si>
  <si>
    <t>(C-18) Manufacturing - Printing and reproduction of recorded media</t>
  </si>
  <si>
    <t>(UTC-06:00) Easter Island</t>
  </si>
  <si>
    <t>Bahamas</t>
  </si>
  <si>
    <t>(C-19) Manufacturing - Manufacture of coke and refined petroleum products</t>
  </si>
  <si>
    <t>(UTC-06:00) Central Time (US &amp; Canada)</t>
  </si>
  <si>
    <t>Bahrain</t>
  </si>
  <si>
    <t>(C-20) Manufacturing - Manufacture of chemicals and chemical products</t>
  </si>
  <si>
    <t>(UTC-06:00) Central America</t>
  </si>
  <si>
    <t>Bangladesh</t>
  </si>
  <si>
    <t>(C-21) Manufacturing - Manufacture of basic pharmaceutical products and pharmaceutical preparations</t>
  </si>
  <si>
    <t>(UTC-05:00) Turks and Caicos</t>
  </si>
  <si>
    <t>Barbados</t>
  </si>
  <si>
    <t>(C-22) Manufacturing - Manufacture of rubber and plastics products</t>
  </si>
  <si>
    <t>(UTC-05:00) Indiana (East)</t>
  </si>
  <si>
    <t>Belarus</t>
  </si>
  <si>
    <t>(C-23) Manufacturing - Manufacture of other non-metallic mineral products</t>
  </si>
  <si>
    <t>(UTC-05:00) Havana</t>
  </si>
  <si>
    <t>Belgium</t>
  </si>
  <si>
    <t>(C-24) Manufacturing - Manufacture of basic metals</t>
  </si>
  <si>
    <t>(UTC-05:00) Haiti</t>
  </si>
  <si>
    <t>Belize</t>
  </si>
  <si>
    <t>(C-25) Manufacturing - Manufacture of fabricated metal products, except machinery and equipment</t>
  </si>
  <si>
    <t>(UTC-05:00) Eastern Time (US &amp; Canada)</t>
  </si>
  <si>
    <t>Benin</t>
  </si>
  <si>
    <t>(C-26) Manufacturing - Manufacture of computer, electronic and optical products</t>
  </si>
  <si>
    <t>(UTC-05:00) Chetumal</t>
  </si>
  <si>
    <t>Bermuda</t>
  </si>
  <si>
    <t>(C-27) Manufacturing - Manufacture of electrical equipment</t>
  </si>
  <si>
    <t>(UTC-05:00) Bogota, Lima, Quito, Rio Branco</t>
  </si>
  <si>
    <t>Bhutan</t>
  </si>
  <si>
    <t>(C-28) Manufacturing - Manufacture of machinery and equipment n.e.c.</t>
  </si>
  <si>
    <t>(UTC-04:00) Santiago</t>
  </si>
  <si>
    <t>Bolivia</t>
  </si>
  <si>
    <t>(C-29) Manufacturing - Manufacture of motor vehicles, trailers and semi-trailers</t>
  </si>
  <si>
    <t>(UTC-04:00) Georgetown, La Paz, Manaus, San Juan</t>
  </si>
  <si>
    <t>Bosnia &amp; Herzegovina</t>
  </si>
  <si>
    <t>(C-30) Manufacturing - Manufacture of other transport equipment</t>
  </si>
  <si>
    <t>(UTC-04:00) Cuiaba</t>
  </si>
  <si>
    <t>Botswana</t>
  </si>
  <si>
    <t>(C-31) Manufacturing - Manufacture of furniture</t>
  </si>
  <si>
    <t>(UTC-04:00) Caracas</t>
  </si>
  <si>
    <t>Brazil</t>
  </si>
  <si>
    <t>(C-32) Manufacturing - Other manufacturing</t>
  </si>
  <si>
    <t>(UTC-04:00) Atlantic Time (Canada)</t>
  </si>
  <si>
    <t>British Indian Ocean Territory</t>
  </si>
  <si>
    <t>(C-33) Manufacturing - Repair and installation of machinery and equipment</t>
  </si>
  <si>
    <t>(UTC-04:00) Asuncion</t>
  </si>
  <si>
    <t>PracticeCount</t>
  </si>
  <si>
    <t>British Virgin Islands</t>
  </si>
  <si>
    <t>(D-35) Electricity, gas, steam and air conditioning supply</t>
  </si>
  <si>
    <t>(UTC-03:30) Newfoundland</t>
  </si>
  <si>
    <t>Brunei</t>
  </si>
  <si>
    <t>(E-36) Water supply; sewerage, waste management and remediation activities - Water collection, treatment and supply</t>
  </si>
  <si>
    <t>(UTC-03:00) Salvador</t>
  </si>
  <si>
    <t>Bulgaria</t>
  </si>
  <si>
    <t>(E-37) Water supply; sewerage, waste management and remediation activities - Sewerage</t>
  </si>
  <si>
    <t>(UTC-03:00) Saint Pierre and Miquelon</t>
  </si>
  <si>
    <t>Burkina Faso</t>
  </si>
  <si>
    <t>(E-38) Water supply; sewerage, waste management and remediation activities - Waste collection, treatment and disposal activities; materials recovery</t>
  </si>
  <si>
    <t>(UTC-03:00) Punta Arenas</t>
  </si>
  <si>
    <t>Burundi</t>
  </si>
  <si>
    <t>(E-39) Water supply; sewerage, waste management and remediation activities - Remediation activities and other waste management services</t>
  </si>
  <si>
    <t>(UTC-03:00) Montevideo</t>
  </si>
  <si>
    <t>Cambodia</t>
  </si>
  <si>
    <t>(F-41) Construction - Construction of buildings</t>
  </si>
  <si>
    <t>(UTC-03:00) Greenland</t>
  </si>
  <si>
    <t>Cameroon</t>
  </si>
  <si>
    <t>(F-42) Construction - Civil engineering</t>
  </si>
  <si>
    <t>(UTC-03:00) City of Buenos Aires</t>
  </si>
  <si>
    <t>Canada</t>
  </si>
  <si>
    <t>(F-43) Construction - Specialized construction activities</t>
  </si>
  <si>
    <t>(UTC-03:00) Cayenne, Fortaleza</t>
  </si>
  <si>
    <t>Canary Islands</t>
  </si>
  <si>
    <t>(G-45) Wholesale and retail trade; repair of motor vehicles and motorcycles - Wholesale and retail trade and repair of motor vehicles and motorcycles</t>
  </si>
  <si>
    <t>(UTC-03:00) Brasilia</t>
  </si>
  <si>
    <t>Cape Verde</t>
  </si>
  <si>
    <t>(G-46) Wholesale and retail trade; repair of motor vehicles and motorcycles - Wholesale trade, except of motor vehicles and motorcycles</t>
  </si>
  <si>
    <t>(UTC-03:00) Araguaina</t>
  </si>
  <si>
    <t>Caribbean Netherlands</t>
  </si>
  <si>
    <t>(G-47) Wholesale and retail trade; repair of motor vehicles and motorcycles - Retail trade, except of motor vehicles and motorcycles</t>
  </si>
  <si>
    <t>(UTC-02:00) Mid-Atlantic - Old</t>
  </si>
  <si>
    <t>Cayman Islands</t>
  </si>
  <si>
    <t>(H-49) Transportation and storage - Land transport and transport via pipelines</t>
  </si>
  <si>
    <t>(UTC-02:00) Coordinated Universal Time-02</t>
  </si>
  <si>
    <t>Central African Republic</t>
  </si>
  <si>
    <t>(H-50) Transportation and storage - Water transport</t>
  </si>
  <si>
    <t>(UTC-01:00) Cabo Verde Is.</t>
  </si>
  <si>
    <t>Ceuta &amp; Melilla</t>
  </si>
  <si>
    <t>(H-51) Transportation and storage - Air transport</t>
  </si>
  <si>
    <t>(UTC-01:00) Azores</t>
  </si>
  <si>
    <t>Chad</t>
  </si>
  <si>
    <t>(H-52) Transportation and storage - Warehousing and support activities for transportation</t>
  </si>
  <si>
    <t>(UTC+00:00) Dublin, Edinburgh, Lisbon, London</t>
  </si>
  <si>
    <t>Chile</t>
  </si>
  <si>
    <t>(H-53) Transportation and storage - Postal and courier activities</t>
  </si>
  <si>
    <t>(UTC+00:00) Monrovia, Reykjavik</t>
  </si>
  <si>
    <t>(I-55) Accommodation and food service activities - Accommodation</t>
  </si>
  <si>
    <t>(UTC+00:00) Sao Tome</t>
  </si>
  <si>
    <t>Christmas Island</t>
  </si>
  <si>
    <t>(I-56) Accommodation and food service activities - Food and beverage service activities</t>
  </si>
  <si>
    <t>(UTC+01:00) Amsterdam, Berlin, Bern, Rome, Stockholm, Vienna</t>
  </si>
  <si>
    <t>Cocos (Keeling) Islands</t>
  </si>
  <si>
    <t>(J-58) Information and communication - Publishing activities</t>
  </si>
  <si>
    <t>(UTC+01:00) Belgrade, Bratislava, Budapest, Ljubljana, Prague</t>
  </si>
  <si>
    <t>Colombia</t>
  </si>
  <si>
    <t>(J-59) Information and communication - Motion picture, video and television programme production, sound recording and music publishing activities</t>
  </si>
  <si>
    <t>(UTC+01:00) Brussels, Copenhagen, Madrid, Paris</t>
  </si>
  <si>
    <t>Comoros</t>
  </si>
  <si>
    <t>(J-60) Information and communication - Programming and broadcasting activities</t>
  </si>
  <si>
    <t>(UTC+01:00) Casablanca</t>
  </si>
  <si>
    <t>Congo - Brazzaville</t>
  </si>
  <si>
    <t>(J-61) Information and communication - Telecommunications</t>
  </si>
  <si>
    <t>(UTC+01:00) Sarajevo, Skopje, Warsaw, Zagreb</t>
  </si>
  <si>
    <t>Congo - Kinshasa</t>
  </si>
  <si>
    <t>(UTC+01:00) West Central Africa</t>
  </si>
  <si>
    <t>Cook Islands</t>
  </si>
  <si>
    <t>(J-63) Information and communication - Information service activities</t>
  </si>
  <si>
    <t>(UTC+02:00) Amman</t>
  </si>
  <si>
    <t>Costa Rica</t>
  </si>
  <si>
    <t>(K-64) Financial and insurance activities - Financial service activities, except insurance and pension funding</t>
  </si>
  <si>
    <t>(UTC+02:00) Athens, Bucharest</t>
  </si>
  <si>
    <t>Côte d’Ivoire</t>
  </si>
  <si>
    <t>(K-65) Financial and insurance activities - Insurance, reinsurance and pension funding, except compulsory social security</t>
  </si>
  <si>
    <t>(UTC+02:00) Beirut</t>
  </si>
  <si>
    <t>Croatia</t>
  </si>
  <si>
    <t>(K-66) Financial and insurance activities - Activities auxiliary to financial service and insurance activities</t>
  </si>
  <si>
    <t>(UTC+02:00) Cairo</t>
  </si>
  <si>
    <t>Cuba</t>
  </si>
  <si>
    <t>(L-68) Real estate activities</t>
  </si>
  <si>
    <t>(UTC+02:00) Chisinau</t>
  </si>
  <si>
    <t>Curaçao</t>
  </si>
  <si>
    <t>(M-69) Professional, scientific and technical activities - Legal and accounting activities</t>
  </si>
  <si>
    <t>(UTC+02:00) Damascus</t>
  </si>
  <si>
    <t>Cyprus</t>
  </si>
  <si>
    <t>(M-70) Professional, scientific and technical activities - Activities of head offices; management consultancy activities</t>
  </si>
  <si>
    <t>(UTC+02:00) Gaza, Hebron</t>
  </si>
  <si>
    <t>Czechia</t>
  </si>
  <si>
    <t>(M-71) Professional, scientific and technical activities - Architectural and engineering activities; technical testing and analysis</t>
  </si>
  <si>
    <t>(UTC+02:00) Harare, Pretoria</t>
  </si>
  <si>
    <t>Denmark</t>
  </si>
  <si>
    <t>(M-72) Professional, scientific and technical activities - Scientific research and development</t>
  </si>
  <si>
    <t>(UTC+02:00) Helsinki, Kyiv, Riga, Sofia, Tallinn, Vilnius</t>
  </si>
  <si>
    <t>Diego Garcia</t>
  </si>
  <si>
    <t>(M-73) Professional, scientific and technical activities - Advertising and market research</t>
  </si>
  <si>
    <t>(UTC+02:00) Jerusalem</t>
  </si>
  <si>
    <t>Djibouti</t>
  </si>
  <si>
    <t>(M-74) Professional, scientific and technical activities - Other professional, scientific and technical activities</t>
  </si>
  <si>
    <t>(UTC+02:00) Kaliningrad</t>
  </si>
  <si>
    <t>Dominica</t>
  </si>
  <si>
    <t>(M-75) Professional, scientific and technical activities - Veterinary activities</t>
  </si>
  <si>
    <t>(UTC+02:00) Khartoum</t>
  </si>
  <si>
    <t>Dominican Republic</t>
  </si>
  <si>
    <t>(N-77) Administrative and support service activities - Rental and leasing activities</t>
  </si>
  <si>
    <t>(UTC+02:00) Tripoli</t>
  </si>
  <si>
    <t>Ecuador</t>
  </si>
  <si>
    <t>(N-78) Administrative and support service activities - Employment activities</t>
  </si>
  <si>
    <t>(UTC+02:00) Windhoek</t>
  </si>
  <si>
    <t>Egypt</t>
  </si>
  <si>
    <t>(N-79) Administrative and support service activities - Travel agency, tour operator, reservation service and related activities</t>
  </si>
  <si>
    <t>(UTC+03:00) Baghdad</t>
  </si>
  <si>
    <t>El Salvador</t>
  </si>
  <si>
    <t>(N-80) Administrative and support service activities - Security and investigation activities</t>
  </si>
  <si>
    <t>(UTC+03:00) Istanbul</t>
  </si>
  <si>
    <t>Equatorial Guinea</t>
  </si>
  <si>
    <t>(N-81) Administrative and support service activities - Services to buildings and landscape activities</t>
  </si>
  <si>
    <t>(UTC+03:00) Kuwait, Riyadh</t>
  </si>
  <si>
    <t>Eritrea</t>
  </si>
  <si>
    <t>(N-82) Administrative and support service activities - Office administrative, office support and other business support activities</t>
  </si>
  <si>
    <t>(UTC+03:00) Minsk</t>
  </si>
  <si>
    <t>Estonia</t>
  </si>
  <si>
    <t>(O-84) Public administration and defence; compulsory social security</t>
  </si>
  <si>
    <t>(UTC+03:00) Moscow, St. Petersburg</t>
  </si>
  <si>
    <t>Ethiopia</t>
  </si>
  <si>
    <t>(P-85) Education</t>
  </si>
  <si>
    <t>(UTC+03:00) Nairobi</t>
  </si>
  <si>
    <t>Eurozone</t>
  </si>
  <si>
    <t>(Q-86) Human health and social work activities - Human health activities</t>
  </si>
  <si>
    <t>(UTC+03:30) Tehran</t>
  </si>
  <si>
    <t>Falkland Islands</t>
  </si>
  <si>
    <t>(Q-87) Human health and social work activities - Residential care activities</t>
  </si>
  <si>
    <t>(UTC+04:00) Abu Dhabi, Muscat</t>
  </si>
  <si>
    <t>Faroe Islands</t>
  </si>
  <si>
    <t>(Q-88) Human health and social work activities - Social work activities without accommodation</t>
  </si>
  <si>
    <t>(UTC+04:00) Astrakhan, Ulyanovsk</t>
  </si>
  <si>
    <t>Fiji</t>
  </si>
  <si>
    <t>(R-90) Arts, entertainment and recreation - Creative, arts and entertainment activities</t>
  </si>
  <si>
    <t>(UTC+04:00) Baku</t>
  </si>
  <si>
    <t>Finland</t>
  </si>
  <si>
    <t>(R-91) Arts, entertainment and recreation - Libraries, archives, museums and other cultural activities</t>
  </si>
  <si>
    <t>(UTC+04:00) Izhevsk, Samara</t>
  </si>
  <si>
    <t>France</t>
  </si>
  <si>
    <t>(R-92) Arts, entertainment and recreation - Gambling and betting activities</t>
  </si>
  <si>
    <t>(UTC+04:00) Port Louis</t>
  </si>
  <si>
    <t>French Guiana</t>
  </si>
  <si>
    <t>(R-93) Arts, entertainment and recreation - Sports activities and amusement and recreation activities</t>
  </si>
  <si>
    <t>(UTC+04:00) Saratov</t>
  </si>
  <si>
    <t>French Polynesia</t>
  </si>
  <si>
    <t>(S-94) Other service activities - Activities of membership organizations</t>
  </si>
  <si>
    <t>(UTC+04:00) Tbilisi</t>
  </si>
  <si>
    <t>French Southern Territories</t>
  </si>
  <si>
    <t>(S-95) Other service activities - Repair of computers and personal and household goods</t>
  </si>
  <si>
    <t>(UTC+04:00) Volgograd</t>
  </si>
  <si>
    <t>Gabon</t>
  </si>
  <si>
    <t>(S-96) Other service activities - Other personal service activities</t>
  </si>
  <si>
    <t>(UTC+04:00) Yerevan</t>
  </si>
  <si>
    <t>Gambia</t>
  </si>
  <si>
    <t>(T-97) Activities of households as employers; undifferentiated goods- and services-producing activities of households for own use - Activities of households as employers of domestic personnel</t>
  </si>
  <si>
    <t>(UTC+04:30) Kabul</t>
  </si>
  <si>
    <t>Georgia</t>
  </si>
  <si>
    <t>(T-98) Activities of households as employers; undifferentiated goods- and services-producing activities of households for own use - Undifferentiated goods- and services-producing activities of private households for own use</t>
  </si>
  <si>
    <t>(UTC+05:00) Ashgabat, Tashkent</t>
  </si>
  <si>
    <t>Germany</t>
  </si>
  <si>
    <t>(U-99) Activities of extraterritorial organizations and bodies</t>
  </si>
  <si>
    <t>(UTC+05:00) Ekaterinburg</t>
  </si>
  <si>
    <t>Ghana</t>
  </si>
  <si>
    <t>(UTC+05:00) Islamabad, Karachi</t>
  </si>
  <si>
    <t>Gibraltar</t>
  </si>
  <si>
    <t>(UTC+05:00) Qyzylorda</t>
  </si>
  <si>
    <t>Greece</t>
  </si>
  <si>
    <t>(UTC+05:30) Chennai, Kolkata, Mumbai, New Delhi</t>
  </si>
  <si>
    <t>Greenland</t>
  </si>
  <si>
    <t>(UTC+05:30) Sri Jayawardenepura</t>
  </si>
  <si>
    <t>Grenada</t>
  </si>
  <si>
    <t>(UTC+05:45) Kathmandu</t>
  </si>
  <si>
    <t>Guadeloupe</t>
  </si>
  <si>
    <t>(UTC+06:00) Astana</t>
  </si>
  <si>
    <t>Guam</t>
  </si>
  <si>
    <t>(UTC+06:00) Dhaka</t>
  </si>
  <si>
    <t>Guatemala</t>
  </si>
  <si>
    <t>(UTC+06:00) Omsk</t>
  </si>
  <si>
    <t>Guernsey</t>
  </si>
  <si>
    <t>(UTC+06:30) Yangon (Rangoon)</t>
  </si>
  <si>
    <t>Guinea</t>
  </si>
  <si>
    <t>(UTC+07:00) Bangkok, Hanoi, Jakarta</t>
  </si>
  <si>
    <t>Guinea-Bissau</t>
  </si>
  <si>
    <t>(UTC+07:00) Barnaul, Gorno-Altaysk</t>
  </si>
  <si>
    <t>Guyana</t>
  </si>
  <si>
    <t>(UTC+07:00) Hovd</t>
  </si>
  <si>
    <t>Haiti</t>
  </si>
  <si>
    <t>(UTC+07:00) Krasnoyarsk</t>
  </si>
  <si>
    <t>Honduras</t>
  </si>
  <si>
    <t>(UTC+07:00) Novosibirsk</t>
  </si>
  <si>
    <t>Hong Kong SAR China</t>
  </si>
  <si>
    <t>(UTC+07:00) Tomsk</t>
  </si>
  <si>
    <t>Hungary</t>
  </si>
  <si>
    <t>Iceland</t>
  </si>
  <si>
    <t>(UTC+08:00) Irkutsk</t>
  </si>
  <si>
    <t>India</t>
  </si>
  <si>
    <t>(UTC+08:00) Kuala Lumpur, Singapore</t>
  </si>
  <si>
    <t>Indonesia</t>
  </si>
  <si>
    <t>(UTC+08:00) Perth</t>
  </si>
  <si>
    <t>Iran</t>
  </si>
  <si>
    <t>(UTC+08:00) Taipei</t>
  </si>
  <si>
    <t>Iraq</t>
  </si>
  <si>
    <t>(UTC+08:00) Ulaanbaatar</t>
  </si>
  <si>
    <t>Ireland</t>
  </si>
  <si>
    <t>(UTC+08:45) Eucla</t>
  </si>
  <si>
    <t>Isle of Man</t>
  </si>
  <si>
    <t>(UTC+09:00) Chita</t>
  </si>
  <si>
    <t>Israel</t>
  </si>
  <si>
    <t>(UTC+09:00) Osaka, Sapporo, Tokyo</t>
  </si>
  <si>
    <t>Italy</t>
  </si>
  <si>
    <t>(UTC+09:00) Pyongyang</t>
  </si>
  <si>
    <t>Jamaica</t>
  </si>
  <si>
    <t>(UTC+09:00) Seoul</t>
  </si>
  <si>
    <t>Japan</t>
  </si>
  <si>
    <t>(UTC+09:00) Yakutsk</t>
  </si>
  <si>
    <t>Jersey</t>
  </si>
  <si>
    <t>(UTC+09:30) Adelaide</t>
  </si>
  <si>
    <t>Jordan</t>
  </si>
  <si>
    <t>(UTC+09:30) Darwin</t>
  </si>
  <si>
    <t>Kazakhstan</t>
  </si>
  <si>
    <t>(UTC+10:00) Brisbane</t>
  </si>
  <si>
    <t>Kenya</t>
  </si>
  <si>
    <t>(UTC+10:00) Canberra, Melbourne, Sydney</t>
  </si>
  <si>
    <t>Kiribati</t>
  </si>
  <si>
    <t>(UTC+10:00) Guam, Port Moresby</t>
  </si>
  <si>
    <t>Kosovo</t>
  </si>
  <si>
    <t>(UTC+10:00) Hobart</t>
  </si>
  <si>
    <t>Kuwait</t>
  </si>
  <si>
    <t>(UTC+10:00) Vladivostok</t>
  </si>
  <si>
    <t>Kyrgyzstan</t>
  </si>
  <si>
    <t>(UTC+10:30) Lord Howe Island</t>
  </si>
  <si>
    <t>Laos</t>
  </si>
  <si>
    <t>(UTC+11:00) Bougainville Island</t>
  </si>
  <si>
    <t>Latvia</t>
  </si>
  <si>
    <t>(UTC+11:00) Chokurdakh</t>
  </si>
  <si>
    <t>Lebanon</t>
  </si>
  <si>
    <t>(UTC+11:00) Magadan</t>
  </si>
  <si>
    <t>Lesotho</t>
  </si>
  <si>
    <t>(UTC+11:00) Norfolk Island</t>
  </si>
  <si>
    <t>Liberia</t>
  </si>
  <si>
    <t>(UTC+11:00) Sakhalin</t>
  </si>
  <si>
    <t>Libya</t>
  </si>
  <si>
    <t>(UTC+11:00) Solomon Is., New Caledonia</t>
  </si>
  <si>
    <t>Liechtenstein</t>
  </si>
  <si>
    <t>(UTC+12:00) Anadyr, Petropavlovsk-Kamchatsky</t>
  </si>
  <si>
    <t>Lithuania</t>
  </si>
  <si>
    <t>(UTC+12:00) Auckland, Wellington</t>
  </si>
  <si>
    <t>Luxembourg</t>
  </si>
  <si>
    <t>(UTC+12:00) Coordinated Universal Time+12</t>
  </si>
  <si>
    <t>Macau SAR China</t>
  </si>
  <si>
    <t>(UTC+12:00) Fiji</t>
  </si>
  <si>
    <t>Macedonia</t>
  </si>
  <si>
    <t>(UTC+12:00) Petropavlovsk-Kamchatsky - Old</t>
  </si>
  <si>
    <t>Madagascar</t>
  </si>
  <si>
    <t>(UTC+12:45) Chatham Islands</t>
  </si>
  <si>
    <t>Malawi</t>
  </si>
  <si>
    <t>(UTC+13:00) Coordinated Universal Time+13</t>
  </si>
  <si>
    <t>Malaysia</t>
  </si>
  <si>
    <t>(UTC+13:00) Nuku'alofa</t>
  </si>
  <si>
    <t>Maldives</t>
  </si>
  <si>
    <t>(UTC+13:00) Samoa</t>
  </si>
  <si>
    <t>Mali</t>
  </si>
  <si>
    <t>(UTC+14:00) Kiritimati Island</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</si>
  <si>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</si>
  <si>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</si>
  <si>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</si>
  <si>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</si>
  <si>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</si>
  <si>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</si>
  <si>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</si>
  <si>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</si>
  <si>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</si>
  <si>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</si>
  <si>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</si>
  <si>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</si>
  <si>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</si>
  <si>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</si>
  <si>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</si>
  <si>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</si>
  <si>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</si>
  <si>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</si>
  <si>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</si>
  <si>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</si>
  <si>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</si>
  <si>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</si>
  <si>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</si>
  <si>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</si>
  <si>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</si>
  <si>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</si>
  <si>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</si>
  <si>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</si>
  <si>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</si>
  <si>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</si>
  <si>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</si>
  <si>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</si>
  <si>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</si>
  <si>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</si>
  <si>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</si>
  <si>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</si>
  <si>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</si>
  <si>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</si>
  <si>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</si>
  <si>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</si>
  <si>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</si>
  <si>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</si>
  <si>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</si>
  <si>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</si>
  <si>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Réunion</t>
  </si>
  <si>
    <t>Romania</t>
  </si>
  <si>
    <t>Russia</t>
  </si>
  <si>
    <t>Rwanda</t>
  </si>
  <si>
    <t>Samoa</t>
  </si>
  <si>
    <t>San Marino</t>
  </si>
  <si>
    <t>São Tomé &amp; Príncipe</t>
  </si>
  <si>
    <t>Saudi Arabia</t>
  </si>
  <si>
    <t>Senegal</t>
  </si>
  <si>
    <t>Serbia</t>
  </si>
  <si>
    <t>Seychelles</t>
  </si>
  <si>
    <t>Sierra Leone</t>
  </si>
  <si>
    <t>Singapore</t>
  </si>
  <si>
    <t>Sint Maarten</t>
  </si>
  <si>
    <t>Slovakia</t>
  </si>
  <si>
    <t>Slovenia</t>
  </si>
  <si>
    <t>Solomon Islands</t>
  </si>
  <si>
    <t>Somalia</t>
  </si>
  <si>
    <t>South Africa</t>
  </si>
  <si>
    <t>South Georgia &amp; South Sandwich Islands</t>
  </si>
  <si>
    <t>South Korea</t>
  </si>
  <si>
    <t>South Sudan</t>
  </si>
  <si>
    <t>Spain</t>
  </si>
  <si>
    <t>Sri Lanka</t>
  </si>
  <si>
    <t>St. Barthélemy</t>
  </si>
  <si>
    <t>St. Helena</t>
  </si>
  <si>
    <t>St. Kitts &amp; Nevis</t>
  </si>
  <si>
    <t>St. Lucia</t>
  </si>
  <si>
    <t>St. Martin</t>
  </si>
  <si>
    <t>St. Pierre &amp; Miquelon</t>
  </si>
  <si>
    <t>St. Vincent &amp; Grenadines</t>
  </si>
  <si>
    <t>Sudan</t>
  </si>
  <si>
    <t>Suriname</t>
  </si>
  <si>
    <t>Svalbard &amp; Jan Mayen</t>
  </si>
  <si>
    <t>Swaziland</t>
  </si>
  <si>
    <t>Sweden</t>
  </si>
  <si>
    <t>Switzerland</t>
  </si>
  <si>
    <t>Syria</t>
  </si>
  <si>
    <t>Taiwan</t>
  </si>
  <si>
    <t>Tajikistan</t>
  </si>
  <si>
    <t>Tanzania</t>
  </si>
  <si>
    <t>Thailand</t>
  </si>
  <si>
    <t>Timor,-Leste</t>
  </si>
  <si>
    <t>Togo</t>
  </si>
  <si>
    <t>Tokelau</t>
  </si>
  <si>
    <t>Tonga</t>
  </si>
  <si>
    <t>Trinidad &amp; Tobago</t>
  </si>
  <si>
    <t>Tristan da Cunha</t>
  </si>
  <si>
    <t>Tunisia</t>
  </si>
  <si>
    <t>Turkey</t>
  </si>
  <si>
    <t>Turkmenistan</t>
  </si>
  <si>
    <t>Turks &amp; Caicos Islands</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</si>
  <si>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</si>
  <si>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</si>
  <si>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</si>
  <si>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</si>
  <si>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</si>
  <si>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</si>
  <si>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</si>
  <si>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</si>
  <si>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</si>
  <si>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</si>
  <si>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</si>
  <si>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</si>
  <si>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</si>
  <si>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</si>
  <si>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Wallis &amp; Futuna</t>
  </si>
  <si>
    <t>Western Sahara</t>
  </si>
  <si>
    <t>Yemen</t>
  </si>
  <si>
    <t>Zambia</t>
  </si>
  <si>
    <t xml:space="preserve">Zimbabwe </t>
  </si>
  <si>
    <t>Moon</t>
  </si>
  <si>
    <t>The lists below is used to control the order in which the base table will list data. This is to faciliate import/export with CAS.</t>
  </si>
  <si>
    <t>Tab:OUPracticeAreas</t>
  </si>
  <si>
    <t>Tab:C_Support</t>
  </si>
  <si>
    <t>Tab:C_Project</t>
  </si>
  <si>
    <t>Additional Project Information</t>
  </si>
  <si>
    <t>1) Download from CAS 2) Copy Support (generated from BASE) 3) Upload</t>
  </si>
  <si>
    <t>Is any part of the appraisal being performed virtually?</t>
  </si>
  <si>
    <t>1: Plan and Prepare for Appraisal</t>
  </si>
  <si>
    <t>2: Conduct Appraisal</t>
  </si>
  <si>
    <t>3: Report Results</t>
  </si>
  <si>
    <t>* Logistical requirement</t>
  </si>
  <si>
    <t>* Logistical requirement Equipment</t>
  </si>
  <si>
    <t>* Other logistical requirement</t>
  </si>
  <si>
    <t>* Description of the requirement</t>
  </si>
  <si>
    <t>* Role responsible for requirement</t>
  </si>
  <si>
    <t>ATL, each team member, and participant.</t>
  </si>
  <si>
    <t>ATL and ATMs.</t>
  </si>
  <si>
    <t>* Constraint</t>
  </si>
  <si>
    <t>* Other Constraint</t>
  </si>
  <si>
    <t>* Constraint Description</t>
  </si>
  <si>
    <t>Conduct Maturity Level 5 appraisal in February 2025</t>
  </si>
  <si>
    <t>* Risk Name</t>
  </si>
  <si>
    <t>* Risk Category</t>
  </si>
  <si>
    <t>* Other Risk Category Name</t>
  </si>
  <si>
    <t>* Risk Description</t>
  </si>
  <si>
    <t>* Risk Impact</t>
  </si>
  <si>
    <t>* Risk Mitigation</t>
  </si>
  <si>
    <t>* Risk Status</t>
  </si>
  <si>
    <t>ATM may become ill</t>
  </si>
  <si>
    <t>Virtual Tool Failure</t>
  </si>
  <si>
    <t>Virtual Technology</t>
  </si>
  <si>
    <t xml:space="preserve">Confidentiality breaches as result of Virtual Delivery. </t>
  </si>
  <si>
    <t>Virtual Delivery Toolset being new</t>
  </si>
  <si>
    <t>CMMI Model is new to Appraisal Team</t>
  </si>
  <si>
    <t>Confidentiality breach due to unknown participants in Virtual setting</t>
  </si>
  <si>
    <t>The virtual environment may cause unwanted visitors to attend interviews and teamwork sessions and as a result breach confidentiality.</t>
  </si>
  <si>
    <t>Opening Briefing delays due to virtual services</t>
  </si>
  <si>
    <t>The virtual services may be new to the organisation and cause delays during the Opening Briefing</t>
  </si>
  <si>
    <t>Virtual technology may be blocked by company</t>
  </si>
  <si>
    <t>Delays due to usage of Virtual technology</t>
  </si>
  <si>
    <t>Schedule delays could happen due to the usage of virtual delivery services.</t>
  </si>
  <si>
    <t>Time zone impacts</t>
  </si>
  <si>
    <t>Impact of differences in language</t>
  </si>
  <si>
    <t>Language difference could impact the effectiveness of the team.</t>
  </si>
  <si>
    <t>Virtual Delivery Practices</t>
  </si>
  <si>
    <t>Virtual delivery introduces various risks to the appraisal process.</t>
  </si>
  <si>
    <t>1) Continue to complete and upload the Virtual Delivery Report
2) Continue to complete and upload the Checklist for Virtual Appraisal</t>
  </si>
  <si>
    <t>* Conflict of Interests</t>
  </si>
  <si>
    <t>* Other Conflict of Interest</t>
  </si>
  <si>
    <t>* Description</t>
  </si>
  <si>
    <t>* Impact</t>
  </si>
  <si>
    <t>* Management Strategy</t>
  </si>
  <si>
    <t>* Status</t>
  </si>
  <si>
    <t>260324</t>
  </si>
  <si>
    <t>Shenzhen Insigma Innovation Software Co., Ltd.</t>
  </si>
  <si>
    <t>深圳市网新新思软件有限公司</t>
  </si>
  <si>
    <t>Shenzhen</t>
  </si>
  <si>
    <t>Sheng Zhou</t>
  </si>
  <si>
    <t>13510363575</t>
  </si>
  <si>
    <t>sam_zhou@bis.com.cn</t>
  </si>
  <si>
    <t>18682057356</t>
  </si>
  <si>
    <t>zhangyu1@bis.com.cn</t>
  </si>
  <si>
    <t>Yu Zhang</t>
  </si>
  <si>
    <t>Administration and Training Manager</t>
  </si>
  <si>
    <t>Lynn</t>
  </si>
  <si>
    <t>lynn@tbd.com</t>
  </si>
  <si>
    <t>Shenzhen Insigma</t>
  </si>
  <si>
    <t>2026-05-16to05-22 (A5) C81846 Shenzhen Insigma</t>
  </si>
  <si>
    <t>D260324 (A5) Shenzhen Insigma - Shenzhen (Q2) 2026</t>
  </si>
  <si>
    <t>Meeting ID: 862 7616 9680 Passcode: 105466</t>
  </si>
  <si>
    <t>[BO1] Increase 6% productivity to support annual revenue growth.
[BO2] Reduce post-deployment defects by 5% to improve overall quality.</t>
  </si>
  <si>
    <t>Driving Productivity and Quality to Support Revenue Growth</t>
  </si>
  <si>
    <t>901-912, Sun Yat-sen University Shenzhen Industry-Research Base Building</t>
  </si>
  <si>
    <t>No. 1, Yuexing 4th Road, Keji South 10th Road, Nanshan District</t>
  </si>
  <si>
    <t>https://www.szis.com.cn</t>
  </si>
  <si>
    <t>Technology Center of Excellence</t>
  </si>
  <si>
    <t>卓越技术中心</t>
  </si>
  <si>
    <t>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t>
  </si>
  <si>
    <t>General Manager Office
1 Technology Center of Excellence
1.1 Project Manager
1.2 Requirements Analyst
1.3 Designer
1.4 Developer
1.5 Tester
1.6 EPG
1.7 QA
1.8 CM
2 HR Department
2.1 OT
3 Financial Control Service Center
4 Service and Outsourcing Division
5 Business Development Department</t>
  </si>
  <si>
    <t>LiWen Transportation Management System (LTMS) customizes and upgrades LMBUS to enable monitoring, intelligent vehicle matching, routing, tracking, and automated loading, while enhancing driver communication and optimizing on-site scheduling to improve overall transport efficiency.</t>
  </si>
  <si>
    <t>p1LTMS</t>
  </si>
  <si>
    <t>The Electric Bicycle Supermarket (EBS) is a comprehensive e-commerce platform integrating sales, repair, recycling, and evaluation services, providing a convenient one-stop solution for users purchasing and maintaining electric bicycles.</t>
  </si>
  <si>
    <t>p2EBS</t>
  </si>
  <si>
    <t>The Big Foot Ant Rent House (BFARH) platform enables property listing, management, rental, and sales via Weixin Mini Programs, allowing agents and users to transact while managing commissions or points based on defined rules.</t>
  </si>
  <si>
    <t>p3BFARH</t>
  </si>
  <si>
    <t>The Huaguang Web Platform (HWP) modernizes the company website with improved visuals and interactivity, dynamic content management for non-technical users, enhanced animations, and optimized performance, SEO, and maintainability.</t>
  </si>
  <si>
    <t>p4HWP</t>
  </si>
  <si>
    <t>P1</t>
  </si>
  <si>
    <t>P2</t>
  </si>
  <si>
    <t>P3</t>
  </si>
  <si>
    <t>Shaoji Du</t>
  </si>
  <si>
    <t>Xiangping Nie</t>
  </si>
  <si>
    <t>Gao Pan</t>
  </si>
  <si>
    <t>Shuiqing Zeng</t>
  </si>
  <si>
    <t>Delin Tan</t>
  </si>
  <si>
    <t>Yu Tang</t>
  </si>
  <si>
    <t>Peng Jin</t>
  </si>
  <si>
    <t>Yuxiang Zheng</t>
  </si>
  <si>
    <t>Longsheng Cao</t>
  </si>
  <si>
    <t>Jiahao Li</t>
  </si>
  <si>
    <t>Jiahui Luo</t>
  </si>
  <si>
    <t>Yongtao Lin</t>
  </si>
  <si>
    <t>Zhonghan Lou</t>
  </si>
  <si>
    <t>Luping Shu</t>
  </si>
  <si>
    <t>Zheng Yuxiang</t>
  </si>
  <si>
    <t>Miao Wang</t>
  </si>
  <si>
    <t>Zilu Wu</t>
  </si>
  <si>
    <t>Shuaicai He</t>
  </si>
  <si>
    <t>He Zhang</t>
  </si>
  <si>
    <t>Jie Tang</t>
  </si>
  <si>
    <t>Siqing Wang</t>
  </si>
  <si>
    <t>Ok</t>
  </si>
  <si>
    <t>Gao Pan2</t>
  </si>
  <si>
    <t>[3] Project management (EST, PLAN, MC, RSK, II)</t>
  </si>
  <si>
    <t>[6] Process management (MPM, CAR, DAR, PCM, PAD, II)</t>
  </si>
  <si>
    <t>[9] Senior management (GOV, II)</t>
  </si>
  <si>
    <t>[4] Engineering (RDM, TS, PI, VV, PR, II)</t>
  </si>
  <si>
    <t>[7] Organisational Training (OT, II)</t>
  </si>
  <si>
    <t>[5] Configuration management (CM, II)</t>
  </si>
  <si>
    <t>[8] Process quality assurance (PQA, 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</si>
</sst>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R&quot;* #,##0_-;\-&quot;R&quot;* #,##0_-;_-&quot;R&quot;* &quot;-&quot;_-;_-@_-"/>
    <numFmt numFmtId="164" formatCode="dd/mm/yyyy"/>
    <numFmt numFmtId="165" formatCode="[$-F800]dddd\,\ mmmm\ dd\,\ yyyy"/>
    <numFmt numFmtId="166" formatCode="[$-F800]dddd\,/mmmm/dd\,/yyyy"/>
    <numFmt numFmtId="167" formatCode="dd\-mmm\-yyyy"/>
    <numFmt numFmtId="168" formatCode="dd\ mmmm\ yyyy"/>
    <numFmt numFmtId="169" formatCode="dddd"/>
    <numFmt numFmtId="170" formatCode="0.0"/>
    <numFmt numFmtId="171" formatCode="mm/dd/yy"/>
    <numFmt numFmtId="172" formatCode="_ * #,##0.00_ ;_ * \-#,##0.00_ ;_ * &quot;-&quot;??_ ;_ @_ "/>
  </numFmts>
  <fonts count="7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
      <sz val="10"/>
      <color theme="0"/>
      <name val="Arial"/>
      <family val="2"/>
    </font>
    <font>
      <b/>
      <sz val="11"/>
      <color rgb="FFFFFFFF"/>
      <name val="Calibri"/>
      <family val="2"/>
    </font>
    <font>
      <sz val="10"/>
      <name val="宋体"/>
      <charset val="134"/>
    </font>
    <font>
      <i/>
      <sz val="10"/>
      <name val="Maiandra GD"/>
      <family val="2"/>
    </font>
    <font>
      <b/>
      <sz val="8"/>
      <name val="Arial"/>
      <family val="2"/>
    </font>
  </fonts>
  <fills count="65">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8764000366222"/>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
      <patternFill patternType="solid">
        <fgColor rgb="FF4472C4"/>
        <bgColor rgb="FF4472C4"/>
      </patternFill>
    </fill>
    <fill>
      <patternFill patternType="solid">
        <fgColor rgb="FFD9E2F3"/>
        <bgColor rgb="FFD9E2F3"/>
      </patternFill>
    </fill>
    <fill>
      <patternFill patternType="solid">
        <fgColor rgb="FFFFF2CC"/>
        <bgColor rgb="FFFFF2CC"/>
      </patternFill>
    </fill>
  </fills>
  <borders count="80">
    <border>
      <left/>
      <right/>
      <top/>
      <bottom/>
      <diagonal/>
    </border>
    <border>
      <left style="thin">
        <color theme="3" tint="0.39967040009765925"/>
      </left>
      <right style="thin">
        <color theme="3" tint="0.39967040009765925"/>
      </right>
      <top style="thin">
        <color theme="3" tint="0.39967040009765925"/>
      </top>
      <bottom style="thin">
        <color theme="3" tint="0.39967040009765925"/>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
      <left/>
      <right style="thin">
        <color auto="1"/>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auto="1"/>
      </bottom>
      <diagonal/>
    </border>
    <border>
      <left style="thin">
        <color indexed="64"/>
      </left>
      <right style="thin">
        <color indexed="64"/>
      </right>
      <top/>
      <bottom style="thin">
        <color auto="1"/>
      </bottom>
      <diagonal/>
    </border>
    <border>
      <left style="thin">
        <color indexed="64"/>
      </left>
      <right style="thin">
        <color indexed="64"/>
      </right>
      <top/>
      <bottom style="thin">
        <color indexed="64"/>
      </bottom>
      <diagonal/>
    </border>
    <border>
      <left style="thin">
        <color theme="4" tint="0.39994506668294322"/>
      </left>
      <right style="thin">
        <color indexed="64"/>
      </right>
      <top style="thin">
        <color theme="4" tint="0.39994506668294322"/>
      </top>
      <bottom style="thin">
        <color indexed="64"/>
      </bottom>
      <diagonal/>
    </border>
    <border>
      <left style="thin">
        <color theme="4" tint="0.39994506668294322"/>
      </left>
      <right style="thin">
        <color theme="4" tint="0.39994506668294322"/>
      </right>
      <top/>
      <bottom/>
      <diagonal/>
    </border>
    <border>
      <left style="thin">
        <color theme="4" tint="0.39994506668294322"/>
      </left>
      <right style="thin">
        <color theme="4" tint="0.39994506668294322"/>
      </right>
      <top/>
      <bottom style="thin">
        <color theme="4" tint="0.39994506668294322"/>
      </bottom>
      <diagonal/>
    </border>
    <border>
      <left/>
      <right/>
      <top style="thin">
        <color indexed="64"/>
      </top>
      <bottom style="medium">
        <color indexed="64"/>
      </bottom>
      <diagonal/>
    </border>
    <border>
      <left style="thin">
        <color theme="0"/>
      </left>
      <right style="thin">
        <color theme="0"/>
      </right>
      <top/>
      <bottom/>
      <diagonal/>
    </border>
    <border>
      <left style="thin">
        <color auto="1"/>
      </left>
      <right style="thin">
        <color auto="1"/>
      </right>
      <top style="thin">
        <color auto="1"/>
      </top>
      <bottom style="thin">
        <color auto="1"/>
      </bottom>
      <diagonal/>
    </border>
    <border>
      <left/>
      <right/>
      <top style="thin">
        <color indexed="64"/>
      </top>
      <bottom/>
      <diagonal/>
    </border>
  </borders>
  <cellStyleXfs count="1949">
    <xf numFmtId="0" fontId="0" fillId="0" borderId="0"/>
    <xf numFmtId="0" fontId="1" fillId="0" borderId="0"/>
    <xf numFmtId="0" fontId="4" fillId="0" borderId="0"/>
    <xf numFmtId="0" fontId="7" fillId="0" borderId="0"/>
    <xf numFmtId="0" fontId="9" fillId="0" borderId="0"/>
    <xf numFmtId="0" fontId="4" fillId="0" borderId="0"/>
    <xf numFmtId="0" fontId="1" fillId="0" borderId="0"/>
    <xf numFmtId="0" fontId="1" fillId="0" borderId="0"/>
    <xf numFmtId="0" fontId="4" fillId="0" borderId="0"/>
    <xf numFmtId="0" fontId="1" fillId="0" borderId="0"/>
    <xf numFmtId="0" fontId="16" fillId="0" borderId="0"/>
    <xf numFmtId="0" fontId="18"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1" fillId="0" borderId="0"/>
    <xf numFmtId="172" fontId="4"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2"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4"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172" fontId="1" fillId="0" borderId="0"/>
    <xf numFmtId="0" fontId="1" fillId="0" borderId="0"/>
    <xf numFmtId="172" fontId="4" fillId="0" borderId="0"/>
    <xf numFmtId="172" fontId="1" fillId="0" borderId="0"/>
    <xf numFmtId="0" fontId="1" fillId="0" borderId="0"/>
    <xf numFmtId="0" fontId="23" fillId="0" borderId="0">
      <alignment vertical="top"/>
      <protection locked="0"/>
    </xf>
    <xf numFmtId="0" fontId="1" fillId="0" borderId="0"/>
    <xf numFmtId="0" fontId="1" fillId="0" borderId="0"/>
    <xf numFmtId="0" fontId="1" fillId="0" borderId="0"/>
    <xf numFmtId="0" fontId="20" fillId="0" borderId="0">
      <alignment vertical="top"/>
      <protection locked="0"/>
    </xf>
    <xf numFmtId="0" fontId="1" fillId="0" borderId="0"/>
    <xf numFmtId="0" fontId="1" fillId="0" borderId="0"/>
    <xf numFmtId="0"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0" fontId="22" fillId="26" borderId="0">
      <alignment vertical="center"/>
    </xf>
    <xf numFmtId="0" fontId="1" fillId="0" borderId="0"/>
    <xf numFmtId="0" fontId="1" fillId="0" borderId="0"/>
    <xf numFmtId="42" fontId="21" fillId="0" borderId="0"/>
    <xf numFmtId="0" fontId="1" fillId="0" borderId="0"/>
    <xf numFmtId="0" fontId="1" fillId="0" borderId="0"/>
    <xf numFmtId="0" fontId="1" fillId="0" borderId="0"/>
    <xf numFmtId="172" fontId="1" fillId="0" borderId="0"/>
    <xf numFmtId="0" fontId="1" fillId="0" borderId="0"/>
    <xf numFmtId="172" fontId="1" fillId="0" borderId="0"/>
    <xf numFmtId="172" fontId="4" fillId="0" borderId="0"/>
    <xf numFmtId="172" fontId="1" fillId="0" borderId="0"/>
    <xf numFmtId="172" fontId="4" fillId="0" borderId="0"/>
    <xf numFmtId="172" fontId="1" fillId="0" borderId="0"/>
    <xf numFmtId="0" fontId="1" fillId="0" borderId="0"/>
    <xf numFmtId="0" fontId="1" fillId="0" borderId="0"/>
    <xf numFmtId="0" fontId="4"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42" fontId="21" fillId="0" borderId="0"/>
    <xf numFmtId="0" fontId="1" fillId="0" borderId="0"/>
    <xf numFmtId="172" fontId="4" fillId="0" borderId="0"/>
    <xf numFmtId="172" fontId="4"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1" fillId="0" borderId="0"/>
    <xf numFmtId="0" fontId="1"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172"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0" fontId="1" fillId="0" borderId="0"/>
    <xf numFmtId="172" fontId="1" fillId="0" borderId="0"/>
    <xf numFmtId="0" fontId="1" fillId="0" borderId="0"/>
    <xf numFmtId="0" fontId="1" fillId="0" borderId="0"/>
    <xf numFmtId="0" fontId="1" fillId="0" borderId="0"/>
    <xf numFmtId="0" fontId="1" fillId="0" borderId="0"/>
    <xf numFmtId="172" fontId="1" fillId="0" borderId="0"/>
    <xf numFmtId="0" fontId="1" fillId="0" borderId="0"/>
    <xf numFmtId="0" fontId="23" fillId="0" borderId="0">
      <alignment vertical="top"/>
      <protection locked="0"/>
    </xf>
    <xf numFmtId="172"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0" fontId="1" fillId="0" borderId="0"/>
    <xf numFmtId="0" fontId="4" fillId="0" borderId="0"/>
    <xf numFmtId="172" fontId="1" fillId="0" borderId="0"/>
    <xf numFmtId="0"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0" fontId="1" fillId="0" borderId="0"/>
    <xf numFmtId="172" fontId="1" fillId="0" borderId="0"/>
    <xf numFmtId="172" fontId="1" fillId="0" borderId="0"/>
    <xf numFmtId="9" fontId="1" fillId="0" borderId="0"/>
    <xf numFmtId="0" fontId="1" fillId="0" borderId="0"/>
    <xf numFmtId="0" fontId="20" fillId="0" borderId="0">
      <alignment vertical="top"/>
      <protection locked="0"/>
    </xf>
    <xf numFmtId="172" fontId="1" fillId="0" borderId="0"/>
    <xf numFmtId="0" fontId="1" fillId="0" borderId="0"/>
    <xf numFmtId="172" fontId="1" fillId="0" borderId="0"/>
    <xf numFmtId="172" fontId="1" fillId="0" borderId="0"/>
    <xf numFmtId="172" fontId="1" fillId="0" borderId="0"/>
    <xf numFmtId="0" fontId="1" fillId="0" borderId="0"/>
    <xf numFmtId="172" fontId="1" fillId="0" borderId="0"/>
    <xf numFmtId="0" fontId="1" fillId="0" borderId="0"/>
    <xf numFmtId="172" fontId="1" fillId="0" borderId="0"/>
    <xf numFmtId="172" fontId="1" fillId="0" borderId="0"/>
    <xf numFmtId="9" fontId="1" fillId="0" borderId="0"/>
    <xf numFmtId="0" fontId="7" fillId="0" borderId="0"/>
    <xf numFmtId="172" fontId="1" fillId="0" borderId="0"/>
    <xf numFmtId="0" fontId="18" fillId="0" borderId="0"/>
    <xf numFmtId="172" fontId="1" fillId="0" borderId="0"/>
    <xf numFmtId="0" fontId="18" fillId="0" borderId="0"/>
    <xf numFmtId="172" fontId="1" fillId="0" borderId="0"/>
    <xf numFmtId="0" fontId="1" fillId="0" borderId="0"/>
    <xf numFmtId="0" fontId="1" fillId="0" borderId="0"/>
    <xf numFmtId="172" fontId="1" fillId="0" borderId="0"/>
    <xf numFmtId="0" fontId="18" fillId="0" borderId="0"/>
    <xf numFmtId="172" fontId="1" fillId="0" borderId="0"/>
    <xf numFmtId="172" fontId="1" fillId="0" borderId="0"/>
    <xf numFmtId="0" fontId="1" fillId="0" borderId="0"/>
    <xf numFmtId="0" fontId="1" fillId="0" borderId="0"/>
    <xf numFmtId="0" fontId="25" fillId="0" borderId="0">
      <alignment vertical="center"/>
    </xf>
    <xf numFmtId="0" fontId="1" fillId="0" borderId="0"/>
    <xf numFmtId="172" fontId="1" fillId="0" borderId="0"/>
    <xf numFmtId="0" fontId="1" fillId="0" borderId="0"/>
    <xf numFmtId="0" fontId="23" fillId="0" borderId="0">
      <alignment vertical="top"/>
      <protection locked="0"/>
    </xf>
    <xf numFmtId="0" fontId="1" fillId="0" borderId="0"/>
    <xf numFmtId="0" fontId="1" fillId="0" borderId="0"/>
    <xf numFmtId="0" fontId="23" fillId="0" borderId="0">
      <alignment vertical="top"/>
      <protection locked="0"/>
    </xf>
    <xf numFmtId="0" fontId="1" fillId="0" borderId="0"/>
    <xf numFmtId="0" fontId="1" fillId="0" borderId="0"/>
    <xf numFmtId="0" fontId="16" fillId="0" borderId="0"/>
    <xf numFmtId="0" fontId="1" fillId="0" borderId="0"/>
    <xf numFmtId="0" fontId="23" fillId="0" borderId="0">
      <alignment vertical="top"/>
      <protection locked="0"/>
    </xf>
    <xf numFmtId="0" fontId="1" fillId="0" borderId="0"/>
    <xf numFmtId="9" fontId="1" fillId="0" borderId="0"/>
    <xf numFmtId="0" fontId="1" fillId="0" borderId="0"/>
    <xf numFmtId="0" fontId="20" fillId="0" borderId="0">
      <alignment vertical="top"/>
      <protection locked="0"/>
    </xf>
    <xf numFmtId="0" fontId="1" fillId="0" borderId="0"/>
    <xf numFmtId="0" fontId="20" fillId="0" borderId="0">
      <alignment vertical="top"/>
      <protection locked="0"/>
    </xf>
    <xf numFmtId="9" fontId="1" fillId="0" borderId="0"/>
    <xf numFmtId="0" fontId="1" fillId="0" borderId="0"/>
    <xf numFmtId="0" fontId="20" fillId="0" borderId="0">
      <alignment vertical="top"/>
      <protection locked="0"/>
    </xf>
    <xf numFmtId="9"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9" fontId="1" fillId="0" borderId="0"/>
    <xf numFmtId="0" fontId="1" fillId="0" borderId="0"/>
    <xf numFmtId="0" fontId="7" fillId="0" borderId="0"/>
    <xf numFmtId="0" fontId="1" fillId="0" borderId="0"/>
    <xf numFmtId="0" fontId="1" fillId="0" borderId="0"/>
    <xf numFmtId="9" fontId="1" fillId="0" borderId="0"/>
    <xf numFmtId="9" fontId="1" fillId="0" borderId="0"/>
    <xf numFmtId="0" fontId="1" fillId="0" borderId="0"/>
    <xf numFmtId="0" fontId="7" fillId="0" borderId="0"/>
    <xf numFmtId="0" fontId="1" fillId="0" borderId="0"/>
    <xf numFmtId="0" fontId="1" fillId="0" borderId="0"/>
    <xf numFmtId="0" fontId="1" fillId="0" borderId="0"/>
    <xf numFmtId="0" fontId="7" fillId="0" borderId="0"/>
    <xf numFmtId="0" fontId="1" fillId="0" borderId="0"/>
    <xf numFmtId="0" fontId="7"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5"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9" fillId="0" borderId="0"/>
    <xf numFmtId="0" fontId="19" fillId="0" borderId="0"/>
    <xf numFmtId="0" fontId="19" fillId="0" borderId="0"/>
    <xf numFmtId="0" fontId="19" fillId="0" borderId="0"/>
    <xf numFmtId="0" fontId="4"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alignment vertical="center"/>
    </xf>
    <xf numFmtId="0" fontId="1" fillId="0" borderId="0"/>
    <xf numFmtId="0" fontId="25" fillId="0" borderId="0">
      <alignment vertical="center"/>
    </xf>
    <xf numFmtId="0" fontId="1" fillId="0" borderId="0"/>
    <xf numFmtId="0" fontId="25" fillId="0" borderId="0">
      <alignment vertical="center"/>
    </xf>
    <xf numFmtId="0" fontId="16" fillId="0" borderId="0"/>
    <xf numFmtId="0" fontId="1"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16"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18"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26"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9"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9"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xf numFmtId="0" fontId="1" fillId="0" borderId="0"/>
    <xf numFmtId="0" fontId="1" fillId="0" borderId="0"/>
    <xf numFmtId="0" fontId="1" fillId="0" borderId="0"/>
    <xf numFmtId="9"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9" fontId="1" fillId="0" borderId="0"/>
    <xf numFmtId="0" fontId="1" fillId="0" borderId="0"/>
    <xf numFmtId="9" fontId="1" fillId="0" borderId="0"/>
    <xf numFmtId="0" fontId="1" fillId="0" borderId="0"/>
    <xf numFmtId="9" fontId="1" fillId="0" borderId="0"/>
    <xf numFmtId="9" fontId="1" fillId="0" borderId="0"/>
    <xf numFmtId="0" fontId="1" fillId="0" borderId="0"/>
    <xf numFmtId="9" fontId="1" fillId="0" borderId="0"/>
    <xf numFmtId="9" fontId="1" fillId="0" borderId="0"/>
    <xf numFmtId="0" fontId="1" fillId="0" borderId="0"/>
    <xf numFmtId="0" fontId="1" fillId="0" borderId="0"/>
    <xf numFmtId="0" fontId="1" fillId="25" borderId="9"/>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6" fillId="0" borderId="0">
      <alignment vertical="center"/>
    </xf>
    <xf numFmtId="0" fontId="1" fillId="0" borderId="0"/>
    <xf numFmtId="0" fontId="26"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xf numFmtId="0" fontId="1" fillId="0" borderId="0"/>
    <xf numFmtId="9"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9" fontId="19"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9"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25" borderId="9"/>
    <xf numFmtId="0" fontId="1" fillId="0" borderId="0"/>
    <xf numFmtId="0" fontId="1" fillId="25" borderId="9"/>
    <xf numFmtId="0" fontId="1" fillId="25" borderId="9"/>
    <xf numFmtId="0" fontId="1" fillId="25" borderId="9"/>
    <xf numFmtId="9" fontId="4" fillId="0" borderId="0"/>
    <xf numFmtId="9" fontId="4" fillId="0" borderId="0"/>
    <xf numFmtId="9" fontId="4" fillId="0" borderId="0"/>
    <xf numFmtId="9" fontId="4"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9" fillId="0" borderId="0"/>
    <xf numFmtId="9" fontId="19" fillId="0" borderId="0"/>
    <xf numFmtId="9" fontId="19" fillId="0" borderId="0"/>
    <xf numFmtId="9" fontId="19"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9" fontId="1" fillId="0" borderId="0"/>
    <xf numFmtId="0" fontId="18" fillId="0" borderId="0"/>
    <xf numFmtId="0" fontId="24" fillId="0" borderId="0"/>
    <xf numFmtId="0" fontId="26" fillId="0" borderId="0">
      <alignment vertical="center"/>
    </xf>
    <xf numFmtId="0" fontId="26" fillId="0" borderId="0">
      <alignment vertical="center"/>
    </xf>
    <xf numFmtId="0" fontId="26"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 fillId="0" borderId="0"/>
    <xf numFmtId="0" fontId="19" fillId="0" borderId="0"/>
    <xf numFmtId="0" fontId="19" fillId="0" borderId="0"/>
    <xf numFmtId="0" fontId="19" fillId="0" borderId="0"/>
    <xf numFmtId="0" fontId="27" fillId="0" borderId="0">
      <alignment vertical="center"/>
    </xf>
    <xf numFmtId="0" fontId="27" fillId="0" borderId="0">
      <alignment vertical="center"/>
    </xf>
    <xf numFmtId="0" fontId="27" fillId="0" borderId="0">
      <alignment vertical="center"/>
    </xf>
    <xf numFmtId="0" fontId="22" fillId="26" borderId="0">
      <alignment vertical="center"/>
    </xf>
    <xf numFmtId="0" fontId="22" fillId="26" borderId="0">
      <alignment vertical="center"/>
    </xf>
    <xf numFmtId="0" fontId="16" fillId="0" borderId="0"/>
    <xf numFmtId="0" fontId="1" fillId="0" borderId="0"/>
    <xf numFmtId="0" fontId="45" fillId="0" borderId="0"/>
    <xf numFmtId="172" fontId="1" fillId="0" borderId="0"/>
    <xf numFmtId="172" fontId="1" fillId="0" borderId="0"/>
    <xf numFmtId="172" fontId="1" fillId="0" borderId="0"/>
    <xf numFmtId="172" fontId="4" fillId="0" borderId="0"/>
    <xf numFmtId="172" fontId="1" fillId="0" borderId="0"/>
    <xf numFmtId="172" fontId="1" fillId="0" borderId="0"/>
    <xf numFmtId="172" fontId="1" fillId="0" borderId="0"/>
    <xf numFmtId="172" fontId="1" fillId="0" borderId="0"/>
    <xf numFmtId="172" fontId="4" fillId="0" borderId="0"/>
    <xf numFmtId="172" fontId="1" fillId="0" borderId="0"/>
    <xf numFmtId="172" fontId="1" fillId="0" borderId="0"/>
    <xf numFmtId="172" fontId="1" fillId="0" borderId="0"/>
    <xf numFmtId="172" fontId="4" fillId="0" borderId="0"/>
    <xf numFmtId="172" fontId="1" fillId="0" borderId="0"/>
    <xf numFmtId="172" fontId="4" fillId="0" borderId="0"/>
    <xf numFmtId="172" fontId="1" fillId="0" borderId="0"/>
    <xf numFmtId="172" fontId="1" fillId="0" borderId="0"/>
    <xf numFmtId="172" fontId="1" fillId="0" borderId="0"/>
    <xf numFmtId="172" fontId="4" fillId="0" borderId="0"/>
    <xf numFmtId="172" fontId="4"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172" fontId="1" fillId="0" borderId="0"/>
    <xf numFmtId="0" fontId="1" fillId="0" borderId="0"/>
    <xf numFmtId="0" fontId="46" fillId="0" borderId="0"/>
  </cellStyleXfs>
  <cellXfs count="54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7"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8" fillId="9" borderId="0" xfId="0" applyFont="1" applyFill="1" applyAlignment="1">
      <alignment horizontal="left" vertical="top"/>
    </xf>
    <xf numFmtId="0" fontId="0" fillId="0" borderId="0" xfId="0" applyAlignment="1">
      <alignment horizontal="left" vertical="top"/>
    </xf>
    <xf numFmtId="0" fontId="8"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1"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7" fillId="4" borderId="1" xfId="3" applyNumberFormat="1" applyFill="1" applyBorder="1" applyAlignment="1">
      <alignment horizontal="left" vertical="top" wrapText="1"/>
    </xf>
    <xf numFmtId="0" fontId="10" fillId="16" borderId="0" xfId="0" applyFont="1" applyFill="1" applyAlignment="1">
      <alignment horizontal="left" vertical="top"/>
    </xf>
    <xf numFmtId="0" fontId="10" fillId="16" borderId="0" xfId="0" applyFont="1" applyFill="1" applyAlignment="1">
      <alignment horizontal="left" vertical="top" wrapText="1"/>
    </xf>
    <xf numFmtId="0" fontId="7" fillId="0" borderId="0" xfId="3" applyAlignment="1">
      <alignment horizontal="left" vertical="top"/>
    </xf>
    <xf numFmtId="0" fontId="13" fillId="0" borderId="0" xfId="0" applyFont="1" applyAlignment="1">
      <alignment horizontal="left" vertical="top"/>
    </xf>
    <xf numFmtId="0" fontId="8" fillId="18" borderId="0" xfId="0" applyFont="1" applyFill="1" applyAlignment="1">
      <alignment horizontal="left" vertical="top" wrapText="1"/>
    </xf>
    <xf numFmtId="0" fontId="14" fillId="18" borderId="0" xfId="0" applyFont="1" applyFill="1" applyAlignment="1">
      <alignment horizontal="left" vertical="top" wrapText="1"/>
    </xf>
    <xf numFmtId="14" fontId="0" fillId="15" borderId="0" xfId="0" applyNumberFormat="1" applyFill="1" applyAlignment="1">
      <alignment horizontal="left" vertical="top" wrapText="1"/>
    </xf>
    <xf numFmtId="14" fontId="10" fillId="17" borderId="0" xfId="0" applyNumberFormat="1" applyFont="1" applyFill="1" applyAlignment="1">
      <alignment horizontal="left" vertical="top" wrapText="1"/>
    </xf>
    <xf numFmtId="0" fontId="10" fillId="17" borderId="0" xfId="0" applyFont="1" applyFill="1" applyAlignment="1">
      <alignment horizontal="left" vertical="top" wrapText="1"/>
    </xf>
    <xf numFmtId="0" fontId="10" fillId="19" borderId="0" xfId="0" applyFont="1" applyFill="1" applyAlignment="1">
      <alignment horizontal="left" vertical="top"/>
    </xf>
    <xf numFmtId="0" fontId="10"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5" fillId="9" borderId="0" xfId="0" applyFont="1" applyFill="1" applyAlignment="1">
      <alignment horizontal="left" vertical="top" wrapText="1"/>
    </xf>
    <xf numFmtId="0" fontId="16" fillId="0" borderId="0" xfId="0" applyFont="1" applyAlignment="1">
      <alignment horizontal="left" vertical="top"/>
    </xf>
    <xf numFmtId="0" fontId="16" fillId="0" borderId="0" xfId="0" applyFont="1" applyAlignment="1">
      <alignment horizontal="left" vertical="top" wrapText="1"/>
    </xf>
    <xf numFmtId="0" fontId="16" fillId="14" borderId="0" xfId="0" applyFont="1" applyFill="1" applyAlignment="1">
      <alignment horizontal="left" vertical="top" wrapText="1"/>
    </xf>
    <xf numFmtId="0" fontId="16" fillId="15" borderId="0" xfId="0" applyFont="1" applyFill="1" applyAlignment="1">
      <alignment horizontal="left" vertical="top" wrapText="1"/>
    </xf>
    <xf numFmtId="0" fontId="7" fillId="0" borderId="0" xfId="3" applyAlignment="1">
      <alignment horizontal="left" vertical="top" wrapText="1"/>
    </xf>
    <xf numFmtId="0" fontId="16" fillId="8" borderId="0" xfId="0" applyFont="1" applyFill="1" applyAlignment="1">
      <alignment horizontal="left" vertical="top" wrapText="1"/>
    </xf>
    <xf numFmtId="15" fontId="16"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6" fillId="14" borderId="3" xfId="0" applyFont="1" applyFill="1" applyBorder="1" applyAlignment="1">
      <alignment horizontal="left" vertical="center" wrapText="1"/>
    </xf>
    <xf numFmtId="0" fontId="16" fillId="13" borderId="3" xfId="0" applyFont="1" applyFill="1" applyBorder="1" applyAlignment="1">
      <alignment horizontal="center" vertical="center" wrapText="1"/>
    </xf>
    <xf numFmtId="0" fontId="16" fillId="0" borderId="0" xfId="0" applyFont="1" applyAlignment="1">
      <alignment horizontal="left" vertical="center" wrapText="1"/>
    </xf>
    <xf numFmtId="0" fontId="16" fillId="0" borderId="3" xfId="0" applyFont="1" applyBorder="1" applyAlignment="1">
      <alignment horizontal="center" vertical="center" wrapText="1"/>
    </xf>
    <xf numFmtId="0" fontId="16" fillId="0" borderId="0" xfId="0" applyFont="1" applyAlignment="1">
      <alignment vertical="center" wrapText="1"/>
    </xf>
    <xf numFmtId="0" fontId="16"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0" fillId="4" borderId="0" xfId="8" applyFont="1" applyFill="1" applyAlignment="1">
      <alignment horizontal="center" vertical="center" wrapText="1"/>
    </xf>
    <xf numFmtId="0" fontId="1" fillId="4" borderId="0" xfId="7" applyFill="1"/>
    <xf numFmtId="0" fontId="10" fillId="15" borderId="3" xfId="6" applyFont="1" applyFill="1" applyBorder="1" applyAlignment="1">
      <alignment horizontal="center" vertical="center" wrapText="1"/>
    </xf>
    <xf numFmtId="0" fontId="10" fillId="4" borderId="0" xfId="9" applyFont="1" applyFill="1" applyAlignment="1">
      <alignment horizontal="center" vertical="center" wrapText="1"/>
    </xf>
    <xf numFmtId="20" fontId="10" fillId="4" borderId="3" xfId="8" applyNumberFormat="1" applyFont="1" applyFill="1" applyBorder="1" applyAlignment="1">
      <alignment horizontal="center" vertical="center" wrapText="1"/>
    </xf>
    <xf numFmtId="0" fontId="10" fillId="15" borderId="3" xfId="9" applyFont="1" applyFill="1" applyBorder="1" applyAlignment="1">
      <alignment horizontal="center" vertical="center" wrapText="1"/>
    </xf>
    <xf numFmtId="0" fontId="10"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7" fillId="15" borderId="0" xfId="3" applyNumberFormat="1" applyFill="1" applyAlignment="1">
      <alignment horizontal="left" vertical="top" wrapText="1"/>
    </xf>
    <xf numFmtId="15" fontId="16"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7" fillId="15" borderId="0" xfId="3" applyFill="1" applyAlignment="1">
      <alignment horizontal="left" vertical="top"/>
    </xf>
    <xf numFmtId="15" fontId="7"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8" fillId="9" borderId="0" xfId="0" applyFont="1" applyFill="1"/>
    <xf numFmtId="164" fontId="0" fillId="0" borderId="0" xfId="0" applyNumberFormat="1" applyAlignment="1">
      <alignment horizontal="left" vertical="top" wrapText="1"/>
    </xf>
    <xf numFmtId="0" fontId="8" fillId="21" borderId="8" xfId="0" applyFont="1" applyFill="1" applyBorder="1" applyAlignment="1">
      <alignment horizontal="center" vertical="top" wrapText="1"/>
    </xf>
    <xf numFmtId="0" fontId="8" fillId="21" borderId="8" xfId="0" applyFont="1" applyFill="1" applyBorder="1" applyAlignment="1">
      <alignment horizontal="left" vertical="top" wrapText="1"/>
    </xf>
    <xf numFmtId="0" fontId="8" fillId="21" borderId="8" xfId="0" applyFont="1" applyFill="1" applyBorder="1" applyAlignment="1">
      <alignment horizontal="center" vertical="center" wrapText="1"/>
    </xf>
    <xf numFmtId="0" fontId="0" fillId="0" borderId="8" xfId="0" applyBorder="1" applyAlignment="1">
      <alignment horizontal="left" vertical="top"/>
    </xf>
    <xf numFmtId="0" fontId="15" fillId="9" borderId="0" xfId="0" applyFont="1" applyFill="1" applyAlignment="1">
      <alignment horizontal="left" vertical="top"/>
    </xf>
    <xf numFmtId="0" fontId="17" fillId="9" borderId="0" xfId="0" applyFont="1" applyFill="1" applyAlignment="1">
      <alignment horizontal="left" vertical="top"/>
    </xf>
    <xf numFmtId="0" fontId="17" fillId="9" borderId="0" xfId="0" applyFont="1" applyFill="1" applyAlignment="1">
      <alignment horizontal="left" vertical="top" wrapText="1"/>
    </xf>
    <xf numFmtId="0" fontId="10" fillId="18" borderId="0" xfId="0" applyFont="1" applyFill="1" applyAlignment="1">
      <alignment horizontal="left" vertical="top" wrapText="1"/>
    </xf>
    <xf numFmtId="0" fontId="10" fillId="0" borderId="0" xfId="0" applyFont="1" applyAlignment="1">
      <alignment horizontal="left" vertical="top" wrapText="1"/>
    </xf>
    <xf numFmtId="0" fontId="10"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6"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0" fillId="0" borderId="0" xfId="0" applyFont="1" applyAlignment="1">
      <alignment horizontal="left" vertical="top"/>
    </xf>
    <xf numFmtId="0" fontId="10" fillId="4" borderId="0" xfId="8" applyFont="1" applyFill="1" applyAlignment="1">
      <alignment horizontal="center" vertical="center"/>
    </xf>
    <xf numFmtId="0" fontId="10" fillId="4" borderId="0" xfId="8" applyFont="1" applyFill="1" applyAlignment="1">
      <alignment horizontal="left" vertical="top"/>
    </xf>
    <xf numFmtId="0" fontId="1" fillId="4" borderId="0" xfId="7" applyFill="1" applyAlignment="1">
      <alignment horizontal="left" vertical="top"/>
    </xf>
    <xf numFmtId="15" fontId="8" fillId="4" borderId="5" xfId="8" applyNumberFormat="1" applyFont="1" applyFill="1" applyBorder="1" applyAlignment="1">
      <alignment horizontal="center" vertical="center"/>
    </xf>
    <xf numFmtId="0" fontId="8" fillId="4" borderId="6" xfId="8" applyFont="1" applyFill="1" applyBorder="1" applyAlignment="1">
      <alignment horizontal="center" vertical="center"/>
    </xf>
    <xf numFmtId="16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0" fillId="4" borderId="0" xfId="8" applyNumberFormat="1" applyFont="1" applyFill="1" applyAlignment="1">
      <alignment horizontal="center" vertical="center"/>
    </xf>
    <xf numFmtId="0" fontId="10" fillId="4" borderId="0" xfId="9" applyFont="1" applyFill="1" applyAlignment="1">
      <alignment horizontal="center" vertical="center"/>
    </xf>
    <xf numFmtId="0" fontId="8" fillId="21" borderId="8" xfId="0" applyFont="1" applyFill="1" applyBorder="1" applyAlignment="1">
      <alignment horizontal="left" vertical="top"/>
    </xf>
    <xf numFmtId="0" fontId="0" fillId="4" borderId="0" xfId="0" applyFill="1" applyAlignment="1">
      <alignment horizontal="center" vertical="center"/>
    </xf>
    <xf numFmtId="0" fontId="7" fillId="4" borderId="0" xfId="3" applyFill="1" applyAlignment="1">
      <alignment horizontal="center" vertical="center"/>
    </xf>
    <xf numFmtId="0" fontId="19" fillId="4" borderId="0" xfId="0" applyFont="1" applyFill="1" applyAlignment="1">
      <alignment horizontal="left" vertical="top" wrapText="1"/>
    </xf>
    <xf numFmtId="0" fontId="19" fillId="4" borderId="3" xfId="0" applyFont="1" applyFill="1" applyBorder="1" applyAlignment="1">
      <alignment horizontal="left" vertical="top" wrapText="1"/>
    </xf>
    <xf numFmtId="0" fontId="31" fillId="4" borderId="0" xfId="709" applyFont="1" applyFill="1" applyAlignment="1">
      <alignment horizontal="left" vertical="top" wrapText="1"/>
    </xf>
    <xf numFmtId="0" fontId="8" fillId="29" borderId="11" xfId="0" applyFont="1" applyFill="1" applyBorder="1"/>
    <xf numFmtId="0" fontId="8" fillId="29" borderId="12" xfId="0" applyFont="1" applyFill="1" applyBorder="1" applyAlignment="1">
      <alignment horizontal="left"/>
    </xf>
    <xf numFmtId="0" fontId="8"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28" fillId="4" borderId="0" xfId="0" applyFont="1" applyFill="1" applyAlignment="1">
      <alignment horizontal="center"/>
    </xf>
    <xf numFmtId="0" fontId="0" fillId="4" borderId="0" xfId="0" applyFill="1" applyAlignment="1">
      <alignment horizontal="center"/>
    </xf>
    <xf numFmtId="0" fontId="32" fillId="4" borderId="0" xfId="0" applyFont="1" applyFill="1" applyAlignment="1">
      <alignment horizontal="center" wrapText="1"/>
    </xf>
    <xf numFmtId="0" fontId="6" fillId="4" borderId="0" xfId="0" applyFont="1" applyFill="1" applyAlignment="1">
      <alignment horizontal="center"/>
    </xf>
    <xf numFmtId="0" fontId="16" fillId="4" borderId="0" xfId="0" applyFont="1" applyFill="1" applyAlignment="1">
      <alignment horizontal="center"/>
    </xf>
    <xf numFmtId="14" fontId="16" fillId="4" borderId="0" xfId="0" applyNumberFormat="1" applyFont="1" applyFill="1" applyAlignment="1">
      <alignment horizontal="center"/>
    </xf>
    <xf numFmtId="0" fontId="30" fillId="4" borderId="0" xfId="0" applyFont="1" applyFill="1" applyAlignment="1">
      <alignment horizontal="center"/>
    </xf>
    <xf numFmtId="15" fontId="28" fillId="4" borderId="0" xfId="0" applyNumberFormat="1" applyFont="1" applyFill="1" applyAlignment="1">
      <alignment horizontal="center"/>
    </xf>
    <xf numFmtId="0" fontId="8" fillId="29" borderId="0" xfId="0" applyFont="1" applyFill="1"/>
    <xf numFmtId="0" fontId="13" fillId="4" borderId="14" xfId="0" applyFont="1" applyFill="1" applyBorder="1"/>
    <xf numFmtId="0" fontId="34" fillId="30" borderId="16" xfId="0" applyFont="1" applyFill="1" applyBorder="1" applyAlignment="1">
      <alignment horizontal="center" vertical="center" wrapText="1" readingOrder="1"/>
    </xf>
    <xf numFmtId="166" fontId="8" fillId="4" borderId="0" xfId="0" applyNumberFormat="1" applyFont="1" applyFill="1"/>
    <xf numFmtId="0" fontId="35" fillId="31" borderId="16" xfId="0" applyFont="1" applyFill="1" applyBorder="1" applyAlignment="1">
      <alignment horizontal="left" vertical="center" wrapText="1" readingOrder="1"/>
    </xf>
    <xf numFmtId="15" fontId="35" fillId="31" borderId="16" xfId="0" applyNumberFormat="1" applyFont="1" applyFill="1" applyBorder="1" applyAlignment="1">
      <alignment horizontal="center" vertical="center" wrapText="1" readingOrder="1"/>
    </xf>
    <xf numFmtId="166" fontId="0" fillId="4" borderId="0" xfId="0" applyNumberFormat="1" applyFill="1"/>
    <xf numFmtId="0" fontId="16" fillId="4" borderId="0" xfId="0" applyFont="1" applyFill="1" applyAlignment="1">
      <alignment horizontal="left" vertical="top" wrapText="1"/>
    </xf>
    <xf numFmtId="0" fontId="36" fillId="4" borderId="0" xfId="0" applyFont="1" applyFill="1" applyAlignment="1">
      <alignment horizontal="left"/>
    </xf>
    <xf numFmtId="15" fontId="36" fillId="4" borderId="0" xfId="0" applyNumberFormat="1" applyFont="1" applyFill="1" applyAlignment="1">
      <alignment horizontal="left"/>
    </xf>
    <xf numFmtId="0" fontId="0" fillId="4" borderId="17" xfId="0" applyFill="1" applyBorder="1"/>
    <xf numFmtId="0" fontId="30"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6"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8" fillId="21" borderId="0" xfId="0" applyFont="1" applyFill="1" applyAlignment="1">
      <alignment horizontal="left" vertical="top"/>
    </xf>
    <xf numFmtId="0" fontId="10" fillId="12" borderId="0" xfId="0" applyFont="1" applyFill="1" applyAlignment="1">
      <alignment horizontal="left" vertical="top"/>
    </xf>
    <xf numFmtId="0" fontId="36"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38" fillId="35" borderId="21" xfId="0" applyFont="1" applyFill="1" applyBorder="1" applyAlignment="1">
      <alignment horizontal="left" vertical="top" wrapText="1"/>
    </xf>
    <xf numFmtId="15" fontId="19" fillId="4" borderId="21" xfId="0" applyNumberFormat="1" applyFont="1" applyFill="1" applyBorder="1" applyAlignment="1">
      <alignment horizontal="left" vertical="top" wrapText="1"/>
    </xf>
    <xf numFmtId="0" fontId="19" fillId="36" borderId="21" xfId="0" applyFont="1" applyFill="1" applyBorder="1"/>
    <xf numFmtId="0" fontId="19" fillId="36" borderId="21" xfId="0" applyFont="1" applyFill="1" applyBorder="1" applyAlignment="1">
      <alignment horizontal="center" vertical="center"/>
    </xf>
    <xf numFmtId="0" fontId="36" fillId="14" borderId="20" xfId="0" applyFont="1" applyFill="1" applyBorder="1" applyAlignment="1">
      <alignment horizontal="center" vertical="center" wrapText="1"/>
    </xf>
    <xf numFmtId="0" fontId="36"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7" fillId="14" borderId="21" xfId="0" applyFont="1" applyFill="1" applyBorder="1" applyAlignment="1">
      <alignment horizontal="center" vertical="center" textRotation="90" wrapText="1"/>
    </xf>
    <xf numFmtId="0" fontId="37" fillId="0" borderId="21" xfId="0" applyFont="1" applyBorder="1" applyAlignment="1">
      <alignment horizontal="center" vertical="center" textRotation="90" wrapText="1"/>
    </xf>
    <xf numFmtId="0" fontId="37" fillId="14" borderId="21" xfId="0" applyFont="1" applyFill="1" applyBorder="1" applyAlignment="1">
      <alignment horizontal="center" vertical="center" wrapText="1"/>
    </xf>
    <xf numFmtId="0" fontId="37" fillId="0" borderId="21" xfId="0" applyFont="1" applyBorder="1" applyAlignment="1">
      <alignment horizontal="center" vertical="center" wrapText="1"/>
    </xf>
    <xf numFmtId="0" fontId="37" fillId="15" borderId="21" xfId="0" applyFont="1" applyFill="1" applyBorder="1" applyAlignment="1">
      <alignment horizontal="center" vertical="center" wrapText="1"/>
    </xf>
    <xf numFmtId="0" fontId="7" fillId="4" borderId="0" xfId="3" applyFill="1" applyAlignment="1">
      <alignment vertical="top"/>
    </xf>
    <xf numFmtId="0" fontId="16" fillId="4" borderId="0" xfId="709" applyFont="1" applyFill="1"/>
    <xf numFmtId="0" fontId="39" fillId="4" borderId="0" xfId="0" applyFont="1" applyFill="1" applyAlignment="1">
      <alignment horizontal="center" vertical="center" wrapText="1"/>
    </xf>
    <xf numFmtId="0" fontId="16" fillId="4" borderId="0" xfId="0" applyFont="1" applyFill="1" applyAlignment="1">
      <alignment horizontal="left" vertical="center"/>
    </xf>
    <xf numFmtId="0" fontId="8" fillId="4" borderId="0" xfId="0" applyFont="1" applyFill="1"/>
    <xf numFmtId="0" fontId="33" fillId="4" borderId="0" xfId="0" applyFont="1" applyFill="1" applyAlignment="1">
      <alignment horizontal="center" vertical="center"/>
    </xf>
    <xf numFmtId="166" fontId="33" fillId="4" borderId="0" xfId="0" applyNumberFormat="1" applyFont="1" applyFill="1" applyAlignment="1">
      <alignment horizontal="center" vertical="center"/>
    </xf>
    <xf numFmtId="0" fontId="31" fillId="4" borderId="0" xfId="1065" applyFont="1" applyFill="1" applyAlignment="1">
      <alignment horizontal="center" vertical="top"/>
    </xf>
    <xf numFmtId="0" fontId="31" fillId="4" borderId="0" xfId="1065" applyFont="1" applyFill="1" applyAlignment="1">
      <alignment horizontal="left" vertical="top"/>
    </xf>
    <xf numFmtId="0" fontId="31" fillId="4" borderId="25" xfId="1065" applyFont="1" applyFill="1" applyBorder="1" applyAlignment="1">
      <alignment horizontal="left" vertical="top"/>
    </xf>
    <xf numFmtId="0" fontId="37" fillId="4" borderId="25" xfId="1065" applyFont="1" applyFill="1" applyBorder="1" applyAlignment="1">
      <alignment horizontal="left" vertical="top"/>
    </xf>
    <xf numFmtId="0" fontId="38" fillId="35" borderId="21" xfId="0" applyFont="1" applyFill="1" applyBorder="1" applyAlignment="1">
      <alignment horizontal="center" vertical="top" wrapText="1"/>
    </xf>
    <xf numFmtId="0" fontId="37" fillId="4" borderId="25" xfId="1065" applyFont="1" applyFill="1" applyBorder="1" applyAlignment="1">
      <alignment horizontal="center" vertical="top"/>
    </xf>
    <xf numFmtId="0" fontId="40" fillId="4" borderId="21" xfId="1065" applyFont="1" applyFill="1" applyBorder="1" applyAlignment="1">
      <alignment horizontal="left" vertical="top" wrapText="1"/>
    </xf>
    <xf numFmtId="0" fontId="40" fillId="4" borderId="21" xfId="1065" applyFont="1" applyFill="1" applyBorder="1" applyAlignment="1">
      <alignment horizontal="center" vertical="top" wrapText="1"/>
    </xf>
    <xf numFmtId="0" fontId="19" fillId="4" borderId="21" xfId="1065" applyFont="1" applyFill="1" applyBorder="1" applyAlignment="1">
      <alignment horizontal="center" vertical="top"/>
    </xf>
    <xf numFmtId="0" fontId="0" fillId="4" borderId="0" xfId="0" applyFill="1" applyAlignment="1">
      <alignment horizontal="left" vertical="center"/>
    </xf>
    <xf numFmtId="0" fontId="42" fillId="0" borderId="0" xfId="0" applyFont="1"/>
    <xf numFmtId="0" fontId="42" fillId="28" borderId="0" xfId="0" applyFont="1" applyFill="1" applyAlignment="1">
      <alignment vertical="center" wrapText="1"/>
    </xf>
    <xf numFmtId="0" fontId="42" fillId="28" borderId="0" xfId="0" applyFont="1" applyFill="1"/>
    <xf numFmtId="165" fontId="10" fillId="17" borderId="0" xfId="0" applyNumberFormat="1" applyFont="1" applyFill="1" applyAlignment="1">
      <alignment horizontal="left" vertical="top" wrapText="1"/>
    </xf>
    <xf numFmtId="0" fontId="15" fillId="0" borderId="0" xfId="0" applyFont="1" applyAlignment="1">
      <alignment horizontal="center" vertical="center" wrapText="1"/>
    </xf>
    <xf numFmtId="166" fontId="43" fillId="0" borderId="0" xfId="0" applyNumberFormat="1" applyFont="1" applyAlignment="1">
      <alignment horizontal="center" vertical="center"/>
    </xf>
    <xf numFmtId="0" fontId="0" fillId="12" borderId="0" xfId="0" applyFill="1" applyAlignment="1">
      <alignment horizontal="left" vertical="top" wrapText="1"/>
    </xf>
    <xf numFmtId="0" fontId="44" fillId="4" borderId="0" xfId="0" applyFont="1" applyFill="1" applyAlignment="1">
      <alignment horizontal="left" vertical="top" wrapText="1"/>
    </xf>
    <xf numFmtId="0" fontId="44" fillId="4" borderId="0" xfId="0" applyFont="1" applyFill="1" applyAlignment="1">
      <alignment horizontal="center" vertical="center"/>
    </xf>
    <xf numFmtId="0" fontId="19" fillId="4" borderId="0" xfId="0" applyFont="1" applyFill="1" applyAlignment="1">
      <alignment horizontal="center" vertical="center"/>
    </xf>
    <xf numFmtId="0" fontId="19" fillId="4" borderId="0" xfId="0" applyFont="1" applyFill="1"/>
    <xf numFmtId="0" fontId="40"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47" fillId="37" borderId="0" xfId="0" applyFont="1" applyFill="1" applyAlignment="1">
      <alignment vertical="center"/>
    </xf>
    <xf numFmtId="0" fontId="47"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13" fillId="12" borderId="0" xfId="0" applyFont="1" applyFill="1" applyAlignment="1">
      <alignment horizontal="left" vertical="top" wrapText="1"/>
    </xf>
    <xf numFmtId="0" fontId="17" fillId="9" borderId="0" xfId="0" applyFont="1" applyFill="1" applyAlignment="1">
      <alignment horizontal="center" vertical="center" wrapText="1"/>
    </xf>
    <xf numFmtId="0" fontId="31" fillId="14" borderId="3" xfId="0" applyFont="1" applyFill="1" applyBorder="1" applyAlignment="1">
      <alignment horizontal="center" vertical="center" wrapText="1"/>
    </xf>
    <xf numFmtId="0" fontId="31" fillId="13" borderId="3" xfId="0" applyFont="1" applyFill="1" applyBorder="1" applyAlignment="1">
      <alignment horizontal="center" vertical="center" wrapText="1"/>
    </xf>
    <xf numFmtId="0" fontId="31" fillId="10" borderId="0" xfId="0" applyFont="1" applyFill="1" applyAlignment="1">
      <alignment horizontal="center" vertical="center" textRotation="90" wrapText="1"/>
    </xf>
    <xf numFmtId="0" fontId="48" fillId="39" borderId="0" xfId="0" applyFont="1" applyFill="1" applyAlignment="1">
      <alignment horizontal="center" vertical="center" textRotation="90" wrapText="1"/>
    </xf>
    <xf numFmtId="0" fontId="31" fillId="0" borderId="0" xfId="0" applyFont="1" applyAlignment="1">
      <alignment horizontal="left" vertical="top" wrapText="1"/>
    </xf>
    <xf numFmtId="0" fontId="31" fillId="4" borderId="3" xfId="0" applyFont="1" applyFill="1" applyBorder="1" applyAlignment="1">
      <alignment horizontal="left" vertical="top" wrapText="1"/>
    </xf>
    <xf numFmtId="164" fontId="31" fillId="0" borderId="0" xfId="0" applyNumberFormat="1" applyFont="1" applyAlignment="1">
      <alignment horizontal="left" vertical="top" wrapText="1"/>
    </xf>
    <xf numFmtId="0" fontId="31"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1" fillId="4" borderId="10" xfId="0" applyFont="1" applyFill="1" applyBorder="1" applyAlignment="1">
      <alignment horizontal="center" vertical="center" wrapText="1"/>
    </xf>
    <xf numFmtId="0" fontId="48" fillId="39" borderId="0" xfId="0" applyFont="1" applyFill="1" applyAlignment="1">
      <alignment horizontal="center" vertical="center" wrapText="1"/>
    </xf>
    <xf numFmtId="164" fontId="31" fillId="4" borderId="3" xfId="0" applyNumberFormat="1" applyFont="1" applyFill="1" applyBorder="1" applyAlignment="1">
      <alignment horizontal="left" vertical="top" wrapText="1"/>
    </xf>
    <xf numFmtId="0" fontId="31" fillId="4" borderId="33" xfId="0" applyFont="1" applyFill="1" applyBorder="1" applyAlignment="1">
      <alignment horizontal="center" vertical="center" wrapText="1"/>
    </xf>
    <xf numFmtId="0" fontId="31" fillId="0" borderId="3" xfId="0" applyFont="1" applyBorder="1" applyAlignment="1">
      <alignment horizontal="left" vertical="top" wrapText="1"/>
    </xf>
    <xf numFmtId="0" fontId="31"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4" fillId="30" borderId="35" xfId="0" applyFont="1" applyFill="1" applyBorder="1" applyAlignment="1">
      <alignment horizontal="left" vertical="center" wrapText="1" readingOrder="1"/>
    </xf>
    <xf numFmtId="0" fontId="35" fillId="31" borderId="34" xfId="0" applyFont="1" applyFill="1" applyBorder="1" applyAlignment="1">
      <alignment horizontal="left" vertical="center" wrapText="1" readingOrder="1"/>
    </xf>
    <xf numFmtId="0" fontId="34"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7" fillId="15" borderId="21" xfId="0" quotePrefix="1" applyFont="1" applyFill="1" applyBorder="1" applyAlignment="1">
      <alignment horizontal="center" vertical="center" wrapText="1"/>
    </xf>
    <xf numFmtId="0" fontId="49" fillId="44" borderId="21" xfId="0" quotePrefix="1" applyFont="1" applyFill="1" applyBorder="1" applyAlignment="1">
      <alignment horizontal="center" vertical="center" wrapText="1"/>
    </xf>
    <xf numFmtId="0" fontId="49" fillId="44" borderId="21" xfId="0" applyFont="1" applyFill="1" applyBorder="1" applyAlignment="1">
      <alignment horizontal="center" vertical="center" wrapText="1"/>
    </xf>
    <xf numFmtId="0" fontId="16" fillId="14" borderId="38" xfId="0" applyFont="1" applyFill="1" applyBorder="1" applyAlignment="1">
      <alignment horizontal="left" vertical="center" wrapText="1"/>
    </xf>
    <xf numFmtId="0" fontId="16" fillId="13" borderId="38" xfId="0" applyFont="1" applyFill="1" applyBorder="1" applyAlignment="1">
      <alignment horizontal="center" vertical="center" wrapText="1"/>
    </xf>
    <xf numFmtId="0" fontId="16"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39" xfId="0" applyBorder="1" applyAlignment="1">
      <alignment horizontal="left" vertical="top" wrapText="1"/>
    </xf>
    <xf numFmtId="0" fontId="0" fillId="24" borderId="39" xfId="0" applyFill="1" applyBorder="1" applyAlignment="1">
      <alignment horizontal="left" vertical="top" wrapText="1"/>
    </xf>
    <xf numFmtId="0" fontId="0" fillId="8" borderId="39"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15" fillId="9" borderId="0" xfId="0" applyFont="1" applyFill="1" applyAlignment="1">
      <alignment horizontal="left" vertical="center"/>
    </xf>
    <xf numFmtId="0" fontId="15" fillId="9" borderId="0" xfId="0" applyFont="1" applyFill="1" applyAlignment="1">
      <alignment horizontal="left" vertical="center"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6"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7" fillId="0" borderId="1" xfId="3" applyNumberFormat="1" applyBorder="1" applyAlignment="1">
      <alignment horizontal="left" vertical="top" wrapText="1"/>
    </xf>
    <xf numFmtId="0" fontId="16" fillId="12" borderId="0" xfId="0" applyFont="1" applyFill="1" applyAlignment="1">
      <alignment horizontal="left" vertical="top" wrapText="1"/>
    </xf>
    <xf numFmtId="0" fontId="0" fillId="15" borderId="0" xfId="0" applyFill="1" applyAlignment="1">
      <alignment horizontal="center" vertical="top"/>
    </xf>
    <xf numFmtId="0" fontId="51" fillId="45" borderId="40" xfId="0" applyFont="1" applyFill="1" applyBorder="1" applyAlignment="1">
      <alignment horizontal="center" vertical="center"/>
    </xf>
    <xf numFmtId="16" fontId="51" fillId="45" borderId="41" xfId="0" applyNumberFormat="1" applyFont="1" applyFill="1" applyBorder="1" applyAlignment="1">
      <alignment horizontal="center" vertical="center"/>
    </xf>
    <xf numFmtId="16" fontId="51" fillId="45" borderId="40" xfId="0" applyNumberFormat="1" applyFont="1" applyFill="1" applyBorder="1" applyAlignment="1">
      <alignment horizontal="center" vertical="center"/>
    </xf>
    <xf numFmtId="0" fontId="51" fillId="45" borderId="42" xfId="0" applyFont="1" applyFill="1" applyBorder="1" applyAlignment="1">
      <alignment horizontal="center" vertical="center"/>
    </xf>
    <xf numFmtId="20" fontId="10" fillId="4" borderId="43" xfId="2" applyNumberFormat="1" applyFont="1" applyFill="1" applyBorder="1" applyAlignment="1">
      <alignment horizontal="center" vertical="center" wrapText="1"/>
    </xf>
    <xf numFmtId="0" fontId="0" fillId="8" borderId="39" xfId="0" applyFill="1" applyBorder="1" applyAlignment="1">
      <alignment horizontal="center" vertical="center" wrapText="1"/>
    </xf>
    <xf numFmtId="0" fontId="0" fillId="46" borderId="39" xfId="0" applyFill="1" applyBorder="1" applyAlignment="1">
      <alignment horizontal="center" vertical="center"/>
    </xf>
    <xf numFmtId="20" fontId="0" fillId="0" borderId="44" xfId="0" applyNumberFormat="1" applyBorder="1" applyAlignment="1">
      <alignment horizontal="center"/>
    </xf>
    <xf numFmtId="0" fontId="0" fillId="4" borderId="39"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0" fillId="4" borderId="45" xfId="2" applyNumberFormat="1" applyFont="1" applyFill="1" applyBorder="1" applyAlignment="1">
      <alignment horizontal="center" vertical="center" wrapText="1"/>
    </xf>
    <xf numFmtId="20" fontId="0" fillId="0" borderId="47" xfId="0" applyNumberFormat="1" applyBorder="1" applyAlignment="1">
      <alignment horizontal="center"/>
    </xf>
    <xf numFmtId="0" fontId="0" fillId="42" borderId="20" xfId="0" applyFill="1" applyBorder="1" applyAlignment="1">
      <alignment horizontal="center" vertical="center" wrapText="1"/>
    </xf>
    <xf numFmtId="0" fontId="8" fillId="48" borderId="0" xfId="0" applyFont="1" applyFill="1" applyAlignment="1">
      <alignment horizontal="left" vertical="top"/>
    </xf>
    <xf numFmtId="0" fontId="8" fillId="49" borderId="0" xfId="0" applyFont="1" applyFill="1" applyAlignment="1">
      <alignment horizontal="left" vertical="top" wrapText="1"/>
    </xf>
    <xf numFmtId="0" fontId="8" fillId="50" borderId="0" xfId="0" applyFont="1" applyFill="1" applyAlignment="1">
      <alignment horizontal="left" vertical="top"/>
    </xf>
    <xf numFmtId="0" fontId="8" fillId="51" borderId="0" xfId="0" applyFont="1" applyFill="1" applyAlignment="1">
      <alignment horizontal="left" vertical="top"/>
    </xf>
    <xf numFmtId="0" fontId="8" fillId="52" borderId="0" xfId="0" applyFont="1" applyFill="1" applyAlignment="1">
      <alignment horizontal="left" vertical="top" wrapText="1"/>
    </xf>
    <xf numFmtId="0" fontId="8" fillId="53" borderId="0" xfId="0" applyFont="1" applyFill="1" applyAlignment="1">
      <alignment horizontal="left" vertical="top"/>
    </xf>
    <xf numFmtId="0" fontId="8" fillId="54" borderId="0" xfId="0" applyFont="1" applyFill="1" applyAlignment="1">
      <alignment horizontal="left" vertical="top"/>
    </xf>
    <xf numFmtId="0" fontId="0" fillId="55" borderId="0" xfId="0" applyFill="1" applyAlignment="1">
      <alignment horizontal="left" vertical="top"/>
    </xf>
    <xf numFmtId="0" fontId="8"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8" fillId="56" borderId="0" xfId="0" applyFont="1" applyFill="1" applyAlignment="1">
      <alignment horizontal="left" vertical="top"/>
    </xf>
    <xf numFmtId="0" fontId="10" fillId="15" borderId="48" xfId="0" applyFont="1" applyFill="1" applyBorder="1" applyAlignment="1">
      <alignment vertical="top" wrapText="1"/>
    </xf>
    <xf numFmtId="0" fontId="10" fillId="15" borderId="39" xfId="0" applyFont="1" applyFill="1" applyBorder="1" applyAlignment="1">
      <alignment horizontal="center" vertical="center" wrapText="1"/>
    </xf>
    <xf numFmtId="0" fontId="8" fillId="48" borderId="7" xfId="0" applyFont="1" applyFill="1" applyBorder="1" applyAlignment="1">
      <alignment horizontal="left" vertical="center"/>
    </xf>
    <xf numFmtId="0" fontId="8" fillId="49" borderId="7" xfId="0" applyFont="1" applyFill="1" applyBorder="1" applyAlignment="1">
      <alignment horizontal="left" vertical="center" wrapText="1"/>
    </xf>
    <xf numFmtId="0" fontId="8" fillId="56" borderId="7" xfId="0" applyFont="1" applyFill="1" applyBorder="1" applyAlignment="1">
      <alignment vertical="center" wrapText="1"/>
    </xf>
    <xf numFmtId="0" fontId="8" fillId="56" borderId="7" xfId="0" applyFont="1" applyFill="1" applyBorder="1" applyAlignment="1">
      <alignment horizontal="left" vertical="center"/>
    </xf>
    <xf numFmtId="0" fontId="8" fillId="50" borderId="7" xfId="0" applyFont="1" applyFill="1" applyBorder="1" applyAlignment="1">
      <alignment horizontal="left" vertical="center"/>
    </xf>
    <xf numFmtId="0" fontId="8" fillId="51" borderId="7" xfId="0" applyFont="1" applyFill="1" applyBorder="1" applyAlignment="1">
      <alignment vertical="center" wrapText="1"/>
    </xf>
    <xf numFmtId="0" fontId="8" fillId="51" borderId="7" xfId="0" applyFont="1" applyFill="1" applyBorder="1" applyAlignment="1">
      <alignment horizontal="left" vertical="center"/>
    </xf>
    <xf numFmtId="0" fontId="8" fillId="52" borderId="7" xfId="0" applyFont="1" applyFill="1" applyBorder="1" applyAlignment="1">
      <alignment vertical="center" wrapText="1"/>
    </xf>
    <xf numFmtId="0" fontId="8" fillId="52" borderId="7" xfId="0" applyFont="1" applyFill="1" applyBorder="1" applyAlignment="1">
      <alignment horizontal="left" vertical="center" wrapText="1"/>
    </xf>
    <xf numFmtId="0" fontId="8" fillId="53" borderId="7" xfId="0" applyFont="1" applyFill="1" applyBorder="1" applyAlignment="1">
      <alignment horizontal="left" vertical="center"/>
    </xf>
    <xf numFmtId="0" fontId="8" fillId="54" borderId="7" xfId="0" applyFont="1" applyFill="1" applyBorder="1" applyAlignment="1">
      <alignment horizontal="left" vertical="center"/>
    </xf>
    <xf numFmtId="0" fontId="8" fillId="55" borderId="7" xfId="0" applyFont="1" applyFill="1" applyBorder="1" applyAlignment="1">
      <alignment horizontal="left" vertical="center"/>
    </xf>
    <xf numFmtId="0" fontId="14"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0" fillId="4" borderId="21" xfId="0" applyFont="1" applyFill="1" applyBorder="1" applyAlignment="1">
      <alignment horizontal="left" vertical="top" wrapText="1"/>
    </xf>
    <xf numFmtId="0" fontId="10" fillId="4" borderId="21" xfId="0" applyFont="1" applyFill="1" applyBorder="1" applyAlignment="1">
      <alignment horizontal="center" vertical="center"/>
    </xf>
    <xf numFmtId="0" fontId="50" fillId="35" borderId="21" xfId="0" applyFont="1" applyFill="1" applyBorder="1" applyAlignment="1">
      <alignment horizontal="left" vertical="top" wrapText="1"/>
    </xf>
    <xf numFmtId="0" fontId="16" fillId="4" borderId="0" xfId="0" applyFont="1" applyFill="1" applyAlignment="1">
      <alignment horizontal="center" vertical="center"/>
    </xf>
    <xf numFmtId="0" fontId="16" fillId="4" borderId="0" xfId="0" applyFont="1" applyFill="1"/>
    <xf numFmtId="0" fontId="2" fillId="35" borderId="21" xfId="0" applyFont="1" applyFill="1" applyBorder="1" applyAlignment="1">
      <alignment horizontal="left" vertical="top" wrapText="1"/>
    </xf>
    <xf numFmtId="15" fontId="37" fillId="4" borderId="21" xfId="0" applyNumberFormat="1" applyFont="1" applyFill="1" applyBorder="1" applyAlignment="1">
      <alignment horizontal="left" vertical="top" wrapText="1"/>
    </xf>
    <xf numFmtId="15" fontId="31" fillId="4" borderId="21" xfId="0" applyNumberFormat="1" applyFont="1" applyFill="1" applyBorder="1" applyAlignment="1">
      <alignment horizontal="left" vertical="top" wrapText="1"/>
    </xf>
    <xf numFmtId="0" fontId="31" fillId="4" borderId="21" xfId="0" applyFont="1" applyFill="1" applyBorder="1" applyAlignment="1">
      <alignment horizontal="left" vertical="top" wrapText="1"/>
    </xf>
    <xf numFmtId="0" fontId="31" fillId="4" borderId="0" xfId="0" applyFont="1" applyFill="1" applyAlignment="1">
      <alignment horizontal="left" vertical="top" wrapText="1"/>
    </xf>
    <xf numFmtId="0" fontId="54" fillId="0" borderId="21" xfId="0" applyFont="1" applyBorder="1" applyAlignment="1">
      <alignment horizontal="left" vertical="top" wrapText="1"/>
    </xf>
    <xf numFmtId="0" fontId="31" fillId="0" borderId="21" xfId="0" applyFont="1" applyBorder="1" applyAlignment="1">
      <alignment horizontal="left" vertical="top" wrapText="1"/>
    </xf>
    <xf numFmtId="0" fontId="52" fillId="4" borderId="0" xfId="0" applyFont="1" applyFill="1" applyAlignment="1">
      <alignment horizontal="left" vertical="top" wrapText="1"/>
    </xf>
    <xf numFmtId="0" fontId="53" fillId="4" borderId="0" xfId="3" applyFont="1" applyFill="1" applyAlignment="1">
      <alignment horizontal="left" vertical="top" wrapText="1"/>
    </xf>
    <xf numFmtId="0" fontId="31" fillId="36" borderId="21" xfId="0" applyFont="1" applyFill="1" applyBorder="1" applyAlignment="1">
      <alignment horizontal="left" vertical="top" wrapText="1"/>
    </xf>
    <xf numFmtId="0" fontId="17" fillId="35" borderId="21" xfId="0" applyFont="1" applyFill="1" applyBorder="1" applyAlignment="1">
      <alignment vertical="top" wrapText="1"/>
    </xf>
    <xf numFmtId="15" fontId="16" fillId="4" borderId="21" xfId="0" applyNumberFormat="1" applyFont="1" applyFill="1" applyBorder="1" applyAlignment="1">
      <alignment vertical="top" wrapText="1"/>
    </xf>
    <xf numFmtId="0" fontId="16" fillId="4" borderId="3" xfId="0" applyFont="1" applyFill="1" applyBorder="1" applyAlignment="1">
      <alignment horizontal="left" vertical="top" wrapText="1"/>
    </xf>
    <xf numFmtId="0" fontId="31" fillId="14" borderId="3" xfId="0" applyFont="1" applyFill="1" applyBorder="1" applyAlignment="1">
      <alignment horizontal="left" vertical="center" wrapText="1"/>
    </xf>
    <xf numFmtId="164" fontId="31" fillId="14" borderId="3" xfId="0" applyNumberFormat="1" applyFont="1" applyFill="1" applyBorder="1" applyAlignment="1">
      <alignment horizontal="left" vertical="center" wrapText="1"/>
    </xf>
    <xf numFmtId="0" fontId="31" fillId="0" borderId="0" xfId="0" applyFont="1" applyAlignment="1">
      <alignment horizontal="center" vertical="center" wrapText="1"/>
    </xf>
    <xf numFmtId="0" fontId="31" fillId="12" borderId="0" xfId="0" applyFont="1" applyFill="1" applyAlignment="1">
      <alignment horizontal="left" vertical="top"/>
    </xf>
    <xf numFmtId="0" fontId="16" fillId="36" borderId="21" xfId="0" applyFont="1" applyFill="1" applyBorder="1"/>
    <xf numFmtId="15" fontId="16" fillId="4" borderId="21" xfId="0" applyNumberFormat="1" applyFont="1" applyFill="1" applyBorder="1" applyAlignment="1">
      <alignment horizontal="left" vertical="top" wrapText="1"/>
    </xf>
    <xf numFmtId="15" fontId="16" fillId="4" borderId="21" xfId="0" applyNumberFormat="1" applyFont="1" applyFill="1" applyBorder="1" applyAlignment="1">
      <alignment horizontal="left" vertical="center" wrapText="1"/>
    </xf>
    <xf numFmtId="167" fontId="16" fillId="4" borderId="21" xfId="0" applyNumberFormat="1" applyFont="1" applyFill="1" applyBorder="1" applyAlignment="1">
      <alignment horizontal="center" vertical="center" wrapText="1"/>
    </xf>
    <xf numFmtId="0" fontId="16" fillId="4" borderId="0" xfId="0" applyFont="1" applyFill="1" applyAlignment="1">
      <alignment horizontal="left" vertical="center" wrapText="1"/>
    </xf>
    <xf numFmtId="0" fontId="16" fillId="4" borderId="0" xfId="709" applyFont="1" applyFill="1" applyAlignment="1">
      <alignment horizontal="left" vertical="center" wrapText="1"/>
    </xf>
    <xf numFmtId="0" fontId="16" fillId="4" borderId="0" xfId="0" applyFont="1" applyFill="1" applyAlignment="1">
      <alignment wrapText="1"/>
    </xf>
    <xf numFmtId="1" fontId="16" fillId="4" borderId="21" xfId="0" applyNumberFormat="1" applyFont="1" applyFill="1" applyBorder="1" applyAlignment="1">
      <alignment horizontal="center" vertical="center" wrapText="1"/>
    </xf>
    <xf numFmtId="0" fontId="16"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1" fillId="28" borderId="0" xfId="0" applyFont="1" applyFill="1" applyAlignment="1">
      <alignment vertical="center" wrapText="1"/>
    </xf>
    <xf numFmtId="0" fontId="19" fillId="28" borderId="0" xfId="0" applyFont="1" applyFill="1" applyAlignment="1">
      <alignment vertical="center" wrapText="1"/>
    </xf>
    <xf numFmtId="0" fontId="56" fillId="28" borderId="0" xfId="0" applyFont="1" applyFill="1"/>
    <xf numFmtId="168" fontId="29" fillId="28" borderId="0" xfId="0" applyNumberFormat="1" applyFont="1" applyFill="1" applyAlignment="1">
      <alignment vertical="center"/>
    </xf>
    <xf numFmtId="0" fontId="56" fillId="0" borderId="0" xfId="0" applyFont="1"/>
    <xf numFmtId="0" fontId="11" fillId="15" borderId="21" xfId="0" applyFont="1" applyFill="1" applyBorder="1" applyAlignment="1">
      <alignment horizontal="center" vertical="center"/>
    </xf>
    <xf numFmtId="15" fontId="31" fillId="15" borderId="0" xfId="0" applyNumberFormat="1" applyFont="1" applyFill="1" applyAlignment="1">
      <alignment horizontal="left" vertical="top" wrapText="1"/>
    </xf>
    <xf numFmtId="0" fontId="0" fillId="7" borderId="10" xfId="0" applyFill="1" applyBorder="1" applyAlignment="1">
      <alignment horizontal="left" vertical="top"/>
    </xf>
    <xf numFmtId="0" fontId="37" fillId="4" borderId="0" xfId="0" applyFont="1" applyFill="1" applyAlignment="1">
      <alignment horizontal="left" vertical="top" wrapText="1"/>
    </xf>
    <xf numFmtId="0" fontId="31" fillId="4" borderId="0" xfId="0" applyFont="1" applyFill="1" applyAlignment="1">
      <alignment horizontal="left" vertical="top"/>
    </xf>
    <xf numFmtId="0" fontId="0" fillId="4" borderId="0" xfId="0" quotePrefix="1" applyFill="1"/>
    <xf numFmtId="0" fontId="6" fillId="4" borderId="0" xfId="0" applyFont="1" applyFill="1"/>
    <xf numFmtId="15" fontId="57" fillId="4" borderId="0" xfId="2" applyNumberFormat="1" applyFont="1" applyFill="1"/>
    <xf numFmtId="0" fontId="4" fillId="4" borderId="0" xfId="2" applyFill="1"/>
    <xf numFmtId="0" fontId="59" fillId="7" borderId="39" xfId="2" applyFont="1" applyFill="1" applyBorder="1" applyAlignment="1">
      <alignment horizontal="center" vertical="center" wrapText="1"/>
    </xf>
    <xf numFmtId="0" fontId="59" fillId="15" borderId="39" xfId="2" applyFont="1" applyFill="1" applyBorder="1" applyAlignment="1">
      <alignment horizontal="center" vertical="center" wrapText="1"/>
    </xf>
    <xf numFmtId="169" fontId="59" fillId="7" borderId="39" xfId="2" applyNumberFormat="1" applyFont="1" applyFill="1" applyBorder="1" applyAlignment="1">
      <alignment horizontal="center" vertical="center" wrapText="1"/>
    </xf>
    <xf numFmtId="169" fontId="59" fillId="15" borderId="39" xfId="2" applyNumberFormat="1" applyFont="1" applyFill="1" applyBorder="1" applyAlignment="1">
      <alignment horizontal="center" vertical="center" wrapText="1"/>
    </xf>
    <xf numFmtId="0" fontId="58" fillId="0" borderId="39" xfId="2" applyFont="1" applyBorder="1" applyAlignment="1">
      <alignment horizontal="center" vertical="center" wrapText="1"/>
    </xf>
    <xf numFmtId="16" fontId="59" fillId="7" borderId="39" xfId="2" applyNumberFormat="1" applyFont="1" applyFill="1" applyBorder="1" applyAlignment="1">
      <alignment horizontal="center" vertical="center" wrapText="1"/>
    </xf>
    <xf numFmtId="16" fontId="59" fillId="15" borderId="39" xfId="2" applyNumberFormat="1" applyFont="1" applyFill="1" applyBorder="1" applyAlignment="1">
      <alignment horizontal="center" vertical="center" wrapText="1"/>
    </xf>
    <xf numFmtId="20" fontId="4" fillId="0" borderId="39" xfId="2" applyNumberFormat="1" applyBorder="1" applyAlignment="1">
      <alignment horizontal="center" vertical="center" wrapText="1"/>
    </xf>
    <xf numFmtId="0" fontId="4" fillId="25" borderId="39" xfId="2" applyFill="1" applyBorder="1" applyAlignment="1">
      <alignment horizontal="center" vertical="center" wrapText="1" shrinkToFit="1"/>
    </xf>
    <xf numFmtId="0" fontId="4" fillId="8" borderId="39" xfId="2" applyFill="1" applyBorder="1" applyAlignment="1">
      <alignment horizontal="center" vertical="center" wrapText="1" shrinkToFit="1"/>
    </xf>
    <xf numFmtId="20" fontId="60" fillId="0" borderId="39" xfId="2" applyNumberFormat="1" applyFont="1" applyBorder="1" applyAlignment="1">
      <alignment horizontal="center" vertical="center" wrapText="1"/>
    </xf>
    <xf numFmtId="0" fontId="8" fillId="2" borderId="3" xfId="6" applyFont="1" applyFill="1" applyBorder="1" applyAlignment="1">
      <alignment vertical="center" wrapText="1"/>
    </xf>
    <xf numFmtId="170" fontId="4" fillId="4" borderId="39" xfId="2" applyNumberFormat="1" applyFill="1" applyBorder="1" applyAlignment="1">
      <alignment horizontal="left" vertical="top" wrapText="1"/>
    </xf>
    <xf numFmtId="15" fontId="4" fillId="4" borderId="39" xfId="2" applyNumberFormat="1" applyFill="1" applyBorder="1" applyAlignment="1">
      <alignment horizontal="left" vertical="top" wrapText="1"/>
    </xf>
    <xf numFmtId="0" fontId="4" fillId="4" borderId="39" xfId="2" applyFill="1" applyBorder="1" applyAlignment="1">
      <alignment horizontal="left" vertical="top" wrapText="1"/>
    </xf>
    <xf numFmtId="0" fontId="37" fillId="58" borderId="21" xfId="583" applyFont="1" applyFill="1" applyBorder="1" applyAlignment="1">
      <alignment horizontal="center" vertical="center" wrapText="1"/>
    </xf>
    <xf numFmtId="0" fontId="37" fillId="58" borderId="21" xfId="583" quotePrefix="1" applyFont="1" applyFill="1" applyBorder="1" applyAlignment="1">
      <alignment horizontal="center" vertical="center" wrapText="1"/>
    </xf>
    <xf numFmtId="0" fontId="61" fillId="4" borderId="0" xfId="0" applyFont="1" applyFill="1"/>
    <xf numFmtId="0" fontId="4" fillId="7" borderId="60" xfId="2" applyFill="1" applyBorder="1" applyAlignment="1">
      <alignment horizontal="center" vertical="center" wrapText="1" shrinkToFit="1"/>
    </xf>
    <xf numFmtId="0" fontId="4" fillId="7" borderId="61" xfId="2" applyFill="1" applyBorder="1" applyAlignment="1">
      <alignment horizontal="center" vertical="center" wrapText="1" shrinkToFit="1"/>
    </xf>
    <xf numFmtId="0" fontId="4" fillId="7" borderId="62" xfId="2" applyFill="1" applyBorder="1" applyAlignment="1">
      <alignment horizontal="center" vertical="center" wrapText="1" shrinkToFit="1"/>
    </xf>
    <xf numFmtId="0" fontId="14" fillId="59" borderId="0" xfId="0" applyFont="1" applyFill="1" applyAlignment="1">
      <alignment horizontal="left" vertical="top"/>
    </xf>
    <xf numFmtId="0" fontId="8" fillId="59" borderId="0" xfId="0" applyFont="1" applyFill="1" applyAlignment="1">
      <alignment horizontal="left" vertical="top" wrapText="1"/>
    </xf>
    <xf numFmtId="15" fontId="16" fillId="0" borderId="0" xfId="0" applyNumberFormat="1" applyFont="1" applyAlignment="1">
      <alignment horizontal="left" vertical="top"/>
    </xf>
    <xf numFmtId="0" fontId="16" fillId="0" borderId="3" xfId="0" applyFont="1" applyBorder="1" applyAlignment="1">
      <alignment vertical="center" wrapText="1"/>
    </xf>
    <xf numFmtId="0" fontId="16" fillId="15" borderId="3" xfId="0" applyFont="1" applyFill="1" applyBorder="1" applyAlignment="1">
      <alignment vertical="center" wrapText="1"/>
    </xf>
    <xf numFmtId="0" fontId="16" fillId="0" borderId="38" xfId="0" applyFont="1" applyBorder="1" applyAlignment="1">
      <alignment vertical="center" wrapText="1"/>
    </xf>
    <xf numFmtId="0" fontId="16" fillId="15" borderId="38" xfId="0" applyFont="1" applyFill="1" applyBorder="1" applyAlignment="1">
      <alignment vertical="center" wrapText="1"/>
    </xf>
    <xf numFmtId="0" fontId="16" fillId="0" borderId="38" xfId="0" applyFont="1" applyBorder="1" applyAlignment="1">
      <alignment horizontal="center" vertical="center" wrapText="1"/>
    </xf>
    <xf numFmtId="0" fontId="16" fillId="0" borderId="0" xfId="0" applyFont="1" applyAlignment="1">
      <alignment vertical="center"/>
    </xf>
    <xf numFmtId="9" fontId="0" fillId="0" borderId="0" xfId="0" applyNumberFormat="1" applyAlignment="1">
      <alignment horizontal="center" vertical="top"/>
    </xf>
    <xf numFmtId="0" fontId="61" fillId="0" borderId="0" xfId="0" applyFont="1" applyAlignment="1">
      <alignment horizontal="left" vertical="top" wrapText="1"/>
    </xf>
    <xf numFmtId="0" fontId="12" fillId="0" borderId="0" xfId="0" applyFont="1" applyAlignment="1">
      <alignment horizontal="left" vertical="top"/>
    </xf>
    <xf numFmtId="0" fontId="10" fillId="0" borderId="0" xfId="0" quotePrefix="1" applyFont="1" applyAlignment="1">
      <alignment horizontal="left" vertical="top" wrapText="1"/>
    </xf>
    <xf numFmtId="0" fontId="10"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2" fillId="60" borderId="63" xfId="0" applyFont="1" applyFill="1" applyBorder="1" applyAlignment="1">
      <alignment horizontal="left" vertical="top"/>
    </xf>
    <xf numFmtId="0" fontId="0" fillId="61" borderId="64"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3" fillId="0" borderId="0" xfId="0" quotePrefix="1" applyFont="1" applyAlignment="1">
      <alignment horizontal="left" vertical="top" wrapText="1"/>
    </xf>
    <xf numFmtId="14" fontId="63" fillId="17" borderId="0" xfId="0" applyNumberFormat="1" applyFont="1" applyFill="1" applyAlignment="1">
      <alignment horizontal="left" vertical="top" wrapText="1"/>
    </xf>
    <xf numFmtId="0" fontId="64" fillId="3" borderId="1" xfId="1" applyFont="1" applyFill="1" applyBorder="1" applyAlignment="1">
      <alignment horizontal="left" vertical="center" wrapText="1"/>
    </xf>
    <xf numFmtId="0" fontId="66" fillId="0" borderId="0" xfId="0" applyFont="1"/>
    <xf numFmtId="15" fontId="65" fillId="15" borderId="1" xfId="2" applyNumberFormat="1" applyFont="1" applyFill="1" applyBorder="1" applyAlignment="1">
      <alignment horizontal="left" vertical="top" wrapText="1"/>
    </xf>
    <xf numFmtId="15" fontId="65" fillId="15" borderId="1" xfId="2" quotePrefix="1" applyNumberFormat="1" applyFont="1" applyFill="1" applyBorder="1" applyAlignment="1">
      <alignment horizontal="left" vertical="top" wrapText="1"/>
    </xf>
    <xf numFmtId="0" fontId="0" fillId="15" borderId="39" xfId="0" applyFill="1" applyBorder="1" applyAlignment="1">
      <alignment horizontal="left" vertical="top" wrapText="1"/>
    </xf>
    <xf numFmtId="0" fontId="16" fillId="0" borderId="65" xfId="0" applyFont="1" applyBorder="1" applyAlignment="1">
      <alignment horizontal="left" vertical="top" wrapText="1"/>
    </xf>
    <xf numFmtId="15" fontId="16" fillId="15" borderId="66" xfId="0" applyNumberFormat="1" applyFont="1" applyFill="1" applyBorder="1" applyAlignment="1">
      <alignment horizontal="left" vertical="top" wrapText="1"/>
    </xf>
    <xf numFmtId="0" fontId="16" fillId="0" borderId="66" xfId="0" applyFont="1" applyBorder="1" applyAlignment="1">
      <alignment horizontal="left" vertical="top" wrapText="1"/>
    </xf>
    <xf numFmtId="0" fontId="16" fillId="0" borderId="4" xfId="0" applyFont="1" applyBorder="1" applyAlignment="1">
      <alignment horizontal="left" vertical="top" wrapText="1"/>
    </xf>
    <xf numFmtId="0" fontId="16"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67" fillId="9" borderId="0" xfId="0" applyFont="1" applyFill="1"/>
    <xf numFmtId="171" fontId="0" fillId="0" borderId="0" xfId="0" applyNumberFormat="1"/>
    <xf numFmtId="15" fontId="0" fillId="0" borderId="0" xfId="0" applyNumberFormat="1"/>
    <xf numFmtId="0" fontId="65" fillId="15" borderId="1" xfId="2" applyFont="1" applyFill="1" applyBorder="1" applyAlignment="1">
      <alignment horizontal="left" vertical="top" wrapText="1"/>
    </xf>
    <xf numFmtId="0" fontId="68" fillId="62" borderId="78" xfId="0" applyFont="1" applyFill="1" applyBorder="1" applyAlignment="1">
      <alignment horizontal="center"/>
    </xf>
    <xf numFmtId="0" fontId="0" fillId="63" borderId="78" xfId="0" applyFill="1" applyBorder="1"/>
    <xf numFmtId="0" fontId="0" fillId="0" borderId="78" xfId="0" applyBorder="1"/>
    <xf numFmtId="0" fontId="0" fillId="64" borderId="78" xfId="0" applyFill="1" applyBorder="1"/>
    <xf numFmtId="0" fontId="62" fillId="60" borderId="63" xfId="1948" applyFont="1" applyFill="1" applyBorder="1" applyAlignment="1">
      <alignment wrapText="1"/>
    </xf>
    <xf numFmtId="0" fontId="62" fillId="60" borderId="63" xfId="1948" applyFont="1" applyFill="1" applyBorder="1"/>
    <xf numFmtId="0" fontId="46" fillId="0" borderId="79" xfId="0" applyFont="1" applyBorder="1" applyAlignment="1">
      <alignment vertical="center" wrapText="1"/>
    </xf>
    <xf numFmtId="0" fontId="46" fillId="0" borderId="2" xfId="0" applyFont="1" applyBorder="1" applyAlignment="1">
      <alignment vertical="center" wrapText="1"/>
    </xf>
    <xf numFmtId="0" fontId="0" fillId="0" borderId="79" xfId="0" applyBorder="1" applyAlignment="1">
      <alignment horizontal="left" vertical="top" wrapText="1"/>
    </xf>
    <xf numFmtId="0" fontId="46" fillId="0" borderId="0" xfId="0" applyFont="1" applyAlignment="1">
      <alignment vertical="center" wrapText="1"/>
    </xf>
    <xf numFmtId="0" fontId="46" fillId="14" borderId="0" xfId="0" applyFont="1" applyFill="1" applyAlignment="1">
      <alignment vertical="center" wrapText="1"/>
    </xf>
    <xf numFmtId="0" fontId="69" fillId="0" borderId="78" xfId="0" applyFont="1" applyBorder="1" applyAlignment="1" applyProtection="1">
      <alignment vertical="center"/>
      <protection locked="0"/>
    </xf>
    <xf numFmtId="0" fontId="7" fillId="0" borderId="0" xfId="3" quotePrefix="1"/>
    <xf numFmtId="0" fontId="70" fillId="4" borderId="78" xfId="0" applyFont="1" applyFill="1" applyBorder="1" applyAlignment="1" applyProtection="1">
      <alignment horizontal="left" vertical="center" wrapText="1"/>
      <protection locked="0"/>
    </xf>
    <xf numFmtId="0" fontId="16" fillId="0" borderId="0" xfId="0" applyFont="1" applyAlignment="1">
      <alignment horizontal="left" vertical="center"/>
    </xf>
    <xf numFmtId="0" fontId="16" fillId="0" borderId="0" xfId="0" applyFont="1" applyAlignment="1">
      <alignment horizontal="center" vertical="center"/>
    </xf>
    <xf numFmtId="0" fontId="71" fillId="4" borderId="0" xfId="2" applyFont="1" applyFill="1" applyAlignment="1">
      <alignment horizontal="left" vertical="top"/>
    </xf>
    <xf numFmtId="0" fontId="16" fillId="40" borderId="0" xfId="0" applyFont="1" applyFill="1" applyAlignment="1">
      <alignment horizontal="center" vertical="top" wrapText="1"/>
    </xf>
    <xf numFmtId="0" fontId="16" fillId="0" borderId="0" xfId="0" applyFont="1" applyAlignment="1">
      <alignment horizontal="left" vertical="top" wrapText="1"/>
    </xf>
    <xf numFmtId="0" fontId="46" fillId="38" borderId="18" xfId="0" applyFont="1" applyFill="1" applyBorder="1" applyAlignment="1">
      <alignment vertical="center"/>
    </xf>
    <xf numFmtId="0" fontId="0" fillId="0" borderId="18" xfId="0" applyBorder="1"/>
    <xf numFmtId="0" fontId="0" fillId="19" borderId="0" xfId="0" applyFill="1" applyAlignment="1">
      <alignment horizontal="left" vertical="top" wrapText="1"/>
    </xf>
    <xf numFmtId="0" fontId="0" fillId="0" borderId="0" xfId="0" applyAlignment="1">
      <alignment horizontal="left" vertical="top" wrapText="1"/>
    </xf>
    <xf numFmtId="0" fontId="10" fillId="19" borderId="0" xfId="0" applyFont="1" applyFill="1" applyAlignment="1">
      <alignment horizontal="left" vertical="top" wrapText="1"/>
    </xf>
    <xf numFmtId="0" fontId="46" fillId="38" borderId="18" xfId="0" applyFont="1" applyFill="1" applyBorder="1" applyAlignment="1">
      <alignment vertical="center" wrapText="1"/>
    </xf>
    <xf numFmtId="0" fontId="0" fillId="0" borderId="0" xfId="0" applyAlignment="1">
      <alignment horizontal="center" vertical="top"/>
    </xf>
    <xf numFmtId="0" fontId="4" fillId="0" borderId="39" xfId="2" applyBorder="1" applyAlignment="1">
      <alignment horizontal="center" vertical="center" wrapText="1"/>
    </xf>
    <xf numFmtId="0" fontId="0" fillId="0" borderId="72" xfId="0" applyBorder="1"/>
    <xf numFmtId="0" fontId="4" fillId="25" borderId="70" xfId="2" applyFill="1" applyBorder="1" applyAlignment="1">
      <alignment horizontal="center" vertical="center" wrapText="1" shrinkToFit="1"/>
    </xf>
    <xf numFmtId="0" fontId="0" fillId="0" borderId="71" xfId="0" applyBorder="1"/>
    <xf numFmtId="0" fontId="4" fillId="8" borderId="39" xfId="2" applyFill="1" applyBorder="1" applyAlignment="1">
      <alignment horizontal="center" vertical="center" wrapText="1" shrinkToFit="1"/>
    </xf>
    <xf numFmtId="0" fontId="0" fillId="0" borderId="49" xfId="0" applyBorder="1"/>
    <xf numFmtId="0" fontId="58" fillId="0" borderId="78" xfId="2" applyFont="1" applyBorder="1" applyAlignment="1">
      <alignment horizontal="center" vertical="center" wrapText="1"/>
    </xf>
    <xf numFmtId="0" fontId="0" fillId="0" borderId="54" xfId="0" applyBorder="1"/>
    <xf numFmtId="0" fontId="0" fillId="0" borderId="55" xfId="0" applyBorder="1"/>
    <xf numFmtId="0" fontId="0" fillId="0" borderId="56" xfId="0" applyBorder="1"/>
    <xf numFmtId="0" fontId="4" fillId="8" borderId="70" xfId="2" applyFill="1" applyBorder="1" applyAlignment="1">
      <alignment horizontal="center" vertical="center" wrapText="1" shrinkToFit="1"/>
    </xf>
    <xf numFmtId="0" fontId="4" fillId="0" borderId="39" xfId="2" applyBorder="1" applyAlignment="1">
      <alignment horizontal="center" vertical="center" wrapText="1" shrinkToFit="1"/>
    </xf>
    <xf numFmtId="0" fontId="4" fillId="42" borderId="78" xfId="2" applyFill="1" applyBorder="1" applyAlignment="1">
      <alignment horizontal="center" vertical="center" wrapText="1"/>
    </xf>
    <xf numFmtId="0" fontId="0" fillId="0" borderId="59" xfId="0" applyBorder="1"/>
    <xf numFmtId="0" fontId="0" fillId="0" borderId="20" xfId="0" applyBorder="1"/>
    <xf numFmtId="0" fontId="4" fillId="6" borderId="39" xfId="2" applyFill="1" applyBorder="1" applyAlignment="1">
      <alignment horizontal="center" vertical="center" wrapText="1" shrinkToFit="1"/>
    </xf>
    <xf numFmtId="0" fontId="4" fillId="25" borderId="39" xfId="2" applyFill="1" applyBorder="1" applyAlignment="1">
      <alignment horizontal="center" vertical="center" wrapText="1" shrinkToFit="1"/>
    </xf>
    <xf numFmtId="0" fontId="4" fillId="42" borderId="39" xfId="2" applyFill="1" applyBorder="1" applyAlignment="1">
      <alignment horizontal="center" vertical="center" wrapText="1" shrinkToFit="1"/>
    </xf>
    <xf numFmtId="0" fontId="59" fillId="6" borderId="70" xfId="2" applyFont="1" applyFill="1" applyBorder="1" applyAlignment="1">
      <alignment horizontal="center" vertical="center" wrapText="1"/>
    </xf>
    <xf numFmtId="0" fontId="59" fillId="8" borderId="39" xfId="2" applyFont="1" applyFill="1" applyBorder="1" applyAlignment="1">
      <alignment horizontal="center" vertical="center" wrapText="1"/>
    </xf>
    <xf numFmtId="0" fontId="4" fillId="4" borderId="39" xfId="2" applyFill="1" applyBorder="1" applyAlignment="1">
      <alignment horizontal="left" vertical="top" wrapText="1"/>
    </xf>
    <xf numFmtId="0" fontId="0" fillId="0" borderId="68" xfId="0" applyBorder="1"/>
    <xf numFmtId="0" fontId="0" fillId="0" borderId="69" xfId="0" applyBorder="1"/>
    <xf numFmtId="0" fontId="4" fillId="8" borderId="78" xfId="2" applyFill="1" applyBorder="1" applyAlignment="1">
      <alignment horizontal="center" vertical="center" wrapText="1" shrinkToFit="1"/>
    </xf>
    <xf numFmtId="0" fontId="8" fillId="2" borderId="73" xfId="6" applyFont="1" applyFill="1" applyBorder="1" applyAlignment="1">
      <alignment horizontal="left" vertical="center" wrapText="1"/>
    </xf>
    <xf numFmtId="0" fontId="0" fillId="0" borderId="57" xfId="0" applyBorder="1"/>
    <xf numFmtId="0" fontId="0" fillId="0" borderId="58" xfId="0" applyBorder="1"/>
    <xf numFmtId="0" fontId="4" fillId="42" borderId="70" xfId="2" applyFill="1" applyBorder="1" applyAlignment="1">
      <alignment horizontal="center" vertical="center" wrapText="1" shrinkToFit="1"/>
    </xf>
    <xf numFmtId="0" fontId="4" fillId="6" borderId="78" xfId="2" applyFill="1" applyBorder="1" applyAlignment="1">
      <alignment horizontal="center" vertical="center" wrapText="1"/>
    </xf>
    <xf numFmtId="0" fontId="4" fillId="42" borderId="70" xfId="2" applyFill="1" applyBorder="1" applyAlignment="1">
      <alignment horizontal="center" vertical="center" wrapText="1"/>
    </xf>
    <xf numFmtId="0" fontId="4" fillId="42" borderId="39" xfId="2" applyFill="1" applyBorder="1" applyAlignment="1">
      <alignment horizontal="center" vertical="center" wrapText="1"/>
    </xf>
    <xf numFmtId="0" fontId="4" fillId="0" borderId="70" xfId="2" applyBorder="1" applyAlignment="1">
      <alignment horizontal="center" vertical="center" wrapText="1" shrinkToFit="1"/>
    </xf>
    <xf numFmtId="0" fontId="4" fillId="25" borderId="78" xfId="2" applyFill="1" applyBorder="1" applyAlignment="1">
      <alignment horizontal="center" vertical="center" wrapText="1" shrinkToFit="1"/>
    </xf>
    <xf numFmtId="0" fontId="4" fillId="57" borderId="78" xfId="2" applyFill="1" applyBorder="1" applyAlignment="1">
      <alignment horizontal="center" vertical="center" wrapText="1"/>
    </xf>
    <xf numFmtId="165" fontId="10" fillId="15" borderId="3" xfId="6" applyNumberFormat="1" applyFont="1" applyFill="1" applyBorder="1" applyAlignment="1">
      <alignment horizontal="center" vertical="center" wrapText="1"/>
    </xf>
    <xf numFmtId="0" fontId="0" fillId="0" borderId="36" xfId="0" applyBorder="1"/>
    <xf numFmtId="0" fontId="0" fillId="0" borderId="37" xfId="0" applyBorder="1"/>
    <xf numFmtId="0" fontId="10" fillId="4" borderId="3" xfId="8" applyFont="1" applyFill="1" applyBorder="1" applyAlignment="1">
      <alignment horizontal="center" vertical="center" wrapText="1"/>
    </xf>
    <xf numFmtId="0" fontId="0" fillId="0" borderId="28" xfId="0" applyBorder="1"/>
    <xf numFmtId="0" fontId="0" fillId="0" borderId="29" xfId="0" applyBorder="1"/>
    <xf numFmtId="0" fontId="0" fillId="0" borderId="30" xfId="0" applyBorder="1"/>
    <xf numFmtId="0" fontId="0" fillId="0" borderId="31" xfId="0" applyBorder="1"/>
    <xf numFmtId="0" fontId="0" fillId="0" borderId="32" xfId="0" applyBorder="1"/>
    <xf numFmtId="0" fontId="10" fillId="13" borderId="3" xfId="8" applyFont="1" applyFill="1" applyBorder="1" applyAlignment="1">
      <alignment horizontal="center" vertical="center" wrapText="1"/>
    </xf>
    <xf numFmtId="0" fontId="10" fillId="22" borderId="3" xfId="7" applyFont="1" applyFill="1" applyBorder="1" applyAlignment="1">
      <alignment horizontal="center" vertical="center" wrapText="1"/>
    </xf>
    <xf numFmtId="0" fontId="0" fillId="0" borderId="52" xfId="0" applyBorder="1"/>
    <xf numFmtId="0" fontId="0" fillId="4" borderId="0" xfId="0" applyFill="1"/>
    <xf numFmtId="0" fontId="0" fillId="0" borderId="53" xfId="0" applyBorder="1"/>
    <xf numFmtId="0" fontId="10" fillId="15" borderId="3" xfId="6" applyFont="1" applyFill="1" applyBorder="1" applyAlignment="1">
      <alignment horizontal="center" vertical="center" wrapText="1"/>
    </xf>
    <xf numFmtId="0" fontId="10" fillId="6" borderId="3" xfId="8" applyFont="1" applyFill="1" applyBorder="1" applyAlignment="1">
      <alignment horizontal="center" vertical="center" wrapText="1"/>
    </xf>
    <xf numFmtId="0" fontId="10" fillId="15" borderId="3" xfId="9" applyFont="1" applyFill="1" applyBorder="1" applyAlignment="1">
      <alignment horizontal="center" vertical="center" wrapText="1"/>
    </xf>
    <xf numFmtId="20" fontId="10" fillId="6" borderId="3" xfId="8" applyNumberFormat="1" applyFont="1" applyFill="1" applyBorder="1" applyAlignment="1">
      <alignment horizontal="center" vertical="center" wrapText="1"/>
    </xf>
    <xf numFmtId="0" fontId="10" fillId="8" borderId="3" xfId="8" applyFont="1" applyFill="1" applyBorder="1" applyAlignment="1">
      <alignment horizontal="center" vertical="center" wrapText="1"/>
    </xf>
    <xf numFmtId="0" fontId="0" fillId="0" borderId="74" xfId="0" applyBorder="1"/>
    <xf numFmtId="0" fontId="0" fillId="0" borderId="75" xfId="0" applyBorder="1"/>
    <xf numFmtId="0" fontId="8" fillId="2" borderId="3" xfId="6" applyFont="1" applyFill="1" applyBorder="1" applyAlignment="1">
      <alignment horizontal="center" vertical="center" wrapText="1"/>
    </xf>
    <xf numFmtId="165" fontId="10" fillId="15" borderId="3" xfId="9" applyNumberFormat="1" applyFont="1" applyFill="1" applyBorder="1" applyAlignment="1">
      <alignment horizontal="center" vertical="center" wrapText="1"/>
    </xf>
    <xf numFmtId="0" fontId="0" fillId="12" borderId="3" xfId="0" applyFill="1" applyBorder="1" applyAlignment="1">
      <alignment horizontal="center" vertical="center"/>
    </xf>
    <xf numFmtId="0" fontId="1" fillId="47" borderId="46" xfId="928" applyFill="1" applyBorder="1" applyAlignment="1">
      <alignment horizontal="center" vertical="center" wrapText="1"/>
    </xf>
    <xf numFmtId="0" fontId="0" fillId="0" borderId="76" xfId="0" applyBorder="1"/>
    <xf numFmtId="0" fontId="0" fillId="0" borderId="46" xfId="0" applyBorder="1"/>
    <xf numFmtId="0" fontId="0" fillId="27" borderId="39" xfId="0" applyFill="1" applyBorder="1" applyAlignment="1">
      <alignment horizontal="center" vertical="center" wrapText="1"/>
    </xf>
    <xf numFmtId="0" fontId="0" fillId="14" borderId="39" xfId="0" applyFill="1" applyBorder="1" applyAlignment="1">
      <alignment horizontal="center" vertical="center" wrapText="1"/>
    </xf>
    <xf numFmtId="0" fontId="0" fillId="23" borderId="39" xfId="0" applyFill="1" applyBorder="1" applyAlignment="1">
      <alignment horizontal="center" vertical="center" wrapText="1"/>
    </xf>
    <xf numFmtId="0" fontId="0" fillId="13" borderId="70" xfId="0" applyFill="1" applyBorder="1" applyAlignment="1">
      <alignment horizontal="center" vertical="center" wrapText="1"/>
    </xf>
    <xf numFmtId="0" fontId="0" fillId="23" borderId="20" xfId="0" applyFill="1" applyBorder="1" applyAlignment="1">
      <alignment horizontal="center" vertical="center" wrapText="1"/>
    </xf>
    <xf numFmtId="0" fontId="0" fillId="4" borderId="70" xfId="0" applyFill="1" applyBorder="1" applyAlignment="1">
      <alignment horizontal="center" vertical="center" wrapText="1"/>
    </xf>
    <xf numFmtId="0" fontId="0" fillId="4" borderId="39" xfId="0" applyFill="1" applyBorder="1" applyAlignment="1">
      <alignment horizontal="center" vertical="center" wrapText="1"/>
    </xf>
    <xf numFmtId="0" fontId="0" fillId="4" borderId="20" xfId="0" applyFill="1" applyBorder="1" applyAlignment="1">
      <alignment horizontal="center" vertical="center" wrapText="1"/>
    </xf>
    <xf numFmtId="0" fontId="0" fillId="0" borderId="67" xfId="0" applyBorder="1"/>
    <xf numFmtId="0" fontId="0" fillId="46" borderId="20" xfId="0" applyFill="1" applyBorder="1" applyAlignment="1">
      <alignment horizontal="center" vertical="center" wrapText="1"/>
    </xf>
    <xf numFmtId="0" fontId="0" fillId="8" borderId="39" xfId="0" applyFill="1" applyBorder="1" applyAlignment="1">
      <alignment horizontal="center" vertical="center" wrapText="1"/>
    </xf>
    <xf numFmtId="0" fontId="0" fillId="13" borderId="48" xfId="0" applyFill="1" applyBorder="1" applyAlignment="1">
      <alignment horizontal="center" vertical="center" wrapText="1"/>
    </xf>
    <xf numFmtId="0" fontId="37" fillId="0" borderId="21" xfId="0" applyFont="1" applyBorder="1" applyAlignment="1">
      <alignment horizontal="center" vertical="top" wrapText="1"/>
    </xf>
    <xf numFmtId="0" fontId="0" fillId="0" borderId="26" xfId="0" applyBorder="1"/>
    <xf numFmtId="0" fontId="0" fillId="0" borderId="27" xfId="0" applyBorder="1"/>
    <xf numFmtId="0" fontId="37" fillId="0" borderId="21" xfId="0" applyFont="1" applyBorder="1" applyAlignment="1">
      <alignment horizontal="center" vertical="center" wrapText="1"/>
    </xf>
    <xf numFmtId="0" fontId="0" fillId="0" borderId="24" xfId="0" applyBorder="1"/>
    <xf numFmtId="0" fontId="0" fillId="0" borderId="23" xfId="0" applyBorder="1"/>
    <xf numFmtId="0" fontId="37" fillId="14" borderId="21" xfId="0" applyFont="1" applyFill="1" applyBorder="1" applyAlignment="1">
      <alignment horizontal="center" vertical="center" wrapText="1"/>
    </xf>
    <xf numFmtId="0" fontId="37" fillId="33" borderId="21" xfId="0" applyFont="1" applyFill="1" applyBorder="1" applyAlignment="1">
      <alignment horizontal="center" vertical="center" wrapText="1"/>
    </xf>
    <xf numFmtId="15" fontId="36" fillId="28" borderId="0" xfId="0" applyNumberFormat="1" applyFont="1" applyFill="1" applyAlignment="1">
      <alignment horizontal="center"/>
    </xf>
    <xf numFmtId="0" fontId="42" fillId="0" borderId="0" xfId="0" applyFont="1"/>
    <xf numFmtId="168" fontId="41" fillId="28" borderId="0" xfId="0" applyNumberFormat="1" applyFont="1" applyFill="1" applyAlignment="1">
      <alignment horizontal="center" vertical="center"/>
    </xf>
    <xf numFmtId="0" fontId="56" fillId="0" borderId="0" xfId="0" applyFont="1"/>
    <xf numFmtId="15" fontId="55" fillId="28" borderId="0" xfId="0" applyNumberFormat="1" applyFont="1" applyFill="1" applyAlignment="1">
      <alignment horizontal="center" vertical="center" wrapText="1"/>
    </xf>
    <xf numFmtId="0" fontId="41" fillId="28" borderId="0" xfId="0" applyFont="1" applyFill="1" applyAlignment="1">
      <alignment horizontal="center" vertical="center"/>
    </xf>
    <xf numFmtId="168" fontId="30" fillId="28" borderId="0" xfId="0" applyNumberFormat="1" applyFont="1" applyFill="1" applyAlignment="1">
      <alignment horizontal="center" vertical="center"/>
    </xf>
    <xf numFmtId="1" fontId="41" fillId="28" borderId="0" xfId="0" applyNumberFormat="1" applyFont="1" applyFill="1" applyAlignment="1">
      <alignment horizontal="center" vertical="center"/>
    </xf>
    <xf numFmtId="168" fontId="29" fillId="28" borderId="0" xfId="0" applyNumberFormat="1" applyFont="1" applyFill="1" applyAlignment="1">
      <alignment horizontal="center" vertical="center"/>
    </xf>
    <xf numFmtId="0" fontId="35" fillId="31" borderId="0" xfId="0" applyFont="1" applyFill="1" applyAlignment="1">
      <alignment horizontal="left" vertical="top" wrapText="1" readingOrder="1"/>
    </xf>
    <xf numFmtId="0" fontId="8" fillId="55" borderId="7" xfId="0" applyFont="1" applyFill="1" applyBorder="1" applyAlignment="1">
      <alignment vertical="center" wrapText="1"/>
    </xf>
    <xf numFmtId="0" fontId="0" fillId="0" borderId="77" xfId="0" applyBorder="1"/>
    <xf numFmtId="0" fontId="0" fillId="0" borderId="66" xfId="0" applyBorder="1"/>
    <xf numFmtId="0" fontId="8" fillId="35" borderId="22" xfId="0" applyFont="1" applyFill="1" applyBorder="1" applyAlignment="1">
      <alignment horizontal="left" vertical="top" wrapText="1"/>
    </xf>
    <xf numFmtId="0" fontId="8" fillId="50" borderId="7" xfId="0" applyFont="1" applyFill="1" applyBorder="1" applyAlignment="1">
      <alignment vertical="center" wrapText="1"/>
    </xf>
    <xf numFmtId="0" fontId="8" fillId="49" borderId="7" xfId="0" applyFont="1" applyFill="1" applyBorder="1" applyAlignment="1">
      <alignment vertical="center" wrapText="1"/>
    </xf>
    <xf numFmtId="0" fontId="8" fillId="53" borderId="7" xfId="0" applyFont="1" applyFill="1" applyBorder="1" applyAlignment="1">
      <alignment vertical="center" wrapText="1"/>
    </xf>
    <xf numFmtId="0" fontId="8" fillId="54" borderId="7" xfId="0" applyFont="1" applyFill="1" applyBorder="1" applyAlignment="1">
      <alignment vertical="center" wrapText="1"/>
    </xf>
    <xf numFmtId="0" fontId="6" fillId="36" borderId="50" xfId="0" applyFont="1" applyFill="1" applyBorder="1" applyAlignment="1">
      <alignment horizontal="left" vertical="center"/>
    </xf>
    <xf numFmtId="0" fontId="0" fillId="0" borderId="51" xfId="0" applyBorder="1"/>
    <xf numFmtId="0" fontId="8" fillId="48" borderId="7" xfId="0" applyFont="1" applyFill="1" applyBorder="1" applyAlignment="1">
      <alignment vertical="center" wrapText="1"/>
    </xf>
    <xf numFmtId="0" fontId="19" fillId="4" borderId="21" xfId="1065" applyFont="1" applyFill="1" applyBorder="1" applyAlignment="1">
      <alignment horizontal="center" vertical="center" textRotation="90"/>
    </xf>
    <xf numFmtId="0" fontId="40" fillId="4" borderId="21" xfId="1065" applyFont="1" applyFill="1" applyBorder="1" applyAlignment="1">
      <alignment horizontal="center" vertical="center" textRotation="90" wrapText="1"/>
    </xf>
    <xf numFmtId="0" fontId="17" fillId="35" borderId="22" xfId="0" applyFont="1" applyFill="1" applyBorder="1" applyAlignment="1">
      <alignment horizontal="left" vertical="top" wrapText="1"/>
    </xf>
  </cellXfs>
  <cellStyles count="1949">
    <cellStyle name="Comma 10" xfId="66" xr:uid="{00000000-0005-0000-0000-000042000000}"/>
    <cellStyle name="Comma 10 2" xfId="1844" xr:uid="{00000000-0005-0000-0000-000034070000}"/>
    <cellStyle name="Comma 11" xfId="109" xr:uid="{00000000-0005-0000-0000-00006D000000}"/>
    <cellStyle name="Comma 11 2" xfId="1853" xr:uid="{00000000-0005-0000-0000-00003D070000}"/>
    <cellStyle name="Comma 12" xfId="113" xr:uid="{00000000-0005-0000-0000-000071000000}"/>
    <cellStyle name="Comma 12 2" xfId="1854" xr:uid="{00000000-0005-0000-0000-00003E070000}"/>
    <cellStyle name="Comma 13" xfId="116" xr:uid="{00000000-0005-0000-0000-000074000000}"/>
    <cellStyle name="Comma 13 2" xfId="1855" xr:uid="{00000000-0005-0000-0000-00003F070000}"/>
    <cellStyle name="Comma 14" xfId="19" xr:uid="{00000000-0005-0000-0000-000013000000}"/>
    <cellStyle name="Comma 14 2" xfId="1839" xr:uid="{00000000-0005-0000-0000-00002F070000}"/>
    <cellStyle name="Comma 2" xfId="39" xr:uid="{00000000-0005-0000-0000-000027000000}"/>
    <cellStyle name="Comma 2 2" xfId="120" xr:uid="{00000000-0005-0000-0000-000078000000}"/>
    <cellStyle name="Comma 2 3" xfId="99" xr:uid="{00000000-0005-0000-0000-000063000000}"/>
    <cellStyle name="Comma 3" xfId="29" xr:uid="{00000000-0005-0000-0000-00001D000000}"/>
    <cellStyle name="Comma 3 2" xfId="122" xr:uid="{00000000-0005-0000-0000-00007A000000}"/>
    <cellStyle name="Comma 3 2 2" xfId="106" xr:uid="{00000000-0005-0000-0000-00006A000000}"/>
    <cellStyle name="Comma 3 2 2 2" xfId="1850" xr:uid="{00000000-0005-0000-0000-00003A070000}"/>
    <cellStyle name="Comma 3 2 3" xfId="108" xr:uid="{00000000-0005-0000-0000-00006C000000}"/>
    <cellStyle name="Comma 3 2 3 2" xfId="1852" xr:uid="{00000000-0005-0000-0000-00003C070000}"/>
    <cellStyle name="Comma 3 2 4" xfId="1856" xr:uid="{00000000-0005-0000-0000-000040070000}"/>
    <cellStyle name="Comma 3 3" xfId="123" xr:uid="{00000000-0005-0000-0000-00007B000000}"/>
    <cellStyle name="Comma 3 3 2" xfId="1857" xr:uid="{00000000-0005-0000-0000-000041070000}"/>
    <cellStyle name="Comma 3 4" xfId="78" xr:uid="{00000000-0005-0000-0000-00004E000000}"/>
    <cellStyle name="Comma 3 4 2" xfId="1846" xr:uid="{00000000-0005-0000-0000-000036070000}"/>
    <cellStyle name="Comma 3 5" xfId="1841" xr:uid="{00000000-0005-0000-0000-000031070000}"/>
    <cellStyle name="Comma 4" xfId="103" xr:uid="{00000000-0005-0000-0000-000067000000}"/>
    <cellStyle name="Comma 4 10" xfId="124" xr:uid="{00000000-0005-0000-0000-00007C000000}"/>
    <cellStyle name="Comma 4 10 2" xfId="1858" xr:uid="{00000000-0005-0000-0000-000042070000}"/>
    <cellStyle name="Comma 4 11" xfId="1848" xr:uid="{00000000-0005-0000-0000-000038070000}"/>
    <cellStyle name="Comma 4 2" xfId="107" xr:uid="{00000000-0005-0000-0000-00006B000000}"/>
    <cellStyle name="Comma 4 2 10" xfId="1851" xr:uid="{00000000-0005-0000-0000-00003B070000}"/>
    <cellStyle name="Comma 4 2 2" xfId="126" xr:uid="{00000000-0005-0000-0000-00007E000000}"/>
    <cellStyle name="Comma 4 2 2 2" xfId="128" xr:uid="{00000000-0005-0000-0000-000080000000}"/>
    <cellStyle name="Comma 4 2 2 2 2" xfId="130" xr:uid="{00000000-0005-0000-0000-000082000000}"/>
    <cellStyle name="Comma 4 2 2 2 2 2" xfId="1862" xr:uid="{00000000-0005-0000-0000-000046070000}"/>
    <cellStyle name="Comma 4 2 2 2 3" xfId="134" xr:uid="{00000000-0005-0000-0000-000086000000}"/>
    <cellStyle name="Comma 4 2 2 2 3 2" xfId="1864" xr:uid="{00000000-0005-0000-0000-000048070000}"/>
    <cellStyle name="Comma 4 2 2 2 4" xfId="1861" xr:uid="{00000000-0005-0000-0000-000045070000}"/>
    <cellStyle name="Comma 4 2 2 3" xfId="139" xr:uid="{00000000-0005-0000-0000-00008B000000}"/>
    <cellStyle name="Comma 4 2 2 3 2" xfId="1866" xr:uid="{00000000-0005-0000-0000-00004A070000}"/>
    <cellStyle name="Comma 4 2 2 4" xfId="141" xr:uid="{00000000-0005-0000-0000-00008D000000}"/>
    <cellStyle name="Comma 4 2 2 4 2" xfId="1867" xr:uid="{00000000-0005-0000-0000-00004B070000}"/>
    <cellStyle name="Comma 4 2 2 5" xfId="143" xr:uid="{00000000-0005-0000-0000-00008F000000}"/>
    <cellStyle name="Comma 4 2 2 5 2" xfId="1868" xr:uid="{00000000-0005-0000-0000-00004C070000}"/>
    <cellStyle name="Comma 4 2 2 6" xfId="145" xr:uid="{00000000-0005-0000-0000-000091000000}"/>
    <cellStyle name="Comma 4 2 2 6 2" xfId="1869" xr:uid="{00000000-0005-0000-0000-00004D070000}"/>
    <cellStyle name="Comma 4 2 2 7" xfId="1860" xr:uid="{00000000-0005-0000-0000-000044070000}"/>
    <cellStyle name="Comma 4 2 3" xfId="146" xr:uid="{00000000-0005-0000-0000-000092000000}"/>
    <cellStyle name="Comma 4 2 3 2" xfId="147" xr:uid="{00000000-0005-0000-0000-000093000000}"/>
    <cellStyle name="Comma 4 2 3 2 2" xfId="150" xr:uid="{00000000-0005-0000-0000-000096000000}"/>
    <cellStyle name="Comma 4 2 3 2 2 2" xfId="1872" xr:uid="{00000000-0005-0000-0000-000050070000}"/>
    <cellStyle name="Comma 4 2 3 2 3" xfId="154" xr:uid="{00000000-0005-0000-0000-00009A000000}"/>
    <cellStyle name="Comma 4 2 3 2 3 2" xfId="1874" xr:uid="{00000000-0005-0000-0000-000052070000}"/>
    <cellStyle name="Comma 4 2 3 2 4" xfId="1871" xr:uid="{00000000-0005-0000-0000-00004F070000}"/>
    <cellStyle name="Comma 4 2 3 3" xfId="158" xr:uid="{00000000-0005-0000-0000-00009E000000}"/>
    <cellStyle name="Comma 4 2 3 3 2" xfId="1875" xr:uid="{00000000-0005-0000-0000-000053070000}"/>
    <cellStyle name="Comma 4 2 3 4" xfId="76" xr:uid="{00000000-0005-0000-0000-00004C000000}"/>
    <cellStyle name="Comma 4 2 3 4 2" xfId="1845" xr:uid="{00000000-0005-0000-0000-000035070000}"/>
    <cellStyle name="Comma 4 2 3 5" xfId="79" xr:uid="{00000000-0005-0000-0000-00004F000000}"/>
    <cellStyle name="Comma 4 2 3 5 2" xfId="1847" xr:uid="{00000000-0005-0000-0000-000037070000}"/>
    <cellStyle name="Comma 4 2 3 6" xfId="15" xr:uid="{00000000-0005-0000-0000-00000F000000}"/>
    <cellStyle name="Comma 4 2 3 6 2" xfId="1838" xr:uid="{00000000-0005-0000-0000-00002E070000}"/>
    <cellStyle name="Comma 4 2 3 7" xfId="1870" xr:uid="{00000000-0005-0000-0000-00004E070000}"/>
    <cellStyle name="Comma 4 2 4" xfId="161" xr:uid="{00000000-0005-0000-0000-0000A1000000}"/>
    <cellStyle name="Comma 4 2 4 2" xfId="105" xr:uid="{00000000-0005-0000-0000-000069000000}"/>
    <cellStyle name="Comma 4 2 4 2 2" xfId="1849" xr:uid="{00000000-0005-0000-0000-000039070000}"/>
    <cellStyle name="Comma 4 2 4 3" xfId="165" xr:uid="{00000000-0005-0000-0000-0000A5000000}"/>
    <cellStyle name="Comma 4 2 4 3 2" xfId="1877" xr:uid="{00000000-0005-0000-0000-000055070000}"/>
    <cellStyle name="Comma 4 2 4 4" xfId="1876" xr:uid="{00000000-0005-0000-0000-000054070000}"/>
    <cellStyle name="Comma 4 2 5" xfId="168" xr:uid="{00000000-0005-0000-0000-0000A8000000}"/>
    <cellStyle name="Comma 4 2 5 2" xfId="171" xr:uid="{00000000-0005-0000-0000-0000AB000000}"/>
    <cellStyle name="Comma 4 2 5 2 2" xfId="1880" xr:uid="{00000000-0005-0000-0000-000058070000}"/>
    <cellStyle name="Comma 4 2 5 3" xfId="173" xr:uid="{00000000-0005-0000-0000-0000AD000000}"/>
    <cellStyle name="Comma 4 2 5 3 2" xfId="1881" xr:uid="{00000000-0005-0000-0000-000059070000}"/>
    <cellStyle name="Comma 4 2 5 4" xfId="1879" xr:uid="{00000000-0005-0000-0000-000057070000}"/>
    <cellStyle name="Comma 4 2 6" xfId="132" xr:uid="{00000000-0005-0000-0000-000084000000}"/>
    <cellStyle name="Comma 4 2 6 2" xfId="1863" xr:uid="{00000000-0005-0000-0000-000047070000}"/>
    <cellStyle name="Comma 4 2 7" xfId="136" xr:uid="{00000000-0005-0000-0000-000088000000}"/>
    <cellStyle name="Comma 4 2 7 2" xfId="1865" xr:uid="{00000000-0005-0000-0000-000049070000}"/>
    <cellStyle name="Comma 4 2 8" xfId="176" xr:uid="{00000000-0005-0000-0000-0000B0000000}"/>
    <cellStyle name="Comma 4 2 8 2" xfId="1882" xr:uid="{00000000-0005-0000-0000-00005A070000}"/>
    <cellStyle name="Comma 4 2 9" xfId="178" xr:uid="{00000000-0005-0000-0000-0000B2000000}"/>
    <cellStyle name="Comma 4 2 9 2" xfId="1883" xr:uid="{00000000-0005-0000-0000-00005B070000}"/>
    <cellStyle name="Comma 4 3" xfId="179" xr:uid="{00000000-0005-0000-0000-0000B3000000}"/>
    <cellStyle name="Comma 4 3 2" xfId="180" xr:uid="{00000000-0005-0000-0000-0000B4000000}"/>
    <cellStyle name="Comma 4 3 2 2" xfId="26" xr:uid="{00000000-0005-0000-0000-00001A000000}"/>
    <cellStyle name="Comma 4 3 2 2 2" xfId="1840" xr:uid="{00000000-0005-0000-0000-000030070000}"/>
    <cellStyle name="Comma 4 3 2 3" xfId="56" xr:uid="{00000000-0005-0000-0000-000038000000}"/>
    <cellStyle name="Comma 4 3 2 3 2" xfId="1843" xr:uid="{00000000-0005-0000-0000-000033070000}"/>
    <cellStyle name="Comma 4 3 2 4" xfId="1885" xr:uid="{00000000-0005-0000-0000-00005D070000}"/>
    <cellStyle name="Comma 4 3 3" xfId="181" xr:uid="{00000000-0005-0000-0000-0000B5000000}"/>
    <cellStyle name="Comma 4 3 3 2" xfId="1886" xr:uid="{00000000-0005-0000-0000-00005E070000}"/>
    <cellStyle name="Comma 4 3 4" xfId="183" xr:uid="{00000000-0005-0000-0000-0000B7000000}"/>
    <cellStyle name="Comma 4 3 4 2" xfId="1887" xr:uid="{00000000-0005-0000-0000-00005F070000}"/>
    <cellStyle name="Comma 4 3 5" xfId="185" xr:uid="{00000000-0005-0000-0000-0000B9000000}"/>
    <cellStyle name="Comma 4 3 5 2" xfId="1888" xr:uid="{00000000-0005-0000-0000-000060070000}"/>
    <cellStyle name="Comma 4 3 6" xfId="125" xr:uid="{00000000-0005-0000-0000-00007D000000}"/>
    <cellStyle name="Comma 4 3 6 2" xfId="1859" xr:uid="{00000000-0005-0000-0000-000043070000}"/>
    <cellStyle name="Comma 4 3 7" xfId="1884" xr:uid="{00000000-0005-0000-0000-00005C070000}"/>
    <cellStyle name="Comma 4 4" xfId="186" xr:uid="{00000000-0005-0000-0000-0000BA000000}"/>
    <cellStyle name="Comma 4 4 2" xfId="187" xr:uid="{00000000-0005-0000-0000-0000BB000000}"/>
    <cellStyle name="Comma 4 4 2 2" xfId="188" xr:uid="{00000000-0005-0000-0000-0000BC000000}"/>
    <cellStyle name="Comma 4 4 2 2 2" xfId="1891" xr:uid="{00000000-0005-0000-0000-000063070000}"/>
    <cellStyle name="Comma 4 4 2 3" xfId="190" xr:uid="{00000000-0005-0000-0000-0000BE000000}"/>
    <cellStyle name="Comma 4 4 2 3 2" xfId="1892" xr:uid="{00000000-0005-0000-0000-000064070000}"/>
    <cellStyle name="Comma 4 4 2 4" xfId="1890" xr:uid="{00000000-0005-0000-0000-000062070000}"/>
    <cellStyle name="Comma 4 4 3" xfId="191" xr:uid="{00000000-0005-0000-0000-0000BF000000}"/>
    <cellStyle name="Comma 4 4 3 2" xfId="1893" xr:uid="{00000000-0005-0000-0000-000065070000}"/>
    <cellStyle name="Comma 4 4 4" xfId="192" xr:uid="{00000000-0005-0000-0000-0000C0000000}"/>
    <cellStyle name="Comma 4 4 4 2" xfId="1894" xr:uid="{00000000-0005-0000-0000-000066070000}"/>
    <cellStyle name="Comma 4 4 5" xfId="193" xr:uid="{00000000-0005-0000-0000-0000C1000000}"/>
    <cellStyle name="Comma 4 4 5 2" xfId="1895" xr:uid="{00000000-0005-0000-0000-000067070000}"/>
    <cellStyle name="Comma 4 4 6" xfId="194" xr:uid="{00000000-0005-0000-0000-0000C2000000}"/>
    <cellStyle name="Comma 4 4 6 2" xfId="1896" xr:uid="{00000000-0005-0000-0000-000068070000}"/>
    <cellStyle name="Comma 4 4 7" xfId="1889" xr:uid="{00000000-0005-0000-0000-000061070000}"/>
    <cellStyle name="Comma 4 5" xfId="195" xr:uid="{00000000-0005-0000-0000-0000C3000000}"/>
    <cellStyle name="Comma 4 5 2" xfId="196" xr:uid="{00000000-0005-0000-0000-0000C4000000}"/>
    <cellStyle name="Comma 4 5 2 2" xfId="1898" xr:uid="{00000000-0005-0000-0000-00006A070000}"/>
    <cellStyle name="Comma 4 5 3" xfId="197" xr:uid="{00000000-0005-0000-0000-0000C5000000}"/>
    <cellStyle name="Comma 4 5 3 2" xfId="1899" xr:uid="{00000000-0005-0000-0000-00006B070000}"/>
    <cellStyle name="Comma 4 5 4" xfId="1897" xr:uid="{00000000-0005-0000-0000-000069070000}"/>
    <cellStyle name="Comma 4 6" xfId="198" xr:uid="{00000000-0005-0000-0000-0000C6000000}"/>
    <cellStyle name="Comma 4 6 2" xfId="199" xr:uid="{00000000-0005-0000-0000-0000C7000000}"/>
    <cellStyle name="Comma 4 6 2 2" xfId="1901" xr:uid="{00000000-0005-0000-0000-00006D070000}"/>
    <cellStyle name="Comma 4 6 3" xfId="201" xr:uid="{00000000-0005-0000-0000-0000C9000000}"/>
    <cellStyle name="Comma 4 6 3 2" xfId="1902" xr:uid="{00000000-0005-0000-0000-00006E070000}"/>
    <cellStyle name="Comma 4 6 4" xfId="1900" xr:uid="{00000000-0005-0000-0000-00006C070000}"/>
    <cellStyle name="Comma 4 7" xfId="202" xr:uid="{00000000-0005-0000-0000-0000CA000000}"/>
    <cellStyle name="Comma 4 7 2" xfId="1903" xr:uid="{00000000-0005-0000-0000-00006F070000}"/>
    <cellStyle name="Comma 4 8" xfId="204" xr:uid="{00000000-0005-0000-0000-0000CC000000}"/>
    <cellStyle name="Comma 4 8 2" xfId="1904" xr:uid="{00000000-0005-0000-0000-000070070000}"/>
    <cellStyle name="Comma 4 9" xfId="207" xr:uid="{00000000-0005-0000-0000-0000CF000000}"/>
    <cellStyle name="Comma 4 9 2" xfId="1905" xr:uid="{00000000-0005-0000-0000-000071070000}"/>
    <cellStyle name="Comma 5" xfId="166" xr:uid="{00000000-0005-0000-0000-0000A6000000}"/>
    <cellStyle name="Comma 5 10" xfId="1878" xr:uid="{00000000-0005-0000-0000-000056070000}"/>
    <cellStyle name="Comma 5 2" xfId="212" xr:uid="{00000000-0005-0000-0000-0000D4000000}"/>
    <cellStyle name="Comma 5 2 2" xfId="215" xr:uid="{00000000-0005-0000-0000-0000D7000000}"/>
    <cellStyle name="Comma 5 2 2 2" xfId="216" xr:uid="{00000000-0005-0000-0000-0000D8000000}"/>
    <cellStyle name="Comma 5 2 2 2 2" xfId="1908" xr:uid="{00000000-0005-0000-0000-000074070000}"/>
    <cellStyle name="Comma 5 2 2 3" xfId="217" xr:uid="{00000000-0005-0000-0000-0000D9000000}"/>
    <cellStyle name="Comma 5 2 2 3 2" xfId="1909" xr:uid="{00000000-0005-0000-0000-000075070000}"/>
    <cellStyle name="Comma 5 2 2 4" xfId="1907" xr:uid="{00000000-0005-0000-0000-000073070000}"/>
    <cellStyle name="Comma 5 2 3" xfId="218" xr:uid="{00000000-0005-0000-0000-0000DA000000}"/>
    <cellStyle name="Comma 5 2 3 2" xfId="1910" xr:uid="{00000000-0005-0000-0000-000076070000}"/>
    <cellStyle name="Comma 5 2 4" xfId="220" xr:uid="{00000000-0005-0000-0000-0000DC000000}"/>
    <cellStyle name="Comma 5 2 4 2" xfId="1911" xr:uid="{00000000-0005-0000-0000-000077070000}"/>
    <cellStyle name="Comma 5 2 5" xfId="222" xr:uid="{00000000-0005-0000-0000-0000DE000000}"/>
    <cellStyle name="Comma 5 2 5 2" xfId="1912" xr:uid="{00000000-0005-0000-0000-000078070000}"/>
    <cellStyle name="Comma 5 2 6" xfId="152" xr:uid="{00000000-0005-0000-0000-000098000000}"/>
    <cellStyle name="Comma 5 2 6 2" xfId="1873" xr:uid="{00000000-0005-0000-0000-000051070000}"/>
    <cellStyle name="Comma 5 2 7" xfId="1906" xr:uid="{00000000-0005-0000-0000-000072070000}"/>
    <cellStyle name="Comma 5 3" xfId="223" xr:uid="{00000000-0005-0000-0000-0000DF000000}"/>
    <cellStyle name="Comma 5 3 2" xfId="224" xr:uid="{00000000-0005-0000-0000-0000E0000000}"/>
    <cellStyle name="Comma 5 3 2 2" xfId="227" xr:uid="{00000000-0005-0000-0000-0000E3000000}"/>
    <cellStyle name="Comma 5 3 2 2 2" xfId="1916" xr:uid="{00000000-0005-0000-0000-00007C070000}"/>
    <cellStyle name="Comma 5 3 2 3" xfId="230" xr:uid="{00000000-0005-0000-0000-0000E6000000}"/>
    <cellStyle name="Comma 5 3 2 3 2" xfId="1918" xr:uid="{00000000-0005-0000-0000-00007E070000}"/>
    <cellStyle name="Comma 5 3 2 4" xfId="1914" xr:uid="{00000000-0005-0000-0000-00007A070000}"/>
    <cellStyle name="Comma 5 3 3" xfId="232" xr:uid="{00000000-0005-0000-0000-0000E8000000}"/>
    <cellStyle name="Comma 5 3 3 2" xfId="1919" xr:uid="{00000000-0005-0000-0000-00007F070000}"/>
    <cellStyle name="Comma 5 3 4" xfId="234" xr:uid="{00000000-0005-0000-0000-0000EA000000}"/>
    <cellStyle name="Comma 5 3 4 2" xfId="1920" xr:uid="{00000000-0005-0000-0000-000080070000}"/>
    <cellStyle name="Comma 5 3 5" xfId="237" xr:uid="{00000000-0005-0000-0000-0000ED000000}"/>
    <cellStyle name="Comma 5 3 5 2" xfId="1921" xr:uid="{00000000-0005-0000-0000-000081070000}"/>
    <cellStyle name="Comma 5 3 6" xfId="240" xr:uid="{00000000-0005-0000-0000-0000F0000000}"/>
    <cellStyle name="Comma 5 3 6 2" xfId="1922" xr:uid="{00000000-0005-0000-0000-000082070000}"/>
    <cellStyle name="Comma 5 3 7" xfId="1913" xr:uid="{00000000-0005-0000-0000-000079070000}"/>
    <cellStyle name="Comma 5 4" xfId="242" xr:uid="{00000000-0005-0000-0000-0000F2000000}"/>
    <cellStyle name="Comma 5 4 2" xfId="243" xr:uid="{00000000-0005-0000-0000-0000F3000000}"/>
    <cellStyle name="Comma 5 4 2 2" xfId="1924" xr:uid="{00000000-0005-0000-0000-000084070000}"/>
    <cellStyle name="Comma 5 4 3" xfId="245" xr:uid="{00000000-0005-0000-0000-0000F5000000}"/>
    <cellStyle name="Comma 5 4 3 2" xfId="1925" xr:uid="{00000000-0005-0000-0000-000085070000}"/>
    <cellStyle name="Comma 5 4 4" xfId="1923" xr:uid="{00000000-0005-0000-0000-000083070000}"/>
    <cellStyle name="Comma 5 5" xfId="247" xr:uid="{00000000-0005-0000-0000-0000F7000000}"/>
    <cellStyle name="Comma 5 5 2" xfId="248" xr:uid="{00000000-0005-0000-0000-0000F8000000}"/>
    <cellStyle name="Comma 5 5 2 2" xfId="1927" xr:uid="{00000000-0005-0000-0000-000087070000}"/>
    <cellStyle name="Comma 5 5 3" xfId="250" xr:uid="{00000000-0005-0000-0000-0000FA000000}"/>
    <cellStyle name="Comma 5 5 3 2" xfId="1928" xr:uid="{00000000-0005-0000-0000-000088070000}"/>
    <cellStyle name="Comma 5 5 4" xfId="1926" xr:uid="{00000000-0005-0000-0000-000086070000}"/>
    <cellStyle name="Comma 5 6" xfId="252" xr:uid="{00000000-0005-0000-0000-0000FC000000}"/>
    <cellStyle name="Comma 5 6 2" xfId="1929" xr:uid="{00000000-0005-0000-0000-000089070000}"/>
    <cellStyle name="Comma 5 7" xfId="226" xr:uid="{00000000-0005-0000-0000-0000E2000000}"/>
    <cellStyle name="Comma 5 7 2" xfId="1915" xr:uid="{00000000-0005-0000-0000-00007B070000}"/>
    <cellStyle name="Comma 5 8" xfId="229" xr:uid="{00000000-0005-0000-0000-0000E5000000}"/>
    <cellStyle name="Comma 5 8 2" xfId="1917" xr:uid="{00000000-0005-0000-0000-00007D070000}"/>
    <cellStyle name="Comma 5 9" xfId="253" xr:uid="{00000000-0005-0000-0000-0000FD000000}"/>
    <cellStyle name="Comma 5 9 2" xfId="1930" xr:uid="{00000000-0005-0000-0000-00008A070000}"/>
    <cellStyle name="Comma 6" xfId="255" xr:uid="{00000000-0005-0000-0000-0000FF000000}"/>
    <cellStyle name="Comma 6 2" xfId="256" xr:uid="{00000000-0005-0000-0000-000000010000}"/>
    <cellStyle name="Comma 6 2 2" xfId="260" xr:uid="{00000000-0005-0000-0000-000004010000}"/>
    <cellStyle name="Comma 6 2 2 2" xfId="1933" xr:uid="{00000000-0005-0000-0000-00008D070000}"/>
    <cellStyle name="Comma 6 2 3" xfId="30" xr:uid="{00000000-0005-0000-0000-00001E000000}"/>
    <cellStyle name="Comma 6 2 3 2" xfId="1842" xr:uid="{00000000-0005-0000-0000-000032070000}"/>
    <cellStyle name="Comma 6 2 4" xfId="1932" xr:uid="{00000000-0005-0000-0000-00008C070000}"/>
    <cellStyle name="Comma 6 3" xfId="262" xr:uid="{00000000-0005-0000-0000-000006010000}"/>
    <cellStyle name="Comma 6 3 2" xfId="1934" xr:uid="{00000000-0005-0000-0000-00008E070000}"/>
    <cellStyle name="Comma 6 4" xfId="263" xr:uid="{00000000-0005-0000-0000-000007010000}"/>
    <cellStyle name="Comma 6 4 2" xfId="1935" xr:uid="{00000000-0005-0000-0000-00008F070000}"/>
    <cellStyle name="Comma 6 5" xfId="264" xr:uid="{00000000-0005-0000-0000-000008010000}"/>
    <cellStyle name="Comma 6 5 2" xfId="1936" xr:uid="{00000000-0005-0000-0000-000090070000}"/>
    <cellStyle name="Comma 6 6" xfId="266" xr:uid="{00000000-0005-0000-0000-00000A010000}"/>
    <cellStyle name="Comma 6 6 2" xfId="1937" xr:uid="{00000000-0005-0000-0000-000091070000}"/>
    <cellStyle name="Comma 6 7" xfId="1931" xr:uid="{00000000-0005-0000-0000-00008B070000}"/>
    <cellStyle name="Comma 7" xfId="268" xr:uid="{00000000-0005-0000-0000-00000C010000}"/>
    <cellStyle name="Comma 7 2" xfId="269" xr:uid="{00000000-0005-0000-0000-00000D010000}"/>
    <cellStyle name="Comma 7 2 2" xfId="1939" xr:uid="{00000000-0005-0000-0000-000093070000}"/>
    <cellStyle name="Comma 7 3" xfId="272" xr:uid="{00000000-0005-0000-0000-000010010000}"/>
    <cellStyle name="Comma 7 3 2" xfId="1940" xr:uid="{00000000-0005-0000-0000-000094070000}"/>
    <cellStyle name="Comma 7 4" xfId="1938" xr:uid="{00000000-0005-0000-0000-000092070000}"/>
    <cellStyle name="Comma 8" xfId="274" xr:uid="{00000000-0005-0000-0000-000012010000}"/>
    <cellStyle name="Comma 8 2" xfId="276" xr:uid="{00000000-0005-0000-0000-000014010000}"/>
    <cellStyle name="Comma 8 2 2" xfId="1942" xr:uid="{00000000-0005-0000-0000-000096070000}"/>
    <cellStyle name="Comma 8 3" xfId="279" xr:uid="{00000000-0005-0000-0000-000017010000}"/>
    <cellStyle name="Comma 8 3 2" xfId="1943" xr:uid="{00000000-0005-0000-0000-000097070000}"/>
    <cellStyle name="Comma 8 4" xfId="1941" xr:uid="{00000000-0005-0000-0000-000095070000}"/>
    <cellStyle name="Comma 9" xfId="281" xr:uid="{00000000-0005-0000-0000-000019010000}"/>
    <cellStyle name="Comma 9 2" xfId="282" xr:uid="{00000000-0005-0000-0000-00001A010000}"/>
    <cellStyle name="Comma 9 2 2" xfId="1945" xr:uid="{00000000-0005-0000-0000-000099070000}"/>
    <cellStyle name="Comma 9 3" xfId="287" xr:uid="{00000000-0005-0000-0000-00001F010000}"/>
    <cellStyle name="Comma 9 3 2" xfId="1946" xr:uid="{00000000-0005-0000-0000-00009A070000}"/>
    <cellStyle name="Comma 9 4" xfId="1944" xr:uid="{00000000-0005-0000-0000-000098070000}"/>
    <cellStyle name="Hyperlink" xfId="3" builtinId="8"/>
    <cellStyle name="Hyperlink 2" xfId="81" xr:uid="{00000000-0005-0000-0000-000051000000}"/>
    <cellStyle name="Hyperlink 2 2" xfId="289" xr:uid="{00000000-0005-0000-0000-000021010000}"/>
    <cellStyle name="Hyperlink 2 2 2" xfId="292" xr:uid="{00000000-0005-0000-0000-000024010000}"/>
    <cellStyle name="Hyperlink 2 3" xfId="297" xr:uid="{00000000-0005-0000-0000-000029010000}"/>
    <cellStyle name="Hyperlink 2 4" xfId="214" xr:uid="{00000000-0005-0000-0000-0000D6000000}"/>
    <cellStyle name="Hyperlink 3" xfId="85" xr:uid="{00000000-0005-0000-0000-000055000000}"/>
    <cellStyle name="Hyperlink 3 2" xfId="301" xr:uid="{00000000-0005-0000-0000-00002D010000}"/>
    <cellStyle name="Hyperlink 3 2 2" xfId="303" xr:uid="{00000000-0005-0000-0000-00002F010000}"/>
    <cellStyle name="Hyperlink 3 3" xfId="306" xr:uid="{00000000-0005-0000-0000-000032010000}"/>
    <cellStyle name="Hyperlink 3 4" xfId="259" xr:uid="{00000000-0005-0000-0000-000003010000}"/>
    <cellStyle name="Hyperlink 4" xfId="90" xr:uid="{00000000-0005-0000-0000-00005A000000}"/>
    <cellStyle name="Hyperlink 4 2" xfId="309" xr:uid="{00000000-0005-0000-0000-000035010000}"/>
    <cellStyle name="Hyperlink 4 2 2" xfId="313" xr:uid="{00000000-0005-0000-0000-000039010000}"/>
    <cellStyle name="Hyperlink 4 3" xfId="317" xr:uid="{00000000-0005-0000-0000-00003D010000}"/>
    <cellStyle name="Hyperlink 4 4" xfId="271" xr:uid="{00000000-0005-0000-0000-00000F010000}"/>
    <cellStyle name="Hyperlink 5" xfId="94" xr:uid="{00000000-0005-0000-0000-00005E000000}"/>
    <cellStyle name="Hyperlink 5 2" xfId="323" xr:uid="{00000000-0005-0000-0000-000043010000}"/>
    <cellStyle name="Hyperlink 6" xfId="327" xr:uid="{00000000-0005-0000-0000-000047010000}"/>
    <cellStyle name="Hyperlink 7" xfId="329" xr:uid="{00000000-0005-0000-0000-000049010000}"/>
    <cellStyle name="Hyperlink 8" xfId="1837" xr:uid="{00000000-0005-0000-0000-00002D070000}"/>
    <cellStyle name="Normal" xfId="0" builtinId="0"/>
    <cellStyle name="Normal 10" xfId="330" xr:uid="{00000000-0005-0000-0000-00004A010000}"/>
    <cellStyle name="Normal 10 10" xfId="331" xr:uid="{00000000-0005-0000-0000-00004B010000}"/>
    <cellStyle name="Normal 10 2" xfId="265" xr:uid="{00000000-0005-0000-0000-000009010000}"/>
    <cellStyle name="Normal 10 2 2" xfId="335" xr:uid="{00000000-0005-0000-0000-00004F010000}"/>
    <cellStyle name="Normal 10 2 2 2" xfId="337" xr:uid="{00000000-0005-0000-0000-000051010000}"/>
    <cellStyle name="Normal 10 2 2 2 2" xfId="342" xr:uid="{00000000-0005-0000-0000-000056010000}"/>
    <cellStyle name="Normal 10 2 2 2 2 2" xfId="343" xr:uid="{00000000-0005-0000-0000-000057010000}"/>
    <cellStyle name="Normal 10 2 2 2 2 3" xfId="345" xr:uid="{00000000-0005-0000-0000-000059010000}"/>
    <cellStyle name="Normal 10 2 2 2 3" xfId="261" xr:uid="{00000000-0005-0000-0000-000005010000}"/>
    <cellStyle name="Normal 10 2 2 2 4" xfId="31" xr:uid="{00000000-0005-0000-0000-00001F000000}"/>
    <cellStyle name="Normal 10 2 2 2 5" xfId="347" xr:uid="{00000000-0005-0000-0000-00005B010000}"/>
    <cellStyle name="Normal 10 2 2 2 6" xfId="349" xr:uid="{00000000-0005-0000-0000-00005D010000}"/>
    <cellStyle name="Normal 10 2 2 3" xfId="351" xr:uid="{00000000-0005-0000-0000-00005F010000}"/>
    <cellStyle name="Normal 10 2 2 3 2" xfId="353" xr:uid="{00000000-0005-0000-0000-000061010000}"/>
    <cellStyle name="Normal 10 2 2 3 2 2" xfId="357" xr:uid="{00000000-0005-0000-0000-000065010000}"/>
    <cellStyle name="Normal 10 2 2 3 2 3" xfId="359" xr:uid="{00000000-0005-0000-0000-000067010000}"/>
    <cellStyle name="Normal 10 2 2 3 3" xfId="361" xr:uid="{00000000-0005-0000-0000-000069010000}"/>
    <cellStyle name="Normal 10 2 2 3 4" xfId="362" xr:uid="{00000000-0005-0000-0000-00006A010000}"/>
    <cellStyle name="Normal 10 2 2 3 5" xfId="290" xr:uid="{00000000-0005-0000-0000-000022010000}"/>
    <cellStyle name="Normal 10 2 2 3 6" xfId="298" xr:uid="{00000000-0005-0000-0000-00002A010000}"/>
    <cellStyle name="Normal 10 2 2 4" xfId="363" xr:uid="{00000000-0005-0000-0000-00006B010000}"/>
    <cellStyle name="Normal 10 2 2 4 2" xfId="365" xr:uid="{00000000-0005-0000-0000-00006D010000}"/>
    <cellStyle name="Normal 10 2 2 4 3" xfId="367" xr:uid="{00000000-0005-0000-0000-00006F010000}"/>
    <cellStyle name="Normal 10 2 2 5" xfId="369" xr:uid="{00000000-0005-0000-0000-000071010000}"/>
    <cellStyle name="Normal 10 2 2 5 2" xfId="371" xr:uid="{00000000-0005-0000-0000-000073010000}"/>
    <cellStyle name="Normal 10 2 2 5 3" xfId="336" xr:uid="{00000000-0005-0000-0000-000050010000}"/>
    <cellStyle name="Normal 10 2 2 6" xfId="372" xr:uid="{00000000-0005-0000-0000-000074010000}"/>
    <cellStyle name="Normal 10 2 2 7" xfId="374" xr:uid="{00000000-0005-0000-0000-000076010000}"/>
    <cellStyle name="Normal 10 2 2 8" xfId="33" xr:uid="{00000000-0005-0000-0000-000021000000}"/>
    <cellStyle name="Normal 10 2 2 9" xfId="377" xr:uid="{00000000-0005-0000-0000-000079010000}"/>
    <cellStyle name="Normal 10 2 3" xfId="378" xr:uid="{00000000-0005-0000-0000-00007A010000}"/>
    <cellStyle name="Normal 10 2 3 2" xfId="379" xr:uid="{00000000-0005-0000-0000-00007B010000}"/>
    <cellStyle name="Normal 10 2 3 3" xfId="18" xr:uid="{00000000-0005-0000-0000-000012000000}"/>
    <cellStyle name="Normal 10 2 4" xfId="312" xr:uid="{00000000-0005-0000-0000-000038010000}"/>
    <cellStyle name="Normal 10 2 5" xfId="319" xr:uid="{00000000-0005-0000-0000-00003F010000}"/>
    <cellStyle name="Normal 10 3" xfId="267" xr:uid="{00000000-0005-0000-0000-00000B010000}"/>
    <cellStyle name="Normal 10 3 2" xfId="381" xr:uid="{00000000-0005-0000-0000-00007D010000}"/>
    <cellStyle name="Normal 10 3 2 2" xfId="382" xr:uid="{00000000-0005-0000-0000-00007E010000}"/>
    <cellStyle name="Normal 10 3 2 3" xfId="385" xr:uid="{00000000-0005-0000-0000-000081010000}"/>
    <cellStyle name="Normal 10 3 3" xfId="387" xr:uid="{00000000-0005-0000-0000-000083010000}"/>
    <cellStyle name="Normal 10 3 4" xfId="325" xr:uid="{00000000-0005-0000-0000-000045010000}"/>
    <cellStyle name="Normal 10 3 5" xfId="389" xr:uid="{00000000-0005-0000-0000-000085010000}"/>
    <cellStyle name="Normal 10 3 6" xfId="278" xr:uid="{00000000-0005-0000-0000-000016010000}"/>
    <cellStyle name="Normal 10 4" xfId="390" xr:uid="{00000000-0005-0000-0000-000086010000}"/>
    <cellStyle name="Normal 10 4 2" xfId="392" xr:uid="{00000000-0005-0000-0000-000088010000}"/>
    <cellStyle name="Normal 10 4 2 2" xfId="393" xr:uid="{00000000-0005-0000-0000-000089010000}"/>
    <cellStyle name="Normal 10 4 2 3" xfId="396" xr:uid="{00000000-0005-0000-0000-00008C010000}"/>
    <cellStyle name="Normal 10 4 3" xfId="383" xr:uid="{00000000-0005-0000-0000-00007F010000}"/>
    <cellStyle name="Normal 10 4 4" xfId="386" xr:uid="{00000000-0005-0000-0000-000082010000}"/>
    <cellStyle name="Normal 10 4 5" xfId="400" xr:uid="{00000000-0005-0000-0000-000090010000}"/>
    <cellStyle name="Normal 10 4 6" xfId="284" xr:uid="{00000000-0005-0000-0000-00001C010000}"/>
    <cellStyle name="Normal 10 5" xfId="404" xr:uid="{00000000-0005-0000-0000-000094010000}"/>
    <cellStyle name="Normal 10 5 2" xfId="406" xr:uid="{00000000-0005-0000-0000-000096010000}"/>
    <cellStyle name="Normal 10 5 3" xfId="407" xr:uid="{00000000-0005-0000-0000-000097010000}"/>
    <cellStyle name="Normal 10 6" xfId="409" xr:uid="{00000000-0005-0000-0000-000099010000}"/>
    <cellStyle name="Normal 10 6 2" xfId="20" xr:uid="{00000000-0005-0000-0000-000014000000}"/>
    <cellStyle name="Normal 10 6 3" xfId="411" xr:uid="{00000000-0005-0000-0000-00009B010000}"/>
    <cellStyle name="Normal 10 7" xfId="412" xr:uid="{00000000-0005-0000-0000-00009C010000}"/>
    <cellStyle name="Normal 10 8" xfId="314" xr:uid="{00000000-0005-0000-0000-00003A010000}"/>
    <cellStyle name="Normal 10 9" xfId="413" xr:uid="{00000000-0005-0000-0000-00009D010000}"/>
    <cellStyle name="Normal 11" xfId="414" xr:uid="{00000000-0005-0000-0000-00009E010000}"/>
    <cellStyle name="Normal 11 10" xfId="148" xr:uid="{00000000-0005-0000-0000-000094000000}"/>
    <cellStyle name="Normal 11 2" xfId="415" xr:uid="{00000000-0005-0000-0000-00009F010000}"/>
    <cellStyle name="Normal 11 2 2" xfId="418" xr:uid="{00000000-0005-0000-0000-0000A2010000}"/>
    <cellStyle name="Normal 11 2 2 2" xfId="420" xr:uid="{00000000-0005-0000-0000-0000A4010000}"/>
    <cellStyle name="Normal 11 2 2 2 2" xfId="422" xr:uid="{00000000-0005-0000-0000-0000A6010000}"/>
    <cellStyle name="Normal 11 2 2 2 3" xfId="424" xr:uid="{00000000-0005-0000-0000-0000A8010000}"/>
    <cellStyle name="Normal 11 2 2 3" xfId="50" xr:uid="{00000000-0005-0000-0000-000032000000}"/>
    <cellStyle name="Normal 11 2 2 4" xfId="37" xr:uid="{00000000-0005-0000-0000-000025000000}"/>
    <cellStyle name="Normal 11 2 2 5" xfId="24" xr:uid="{00000000-0005-0000-0000-000018000000}"/>
    <cellStyle name="Normal 11 2 2 6" xfId="58" xr:uid="{00000000-0005-0000-0000-00003A000000}"/>
    <cellStyle name="Normal 11 2 3" xfId="425" xr:uid="{00000000-0005-0000-0000-0000A9010000}"/>
    <cellStyle name="Normal 11 2 3 2" xfId="427" xr:uid="{00000000-0005-0000-0000-0000AB010000}"/>
    <cellStyle name="Normal 11 2 3 2 2" xfId="429" xr:uid="{00000000-0005-0000-0000-0000AD010000}"/>
    <cellStyle name="Normal 11 2 3 2 3" xfId="417" xr:uid="{00000000-0005-0000-0000-0000A1010000}"/>
    <cellStyle name="Normal 11 2 3 3" xfId="431" xr:uid="{00000000-0005-0000-0000-0000AF010000}"/>
    <cellStyle name="Normal 11 2 3 4" xfId="433" xr:uid="{00000000-0005-0000-0000-0000B1010000}"/>
    <cellStyle name="Normal 11 2 3 5" xfId="436" xr:uid="{00000000-0005-0000-0000-0000B4010000}"/>
    <cellStyle name="Normal 11 2 3 6" xfId="439" xr:uid="{00000000-0005-0000-0000-0000B7010000}"/>
    <cellStyle name="Normal 11 2 4" xfId="440" xr:uid="{00000000-0005-0000-0000-0000B8010000}"/>
    <cellStyle name="Normal 11 2 4 2" xfId="64" xr:uid="{00000000-0005-0000-0000-000040000000}"/>
    <cellStyle name="Normal 11 2 4 3" xfId="442" xr:uid="{00000000-0005-0000-0000-0000BA010000}"/>
    <cellStyle name="Normal 11 2 5" xfId="443" xr:uid="{00000000-0005-0000-0000-0000BB010000}"/>
    <cellStyle name="Normal 11 2 5 2" xfId="115" xr:uid="{00000000-0005-0000-0000-000073000000}"/>
    <cellStyle name="Normal 11 2 5 3" xfId="118" xr:uid="{00000000-0005-0000-0000-000076000000}"/>
    <cellStyle name="Normal 11 2 6" xfId="444" xr:uid="{00000000-0005-0000-0000-0000BC010000}"/>
    <cellStyle name="Normal 11 2 7" xfId="149" xr:uid="{00000000-0005-0000-0000-000095000000}"/>
    <cellStyle name="Normal 11 2 8" xfId="159" xr:uid="{00000000-0005-0000-0000-00009F000000}"/>
    <cellStyle name="Normal 11 2 9" xfId="77" xr:uid="{00000000-0005-0000-0000-00004D000000}"/>
    <cellStyle name="Normal 11 3" xfId="445" xr:uid="{00000000-0005-0000-0000-0000BD010000}"/>
    <cellStyle name="Normal 11 3 2" xfId="44" xr:uid="{00000000-0005-0000-0000-00002C000000}"/>
    <cellStyle name="Normal 11 3 2 2" xfId="446" xr:uid="{00000000-0005-0000-0000-0000BE010000}"/>
    <cellStyle name="Normal 11 3 2 3" xfId="448" xr:uid="{00000000-0005-0000-0000-0000C0010000}"/>
    <cellStyle name="Normal 11 3 3" xfId="47" xr:uid="{00000000-0005-0000-0000-00002F000000}"/>
    <cellStyle name="Normal 11 3 4" xfId="52" xr:uid="{00000000-0005-0000-0000-000034000000}"/>
    <cellStyle name="Normal 11 3 5" xfId="41" xr:uid="{00000000-0005-0000-0000-000029000000}"/>
    <cellStyle name="Normal 11 3 6" xfId="28" xr:uid="{00000000-0005-0000-0000-00001C000000}"/>
    <cellStyle name="Normal 11 4" xfId="449" xr:uid="{00000000-0005-0000-0000-0000C1010000}"/>
    <cellStyle name="Normal 11 4 2" xfId="451" xr:uid="{00000000-0005-0000-0000-0000C3010000}"/>
    <cellStyle name="Normal 11 4 2 2" xfId="71" xr:uid="{00000000-0005-0000-0000-000047000000}"/>
    <cellStyle name="Normal 11 4 2 3" xfId="454" xr:uid="{00000000-0005-0000-0000-0000C6010000}"/>
    <cellStyle name="Normal 11 4 3" xfId="394" xr:uid="{00000000-0005-0000-0000-00008A010000}"/>
    <cellStyle name="Normal 11 4 4" xfId="397" xr:uid="{00000000-0005-0000-0000-00008D010000}"/>
    <cellStyle name="Normal 11 4 5" xfId="457" xr:uid="{00000000-0005-0000-0000-0000C9010000}"/>
    <cellStyle name="Normal 11 4 6" xfId="460" xr:uid="{00000000-0005-0000-0000-0000CC010000}"/>
    <cellStyle name="Normal 11 5" xfId="462" xr:uid="{00000000-0005-0000-0000-0000CE010000}"/>
    <cellStyle name="Normal 11 5 2" xfId="465" xr:uid="{00000000-0005-0000-0000-0000D1010000}"/>
    <cellStyle name="Normal 11 5 3" xfId="466" xr:uid="{00000000-0005-0000-0000-0000D2010000}"/>
    <cellStyle name="Normal 11 6" xfId="467" xr:uid="{00000000-0005-0000-0000-0000D3010000}"/>
    <cellStyle name="Normal 11 6 2" xfId="162" xr:uid="{00000000-0005-0000-0000-0000A2000000}"/>
    <cellStyle name="Normal 11 6 3" xfId="170" xr:uid="{00000000-0005-0000-0000-0000AA000000}"/>
    <cellStyle name="Normal 11 7" xfId="469" xr:uid="{00000000-0005-0000-0000-0000D5010000}"/>
    <cellStyle name="Normal 11 8" xfId="471" xr:uid="{00000000-0005-0000-0000-0000D7010000}"/>
    <cellStyle name="Normal 11 9" xfId="22" xr:uid="{00000000-0005-0000-0000-000016000000}"/>
    <cellStyle name="Normal 12" xfId="472" xr:uid="{00000000-0005-0000-0000-0000D8010000}"/>
    <cellStyle name="Normal 12 2" xfId="473" xr:uid="{00000000-0005-0000-0000-0000D9010000}"/>
    <cellStyle name="Normal 12 2 2" xfId="474" xr:uid="{00000000-0005-0000-0000-0000DA010000}"/>
    <cellStyle name="Normal 12 3" xfId="475" xr:uid="{00000000-0005-0000-0000-0000DB010000}"/>
    <cellStyle name="Normal 12 4" xfId="477" xr:uid="{00000000-0005-0000-0000-0000DD010000}"/>
    <cellStyle name="Normal 13" xfId="478" xr:uid="{00000000-0005-0000-0000-0000DE010000}"/>
    <cellStyle name="Normal 13 2" xfId="479" xr:uid="{00000000-0005-0000-0000-0000DF010000}"/>
    <cellStyle name="Normal 13 2 2" xfId="480" xr:uid="{00000000-0005-0000-0000-0000E0010000}"/>
    <cellStyle name="Normal 13 2 2 2" xfId="481" xr:uid="{00000000-0005-0000-0000-0000E1010000}"/>
    <cellStyle name="Normal 13 2 2 3" xfId="482" xr:uid="{00000000-0005-0000-0000-0000E2010000}"/>
    <cellStyle name="Normal 13 2 3" xfId="483" xr:uid="{00000000-0005-0000-0000-0000E3010000}"/>
    <cellStyle name="Normal 13 2 4" xfId="484" xr:uid="{00000000-0005-0000-0000-0000E4010000}"/>
    <cellStyle name="Normal 13 2 5" xfId="485" xr:uid="{00000000-0005-0000-0000-0000E5010000}"/>
    <cellStyle name="Normal 13 2 6" xfId="486" xr:uid="{00000000-0005-0000-0000-0000E6010000}"/>
    <cellStyle name="Normal 13 3" xfId="487" xr:uid="{00000000-0005-0000-0000-0000E7010000}"/>
    <cellStyle name="Normal 13 3 2" xfId="488" xr:uid="{00000000-0005-0000-0000-0000E8010000}"/>
    <cellStyle name="Normal 13 3 3" xfId="489" xr:uid="{00000000-0005-0000-0000-0000E9010000}"/>
    <cellStyle name="Normal 13 4" xfId="492" xr:uid="{00000000-0005-0000-0000-0000EC010000}"/>
    <cellStyle name="Normal 13 4 2" xfId="494" xr:uid="{00000000-0005-0000-0000-0000EE010000}"/>
    <cellStyle name="Normal 13 4 3" xfId="496" xr:uid="{00000000-0005-0000-0000-0000F0010000}"/>
    <cellStyle name="Normal 13 5" xfId="73" xr:uid="{00000000-0005-0000-0000-000049000000}"/>
    <cellStyle name="Normal 13 6" xfId="61" xr:uid="{00000000-0005-0000-0000-00003D000000}"/>
    <cellStyle name="Normal 13 7" xfId="82" xr:uid="{00000000-0005-0000-0000-000052000000}"/>
    <cellStyle name="Normal 13 8" xfId="87" xr:uid="{00000000-0005-0000-0000-000057000000}"/>
    <cellStyle name="Normal 14" xfId="497" xr:uid="{00000000-0005-0000-0000-0000F1010000}"/>
    <cellStyle name="Normal 14 2" xfId="17" xr:uid="{00000000-0005-0000-0000-000011000000}"/>
    <cellStyle name="Normal 14 2 2" xfId="364" xr:uid="{00000000-0005-0000-0000-00006C010000}"/>
    <cellStyle name="Normal 14 2 2 2" xfId="366" xr:uid="{00000000-0005-0000-0000-00006E010000}"/>
    <cellStyle name="Normal 14 2 2 3" xfId="368" xr:uid="{00000000-0005-0000-0000-000070010000}"/>
    <cellStyle name="Normal 14 2 3" xfId="370" xr:uid="{00000000-0005-0000-0000-000072010000}"/>
    <cellStyle name="Normal 14 2 4" xfId="373" xr:uid="{00000000-0005-0000-0000-000075010000}"/>
    <cellStyle name="Normal 14 2 5" xfId="375" xr:uid="{00000000-0005-0000-0000-000077010000}"/>
    <cellStyle name="Normal 14 2 6" xfId="34" xr:uid="{00000000-0005-0000-0000-000022000000}"/>
    <cellStyle name="Normal 14 3" xfId="498" xr:uid="{00000000-0005-0000-0000-0000F2010000}"/>
    <cellStyle name="Normal 14 3 2" xfId="499" xr:uid="{00000000-0005-0000-0000-0000F3010000}"/>
    <cellStyle name="Normal 14 3 3" xfId="500" xr:uid="{00000000-0005-0000-0000-0000F4010000}"/>
    <cellStyle name="Normal 14 4" xfId="501" xr:uid="{00000000-0005-0000-0000-0000F5010000}"/>
    <cellStyle name="Normal 14 4 2" xfId="502" xr:uid="{00000000-0005-0000-0000-0000F6010000}"/>
    <cellStyle name="Normal 14 4 3" xfId="503" xr:uid="{00000000-0005-0000-0000-0000F7010000}"/>
    <cellStyle name="Normal 14 5" xfId="504" xr:uid="{00000000-0005-0000-0000-0000F8010000}"/>
    <cellStyle name="Normal 14 6" xfId="344" xr:uid="{00000000-0005-0000-0000-000058010000}"/>
    <cellStyle name="Normal 14 7" xfId="346" xr:uid="{00000000-0005-0000-0000-00005A010000}"/>
    <cellStyle name="Normal 14 8" xfId="505" xr:uid="{00000000-0005-0000-0000-0000F9010000}"/>
    <cellStyle name="Normal 15" xfId="508" xr:uid="{00000000-0005-0000-0000-0000FC010000}"/>
    <cellStyle name="Normal 15 2" xfId="510" xr:uid="{00000000-0005-0000-0000-0000FE010000}"/>
    <cellStyle name="Normal 15 2 2" xfId="401" xr:uid="{00000000-0005-0000-0000-000091010000}"/>
    <cellStyle name="Normal 15 2 3" xfId="285" xr:uid="{00000000-0005-0000-0000-00001D010000}"/>
    <cellStyle name="Normal 15 3" xfId="512" xr:uid="{00000000-0005-0000-0000-000000020000}"/>
    <cellStyle name="Normal 16" xfId="294" xr:uid="{00000000-0005-0000-0000-000026010000}"/>
    <cellStyle name="Normal 16 2" xfId="514" xr:uid="{00000000-0005-0000-0000-000002020000}"/>
    <cellStyle name="Normal 16 2 2" xfId="458" xr:uid="{00000000-0005-0000-0000-0000CA010000}"/>
    <cellStyle name="Normal 16 2 2 2" xfId="515" xr:uid="{00000000-0005-0000-0000-000003020000}"/>
    <cellStyle name="Normal 16 2 2 3" xfId="333" xr:uid="{00000000-0005-0000-0000-00004D010000}"/>
    <cellStyle name="Normal 16 2 3" xfId="461" xr:uid="{00000000-0005-0000-0000-0000CD010000}"/>
    <cellStyle name="Normal 16 2 4" xfId="172" xr:uid="{00000000-0005-0000-0000-0000AC000000}"/>
    <cellStyle name="Normal 16 2 5" xfId="174" xr:uid="{00000000-0005-0000-0000-0000AE000000}"/>
    <cellStyle name="Normal 16 2 6" xfId="517" xr:uid="{00000000-0005-0000-0000-000005020000}"/>
    <cellStyle name="Normal 16 3" xfId="519" xr:uid="{00000000-0005-0000-0000-000007020000}"/>
    <cellStyle name="Normal 16 3 2" xfId="520" xr:uid="{00000000-0005-0000-0000-000008020000}"/>
    <cellStyle name="Normal 16 3 3" xfId="521" xr:uid="{00000000-0005-0000-0000-000009020000}"/>
    <cellStyle name="Normal 16 4" xfId="523" xr:uid="{00000000-0005-0000-0000-00000B020000}"/>
    <cellStyle name="Normal 16 4 2" xfId="137" xr:uid="{00000000-0005-0000-0000-000089000000}"/>
    <cellStyle name="Normal 16 4 3" xfId="177" xr:uid="{00000000-0005-0000-0000-0000B1000000}"/>
    <cellStyle name="Normal 16 5" xfId="524" xr:uid="{00000000-0005-0000-0000-00000C020000}"/>
    <cellStyle name="Normal 16 6" xfId="525" xr:uid="{00000000-0005-0000-0000-00000D020000}"/>
    <cellStyle name="Normal 16 7" xfId="527" xr:uid="{00000000-0005-0000-0000-00000F020000}"/>
    <cellStyle name="Normal 16 8" xfId="45" xr:uid="{00000000-0005-0000-0000-00002D000000}"/>
    <cellStyle name="Normal 17" xfId="529" xr:uid="{00000000-0005-0000-0000-000011020000}"/>
    <cellStyle name="Normal 17 2" xfId="32" xr:uid="{00000000-0005-0000-0000-000020000000}"/>
    <cellStyle name="Normal 17 2 2" xfId="119" xr:uid="{00000000-0005-0000-0000-000077000000}"/>
    <cellStyle name="Normal 17 2 2 2" xfId="531" xr:uid="{00000000-0005-0000-0000-000013020000}"/>
    <cellStyle name="Normal 17 2 2 3" xfId="533" xr:uid="{00000000-0005-0000-0000-000015020000}"/>
    <cellStyle name="Normal 17 2 3" xfId="534" xr:uid="{00000000-0005-0000-0000-000016020000}"/>
    <cellStyle name="Normal 17 2 4" xfId="535" xr:uid="{00000000-0005-0000-0000-000017020000}"/>
    <cellStyle name="Normal 17 2 5" xfId="536" xr:uid="{00000000-0005-0000-0000-000018020000}"/>
    <cellStyle name="Normal 17 2 6" xfId="537" xr:uid="{00000000-0005-0000-0000-000019020000}"/>
    <cellStyle name="Normal 17 3" xfId="538" xr:uid="{00000000-0005-0000-0000-00001A020000}"/>
    <cellStyle name="Normal 17 3 2" xfId="539" xr:uid="{00000000-0005-0000-0000-00001B020000}"/>
    <cellStyle name="Normal 17 3 3" xfId="541" xr:uid="{00000000-0005-0000-0000-00001D020000}"/>
    <cellStyle name="Normal 17 4" xfId="542" xr:uid="{00000000-0005-0000-0000-00001E020000}"/>
    <cellStyle name="Normal 17 4 2" xfId="156" xr:uid="{00000000-0005-0000-0000-00009C000000}"/>
    <cellStyle name="Normal 17 4 3" xfId="543" xr:uid="{00000000-0005-0000-0000-00001F020000}"/>
    <cellStyle name="Normal 17 5" xfId="545" xr:uid="{00000000-0005-0000-0000-000021020000}"/>
    <cellStyle name="Normal 17 6" xfId="547" xr:uid="{00000000-0005-0000-0000-000023020000}"/>
    <cellStyle name="Normal 17 7" xfId="548" xr:uid="{00000000-0005-0000-0000-000024020000}"/>
    <cellStyle name="Normal 17 8" xfId="452" xr:uid="{00000000-0005-0000-0000-0000C4010000}"/>
    <cellStyle name="Normal 18" xfId="67" xr:uid="{00000000-0005-0000-0000-000043000000}"/>
    <cellStyle name="Normal 18 2" xfId="549" xr:uid="{00000000-0005-0000-0000-000025020000}"/>
    <cellStyle name="Normal 18 2 2" xfId="100" xr:uid="{00000000-0005-0000-0000-000064000000}"/>
    <cellStyle name="Normal 18 2 3" xfId="552" xr:uid="{00000000-0005-0000-0000-000028020000}"/>
    <cellStyle name="Normal 18 3" xfId="553" xr:uid="{00000000-0005-0000-0000-000029020000}"/>
    <cellStyle name="Normal 18 4" xfId="554" xr:uid="{00000000-0005-0000-0000-00002A020000}"/>
    <cellStyle name="Normal 18 5" xfId="555" xr:uid="{00000000-0005-0000-0000-00002B020000}"/>
    <cellStyle name="Normal 18 6" xfId="14" xr:uid="{00000000-0005-0000-0000-00000E000000}"/>
    <cellStyle name="Normal 19" xfId="110" xr:uid="{00000000-0005-0000-0000-00006E000000}"/>
    <cellStyle name="Normal 19 2" xfId="59" xr:uid="{00000000-0005-0000-0000-00003B000000}"/>
    <cellStyle name="Normal 19 2 2" xfId="334" xr:uid="{00000000-0005-0000-0000-00004E010000}"/>
    <cellStyle name="Normal 19 2 3" xfId="556" xr:uid="{00000000-0005-0000-0000-00002C020000}"/>
    <cellStyle name="Normal 19 3" xfId="92" xr:uid="{00000000-0005-0000-0000-00005C000000}"/>
    <cellStyle name="Normal 19 4" xfId="98" xr:uid="{00000000-0005-0000-0000-000062000000}"/>
    <cellStyle name="Normal 19 5" xfId="557" xr:uid="{00000000-0005-0000-0000-00002D020000}"/>
    <cellStyle name="Normal 19 6" xfId="127" xr:uid="{00000000-0005-0000-0000-00007F000000}"/>
    <cellStyle name="Normal 2" xfId="1" xr:uid="{00000000-0005-0000-0000-000001000000}"/>
    <cellStyle name="Normal 2 2" xfId="2" xr:uid="{00000000-0005-0000-0000-000002000000}"/>
    <cellStyle name="Normal 2 2 2" xfId="5" xr:uid="{00000000-0005-0000-0000-000005000000}"/>
    <cellStyle name="Normal 2 2 2 2" xfId="453" xr:uid="{00000000-0005-0000-0000-0000C5010000}"/>
    <cellStyle name="Normal 2 2 2 3" xfId="395" xr:uid="{00000000-0005-0000-0000-00008B010000}"/>
    <cellStyle name="Normal 2 2 3" xfId="463" xr:uid="{00000000-0005-0000-0000-0000CF010000}"/>
    <cellStyle name="Normal 2 2 4" xfId="468" xr:uid="{00000000-0005-0000-0000-0000D4010000}"/>
    <cellStyle name="Normal 2 2 5" xfId="470" xr:uid="{00000000-0005-0000-0000-0000D6010000}"/>
    <cellStyle name="Normal 2 2 6" xfId="8" xr:uid="{00000000-0005-0000-0000-000008000000}"/>
    <cellStyle name="Normal 2 2 7" xfId="11" xr:uid="{00000000-0005-0000-0000-00000B000000}"/>
    <cellStyle name="Normal 2 3" xfId="236" xr:uid="{00000000-0005-0000-0000-0000EC000000}"/>
    <cellStyle name="Normal 2 3 2" xfId="476" xr:uid="{00000000-0005-0000-0000-0000DC010000}"/>
    <cellStyle name="Normal 2 3 2 2" xfId="68" xr:uid="{00000000-0005-0000-0000-000044000000}"/>
    <cellStyle name="Normal 2 3 2 3" xfId="112" xr:uid="{00000000-0005-0000-0000-000070000000}"/>
    <cellStyle name="Normal 2 3 3" xfId="559" xr:uid="{00000000-0005-0000-0000-00002F020000}"/>
    <cellStyle name="Normal 2 3 4" xfId="560" xr:uid="{00000000-0005-0000-0000-000030020000}"/>
    <cellStyle name="Normal 2 4" xfId="239" xr:uid="{00000000-0005-0000-0000-0000EF000000}"/>
    <cellStyle name="Normal 2 4 2" xfId="490" xr:uid="{00000000-0005-0000-0000-0000EA010000}"/>
    <cellStyle name="Normal 2 4 2 2" xfId="493" xr:uid="{00000000-0005-0000-0000-0000ED010000}"/>
    <cellStyle name="Normal 2 4 2 2 2" xfId="205" xr:uid="{00000000-0005-0000-0000-0000CD000000}"/>
    <cellStyle name="Normal 2 4 2 2 3" xfId="208" xr:uid="{00000000-0005-0000-0000-0000D0000000}"/>
    <cellStyle name="Normal 2 4 2 3" xfId="495" xr:uid="{00000000-0005-0000-0000-0000EF010000}"/>
    <cellStyle name="Normal 2 4 2 4" xfId="121" xr:uid="{00000000-0005-0000-0000-000079000000}"/>
    <cellStyle name="Normal 2 4 2 5" xfId="102" xr:uid="{00000000-0005-0000-0000-000066000000}"/>
    <cellStyle name="Normal 2 4 2 6" xfId="550" xr:uid="{00000000-0005-0000-0000-000026020000}"/>
    <cellStyle name="Normal 2 4 3" xfId="74" xr:uid="{00000000-0005-0000-0000-00004A000000}"/>
    <cellStyle name="Normal 2 4 3 2" xfId="561" xr:uid="{00000000-0005-0000-0000-000031020000}"/>
    <cellStyle name="Normal 2 4 3 3" xfId="562" xr:uid="{00000000-0005-0000-0000-000032020000}"/>
    <cellStyle name="Normal 2 4 4" xfId="62" xr:uid="{00000000-0005-0000-0000-00003E000000}"/>
    <cellStyle name="Normal 2 4 4 2" xfId="348" xr:uid="{00000000-0005-0000-0000-00005C010000}"/>
    <cellStyle name="Normal 2 4 4 3" xfId="350" xr:uid="{00000000-0005-0000-0000-00005E010000}"/>
    <cellStyle name="Normal 2 4 5" xfId="83" xr:uid="{00000000-0005-0000-0000-000053000000}"/>
    <cellStyle name="Normal 2 4 6" xfId="88" xr:uid="{00000000-0005-0000-0000-000058000000}"/>
    <cellStyle name="Normal 2 4 7" xfId="91" xr:uid="{00000000-0005-0000-0000-00005B000000}"/>
    <cellStyle name="Normal 2 4 8" xfId="95" xr:uid="{00000000-0005-0000-0000-00005F000000}"/>
    <cellStyle name="Normal 2 5" xfId="564" xr:uid="{00000000-0005-0000-0000-000034020000}"/>
    <cellStyle name="Normal 2 6" xfId="566" xr:uid="{00000000-0005-0000-0000-000036020000}"/>
    <cellStyle name="Normal 2 7" xfId="558" xr:uid="{00000000-0005-0000-0000-00002E020000}"/>
    <cellStyle name="Normal 2 8" xfId="1835" xr:uid="{00000000-0005-0000-0000-00002B070000}"/>
    <cellStyle name="Normal 2 9" xfId="10" xr:uid="{00000000-0005-0000-0000-00000A000000}"/>
    <cellStyle name="Normal 20" xfId="507" xr:uid="{00000000-0005-0000-0000-0000FB010000}"/>
    <cellStyle name="Normal 20 2" xfId="509" xr:uid="{00000000-0005-0000-0000-0000FD010000}"/>
    <cellStyle name="Normal 20 2 2" xfId="402" xr:uid="{00000000-0005-0000-0000-000092010000}"/>
    <cellStyle name="Normal 20 2 3" xfId="286" xr:uid="{00000000-0005-0000-0000-00001E010000}"/>
    <cellStyle name="Normal 20 3" xfId="511" xr:uid="{00000000-0005-0000-0000-0000FF010000}"/>
    <cellStyle name="Normal 20 4" xfId="567" xr:uid="{00000000-0005-0000-0000-000037020000}"/>
    <cellStyle name="Normal 20 5" xfId="568" xr:uid="{00000000-0005-0000-0000-000038020000}"/>
    <cellStyle name="Normal 20 6" xfId="569" xr:uid="{00000000-0005-0000-0000-000039020000}"/>
    <cellStyle name="Normal 21" xfId="295" xr:uid="{00000000-0005-0000-0000-000027010000}"/>
    <cellStyle name="Normal 21 2" xfId="513" xr:uid="{00000000-0005-0000-0000-000001020000}"/>
    <cellStyle name="Normal 21 2 2" xfId="459" xr:uid="{00000000-0005-0000-0000-0000CB010000}"/>
    <cellStyle name="Normal 21 3" xfId="518" xr:uid="{00000000-0005-0000-0000-000006020000}"/>
    <cellStyle name="Normal 21 4" xfId="522" xr:uid="{00000000-0005-0000-0000-00000A020000}"/>
    <cellStyle name="Normal 22" xfId="7" xr:uid="{00000000-0005-0000-0000-000007000000}"/>
    <cellStyle name="Normal 22 2" xfId="1836" xr:uid="{00000000-0005-0000-0000-00002C070000}"/>
    <cellStyle name="Normal 23" xfId="1947" xr:uid="{00000000-0005-0000-0000-00009B070000}"/>
    <cellStyle name="Normal 24" xfId="1948" xr:uid="{00000000-0005-0000-0000-00009C070000}"/>
    <cellStyle name="Normal 3" xfId="4" xr:uid="{00000000-0005-0000-0000-000004000000}"/>
    <cellStyle name="Normal 3 2" xfId="572" xr:uid="{00000000-0005-0000-0000-00003C020000}"/>
    <cellStyle name="Normal 3 3" xfId="574" xr:uid="{00000000-0005-0000-0000-00003E020000}"/>
    <cellStyle name="Normal 3 4" xfId="570" xr:uid="{00000000-0005-0000-0000-00003A020000}"/>
    <cellStyle name="Normal 4" xfId="576" xr:uid="{00000000-0005-0000-0000-000040020000}"/>
    <cellStyle name="Normal 4 2" xfId="579" xr:uid="{00000000-0005-0000-0000-000043020000}"/>
    <cellStyle name="Normal 4 3" xfId="582" xr:uid="{00000000-0005-0000-0000-000046020000}"/>
    <cellStyle name="Normal 5" xfId="583" xr:uid="{00000000-0005-0000-0000-000047020000}"/>
    <cellStyle name="Normal 5 10" xfId="398" xr:uid="{00000000-0005-0000-0000-00008E010000}"/>
    <cellStyle name="Normal 5 2" xfId="584" xr:uid="{00000000-0005-0000-0000-000048020000}"/>
    <cellStyle name="Normal 5 2 2" xfId="585" xr:uid="{00000000-0005-0000-0000-000049020000}"/>
    <cellStyle name="Normal 5 2 2 2" xfId="203" xr:uid="{00000000-0005-0000-0000-0000CB000000}"/>
    <cellStyle name="Normal 5 2 2 2 2" xfId="587" xr:uid="{00000000-0005-0000-0000-00004B020000}"/>
    <cellStyle name="Normal 5 2 2 2 3" xfId="589" xr:uid="{00000000-0005-0000-0000-00004D020000}"/>
    <cellStyle name="Normal 5 2 2 3" xfId="206" xr:uid="{00000000-0005-0000-0000-0000CE000000}"/>
    <cellStyle name="Normal 5 2 2 4" xfId="209" xr:uid="{00000000-0005-0000-0000-0000D1000000}"/>
    <cellStyle name="Normal 5 2 2 5" xfId="594" xr:uid="{00000000-0005-0000-0000-000052020000}"/>
    <cellStyle name="Normal 5 2 2 6" xfId="339" xr:uid="{00000000-0005-0000-0000-000053010000}"/>
    <cellStyle name="Normal 5 2 3" xfId="225" xr:uid="{00000000-0005-0000-0000-0000E1000000}"/>
    <cellStyle name="Normal 5 2 3 2" xfId="228" xr:uid="{00000000-0005-0000-0000-0000E4000000}"/>
    <cellStyle name="Normal 5 2 3 2 2" xfId="592" xr:uid="{00000000-0005-0000-0000-000050020000}"/>
    <cellStyle name="Normal 5 2 3 2 3" xfId="340" xr:uid="{00000000-0005-0000-0000-000054010000}"/>
    <cellStyle name="Normal 5 2 3 3" xfId="231" xr:uid="{00000000-0005-0000-0000-0000E7000000}"/>
    <cellStyle name="Normal 5 2 3 4" xfId="254" xr:uid="{00000000-0005-0000-0000-0000FE000000}"/>
    <cellStyle name="Normal 5 2 3 5" xfId="596" xr:uid="{00000000-0005-0000-0000-000054020000}"/>
    <cellStyle name="Normal 5 2 3 6" xfId="380" xr:uid="{00000000-0005-0000-0000-00007C010000}"/>
    <cellStyle name="Normal 5 2 4" xfId="233" xr:uid="{00000000-0005-0000-0000-0000E9000000}"/>
    <cellStyle name="Normal 5 2 4 2" xfId="391" xr:uid="{00000000-0005-0000-0000-000087010000}"/>
    <cellStyle name="Normal 5 2 4 3" xfId="405" xr:uid="{00000000-0005-0000-0000-000095010000}"/>
    <cellStyle name="Normal 5 2 5" xfId="235" xr:uid="{00000000-0005-0000-0000-0000EB000000}"/>
    <cellStyle name="Normal 5 2 5 2" xfId="450" xr:uid="{00000000-0005-0000-0000-0000C2010000}"/>
    <cellStyle name="Normal 5 2 5 3" xfId="464" xr:uid="{00000000-0005-0000-0000-0000D0010000}"/>
    <cellStyle name="Normal 5 2 6" xfId="238" xr:uid="{00000000-0005-0000-0000-0000EE000000}"/>
    <cellStyle name="Normal 5 2 7" xfId="241" xr:uid="{00000000-0005-0000-0000-0000F1000000}"/>
    <cellStyle name="Normal 5 2 8" xfId="563" xr:uid="{00000000-0005-0000-0000-000033020000}"/>
    <cellStyle name="Normal 5 2 9" xfId="565" xr:uid="{00000000-0005-0000-0000-000035020000}"/>
    <cellStyle name="Normal 5 3" xfId="597" xr:uid="{00000000-0005-0000-0000-000055020000}"/>
    <cellStyle name="Normal 5 3 2" xfId="598" xr:uid="{00000000-0005-0000-0000-000056020000}"/>
    <cellStyle name="Normal 5 3 2 2" xfId="600" xr:uid="{00000000-0005-0000-0000-000058020000}"/>
    <cellStyle name="Normal 5 3 2 3" xfId="601" xr:uid="{00000000-0005-0000-0000-000059020000}"/>
    <cellStyle name="Normal 5 3 3" xfId="244" xr:uid="{00000000-0005-0000-0000-0000F4000000}"/>
    <cellStyle name="Normal 5 3 4" xfId="246" xr:uid="{00000000-0005-0000-0000-0000F6000000}"/>
    <cellStyle name="Normal 5 3 5" xfId="571" xr:uid="{00000000-0005-0000-0000-00003B020000}"/>
    <cellStyle name="Normal 5 3 6" xfId="573" xr:uid="{00000000-0005-0000-0000-00003D020000}"/>
    <cellStyle name="Normal 5 4" xfId="602" xr:uid="{00000000-0005-0000-0000-00005A020000}"/>
    <cellStyle name="Normal 5 4 2" xfId="603" xr:uid="{00000000-0005-0000-0000-00005B020000}"/>
    <cellStyle name="Normal 5 4 2 2" xfId="544" xr:uid="{00000000-0005-0000-0000-000020020000}"/>
    <cellStyle name="Normal 5 4 2 3" xfId="546" xr:uid="{00000000-0005-0000-0000-000022020000}"/>
    <cellStyle name="Normal 5 4 3" xfId="249" xr:uid="{00000000-0005-0000-0000-0000F9000000}"/>
    <cellStyle name="Normal 5 4 4" xfId="251" xr:uid="{00000000-0005-0000-0000-0000FB000000}"/>
    <cellStyle name="Normal 5 4 5" xfId="577" xr:uid="{00000000-0005-0000-0000-000041020000}"/>
    <cellStyle name="Normal 5 4 6" xfId="580" xr:uid="{00000000-0005-0000-0000-000044020000}"/>
    <cellStyle name="Normal 5 5" xfId="72" xr:uid="{00000000-0005-0000-0000-000048000000}"/>
    <cellStyle name="Normal 5 5 2" xfId="97" xr:uid="{00000000-0005-0000-0000-000061000000}"/>
    <cellStyle name="Normal 5 5 3" xfId="604" xr:uid="{00000000-0005-0000-0000-00005C020000}"/>
    <cellStyle name="Normal 5 6" xfId="456" xr:uid="{00000000-0005-0000-0000-0000C8010000}"/>
    <cellStyle name="Normal 5 6 2" xfId="211" xr:uid="{00000000-0005-0000-0000-0000D3000000}"/>
    <cellStyle name="Normal 5 6 3" xfId="590" xr:uid="{00000000-0005-0000-0000-00004E020000}"/>
    <cellStyle name="Normal 5 7" xfId="606" xr:uid="{00000000-0005-0000-0000-00005E020000}"/>
    <cellStyle name="Normal 5 8" xfId="608" xr:uid="{00000000-0005-0000-0000-000060020000}"/>
    <cellStyle name="Normal 5 9" xfId="610" xr:uid="{00000000-0005-0000-0000-000062020000}"/>
    <cellStyle name="Normal 6" xfId="612" xr:uid="{00000000-0005-0000-0000-000064020000}"/>
    <cellStyle name="Normal 6 10" xfId="613" xr:uid="{00000000-0005-0000-0000-000065020000}"/>
    <cellStyle name="Normal 6 11" xfId="615" xr:uid="{00000000-0005-0000-0000-000067020000}"/>
    <cellStyle name="Normal 6 2" xfId="352" xr:uid="{00000000-0005-0000-0000-000060010000}"/>
    <cellStyle name="Normal 6 2 2" xfId="355" xr:uid="{00000000-0005-0000-0000-000063010000}"/>
    <cellStyle name="Normal 6 2 2 2" xfId="358" xr:uid="{00000000-0005-0000-0000-000066010000}"/>
    <cellStyle name="Normal 6 2 2 2 2" xfId="540" xr:uid="{00000000-0005-0000-0000-00001C020000}"/>
    <cellStyle name="Normal 6 2 2 2 3" xfId="60" xr:uid="{00000000-0005-0000-0000-00003C000000}"/>
    <cellStyle name="Normal 6 2 2 3" xfId="360" xr:uid="{00000000-0005-0000-0000-000068010000}"/>
    <cellStyle name="Normal 6 2 2 4" xfId="617" xr:uid="{00000000-0005-0000-0000-000069020000}"/>
    <cellStyle name="Normal 6 2 2 5" xfId="618" xr:uid="{00000000-0005-0000-0000-00006A020000}"/>
    <cellStyle name="Normal 6 2 2 6" xfId="619" xr:uid="{00000000-0005-0000-0000-00006B020000}"/>
    <cellStyle name="Normal 6 2 3" xfId="620" xr:uid="{00000000-0005-0000-0000-00006C020000}"/>
    <cellStyle name="Normal 6 2 3 2" xfId="621" xr:uid="{00000000-0005-0000-0000-00006D020000}"/>
    <cellStyle name="Normal 6 2 3 2 2" xfId="622" xr:uid="{00000000-0005-0000-0000-00006E020000}"/>
    <cellStyle name="Normal 6 2 3 2 3" xfId="623" xr:uid="{00000000-0005-0000-0000-00006F020000}"/>
    <cellStyle name="Normal 6 2 3 3" xfId="624" xr:uid="{00000000-0005-0000-0000-000070020000}"/>
    <cellStyle name="Normal 6 2 3 4" xfId="625" xr:uid="{00000000-0005-0000-0000-000071020000}"/>
    <cellStyle name="Normal 6 2 3 5" xfId="626" xr:uid="{00000000-0005-0000-0000-000072020000}"/>
    <cellStyle name="Normal 6 2 3 6" xfId="627" xr:uid="{00000000-0005-0000-0000-000073020000}"/>
    <cellStyle name="Normal 6 2 4" xfId="628" xr:uid="{00000000-0005-0000-0000-000074020000}"/>
    <cellStyle name="Normal 6 2 4 2" xfId="629" xr:uid="{00000000-0005-0000-0000-000075020000}"/>
    <cellStyle name="Normal 6 2 4 3" xfId="630" xr:uid="{00000000-0005-0000-0000-000076020000}"/>
    <cellStyle name="Normal 6 2 5" xfId="631" xr:uid="{00000000-0005-0000-0000-000077020000}"/>
    <cellStyle name="Normal 6 2 5 2" xfId="293" xr:uid="{00000000-0005-0000-0000-000025010000}"/>
    <cellStyle name="Normal 6 2 5 3" xfId="530" xr:uid="{00000000-0005-0000-0000-000012020000}"/>
    <cellStyle name="Normal 6 2 6" xfId="632" xr:uid="{00000000-0005-0000-0000-000078020000}"/>
    <cellStyle name="Normal 6 2 7" xfId="633" xr:uid="{00000000-0005-0000-0000-000079020000}"/>
    <cellStyle name="Normal 6 2 8" xfId="634" xr:uid="{00000000-0005-0000-0000-00007A020000}"/>
    <cellStyle name="Normal 6 2 9" xfId="635" xr:uid="{00000000-0005-0000-0000-00007B020000}"/>
    <cellStyle name="Normal 6 3" xfId="636" xr:uid="{00000000-0005-0000-0000-00007C020000}"/>
    <cellStyle name="Normal 6 3 10" xfId="638" xr:uid="{00000000-0005-0000-0000-00007E020000}"/>
    <cellStyle name="Normal 6 3 2" xfId="639" xr:uid="{00000000-0005-0000-0000-00007F020000}"/>
    <cellStyle name="Normal 6 3 2 2" xfId="200" xr:uid="{00000000-0005-0000-0000-0000C8000000}"/>
    <cellStyle name="Normal 6 3 2 2 2" xfId="640" xr:uid="{00000000-0005-0000-0000-000080020000}"/>
    <cellStyle name="Normal 6 3 2 2 3" xfId="491" xr:uid="{00000000-0005-0000-0000-0000EB010000}"/>
    <cellStyle name="Normal 6 3 2 3" xfId="641" xr:uid="{00000000-0005-0000-0000-000081020000}"/>
    <cellStyle name="Normal 6 3 2 4" xfId="642" xr:uid="{00000000-0005-0000-0000-000082020000}"/>
    <cellStyle name="Normal 6 3 2 5" xfId="643" xr:uid="{00000000-0005-0000-0000-000083020000}"/>
    <cellStyle name="Normal 6 3 2 6" xfId="644" xr:uid="{00000000-0005-0000-0000-000084020000}"/>
    <cellStyle name="Normal 6 3 3" xfId="645" xr:uid="{00000000-0005-0000-0000-000085020000}"/>
    <cellStyle name="Normal 6 3 3 2" xfId="646" xr:uid="{00000000-0005-0000-0000-000086020000}"/>
    <cellStyle name="Normal 6 3 3 2 2" xfId="647" xr:uid="{00000000-0005-0000-0000-000087020000}"/>
    <cellStyle name="Normal 6 3 3 2 2 2" xfId="648" xr:uid="{00000000-0005-0000-0000-000088020000}"/>
    <cellStyle name="Normal 6 3 3 2 2 3" xfId="649" xr:uid="{00000000-0005-0000-0000-000089020000}"/>
    <cellStyle name="Normal 6 3 3 2 3" xfId="650" xr:uid="{00000000-0005-0000-0000-00008A020000}"/>
    <cellStyle name="Normal 6 3 3 2 4" xfId="651" xr:uid="{00000000-0005-0000-0000-00008B020000}"/>
    <cellStyle name="Normal 6 3 3 2 5" xfId="652" xr:uid="{00000000-0005-0000-0000-00008C020000}"/>
    <cellStyle name="Normal 6 3 3 2 6" xfId="653" xr:uid="{00000000-0005-0000-0000-00008D020000}"/>
    <cellStyle name="Normal 6 3 3 3" xfId="654" xr:uid="{00000000-0005-0000-0000-00008E020000}"/>
    <cellStyle name="Normal 6 3 3 3 2" xfId="655" xr:uid="{00000000-0005-0000-0000-00008F020000}"/>
    <cellStyle name="Normal 6 3 3 3 3" xfId="656" xr:uid="{00000000-0005-0000-0000-000090020000}"/>
    <cellStyle name="Normal 6 3 3 4" xfId="657" xr:uid="{00000000-0005-0000-0000-000091020000}"/>
    <cellStyle name="Normal 6 3 3 4 2" xfId="658" xr:uid="{00000000-0005-0000-0000-000092020000}"/>
    <cellStyle name="Normal 6 3 3 4 3" xfId="659" xr:uid="{00000000-0005-0000-0000-000093020000}"/>
    <cellStyle name="Normal 6 3 3 5" xfId="661" xr:uid="{00000000-0005-0000-0000-000095020000}"/>
    <cellStyle name="Normal 6 3 3 6" xfId="662" xr:uid="{00000000-0005-0000-0000-000096020000}"/>
    <cellStyle name="Normal 6 3 3 7" xfId="663" xr:uid="{00000000-0005-0000-0000-000097020000}"/>
    <cellStyle name="Normal 6 3 3 8" xfId="664" xr:uid="{00000000-0005-0000-0000-000098020000}"/>
    <cellStyle name="Normal 6 3 4" xfId="665" xr:uid="{00000000-0005-0000-0000-000099020000}"/>
    <cellStyle name="Normal 6 3 4 2" xfId="666" xr:uid="{00000000-0005-0000-0000-00009A020000}"/>
    <cellStyle name="Normal 6 3 4 2 2" xfId="667" xr:uid="{00000000-0005-0000-0000-00009B020000}"/>
    <cellStyle name="Normal 6 3 4 2 3" xfId="668" xr:uid="{00000000-0005-0000-0000-00009C020000}"/>
    <cellStyle name="Normal 6 3 4 3" xfId="669" xr:uid="{00000000-0005-0000-0000-00009D020000}"/>
    <cellStyle name="Normal 6 3 4 4" xfId="670" xr:uid="{00000000-0005-0000-0000-00009E020000}"/>
    <cellStyle name="Normal 6 3 4 5" xfId="671" xr:uid="{00000000-0005-0000-0000-00009F020000}"/>
    <cellStyle name="Normal 6 3 4 6" xfId="672" xr:uid="{00000000-0005-0000-0000-0000A0020000}"/>
    <cellStyle name="Normal 6 3 5" xfId="673" xr:uid="{00000000-0005-0000-0000-0000A1020000}"/>
    <cellStyle name="Normal 6 3 5 2" xfId="674" xr:uid="{00000000-0005-0000-0000-0000A2020000}"/>
    <cellStyle name="Normal 6 3 5 3" xfId="675" xr:uid="{00000000-0005-0000-0000-0000A3020000}"/>
    <cellStyle name="Normal 6 3 6" xfId="676" xr:uid="{00000000-0005-0000-0000-0000A4020000}"/>
    <cellStyle name="Normal 6 3 6 2" xfId="677" xr:uid="{00000000-0005-0000-0000-0000A5020000}"/>
    <cellStyle name="Normal 6 3 6 3" xfId="678" xr:uid="{00000000-0005-0000-0000-0000A6020000}"/>
    <cellStyle name="Normal 6 3 7" xfId="679" xr:uid="{00000000-0005-0000-0000-0000A7020000}"/>
    <cellStyle name="Normal 6 3 8" xfId="680" xr:uid="{00000000-0005-0000-0000-0000A8020000}"/>
    <cellStyle name="Normal 6 3 9" xfId="681" xr:uid="{00000000-0005-0000-0000-0000A9020000}"/>
    <cellStyle name="Normal 6 4" xfId="682" xr:uid="{00000000-0005-0000-0000-0000AA020000}"/>
    <cellStyle name="Normal 6 4 2" xfId="684" xr:uid="{00000000-0005-0000-0000-0000AC020000}"/>
    <cellStyle name="Normal 6 4 2 2" xfId="685" xr:uid="{00000000-0005-0000-0000-0000AD020000}"/>
    <cellStyle name="Normal 6 4 2 3" xfId="686" xr:uid="{00000000-0005-0000-0000-0000AE020000}"/>
    <cellStyle name="Normal 6 4 3" xfId="687" xr:uid="{00000000-0005-0000-0000-0000AF020000}"/>
    <cellStyle name="Normal 6 4 4" xfId="688" xr:uid="{00000000-0005-0000-0000-0000B0020000}"/>
    <cellStyle name="Normal 6 4 5" xfId="689" xr:uid="{00000000-0005-0000-0000-0000B1020000}"/>
    <cellStyle name="Normal 6 4 6" xfId="690" xr:uid="{00000000-0005-0000-0000-0000B2020000}"/>
    <cellStyle name="Normal 6 5" xfId="691" xr:uid="{00000000-0005-0000-0000-0000B3020000}"/>
    <cellStyle name="Normal 6 5 2" xfId="692" xr:uid="{00000000-0005-0000-0000-0000B4020000}"/>
    <cellStyle name="Normal 6 5 2 2" xfId="693" xr:uid="{00000000-0005-0000-0000-0000B5020000}"/>
    <cellStyle name="Normal 6 5 2 3" xfId="695" xr:uid="{00000000-0005-0000-0000-0000B7020000}"/>
    <cellStyle name="Normal 6 5 3" xfId="697" xr:uid="{00000000-0005-0000-0000-0000B9020000}"/>
    <cellStyle name="Normal 6 5 4" xfId="694" xr:uid="{00000000-0005-0000-0000-0000B6020000}"/>
    <cellStyle name="Normal 6 5 5" xfId="696" xr:uid="{00000000-0005-0000-0000-0000B8020000}"/>
    <cellStyle name="Normal 6 5 6" xfId="698" xr:uid="{00000000-0005-0000-0000-0000BA020000}"/>
    <cellStyle name="Normal 6 6" xfId="699" xr:uid="{00000000-0005-0000-0000-0000BB020000}"/>
    <cellStyle name="Normal 6 6 2" xfId="701" xr:uid="{00000000-0005-0000-0000-0000BD020000}"/>
    <cellStyle name="Normal 6 6 3" xfId="702" xr:uid="{00000000-0005-0000-0000-0000BE020000}"/>
    <cellStyle name="Normal 6 7" xfId="703" xr:uid="{00000000-0005-0000-0000-0000BF020000}"/>
    <cellStyle name="Normal 6 7 2" xfId="705" xr:uid="{00000000-0005-0000-0000-0000C1020000}"/>
    <cellStyle name="Normal 6 7 3" xfId="706" xr:uid="{00000000-0005-0000-0000-0000C2020000}"/>
    <cellStyle name="Normal 6 8" xfId="707" xr:uid="{00000000-0005-0000-0000-0000C3020000}"/>
    <cellStyle name="Normal 6 9" xfId="708" xr:uid="{00000000-0005-0000-0000-0000C4020000}"/>
    <cellStyle name="Normal 7" xfId="709" xr:uid="{00000000-0005-0000-0000-0000C5020000}"/>
    <cellStyle name="Normal 7 10" xfId="710" xr:uid="{00000000-0005-0000-0000-0000C6020000}"/>
    <cellStyle name="Normal 7 10 2" xfId="713" xr:uid="{00000000-0005-0000-0000-0000C9020000}"/>
    <cellStyle name="Normal 7 10 2 2" xfId="716" xr:uid="{00000000-0005-0000-0000-0000CC020000}"/>
    <cellStyle name="Normal 7 10 2 2 2" xfId="717" xr:uid="{00000000-0005-0000-0000-0000CD020000}"/>
    <cellStyle name="Normal 7 10 2 2 3" xfId="718" xr:uid="{00000000-0005-0000-0000-0000CE020000}"/>
    <cellStyle name="Normal 7 10 2 3" xfId="719" xr:uid="{00000000-0005-0000-0000-0000CF020000}"/>
    <cellStyle name="Normal 7 10 2 4" xfId="721" xr:uid="{00000000-0005-0000-0000-0000D1020000}"/>
    <cellStyle name="Normal 7 10 2 5" xfId="723" xr:uid="{00000000-0005-0000-0000-0000D3020000}"/>
    <cellStyle name="Normal 7 10 2 6" xfId="725" xr:uid="{00000000-0005-0000-0000-0000D5020000}"/>
    <cellStyle name="Normal 7 10 3" xfId="727" xr:uid="{00000000-0005-0000-0000-0000D7020000}"/>
    <cellStyle name="Normal 7 10 3 2" xfId="730" xr:uid="{00000000-0005-0000-0000-0000DA020000}"/>
    <cellStyle name="Normal 7 10 3 3" xfId="731" xr:uid="{00000000-0005-0000-0000-0000DB020000}"/>
    <cellStyle name="Normal 7 10 4" xfId="733" xr:uid="{00000000-0005-0000-0000-0000DD020000}"/>
    <cellStyle name="Normal 7 10 4 2" xfId="734" xr:uid="{00000000-0005-0000-0000-0000DE020000}"/>
    <cellStyle name="Normal 7 10 4 3" xfId="736" xr:uid="{00000000-0005-0000-0000-0000E0020000}"/>
    <cellStyle name="Normal 7 10 5" xfId="739" xr:uid="{00000000-0005-0000-0000-0000E3020000}"/>
    <cellStyle name="Normal 7 10 6" xfId="740" xr:uid="{00000000-0005-0000-0000-0000E4020000}"/>
    <cellStyle name="Normal 7 10 7" xfId="741" xr:uid="{00000000-0005-0000-0000-0000E5020000}"/>
    <cellStyle name="Normal 7 10 8" xfId="742" xr:uid="{00000000-0005-0000-0000-0000E6020000}"/>
    <cellStyle name="Normal 7 11" xfId="743" xr:uid="{00000000-0005-0000-0000-0000E7020000}"/>
    <cellStyle name="Normal 7 11 2" xfId="746" xr:uid="{00000000-0005-0000-0000-0000EA020000}"/>
    <cellStyle name="Normal 7 11 2 2" xfId="749" xr:uid="{00000000-0005-0000-0000-0000ED020000}"/>
    <cellStyle name="Normal 7 11 2 2 2" xfId="750" xr:uid="{00000000-0005-0000-0000-0000EE020000}"/>
    <cellStyle name="Normal 7 11 2 2 3" xfId="751" xr:uid="{00000000-0005-0000-0000-0000EF020000}"/>
    <cellStyle name="Normal 7 11 2 3" xfId="752" xr:uid="{00000000-0005-0000-0000-0000F0020000}"/>
    <cellStyle name="Normal 7 11 2 4" xfId="754" xr:uid="{00000000-0005-0000-0000-0000F2020000}"/>
    <cellStyle name="Normal 7 11 2 5" xfId="756" xr:uid="{00000000-0005-0000-0000-0000F4020000}"/>
    <cellStyle name="Normal 7 11 2 6" xfId="758" xr:uid="{00000000-0005-0000-0000-0000F6020000}"/>
    <cellStyle name="Normal 7 11 3" xfId="760" xr:uid="{00000000-0005-0000-0000-0000F8020000}"/>
    <cellStyle name="Normal 7 11 3 2" xfId="763" xr:uid="{00000000-0005-0000-0000-0000FB020000}"/>
    <cellStyle name="Normal 7 11 3 3" xfId="764" xr:uid="{00000000-0005-0000-0000-0000FC020000}"/>
    <cellStyle name="Normal 7 11 4" xfId="766" xr:uid="{00000000-0005-0000-0000-0000FE020000}"/>
    <cellStyle name="Normal 7 11 4 2" xfId="767" xr:uid="{00000000-0005-0000-0000-0000FF020000}"/>
    <cellStyle name="Normal 7 11 4 3" xfId="768" xr:uid="{00000000-0005-0000-0000-000000030000}"/>
    <cellStyle name="Normal 7 11 5" xfId="770" xr:uid="{00000000-0005-0000-0000-000002030000}"/>
    <cellStyle name="Normal 7 11 6" xfId="771" xr:uid="{00000000-0005-0000-0000-000003030000}"/>
    <cellStyle name="Normal 7 11 7" xfId="772" xr:uid="{00000000-0005-0000-0000-000004030000}"/>
    <cellStyle name="Normal 7 11 8" xfId="773" xr:uid="{00000000-0005-0000-0000-000005030000}"/>
    <cellStyle name="Normal 7 12" xfId="774" xr:uid="{00000000-0005-0000-0000-000006030000}"/>
    <cellStyle name="Normal 7 12 2" xfId="775" xr:uid="{00000000-0005-0000-0000-000007030000}"/>
    <cellStyle name="Normal 7 12 2 2" xfId="776" xr:uid="{00000000-0005-0000-0000-000008030000}"/>
    <cellStyle name="Normal 7 12 2 3" xfId="777" xr:uid="{00000000-0005-0000-0000-000009030000}"/>
    <cellStyle name="Normal 7 12 3" xfId="779" xr:uid="{00000000-0005-0000-0000-00000B030000}"/>
    <cellStyle name="Normal 7 12 4" xfId="780" xr:uid="{00000000-0005-0000-0000-00000C030000}"/>
    <cellStyle name="Normal 7 12 5" xfId="781" xr:uid="{00000000-0005-0000-0000-00000D030000}"/>
    <cellStyle name="Normal 7 12 6" xfId="782" xr:uid="{00000000-0005-0000-0000-00000E030000}"/>
    <cellStyle name="Normal 7 13" xfId="783" xr:uid="{00000000-0005-0000-0000-00000F030000}"/>
    <cellStyle name="Normal 7 13 2" xfId="784" xr:uid="{00000000-0005-0000-0000-000010030000}"/>
    <cellStyle name="Normal 7 13 2 2" xfId="785" xr:uid="{00000000-0005-0000-0000-000011030000}"/>
    <cellStyle name="Normal 7 13 2 3" xfId="786" xr:uid="{00000000-0005-0000-0000-000012030000}"/>
    <cellStyle name="Normal 7 13 3" xfId="788" xr:uid="{00000000-0005-0000-0000-000014030000}"/>
    <cellStyle name="Normal 7 13 4" xfId="789" xr:uid="{00000000-0005-0000-0000-000015030000}"/>
    <cellStyle name="Normal 7 13 5" xfId="790" xr:uid="{00000000-0005-0000-0000-000016030000}"/>
    <cellStyle name="Normal 7 13 6" xfId="791" xr:uid="{00000000-0005-0000-0000-000017030000}"/>
    <cellStyle name="Normal 7 14" xfId="793" xr:uid="{00000000-0005-0000-0000-000019030000}"/>
    <cellStyle name="Normal 7 14 2" xfId="794" xr:uid="{00000000-0005-0000-0000-00001A030000}"/>
    <cellStyle name="Normal 7 14 2 2" xfId="795" xr:uid="{00000000-0005-0000-0000-00001B030000}"/>
    <cellStyle name="Normal 7 14 2 3" xfId="796" xr:uid="{00000000-0005-0000-0000-00001C030000}"/>
    <cellStyle name="Normal 7 14 3" xfId="798" xr:uid="{00000000-0005-0000-0000-00001E030000}"/>
    <cellStyle name="Normal 7 14 4" xfId="799" xr:uid="{00000000-0005-0000-0000-00001F030000}"/>
    <cellStyle name="Normal 7 14 5" xfId="800" xr:uid="{00000000-0005-0000-0000-000020030000}"/>
    <cellStyle name="Normal 7 14 6" xfId="801" xr:uid="{00000000-0005-0000-0000-000021030000}"/>
    <cellStyle name="Normal 7 15" xfId="803" xr:uid="{00000000-0005-0000-0000-000023030000}"/>
    <cellStyle name="Normal 7 15 2" xfId="806" xr:uid="{00000000-0005-0000-0000-000026030000}"/>
    <cellStyle name="Normal 7 15 3" xfId="807" xr:uid="{00000000-0005-0000-0000-000027030000}"/>
    <cellStyle name="Normal 7 16" xfId="808" xr:uid="{00000000-0005-0000-0000-000028030000}"/>
    <cellStyle name="Normal 7 16 2" xfId="811" xr:uid="{00000000-0005-0000-0000-00002B030000}"/>
    <cellStyle name="Normal 7 16 3" xfId="812" xr:uid="{00000000-0005-0000-0000-00002C030000}"/>
    <cellStyle name="Normal 7 17" xfId="813" xr:uid="{00000000-0005-0000-0000-00002D030000}"/>
    <cellStyle name="Normal 7 17 2" xfId="814" xr:uid="{00000000-0005-0000-0000-00002E030000}"/>
    <cellStyle name="Normal 7 17 3" xfId="815" xr:uid="{00000000-0005-0000-0000-00002F030000}"/>
    <cellStyle name="Normal 7 18" xfId="816" xr:uid="{00000000-0005-0000-0000-000030030000}"/>
    <cellStyle name="Normal 7 19" xfId="817" xr:uid="{00000000-0005-0000-0000-000031030000}"/>
    <cellStyle name="Normal 7 2" xfId="818" xr:uid="{00000000-0005-0000-0000-000032030000}"/>
    <cellStyle name="Normal 7 2 2" xfId="80" xr:uid="{00000000-0005-0000-0000-000050000000}"/>
    <cellStyle name="Normal 7 2 2 2" xfId="288" xr:uid="{00000000-0005-0000-0000-000020010000}"/>
    <cellStyle name="Normal 7 2 2 2 2" xfId="291" xr:uid="{00000000-0005-0000-0000-000023010000}"/>
    <cellStyle name="Normal 7 2 2 2 3" xfId="819" xr:uid="{00000000-0005-0000-0000-000033030000}"/>
    <cellStyle name="Normal 7 2 2 3" xfId="296" xr:uid="{00000000-0005-0000-0000-000028010000}"/>
    <cellStyle name="Normal 7 2 2 4" xfId="213" xr:uid="{00000000-0005-0000-0000-0000D5000000}"/>
    <cellStyle name="Normal 7 2 2 5" xfId="820" xr:uid="{00000000-0005-0000-0000-000034030000}"/>
    <cellStyle name="Normal 7 2 2 6" xfId="821" xr:uid="{00000000-0005-0000-0000-000035030000}"/>
    <cellStyle name="Normal 7 2 3" xfId="84" xr:uid="{00000000-0005-0000-0000-000054000000}"/>
    <cellStyle name="Normal 7 2 3 2" xfId="300" xr:uid="{00000000-0005-0000-0000-00002C010000}"/>
    <cellStyle name="Normal 7 2 3 2 2" xfId="302" xr:uid="{00000000-0005-0000-0000-00002E010000}"/>
    <cellStyle name="Normal 7 2 3 2 3" xfId="822" xr:uid="{00000000-0005-0000-0000-000036030000}"/>
    <cellStyle name="Normal 7 2 3 3" xfId="305" xr:uid="{00000000-0005-0000-0000-000031010000}"/>
    <cellStyle name="Normal 7 2 3 4" xfId="258" xr:uid="{00000000-0005-0000-0000-000002010000}"/>
    <cellStyle name="Normal 7 2 3 5" xfId="823" xr:uid="{00000000-0005-0000-0000-000037030000}"/>
    <cellStyle name="Normal 7 2 3 6" xfId="824" xr:uid="{00000000-0005-0000-0000-000038030000}"/>
    <cellStyle name="Normal 7 2 4" xfId="89" xr:uid="{00000000-0005-0000-0000-000059000000}"/>
    <cellStyle name="Normal 7 2 4 2" xfId="308" xr:uid="{00000000-0005-0000-0000-000034010000}"/>
    <cellStyle name="Normal 7 2 4 3" xfId="316" xr:uid="{00000000-0005-0000-0000-00003C010000}"/>
    <cellStyle name="Normal 7 2 5" xfId="93" xr:uid="{00000000-0005-0000-0000-00005D000000}"/>
    <cellStyle name="Normal 7 2 5 2" xfId="322" xr:uid="{00000000-0005-0000-0000-000042010000}"/>
    <cellStyle name="Normal 7 2 5 3" xfId="825" xr:uid="{00000000-0005-0000-0000-000039030000}"/>
    <cellStyle name="Normal 7 2 6" xfId="326" xr:uid="{00000000-0005-0000-0000-000046010000}"/>
    <cellStyle name="Normal 7 2 7" xfId="328" xr:uid="{00000000-0005-0000-0000-000048010000}"/>
    <cellStyle name="Normal 7 2 8" xfId="827" xr:uid="{00000000-0005-0000-0000-00003B030000}"/>
    <cellStyle name="Normal 7 2 9" xfId="828" xr:uid="{00000000-0005-0000-0000-00003C030000}"/>
    <cellStyle name="Normal 7 20" xfId="804" xr:uid="{00000000-0005-0000-0000-000024030000}"/>
    <cellStyle name="Normal 7 21" xfId="809" xr:uid="{00000000-0005-0000-0000-000029030000}"/>
    <cellStyle name="Normal 7 3" xfId="829" xr:uid="{00000000-0005-0000-0000-00003D030000}"/>
    <cellStyle name="Normal 7 3 10" xfId="830" xr:uid="{00000000-0005-0000-0000-00003E030000}"/>
    <cellStyle name="Normal 7 3 2" xfId="831" xr:uid="{00000000-0005-0000-0000-00003F030000}"/>
    <cellStyle name="Normal 7 3 2 2" xfId="832" xr:uid="{00000000-0005-0000-0000-000040030000}"/>
    <cellStyle name="Normal 7 3 2 2 2" xfId="324" xr:uid="{00000000-0005-0000-0000-000044010000}"/>
    <cellStyle name="Normal 7 3 2 2 2 2" xfId="410" xr:uid="{00000000-0005-0000-0000-00009A010000}"/>
    <cellStyle name="Normal 7 3 2 2 2 3" xfId="834" xr:uid="{00000000-0005-0000-0000-000042030000}"/>
    <cellStyle name="Normal 7 3 2 2 3" xfId="388" xr:uid="{00000000-0005-0000-0000-000084010000}"/>
    <cellStyle name="Normal 7 3 2 2 4" xfId="277" xr:uid="{00000000-0005-0000-0000-000015010000}"/>
    <cellStyle name="Normal 7 3 2 2 5" xfId="836" xr:uid="{00000000-0005-0000-0000-000044030000}"/>
    <cellStyle name="Normal 7 3 2 2 6" xfId="837" xr:uid="{00000000-0005-0000-0000-000045030000}"/>
    <cellStyle name="Normal 7 3 2 3" xfId="838" xr:uid="{00000000-0005-0000-0000-000046030000}"/>
    <cellStyle name="Normal 7 3 2 3 2" xfId="384" xr:uid="{00000000-0005-0000-0000-000080010000}"/>
    <cellStyle name="Normal 7 3 2 3 2 2" xfId="169" xr:uid="{00000000-0005-0000-0000-0000A9000000}"/>
    <cellStyle name="Normal 7 3 2 3 2 3" xfId="840" xr:uid="{00000000-0005-0000-0000-000048030000}"/>
    <cellStyle name="Normal 7 3 2 3 3" xfId="399" xr:uid="{00000000-0005-0000-0000-00008F010000}"/>
    <cellStyle name="Normal 7 3 2 3 4" xfId="283" xr:uid="{00000000-0005-0000-0000-00001B010000}"/>
    <cellStyle name="Normal 7 3 2 3 5" xfId="841" xr:uid="{00000000-0005-0000-0000-000049030000}"/>
    <cellStyle name="Normal 7 3 2 3 6" xfId="842" xr:uid="{00000000-0005-0000-0000-00004A030000}"/>
    <cellStyle name="Normal 7 3 2 4" xfId="843" xr:uid="{00000000-0005-0000-0000-00004B030000}"/>
    <cellStyle name="Normal 7 3 2 4 2" xfId="845" xr:uid="{00000000-0005-0000-0000-00004D030000}"/>
    <cellStyle name="Normal 7 3 2 4 3" xfId="846" xr:uid="{00000000-0005-0000-0000-00004E030000}"/>
    <cellStyle name="Normal 7 3 2 5" xfId="847" xr:uid="{00000000-0005-0000-0000-00004F030000}"/>
    <cellStyle name="Normal 7 3 2 5 2" xfId="835" xr:uid="{00000000-0005-0000-0000-000043030000}"/>
    <cellStyle name="Normal 7 3 2 5 3" xfId="849" xr:uid="{00000000-0005-0000-0000-000051030000}"/>
    <cellStyle name="Normal 7 3 2 6" xfId="850" xr:uid="{00000000-0005-0000-0000-000052030000}"/>
    <cellStyle name="Normal 7 3 2 7" xfId="851" xr:uid="{00000000-0005-0000-0000-000053030000}"/>
    <cellStyle name="Normal 7 3 2 8" xfId="852" xr:uid="{00000000-0005-0000-0000-000054030000}"/>
    <cellStyle name="Normal 7 3 2 9" xfId="853" xr:uid="{00000000-0005-0000-0000-000055030000}"/>
    <cellStyle name="Normal 7 3 3" xfId="854" xr:uid="{00000000-0005-0000-0000-000056030000}"/>
    <cellStyle name="Normal 7 3 3 2" xfId="855" xr:uid="{00000000-0005-0000-0000-000057030000}"/>
    <cellStyle name="Normal 7 3 3 2 2" xfId="51" xr:uid="{00000000-0005-0000-0000-000033000000}"/>
    <cellStyle name="Normal 7 3 3 2 3" xfId="40" xr:uid="{00000000-0005-0000-0000-000028000000}"/>
    <cellStyle name="Normal 7 3 3 3" xfId="857" xr:uid="{00000000-0005-0000-0000-000059030000}"/>
    <cellStyle name="Normal 7 3 3 4" xfId="858" xr:uid="{00000000-0005-0000-0000-00005A030000}"/>
    <cellStyle name="Normal 7 3 3 5" xfId="859" xr:uid="{00000000-0005-0000-0000-00005B030000}"/>
    <cellStyle name="Normal 7 3 3 6" xfId="860" xr:uid="{00000000-0005-0000-0000-00005C030000}"/>
    <cellStyle name="Normal 7 3 4" xfId="861" xr:uid="{00000000-0005-0000-0000-00005D030000}"/>
    <cellStyle name="Normal 7 3 4 2" xfId="862" xr:uid="{00000000-0005-0000-0000-00005E030000}"/>
    <cellStyle name="Normal 7 3 4 2 2" xfId="865" xr:uid="{00000000-0005-0000-0000-000061030000}"/>
    <cellStyle name="Normal 7 3 4 2 3" xfId="867" xr:uid="{00000000-0005-0000-0000-000063030000}"/>
    <cellStyle name="Normal 7 3 4 3" xfId="869" xr:uid="{00000000-0005-0000-0000-000065030000}"/>
    <cellStyle name="Normal 7 3 4 4" xfId="870" xr:uid="{00000000-0005-0000-0000-000066030000}"/>
    <cellStyle name="Normal 7 3 4 5" xfId="871" xr:uid="{00000000-0005-0000-0000-000067030000}"/>
    <cellStyle name="Normal 7 3 4 6" xfId="872" xr:uid="{00000000-0005-0000-0000-000068030000}"/>
    <cellStyle name="Normal 7 3 5" xfId="873" xr:uid="{00000000-0005-0000-0000-000069030000}"/>
    <cellStyle name="Normal 7 3 5 2" xfId="874" xr:uid="{00000000-0005-0000-0000-00006A030000}"/>
    <cellStyle name="Normal 7 3 5 3" xfId="38" xr:uid="{00000000-0005-0000-0000-000026000000}"/>
    <cellStyle name="Normal 7 3 6" xfId="875" xr:uid="{00000000-0005-0000-0000-00006B030000}"/>
    <cellStyle name="Normal 7 3 6 2" xfId="876" xr:uid="{00000000-0005-0000-0000-00006C030000}"/>
    <cellStyle name="Normal 7 3 6 3" xfId="878" xr:uid="{00000000-0005-0000-0000-00006E030000}"/>
    <cellStyle name="Normal 7 3 7" xfId="879" xr:uid="{00000000-0005-0000-0000-00006F030000}"/>
    <cellStyle name="Normal 7 3 8" xfId="880" xr:uid="{00000000-0005-0000-0000-000070030000}"/>
    <cellStyle name="Normal 7 3 9" xfId="881" xr:uid="{00000000-0005-0000-0000-000071030000}"/>
    <cellStyle name="Normal 7 4" xfId="882" xr:uid="{00000000-0005-0000-0000-000072030000}"/>
    <cellStyle name="Normal 7 4 10" xfId="883" xr:uid="{00000000-0005-0000-0000-000073030000}"/>
    <cellStyle name="Normal 7 4 2" xfId="885" xr:uid="{00000000-0005-0000-0000-000075030000}"/>
    <cellStyle name="Normal 7 4 2 10" xfId="354" xr:uid="{00000000-0005-0000-0000-000062010000}"/>
    <cellStyle name="Normal 7 4 2 2" xfId="886" xr:uid="{00000000-0005-0000-0000-000076030000}"/>
    <cellStyle name="Normal 7 4 2 2 2" xfId="887" xr:uid="{00000000-0005-0000-0000-000077030000}"/>
    <cellStyle name="Normal 7 4 2 2 2 10" xfId="888" xr:uid="{00000000-0005-0000-0000-000078030000}"/>
    <cellStyle name="Normal 7 4 2 2 2 10 2" xfId="889" xr:uid="{00000000-0005-0000-0000-000079030000}"/>
    <cellStyle name="Normal 7 4 2 2 2 10 2 2" xfId="160" xr:uid="{00000000-0005-0000-0000-0000A0000000}"/>
    <cellStyle name="Normal 7 4 2 2 2 10 2 2 2" xfId="104" xr:uid="{00000000-0005-0000-0000-000068000000}"/>
    <cellStyle name="Normal 7 4 2 2 2 10 2 2 3" xfId="164" xr:uid="{00000000-0005-0000-0000-0000A4000000}"/>
    <cellStyle name="Normal 7 4 2 2 2 10 2 3" xfId="167" xr:uid="{00000000-0005-0000-0000-0000A7000000}"/>
    <cellStyle name="Normal 7 4 2 2 2 10 2 4" xfId="131" xr:uid="{00000000-0005-0000-0000-000083000000}"/>
    <cellStyle name="Normal 7 4 2 2 2 10 2 5" xfId="135" xr:uid="{00000000-0005-0000-0000-000087000000}"/>
    <cellStyle name="Normal 7 4 2 2 2 10 2 6" xfId="175" xr:uid="{00000000-0005-0000-0000-0000AF000000}"/>
    <cellStyle name="Normal 7 4 2 2 2 10 3" xfId="890" xr:uid="{00000000-0005-0000-0000-00007A030000}"/>
    <cellStyle name="Normal 7 4 2 2 2 10 3 2" xfId="182" xr:uid="{00000000-0005-0000-0000-0000B6000000}"/>
    <cellStyle name="Normal 7 4 2 2 2 10 3 3" xfId="184" xr:uid="{00000000-0005-0000-0000-0000B8000000}"/>
    <cellStyle name="Normal 7 4 2 2 2 10 4" xfId="891" xr:uid="{00000000-0005-0000-0000-00007B030000}"/>
    <cellStyle name="Normal 7 4 2 2 2 10 5" xfId="892" xr:uid="{00000000-0005-0000-0000-00007C030000}"/>
    <cellStyle name="Normal 7 4 2 2 2 10 6" xfId="894" xr:uid="{00000000-0005-0000-0000-00007E030000}"/>
    <cellStyle name="Normal 7 4 2 2 2 10 7" xfId="896" xr:uid="{00000000-0005-0000-0000-000080030000}"/>
    <cellStyle name="Normal 7 4 2 2 2 10 8" xfId="898" xr:uid="{00000000-0005-0000-0000-000082030000}"/>
    <cellStyle name="Normal 7 4 2 2 2 10 9" xfId="900" xr:uid="{00000000-0005-0000-0000-000084030000}"/>
    <cellStyle name="Normal 7 4 2 2 2 11" xfId="902" xr:uid="{00000000-0005-0000-0000-000086030000}"/>
    <cellStyle name="Normal 7 4 2 2 2 11 2" xfId="903" xr:uid="{00000000-0005-0000-0000-000087030000}"/>
    <cellStyle name="Normal 7 4 2 2 2 11 2 2" xfId="219" xr:uid="{00000000-0005-0000-0000-0000DB000000}"/>
    <cellStyle name="Normal 7 4 2 2 2 11 2 3" xfId="221" xr:uid="{00000000-0005-0000-0000-0000DD000000}"/>
    <cellStyle name="Normal 7 4 2 2 2 11 3" xfId="904" xr:uid="{00000000-0005-0000-0000-000088030000}"/>
    <cellStyle name="Normal 7 4 2 2 2 11 4" xfId="905" xr:uid="{00000000-0005-0000-0000-000089030000}"/>
    <cellStyle name="Normal 7 4 2 2 2 11 5" xfId="906" xr:uid="{00000000-0005-0000-0000-00008A030000}"/>
    <cellStyle name="Normal 7 4 2 2 2 11 6" xfId="908" xr:uid="{00000000-0005-0000-0000-00008C030000}"/>
    <cellStyle name="Normal 7 4 2 2 2 12" xfId="910" xr:uid="{00000000-0005-0000-0000-00008E030000}"/>
    <cellStyle name="Normal 7 4 2 2 2 12 2" xfId="912" xr:uid="{00000000-0005-0000-0000-000090030000}"/>
    <cellStyle name="Normal 7 4 2 2 2 12 3" xfId="913" xr:uid="{00000000-0005-0000-0000-000091030000}"/>
    <cellStyle name="Normal 7 4 2 2 2 13" xfId="914" xr:uid="{00000000-0005-0000-0000-000092030000}"/>
    <cellStyle name="Normal 7 4 2 2 2 13 2" xfId="916" xr:uid="{00000000-0005-0000-0000-000094030000}"/>
    <cellStyle name="Normal 7 4 2 2 2 13 3" xfId="917" xr:uid="{00000000-0005-0000-0000-000095030000}"/>
    <cellStyle name="Normal 7 4 2 2 2 14" xfId="918" xr:uid="{00000000-0005-0000-0000-000096030000}"/>
    <cellStyle name="Normal 7 4 2 2 2 14 2" xfId="919" xr:uid="{00000000-0005-0000-0000-000097030000}"/>
    <cellStyle name="Normal 7 4 2 2 2 14 3" xfId="920" xr:uid="{00000000-0005-0000-0000-000098030000}"/>
    <cellStyle name="Normal 7 4 2 2 2 15" xfId="921" xr:uid="{00000000-0005-0000-0000-000099030000}"/>
    <cellStyle name="Normal 7 4 2 2 2 15 2" xfId="922" xr:uid="{00000000-0005-0000-0000-00009A030000}"/>
    <cellStyle name="Normal 7 4 2 2 2 15 3" xfId="923" xr:uid="{00000000-0005-0000-0000-00009B030000}"/>
    <cellStyle name="Normal 7 4 2 2 2 16" xfId="924" xr:uid="{00000000-0005-0000-0000-00009C030000}"/>
    <cellStyle name="Normal 7 4 2 2 2 17" xfId="925" xr:uid="{00000000-0005-0000-0000-00009D030000}"/>
    <cellStyle name="Normal 7 4 2 2 2 18" xfId="926" xr:uid="{00000000-0005-0000-0000-00009E030000}"/>
    <cellStyle name="Normal 7 4 2 2 2 19" xfId="927" xr:uid="{00000000-0005-0000-0000-00009F030000}"/>
    <cellStyle name="Normal 7 4 2 2 2 19 2" xfId="928" xr:uid="{00000000-0005-0000-0000-0000A0030000}"/>
    <cellStyle name="Normal 7 4 2 2 2 2" xfId="929" xr:uid="{00000000-0005-0000-0000-0000A1030000}"/>
    <cellStyle name="Normal 7 4 2 2 2 2 10" xfId="930" xr:uid="{00000000-0005-0000-0000-0000A2030000}"/>
    <cellStyle name="Normal 7 4 2 2 2 2 2" xfId="792" xr:uid="{00000000-0005-0000-0000-000018030000}"/>
    <cellStyle name="Normal 7 4 2 2 2 2 2 10" xfId="931" xr:uid="{00000000-0005-0000-0000-0000A3030000}"/>
    <cellStyle name="Normal 7 4 2 2 2 2 2 10 2" xfId="932" xr:uid="{00000000-0005-0000-0000-0000A4030000}"/>
    <cellStyle name="Normal 7 4 2 2 2 2 2 11" xfId="934" xr:uid="{00000000-0005-0000-0000-0000A6030000}"/>
    <cellStyle name="Normal 7 4 2 2 2 2 2 2" xfId="935" xr:uid="{00000000-0005-0000-0000-0000A7030000}"/>
    <cellStyle name="Normal 7 4 2 2 2 2 2 2 2" xfId="936" xr:uid="{00000000-0005-0000-0000-0000A8030000}"/>
    <cellStyle name="Normal 7 4 2 2 2 2 2 2 2 2" xfId="937" xr:uid="{00000000-0005-0000-0000-0000A9030000}"/>
    <cellStyle name="Normal 7 4 2 2 2 2 2 2 2 2 2" xfId="939" xr:uid="{00000000-0005-0000-0000-0000AB030000}"/>
    <cellStyle name="Normal 7 4 2 2 2 2 2 2 2 2 3" xfId="593" xr:uid="{00000000-0005-0000-0000-000051020000}"/>
    <cellStyle name="Normal 7 4 2 2 2 2 2 2 2 3" xfId="940" xr:uid="{00000000-0005-0000-0000-0000AC030000}"/>
    <cellStyle name="Normal 7 4 2 2 2 2 2 2 2 4" xfId="942" xr:uid="{00000000-0005-0000-0000-0000AE030000}"/>
    <cellStyle name="Normal 7 4 2 2 2 2 2 2 2 5" xfId="944" xr:uid="{00000000-0005-0000-0000-0000B0030000}"/>
    <cellStyle name="Normal 7 4 2 2 2 2 2 2 2 6" xfId="946" xr:uid="{00000000-0005-0000-0000-0000B2030000}"/>
    <cellStyle name="Normal 7 4 2 2 2 2 2 2 3" xfId="947" xr:uid="{00000000-0005-0000-0000-0000B3030000}"/>
    <cellStyle name="Normal 7 4 2 2 2 2 2 2 3 2" xfId="948" xr:uid="{00000000-0005-0000-0000-0000B4030000}"/>
    <cellStyle name="Normal 7 4 2 2 2 2 2 2 3 3" xfId="950" xr:uid="{00000000-0005-0000-0000-0000B6030000}"/>
    <cellStyle name="Normal 7 4 2 2 2 2 2 2 4" xfId="27" xr:uid="{00000000-0005-0000-0000-00001B000000}"/>
    <cellStyle name="Normal 7 4 2 2 2 2 2 2 4 2" xfId="952" xr:uid="{00000000-0005-0000-0000-0000B8030000}"/>
    <cellStyle name="Normal 7 4 2 2 2 2 2 2 4 3" xfId="954" xr:uid="{00000000-0005-0000-0000-0000BA030000}"/>
    <cellStyle name="Normal 7 4 2 2 2 2 2 2 5" xfId="55" xr:uid="{00000000-0005-0000-0000-000037000000}"/>
    <cellStyle name="Normal 7 4 2 2 2 2 2 2 6" xfId="955" xr:uid="{00000000-0005-0000-0000-0000BB030000}"/>
    <cellStyle name="Normal 7 4 2 2 2 2 2 2 7" xfId="957" xr:uid="{00000000-0005-0000-0000-0000BD030000}"/>
    <cellStyle name="Normal 7 4 2 2 2 2 2 2 8" xfId="959" xr:uid="{00000000-0005-0000-0000-0000BF030000}"/>
    <cellStyle name="Normal 7 4 2 2 2 2 2 3" xfId="961" xr:uid="{00000000-0005-0000-0000-0000C1030000}"/>
    <cellStyle name="Normal 7 4 2 2 2 2 2 3 2" xfId="962" xr:uid="{00000000-0005-0000-0000-0000C2030000}"/>
    <cellStyle name="Normal 7 4 2 2 2 2 2 3 2 2" xfId="963" xr:uid="{00000000-0005-0000-0000-0000C3030000}"/>
    <cellStyle name="Normal 7 4 2 2 2 2 2 3 2 3" xfId="965" xr:uid="{00000000-0005-0000-0000-0000C5030000}"/>
    <cellStyle name="Normal 7 4 2 2 2 2 2 3 3" xfId="968" xr:uid="{00000000-0005-0000-0000-0000C8030000}"/>
    <cellStyle name="Normal 7 4 2 2 2 2 2 3 3 2" xfId="969" xr:uid="{00000000-0005-0000-0000-0000C9030000}"/>
    <cellStyle name="Normal 7 4 2 2 2 2 2 3 3 3" xfId="971" xr:uid="{00000000-0005-0000-0000-0000CB030000}"/>
    <cellStyle name="Normal 7 4 2 2 2 2 2 3 4" xfId="975" xr:uid="{00000000-0005-0000-0000-0000CF030000}"/>
    <cellStyle name="Normal 7 4 2 2 2 2 2 3 5" xfId="976" xr:uid="{00000000-0005-0000-0000-0000D0030000}"/>
    <cellStyle name="Normal 7 4 2 2 2 2 2 3 6" xfId="978" xr:uid="{00000000-0005-0000-0000-0000D2030000}"/>
    <cellStyle name="Normal 7 4 2 2 2 2 2 3 7" xfId="980" xr:uid="{00000000-0005-0000-0000-0000D4030000}"/>
    <cellStyle name="Normal 7 4 2 2 2 2 2 4" xfId="981" xr:uid="{00000000-0005-0000-0000-0000D5030000}"/>
    <cellStyle name="Normal 7 4 2 2 2 2 2 4 2" xfId="982" xr:uid="{00000000-0005-0000-0000-0000D6030000}"/>
    <cellStyle name="Normal 7 4 2 2 2 2 2 4 3" xfId="983" xr:uid="{00000000-0005-0000-0000-0000D7030000}"/>
    <cellStyle name="Normal 7 4 2 2 2 2 2 5" xfId="984" xr:uid="{00000000-0005-0000-0000-0000D8030000}"/>
    <cellStyle name="Normal 7 4 2 2 2 2 2 5 2" xfId="985" xr:uid="{00000000-0005-0000-0000-0000D9030000}"/>
    <cellStyle name="Normal 7 4 2 2 2 2 2 5 3" xfId="986" xr:uid="{00000000-0005-0000-0000-0000DA030000}"/>
    <cellStyle name="Normal 7 4 2 2 2 2 2 6" xfId="987" xr:uid="{00000000-0005-0000-0000-0000DB030000}"/>
    <cellStyle name="Normal 7 4 2 2 2 2 2 6 2" xfId="988" xr:uid="{00000000-0005-0000-0000-0000DC030000}"/>
    <cellStyle name="Normal 7 4 2 2 2 2 2 6 3" xfId="989" xr:uid="{00000000-0005-0000-0000-0000DD030000}"/>
    <cellStyle name="Normal 7 4 2 2 2 2 2 7" xfId="990" xr:uid="{00000000-0005-0000-0000-0000DE030000}"/>
    <cellStyle name="Normal 7 4 2 2 2 2 2 8" xfId="991" xr:uid="{00000000-0005-0000-0000-0000DF030000}"/>
    <cellStyle name="Normal 7 4 2 2 2 2 2 9" xfId="992" xr:uid="{00000000-0005-0000-0000-0000E0030000}"/>
    <cellStyle name="Normal 7 4 2 2 2 2 3" xfId="993" xr:uid="{00000000-0005-0000-0000-0000E1030000}"/>
    <cellStyle name="Normal 7 4 2 2 2 2 3 2" xfId="994" xr:uid="{00000000-0005-0000-0000-0000E2030000}"/>
    <cellStyle name="Normal 7 4 2 2 2 2 3 2 2" xfId="995" xr:uid="{00000000-0005-0000-0000-0000E3030000}"/>
    <cellStyle name="Normal 7 4 2 2 2 2 3 2 3" xfId="996" xr:uid="{00000000-0005-0000-0000-0000E4030000}"/>
    <cellStyle name="Normal 7 4 2 2 2 2 3 3" xfId="997" xr:uid="{00000000-0005-0000-0000-0000E5030000}"/>
    <cellStyle name="Normal 7 4 2 2 2 2 3 4" xfId="998" xr:uid="{00000000-0005-0000-0000-0000E6030000}"/>
    <cellStyle name="Normal 7 4 2 2 2 2 3 5" xfId="999" xr:uid="{00000000-0005-0000-0000-0000E7030000}"/>
    <cellStyle name="Normal 7 4 2 2 2 2 3 6" xfId="1000" xr:uid="{00000000-0005-0000-0000-0000E8030000}"/>
    <cellStyle name="Normal 7 4 2 2 2 2 4" xfId="1001" xr:uid="{00000000-0005-0000-0000-0000E9030000}"/>
    <cellStyle name="Normal 7 4 2 2 2 2 4 2" xfId="1002" xr:uid="{00000000-0005-0000-0000-0000EA030000}"/>
    <cellStyle name="Normal 7 4 2 2 2 2 4 2 2" xfId="1003" xr:uid="{00000000-0005-0000-0000-0000EB030000}"/>
    <cellStyle name="Normal 7 4 2 2 2 2 4 2 3" xfId="1004" xr:uid="{00000000-0005-0000-0000-0000EC030000}"/>
    <cellStyle name="Normal 7 4 2 2 2 2 4 3" xfId="1005" xr:uid="{00000000-0005-0000-0000-0000ED030000}"/>
    <cellStyle name="Normal 7 4 2 2 2 2 4 4" xfId="1006" xr:uid="{00000000-0005-0000-0000-0000EE030000}"/>
    <cellStyle name="Normal 7 4 2 2 2 2 4 5" xfId="1007" xr:uid="{00000000-0005-0000-0000-0000EF030000}"/>
    <cellStyle name="Normal 7 4 2 2 2 2 4 6" xfId="1008" xr:uid="{00000000-0005-0000-0000-0000F0030000}"/>
    <cellStyle name="Normal 7 4 2 2 2 2 5" xfId="1009" xr:uid="{00000000-0005-0000-0000-0000F1030000}"/>
    <cellStyle name="Normal 7 4 2 2 2 2 5 2" xfId="1010" xr:uid="{00000000-0005-0000-0000-0000F2030000}"/>
    <cellStyle name="Normal 7 4 2 2 2 2 5 3" xfId="1011" xr:uid="{00000000-0005-0000-0000-0000F3030000}"/>
    <cellStyle name="Normal 7 4 2 2 2 2 6" xfId="1012" xr:uid="{00000000-0005-0000-0000-0000F4030000}"/>
    <cellStyle name="Normal 7 4 2 2 2 2 6 2" xfId="1013" xr:uid="{00000000-0005-0000-0000-0000F5030000}"/>
    <cellStyle name="Normal 7 4 2 2 2 2 6 3" xfId="1014" xr:uid="{00000000-0005-0000-0000-0000F6030000}"/>
    <cellStyle name="Normal 7 4 2 2 2 2 7" xfId="1015" xr:uid="{00000000-0005-0000-0000-0000F7030000}"/>
    <cellStyle name="Normal 7 4 2 2 2 2 8" xfId="1016" xr:uid="{00000000-0005-0000-0000-0000F8030000}"/>
    <cellStyle name="Normal 7 4 2 2 2 2 9" xfId="1017" xr:uid="{00000000-0005-0000-0000-0000F9030000}"/>
    <cellStyle name="Normal 7 4 2 2 2 3" xfId="1018" xr:uid="{00000000-0005-0000-0000-0000FA030000}"/>
    <cellStyle name="Normal 7 4 2 2 2 3 2" xfId="802" xr:uid="{00000000-0005-0000-0000-000022030000}"/>
    <cellStyle name="Normal 7 4 2 2 2 3 2 2" xfId="1019" xr:uid="{00000000-0005-0000-0000-0000FB030000}"/>
    <cellStyle name="Normal 7 4 2 2 2 3 2 2 2" xfId="1020" xr:uid="{00000000-0005-0000-0000-0000FC030000}"/>
    <cellStyle name="Normal 7 4 2 2 2 3 2 2 3" xfId="1021" xr:uid="{00000000-0005-0000-0000-0000FD030000}"/>
    <cellStyle name="Normal 7 4 2 2 2 3 2 3" xfId="1022" xr:uid="{00000000-0005-0000-0000-0000FE030000}"/>
    <cellStyle name="Normal 7 4 2 2 2 3 2 4" xfId="1023" xr:uid="{00000000-0005-0000-0000-0000FF030000}"/>
    <cellStyle name="Normal 7 4 2 2 2 3 2 5" xfId="1024" xr:uid="{00000000-0005-0000-0000-000000040000}"/>
    <cellStyle name="Normal 7 4 2 2 2 3 2 6" xfId="933" xr:uid="{00000000-0005-0000-0000-0000A5030000}"/>
    <cellStyle name="Normal 7 4 2 2 2 3 3" xfId="1025" xr:uid="{00000000-0005-0000-0000-000001040000}"/>
    <cellStyle name="Normal 7 4 2 2 2 3 3 2" xfId="1026" xr:uid="{00000000-0005-0000-0000-000002040000}"/>
    <cellStyle name="Normal 7 4 2 2 2 3 3 2 2" xfId="1027" xr:uid="{00000000-0005-0000-0000-000003040000}"/>
    <cellStyle name="Normal 7 4 2 2 2 3 3 2 3" xfId="1028" xr:uid="{00000000-0005-0000-0000-000004040000}"/>
    <cellStyle name="Normal 7 4 2 2 2 3 3 3" xfId="1029" xr:uid="{00000000-0005-0000-0000-000005040000}"/>
    <cellStyle name="Normal 7 4 2 2 2 3 3 4" xfId="1030" xr:uid="{00000000-0005-0000-0000-000006040000}"/>
    <cellStyle name="Normal 7 4 2 2 2 3 3 5" xfId="1031" xr:uid="{00000000-0005-0000-0000-000007040000}"/>
    <cellStyle name="Normal 7 4 2 2 2 3 3 6" xfId="1032" xr:uid="{00000000-0005-0000-0000-000008040000}"/>
    <cellStyle name="Normal 7 4 2 2 2 3 4" xfId="1033" xr:uid="{00000000-0005-0000-0000-000009040000}"/>
    <cellStyle name="Normal 7 4 2 2 2 3 4 2" xfId="1034" xr:uid="{00000000-0005-0000-0000-00000A040000}"/>
    <cellStyle name="Normal 7 4 2 2 2 3 4 3" xfId="1035" xr:uid="{00000000-0005-0000-0000-00000B040000}"/>
    <cellStyle name="Normal 7 4 2 2 2 3 5" xfId="1036" xr:uid="{00000000-0005-0000-0000-00000C040000}"/>
    <cellStyle name="Normal 7 4 2 2 2 3 5 2" xfId="1037" xr:uid="{00000000-0005-0000-0000-00000D040000}"/>
    <cellStyle name="Normal 7 4 2 2 2 3 5 3" xfId="1038" xr:uid="{00000000-0005-0000-0000-00000E040000}"/>
    <cellStyle name="Normal 7 4 2 2 2 3 6" xfId="1039" xr:uid="{00000000-0005-0000-0000-00000F040000}"/>
    <cellStyle name="Normal 7 4 2 2 2 3 7" xfId="1040" xr:uid="{00000000-0005-0000-0000-000010040000}"/>
    <cellStyle name="Normal 7 4 2 2 2 3 8" xfId="1041" xr:uid="{00000000-0005-0000-0000-000011040000}"/>
    <cellStyle name="Normal 7 4 2 2 2 3 9" xfId="1042" xr:uid="{00000000-0005-0000-0000-000012040000}"/>
    <cellStyle name="Normal 7 4 2 2 2 4" xfId="1043" xr:uid="{00000000-0005-0000-0000-000013040000}"/>
    <cellStyle name="Normal 7 4 2 2 2 4 10" xfId="1044" xr:uid="{00000000-0005-0000-0000-000014040000}"/>
    <cellStyle name="Normal 7 4 2 2 2 4 2" xfId="1045" xr:uid="{00000000-0005-0000-0000-000015040000}"/>
    <cellStyle name="Normal 7 4 2 2 2 4 2 2" xfId="1046" xr:uid="{00000000-0005-0000-0000-000016040000}"/>
    <cellStyle name="Normal 7 4 2 2 2 4 2 2 2" xfId="660" xr:uid="{00000000-0005-0000-0000-000094020000}"/>
    <cellStyle name="Normal 7 4 2 2 2 4 2 2 3" xfId="1047" xr:uid="{00000000-0005-0000-0000-000017040000}"/>
    <cellStyle name="Normal 7 4 2 2 2 4 2 3" xfId="1048" xr:uid="{00000000-0005-0000-0000-000018040000}"/>
    <cellStyle name="Normal 7 4 2 2 2 4 2 3 2" xfId="1050" xr:uid="{00000000-0005-0000-0000-00001A040000}"/>
    <cellStyle name="Normal 7 4 2 2 2 4 2 3 3" xfId="1051" xr:uid="{00000000-0005-0000-0000-00001B040000}"/>
    <cellStyle name="Normal 7 4 2 2 2 4 2 4" xfId="1052" xr:uid="{00000000-0005-0000-0000-00001C040000}"/>
    <cellStyle name="Normal 7 4 2 2 2 4 2 5" xfId="1053" xr:uid="{00000000-0005-0000-0000-00001D040000}"/>
    <cellStyle name="Normal 7 4 2 2 2 4 2 6" xfId="1054" xr:uid="{00000000-0005-0000-0000-00001E040000}"/>
    <cellStyle name="Normal 7 4 2 2 2 4 2 7" xfId="1055" xr:uid="{00000000-0005-0000-0000-00001F040000}"/>
    <cellStyle name="Normal 7 4 2 2 2 4 3" xfId="419" xr:uid="{00000000-0005-0000-0000-0000A3010000}"/>
    <cellStyle name="Normal 7 4 2 2 2 4 3 2" xfId="421" xr:uid="{00000000-0005-0000-0000-0000A5010000}"/>
    <cellStyle name="Normal 7 4 2 2 2 4 3 2 2" xfId="1056" xr:uid="{00000000-0005-0000-0000-000020040000}"/>
    <cellStyle name="Normal 7 4 2 2 2 4 3 2 3" xfId="1057" xr:uid="{00000000-0005-0000-0000-000021040000}"/>
    <cellStyle name="Normal 7 4 2 2 2 4 3 3" xfId="423" xr:uid="{00000000-0005-0000-0000-0000A7010000}"/>
    <cellStyle name="Normal 7 4 2 2 2 4 3 4" xfId="1058" xr:uid="{00000000-0005-0000-0000-000022040000}"/>
    <cellStyle name="Normal 7 4 2 2 2 4 3 5" xfId="1059" xr:uid="{00000000-0005-0000-0000-000023040000}"/>
    <cellStyle name="Normal 7 4 2 2 2 4 3 6" xfId="1060" xr:uid="{00000000-0005-0000-0000-000024040000}"/>
    <cellStyle name="Normal 7 4 2 2 2 4 4" xfId="49" xr:uid="{00000000-0005-0000-0000-000031000000}"/>
    <cellStyle name="Normal 7 4 2 2 2 4 4 2" xfId="455" xr:uid="{00000000-0005-0000-0000-0000C7010000}"/>
    <cellStyle name="Normal 7 4 2 2 2 4 4 2 2" xfId="210" xr:uid="{00000000-0005-0000-0000-0000D2000000}"/>
    <cellStyle name="Normal 7 4 2 2 2 4 4 2 3" xfId="591" xr:uid="{00000000-0005-0000-0000-00004F020000}"/>
    <cellStyle name="Normal 7 4 2 2 2 4 4 3" xfId="607" xr:uid="{00000000-0005-0000-0000-00005F020000}"/>
    <cellStyle name="Normal 7 4 2 2 2 4 4 4" xfId="609" xr:uid="{00000000-0005-0000-0000-000061020000}"/>
    <cellStyle name="Normal 7 4 2 2 2 4 4 5" xfId="611" xr:uid="{00000000-0005-0000-0000-000063020000}"/>
    <cellStyle name="Normal 7 4 2 2 2 4 4 6" xfId="1061" xr:uid="{00000000-0005-0000-0000-000025040000}"/>
    <cellStyle name="Normal 7 4 2 2 2 4 5" xfId="36" xr:uid="{00000000-0005-0000-0000-000024000000}"/>
    <cellStyle name="Normal 7 4 2 2 2 4 5 2" xfId="700" xr:uid="{00000000-0005-0000-0000-0000BC020000}"/>
    <cellStyle name="Normal 7 4 2 2 2 4 5 3" xfId="704" xr:uid="{00000000-0005-0000-0000-0000C0020000}"/>
    <cellStyle name="Normal 7 4 2 2 2 4 6" xfId="25" xr:uid="{00000000-0005-0000-0000-000019000000}"/>
    <cellStyle name="Normal 7 4 2 2 2 4 6 2" xfId="1062" xr:uid="{00000000-0005-0000-0000-000026040000}"/>
    <cellStyle name="Normal 7 4 2 2 2 4 6 3" xfId="1064" xr:uid="{00000000-0005-0000-0000-000028040000}"/>
    <cellStyle name="Normal 7 4 2 2 2 4 7" xfId="57" xr:uid="{00000000-0005-0000-0000-000039000000}"/>
    <cellStyle name="Normal 7 4 2 2 2 4 8" xfId="1066" xr:uid="{00000000-0005-0000-0000-00002A040000}"/>
    <cellStyle name="Normal 7 4 2 2 2 4 9" xfId="1067" xr:uid="{00000000-0005-0000-0000-00002B040000}"/>
    <cellStyle name="Normal 7 4 2 2 2 5" xfId="1068" xr:uid="{00000000-0005-0000-0000-00002C040000}"/>
    <cellStyle name="Normal 7 4 2 2 2 5 2" xfId="1069" xr:uid="{00000000-0005-0000-0000-00002D040000}"/>
    <cellStyle name="Normal 7 4 2 2 2 5 2 2" xfId="1070" xr:uid="{00000000-0005-0000-0000-00002E040000}"/>
    <cellStyle name="Normal 7 4 2 2 2 5 2 2 2" xfId="1071" xr:uid="{00000000-0005-0000-0000-00002F040000}"/>
    <cellStyle name="Normal 7 4 2 2 2 5 2 2 3" xfId="1073" xr:uid="{00000000-0005-0000-0000-000031040000}"/>
    <cellStyle name="Normal 7 4 2 2 2 5 2 3" xfId="1075" xr:uid="{00000000-0005-0000-0000-000033040000}"/>
    <cellStyle name="Normal 7 4 2 2 2 5 2 4" xfId="1076" xr:uid="{00000000-0005-0000-0000-000034040000}"/>
    <cellStyle name="Normal 7 4 2 2 2 5 2 5" xfId="1077" xr:uid="{00000000-0005-0000-0000-000035040000}"/>
    <cellStyle name="Normal 7 4 2 2 2 5 2 6" xfId="1078" xr:uid="{00000000-0005-0000-0000-000036040000}"/>
    <cellStyle name="Normal 7 4 2 2 2 5 3" xfId="426" xr:uid="{00000000-0005-0000-0000-0000AA010000}"/>
    <cellStyle name="Normal 7 4 2 2 2 5 3 2" xfId="428" xr:uid="{00000000-0005-0000-0000-0000AC010000}"/>
    <cellStyle name="Normal 7 4 2 2 2 5 3 3" xfId="416" xr:uid="{00000000-0005-0000-0000-0000A0010000}"/>
    <cellStyle name="Normal 7 4 2 2 2 5 4" xfId="430" xr:uid="{00000000-0005-0000-0000-0000AE010000}"/>
    <cellStyle name="Normal 7 4 2 2 2 5 4 2" xfId="1079" xr:uid="{00000000-0005-0000-0000-000037040000}"/>
    <cellStyle name="Normal 7 4 2 2 2 5 4 3" xfId="1080" xr:uid="{00000000-0005-0000-0000-000038040000}"/>
    <cellStyle name="Normal 7 4 2 2 2 5 5" xfId="432" xr:uid="{00000000-0005-0000-0000-0000B0010000}"/>
    <cellStyle name="Normal 7 4 2 2 2 5 6" xfId="435" xr:uid="{00000000-0005-0000-0000-0000B3010000}"/>
    <cellStyle name="Normal 7 4 2 2 2 5 7" xfId="438" xr:uid="{00000000-0005-0000-0000-0000B6010000}"/>
    <cellStyle name="Normal 7 4 2 2 2 5 8" xfId="1081" xr:uid="{00000000-0005-0000-0000-000039040000}"/>
    <cellStyle name="Normal 7 4 2 2 2 6" xfId="1083" xr:uid="{00000000-0005-0000-0000-00003B040000}"/>
    <cellStyle name="Normal 7 4 2 2 2 6 2" xfId="1084" xr:uid="{00000000-0005-0000-0000-00003C040000}"/>
    <cellStyle name="Normal 7 4 2 2 2 6 2 2" xfId="138" xr:uid="{00000000-0005-0000-0000-00008A000000}"/>
    <cellStyle name="Normal 7 4 2 2 2 6 2 2 2" xfId="1085" xr:uid="{00000000-0005-0000-0000-00003D040000}"/>
    <cellStyle name="Normal 7 4 2 2 2 6 2 2 3" xfId="1087" xr:uid="{00000000-0005-0000-0000-00003F040000}"/>
    <cellStyle name="Normal 7 4 2 2 2 6 2 3" xfId="140" xr:uid="{00000000-0005-0000-0000-00008C000000}"/>
    <cellStyle name="Normal 7 4 2 2 2 6 2 4" xfId="142" xr:uid="{00000000-0005-0000-0000-00008E000000}"/>
    <cellStyle name="Normal 7 4 2 2 2 6 2 5" xfId="144" xr:uid="{00000000-0005-0000-0000-000090000000}"/>
    <cellStyle name="Normal 7 4 2 2 2 6 2 6" xfId="1089" xr:uid="{00000000-0005-0000-0000-000041040000}"/>
    <cellStyle name="Normal 7 4 2 2 2 6 3" xfId="63" xr:uid="{00000000-0005-0000-0000-00003F000000}"/>
    <cellStyle name="Normal 7 4 2 2 2 6 3 2" xfId="157" xr:uid="{00000000-0005-0000-0000-00009D000000}"/>
    <cellStyle name="Normal 7 4 2 2 2 6 3 3" xfId="75" xr:uid="{00000000-0005-0000-0000-00004B000000}"/>
    <cellStyle name="Normal 7 4 2 2 2 6 4" xfId="441" xr:uid="{00000000-0005-0000-0000-0000B9010000}"/>
    <cellStyle name="Normal 7 4 2 2 2 6 4 2" xfId="163" xr:uid="{00000000-0005-0000-0000-0000A3000000}"/>
    <cellStyle name="Normal 7 4 2 2 2 6 4 3" xfId="1090" xr:uid="{00000000-0005-0000-0000-000042040000}"/>
    <cellStyle name="Normal 7 4 2 2 2 6 5" xfId="1091" xr:uid="{00000000-0005-0000-0000-000043040000}"/>
    <cellStyle name="Normal 7 4 2 2 2 6 6" xfId="1092" xr:uid="{00000000-0005-0000-0000-000044040000}"/>
    <cellStyle name="Normal 7 4 2 2 2 6 7" xfId="1095" xr:uid="{00000000-0005-0000-0000-000047040000}"/>
    <cellStyle name="Normal 7 4 2 2 2 6 8" xfId="1098" xr:uid="{00000000-0005-0000-0000-00004A040000}"/>
    <cellStyle name="Normal 7 4 2 2 2 7" xfId="1100" xr:uid="{00000000-0005-0000-0000-00004C040000}"/>
    <cellStyle name="Normal 7 4 2 2 2 7 2" xfId="111" xr:uid="{00000000-0005-0000-0000-00006F000000}"/>
    <cellStyle name="Normal 7 4 2 2 2 7 2 2" xfId="54" xr:uid="{00000000-0005-0000-0000-000036000000}"/>
    <cellStyle name="Normal 7 4 2 2 2 7 2 2 2" xfId="1101" xr:uid="{00000000-0005-0000-0000-00004D040000}"/>
    <cellStyle name="Normal 7 4 2 2 2 7 2 2 3" xfId="1103" xr:uid="{00000000-0005-0000-0000-00004F040000}"/>
    <cellStyle name="Normal 7 4 2 2 2 7 2 3" xfId="956" xr:uid="{00000000-0005-0000-0000-0000BC030000}"/>
    <cellStyle name="Normal 7 4 2 2 2 7 2 4" xfId="958" xr:uid="{00000000-0005-0000-0000-0000BE030000}"/>
    <cellStyle name="Normal 7 4 2 2 2 7 2 5" xfId="960" xr:uid="{00000000-0005-0000-0000-0000C0030000}"/>
    <cellStyle name="Normal 7 4 2 2 2 7 2 6" xfId="1104" xr:uid="{00000000-0005-0000-0000-000050040000}"/>
    <cellStyle name="Normal 7 4 2 2 2 7 3" xfId="114" xr:uid="{00000000-0005-0000-0000-000072000000}"/>
    <cellStyle name="Normal 7 4 2 2 2 7 3 2" xfId="977" xr:uid="{00000000-0005-0000-0000-0000D1030000}"/>
    <cellStyle name="Normal 7 4 2 2 2 7 3 3" xfId="979" xr:uid="{00000000-0005-0000-0000-0000D3030000}"/>
    <cellStyle name="Normal 7 4 2 2 2 7 4" xfId="117" xr:uid="{00000000-0005-0000-0000-000075000000}"/>
    <cellStyle name="Normal 7 4 2 2 2 7 4 2" xfId="1105" xr:uid="{00000000-0005-0000-0000-000051040000}"/>
    <cellStyle name="Normal 7 4 2 2 2 7 4 3" xfId="1106" xr:uid="{00000000-0005-0000-0000-000052040000}"/>
    <cellStyle name="Normal 7 4 2 2 2 7 5" xfId="1107" xr:uid="{00000000-0005-0000-0000-000053040000}"/>
    <cellStyle name="Normal 7 4 2 2 2 7 6" xfId="1108" xr:uid="{00000000-0005-0000-0000-000054040000}"/>
    <cellStyle name="Normal 7 4 2 2 2 7 7" xfId="1110" xr:uid="{00000000-0005-0000-0000-000056040000}"/>
    <cellStyle name="Normal 7 4 2 2 2 7 8" xfId="1112" xr:uid="{00000000-0005-0000-0000-000058040000}"/>
    <cellStyle name="Normal 7 4 2 2 2 8" xfId="1114" xr:uid="{00000000-0005-0000-0000-00005A040000}"/>
    <cellStyle name="Normal 7 4 2 2 2 8 10" xfId="1115" xr:uid="{00000000-0005-0000-0000-00005B040000}"/>
    <cellStyle name="Normal 7 4 2 2 2 8 11" xfId="1116" xr:uid="{00000000-0005-0000-0000-00005C040000}"/>
    <cellStyle name="Normal 7 4 2 2 2 8 12" xfId="6" xr:uid="{00000000-0005-0000-0000-000006000000}"/>
    <cellStyle name="Normal 7 4 2 2 2 8 2" xfId="1119" xr:uid="{00000000-0005-0000-0000-00005F040000}"/>
    <cellStyle name="Normal 7 4 2 2 2 8 2 2" xfId="189" xr:uid="{00000000-0005-0000-0000-0000BD000000}"/>
    <cellStyle name="Normal 7 4 2 2 2 8 2 2 2" xfId="1120" xr:uid="{00000000-0005-0000-0000-000060040000}"/>
    <cellStyle name="Normal 7 4 2 2 2 8 2 2 3" xfId="1121" xr:uid="{00000000-0005-0000-0000-000061040000}"/>
    <cellStyle name="Normal 7 4 2 2 2 8 2 3" xfId="1122" xr:uid="{00000000-0005-0000-0000-000062040000}"/>
    <cellStyle name="Normal 7 4 2 2 2 8 2 4" xfId="1123" xr:uid="{00000000-0005-0000-0000-000063040000}"/>
    <cellStyle name="Normal 7 4 2 2 2 8 2 5" xfId="1124" xr:uid="{00000000-0005-0000-0000-000064040000}"/>
    <cellStyle name="Normal 7 4 2 2 2 8 2 6" xfId="1126" xr:uid="{00000000-0005-0000-0000-000066040000}"/>
    <cellStyle name="Normal 7 4 2 2 2 8 3" xfId="1128" xr:uid="{00000000-0005-0000-0000-000068040000}"/>
    <cellStyle name="Normal 7 4 2 2 2 8 3 2" xfId="1129" xr:uid="{00000000-0005-0000-0000-000069040000}"/>
    <cellStyle name="Normal 7 4 2 2 2 8 3 2 2" xfId="1130" xr:uid="{00000000-0005-0000-0000-00006A040000}"/>
    <cellStyle name="Normal 7 4 2 2 2 8 3 2 3" xfId="1132" xr:uid="{00000000-0005-0000-0000-00006C040000}"/>
    <cellStyle name="Normal 7 4 2 2 2 8 3 3" xfId="1133" xr:uid="{00000000-0005-0000-0000-00006D040000}"/>
    <cellStyle name="Normal 7 4 2 2 2 8 3 4" xfId="1135" xr:uid="{00000000-0005-0000-0000-00006F040000}"/>
    <cellStyle name="Normal 7 4 2 2 2 8 3 5" xfId="1136" xr:uid="{00000000-0005-0000-0000-000070040000}"/>
    <cellStyle name="Normal 7 4 2 2 2 8 3 6" xfId="1138" xr:uid="{00000000-0005-0000-0000-000072040000}"/>
    <cellStyle name="Normal 7 4 2 2 2 8 3 7" xfId="1140" xr:uid="{00000000-0005-0000-0000-000074040000}"/>
    <cellStyle name="Normal 7 4 2 2 2 8 3 8" xfId="9" xr:uid="{00000000-0005-0000-0000-000009000000}"/>
    <cellStyle name="Normal 7 4 2 2 2 8 4" xfId="1141" xr:uid="{00000000-0005-0000-0000-000075040000}"/>
    <cellStyle name="Normal 7 4 2 2 2 8 4 2" xfId="1142" xr:uid="{00000000-0005-0000-0000-000076040000}"/>
    <cellStyle name="Normal 7 4 2 2 2 8 4 3" xfId="1143" xr:uid="{00000000-0005-0000-0000-000077040000}"/>
    <cellStyle name="Normal 7 4 2 2 2 8 5" xfId="1144" xr:uid="{00000000-0005-0000-0000-000078040000}"/>
    <cellStyle name="Normal 7 4 2 2 2 8 5 2" xfId="1145" xr:uid="{00000000-0005-0000-0000-000079040000}"/>
    <cellStyle name="Normal 7 4 2 2 2 8 5 3" xfId="1146" xr:uid="{00000000-0005-0000-0000-00007A040000}"/>
    <cellStyle name="Normal 7 4 2 2 2 8 6" xfId="1147" xr:uid="{00000000-0005-0000-0000-00007B040000}"/>
    <cellStyle name="Normal 7 4 2 2 2 8 6 2" xfId="805" xr:uid="{00000000-0005-0000-0000-000025030000}"/>
    <cellStyle name="Normal 7 4 2 2 2 8 6 3" xfId="810" xr:uid="{00000000-0005-0000-0000-00002A030000}"/>
    <cellStyle name="Normal 7 4 2 2 2 8 7" xfId="1148" xr:uid="{00000000-0005-0000-0000-00007C040000}"/>
    <cellStyle name="Normal 7 4 2 2 2 8 8" xfId="1149" xr:uid="{00000000-0005-0000-0000-00007D040000}"/>
    <cellStyle name="Normal 7 4 2 2 2 8 9" xfId="1150" xr:uid="{00000000-0005-0000-0000-00007E040000}"/>
    <cellStyle name="Normal 7 4 2 2 2 9" xfId="1151" xr:uid="{00000000-0005-0000-0000-00007F040000}"/>
    <cellStyle name="Normal 7 4 2 2 2 9 2" xfId="1152" xr:uid="{00000000-0005-0000-0000-000080040000}"/>
    <cellStyle name="Normal 7 4 2 2 2 9 2 2" xfId="1153" xr:uid="{00000000-0005-0000-0000-000081040000}"/>
    <cellStyle name="Normal 7 4 2 2 2 9 2 3" xfId="1154" xr:uid="{00000000-0005-0000-0000-000082040000}"/>
    <cellStyle name="Normal 7 4 2 2 2 9 3" xfId="1155" xr:uid="{00000000-0005-0000-0000-000083040000}"/>
    <cellStyle name="Normal 7 4 2 2 2 9 4" xfId="1156" xr:uid="{00000000-0005-0000-0000-000084040000}"/>
    <cellStyle name="Normal 7 4 2 2 2 9 5" xfId="1157" xr:uid="{00000000-0005-0000-0000-000085040000}"/>
    <cellStyle name="Normal 7 4 2 2 2 9 6" xfId="1158" xr:uid="{00000000-0005-0000-0000-000086040000}"/>
    <cellStyle name="Normal 7 4 2 2 3" xfId="1159" xr:uid="{00000000-0005-0000-0000-000087040000}"/>
    <cellStyle name="Normal 7 4 2 2 3 2" xfId="1160" xr:uid="{00000000-0005-0000-0000-000088040000}"/>
    <cellStyle name="Normal 7 4 2 2 3 2 2" xfId="1161" xr:uid="{00000000-0005-0000-0000-000089040000}"/>
    <cellStyle name="Normal 7 4 2 2 3 2 3" xfId="1162" xr:uid="{00000000-0005-0000-0000-00008A040000}"/>
    <cellStyle name="Normal 7 4 2 2 3 3" xfId="1163" xr:uid="{00000000-0005-0000-0000-00008B040000}"/>
    <cellStyle name="Normal 7 4 2 2 3 3 2" xfId="1164" xr:uid="{00000000-0005-0000-0000-00008C040000}"/>
    <cellStyle name="Normal 7 4 2 2 3 3 3" xfId="1166" xr:uid="{00000000-0005-0000-0000-00008E040000}"/>
    <cellStyle name="Normal 7 4 2 2 3 4" xfId="1167" xr:uid="{00000000-0005-0000-0000-00008F040000}"/>
    <cellStyle name="Normal 7 4 2 2 3 5" xfId="1168" xr:uid="{00000000-0005-0000-0000-000090040000}"/>
    <cellStyle name="Normal 7 4 2 2 3 6" xfId="1170" xr:uid="{00000000-0005-0000-0000-000092040000}"/>
    <cellStyle name="Normal 7 4 2 2 3 7" xfId="1172" xr:uid="{00000000-0005-0000-0000-000094040000}"/>
    <cellStyle name="Normal 7 4 2 2 4" xfId="1173" xr:uid="{00000000-0005-0000-0000-000095040000}"/>
    <cellStyle name="Normal 7 4 2 2 4 2" xfId="1174" xr:uid="{00000000-0005-0000-0000-000096040000}"/>
    <cellStyle name="Normal 7 4 2 2 4 3" xfId="1175" xr:uid="{00000000-0005-0000-0000-000097040000}"/>
    <cellStyle name="Normal 7 4 2 2 5" xfId="1176" xr:uid="{00000000-0005-0000-0000-000098040000}"/>
    <cellStyle name="Normal 7 4 2 2 6" xfId="1177" xr:uid="{00000000-0005-0000-0000-000099040000}"/>
    <cellStyle name="Normal 7 4 2 3" xfId="1178" xr:uid="{00000000-0005-0000-0000-00009A040000}"/>
    <cellStyle name="Normal 7 4 2 3 2" xfId="447" xr:uid="{00000000-0005-0000-0000-0000BF010000}"/>
    <cellStyle name="Normal 7 4 2 3 2 2" xfId="1179" xr:uid="{00000000-0005-0000-0000-00009B040000}"/>
    <cellStyle name="Normal 7 4 2 3 2 3" xfId="1180" xr:uid="{00000000-0005-0000-0000-00009C040000}"/>
    <cellStyle name="Normal 7 4 2 3 3" xfId="1181" xr:uid="{00000000-0005-0000-0000-00009D040000}"/>
    <cellStyle name="Normal 7 4 2 3 4" xfId="1182" xr:uid="{00000000-0005-0000-0000-00009E040000}"/>
    <cellStyle name="Normal 7 4 2 3 5" xfId="1183" xr:uid="{00000000-0005-0000-0000-00009F040000}"/>
    <cellStyle name="Normal 7 4 2 3 6" xfId="1184" xr:uid="{00000000-0005-0000-0000-0000A0040000}"/>
    <cellStyle name="Normal 7 4 2 4" xfId="1185" xr:uid="{00000000-0005-0000-0000-0000A1040000}"/>
    <cellStyle name="Normal 7 4 2 4 2" xfId="1186" xr:uid="{00000000-0005-0000-0000-0000A2040000}"/>
    <cellStyle name="Normal 7 4 2 4 2 2" xfId="1187" xr:uid="{00000000-0005-0000-0000-0000A3040000}"/>
    <cellStyle name="Normal 7 4 2 4 2 3" xfId="1188" xr:uid="{00000000-0005-0000-0000-0000A4040000}"/>
    <cellStyle name="Normal 7 4 2 4 3" xfId="1189" xr:uid="{00000000-0005-0000-0000-0000A5040000}"/>
    <cellStyle name="Normal 7 4 2 4 4" xfId="1190" xr:uid="{00000000-0005-0000-0000-0000A6040000}"/>
    <cellStyle name="Normal 7 4 2 4 5" xfId="1191" xr:uid="{00000000-0005-0000-0000-0000A7040000}"/>
    <cellStyle name="Normal 7 4 2 4 6" xfId="1192" xr:uid="{00000000-0005-0000-0000-0000A8040000}"/>
    <cellStyle name="Normal 7 4 2 5" xfId="1193" xr:uid="{00000000-0005-0000-0000-0000A9040000}"/>
    <cellStyle name="Normal 7 4 2 5 2" xfId="1194" xr:uid="{00000000-0005-0000-0000-0000AA040000}"/>
    <cellStyle name="Normal 7 4 2 5 3" xfId="1195" xr:uid="{00000000-0005-0000-0000-0000AB040000}"/>
    <cellStyle name="Normal 7 4 2 6" xfId="1196" xr:uid="{00000000-0005-0000-0000-0000AC040000}"/>
    <cellStyle name="Normal 7 4 2 6 2" xfId="101" xr:uid="{00000000-0005-0000-0000-000065000000}"/>
    <cellStyle name="Normal 7 4 2 6 3" xfId="551" xr:uid="{00000000-0005-0000-0000-000027020000}"/>
    <cellStyle name="Normal 7 4 2 7" xfId="1197" xr:uid="{00000000-0005-0000-0000-0000AD040000}"/>
    <cellStyle name="Normal 7 4 2 8" xfId="1198" xr:uid="{00000000-0005-0000-0000-0000AE040000}"/>
    <cellStyle name="Normal 7 4 2 9" xfId="1199" xr:uid="{00000000-0005-0000-0000-0000AF040000}"/>
    <cellStyle name="Normal 7 4 3" xfId="1200" xr:uid="{00000000-0005-0000-0000-0000B0040000}"/>
    <cellStyle name="Normal 7 4 3 2" xfId="1201" xr:uid="{00000000-0005-0000-0000-0000B1040000}"/>
    <cellStyle name="Normal 7 4 3 2 2" xfId="1202" xr:uid="{00000000-0005-0000-0000-0000B2040000}"/>
    <cellStyle name="Normal 7 4 3 2 3" xfId="1203" xr:uid="{00000000-0005-0000-0000-0000B3040000}"/>
    <cellStyle name="Normal 7 4 3 3" xfId="48" xr:uid="{00000000-0005-0000-0000-000030000000}"/>
    <cellStyle name="Normal 7 4 3 4" xfId="35" xr:uid="{00000000-0005-0000-0000-000023000000}"/>
    <cellStyle name="Normal 7 4 3 5" xfId="23" xr:uid="{00000000-0005-0000-0000-000017000000}"/>
    <cellStyle name="Normal 7 4 3 6" xfId="53" xr:uid="{00000000-0005-0000-0000-000035000000}"/>
    <cellStyle name="Normal 7 4 4" xfId="1204" xr:uid="{00000000-0005-0000-0000-0000B4040000}"/>
    <cellStyle name="Normal 7 4 4 2" xfId="720" xr:uid="{00000000-0005-0000-0000-0000D0020000}"/>
    <cellStyle name="Normal 7 4 4 2 2" xfId="1205" xr:uid="{00000000-0005-0000-0000-0000B5040000}"/>
    <cellStyle name="Normal 7 4 4 2 3" xfId="1206" xr:uid="{00000000-0005-0000-0000-0000B6040000}"/>
    <cellStyle name="Normal 7 4 4 3" xfId="722" xr:uid="{00000000-0005-0000-0000-0000D2020000}"/>
    <cellStyle name="Normal 7 4 4 4" xfId="724" xr:uid="{00000000-0005-0000-0000-0000D4020000}"/>
    <cellStyle name="Normal 7 4 4 5" xfId="726" xr:uid="{00000000-0005-0000-0000-0000D6020000}"/>
    <cellStyle name="Normal 7 4 4 6" xfId="1207" xr:uid="{00000000-0005-0000-0000-0000B7040000}"/>
    <cellStyle name="Normal 7 4 5" xfId="1208" xr:uid="{00000000-0005-0000-0000-0000B8040000}"/>
    <cellStyle name="Normal 7 4 5 2" xfId="732" xr:uid="{00000000-0005-0000-0000-0000DC020000}"/>
    <cellStyle name="Normal 7 4 5 3" xfId="1209" xr:uid="{00000000-0005-0000-0000-0000B9040000}"/>
    <cellStyle name="Normal 7 4 6" xfId="1210" xr:uid="{00000000-0005-0000-0000-0000BA040000}"/>
    <cellStyle name="Normal 7 4 6 2" xfId="737" xr:uid="{00000000-0005-0000-0000-0000E1020000}"/>
    <cellStyle name="Normal 7 4 6 3" xfId="1211" xr:uid="{00000000-0005-0000-0000-0000BB040000}"/>
    <cellStyle name="Normal 7 4 7" xfId="1212" xr:uid="{00000000-0005-0000-0000-0000BC040000}"/>
    <cellStyle name="Normal 7 4 8" xfId="1213" xr:uid="{00000000-0005-0000-0000-0000BD040000}"/>
    <cellStyle name="Normal 7 4 9" xfId="1214" xr:uid="{00000000-0005-0000-0000-0000BE040000}"/>
    <cellStyle name="Normal 7 5" xfId="1215" xr:uid="{00000000-0005-0000-0000-0000BF040000}"/>
    <cellStyle name="Normal 7 5 10" xfId="1093" xr:uid="{00000000-0005-0000-0000-000045040000}"/>
    <cellStyle name="Normal 7 5 11" xfId="1096" xr:uid="{00000000-0005-0000-0000-000048040000}"/>
    <cellStyle name="Normal 7 5 12" xfId="1099" xr:uid="{00000000-0005-0000-0000-00004B040000}"/>
    <cellStyle name="Normal 7 5 13" xfId="1216" xr:uid="{00000000-0005-0000-0000-0000C0040000}"/>
    <cellStyle name="Normal 7 5 2" xfId="1217" xr:uid="{00000000-0005-0000-0000-0000C1040000}"/>
    <cellStyle name="Normal 7 5 2 10" xfId="311" xr:uid="{00000000-0005-0000-0000-000037010000}"/>
    <cellStyle name="Normal 7 5 2 2" xfId="1218" xr:uid="{00000000-0005-0000-0000-0000C2040000}"/>
    <cellStyle name="Normal 7 5 2 2 2" xfId="1219" xr:uid="{00000000-0005-0000-0000-0000C3040000}"/>
    <cellStyle name="Normal 7 5 2 2 2 2" xfId="1221" xr:uid="{00000000-0005-0000-0000-0000C5040000}"/>
    <cellStyle name="Normal 7 5 2 2 2 2 2" xfId="1222" xr:uid="{00000000-0005-0000-0000-0000C6040000}"/>
    <cellStyle name="Normal 7 5 2 2 2 2 3" xfId="1223" xr:uid="{00000000-0005-0000-0000-0000C7040000}"/>
    <cellStyle name="Normal 7 5 2 2 2 3" xfId="1224" xr:uid="{00000000-0005-0000-0000-0000C8040000}"/>
    <cellStyle name="Normal 7 5 2 2 2 4" xfId="1225" xr:uid="{00000000-0005-0000-0000-0000C9040000}"/>
    <cellStyle name="Normal 7 5 2 2 2 5" xfId="1226" xr:uid="{00000000-0005-0000-0000-0000CA040000}"/>
    <cellStyle name="Normal 7 5 2 2 2 6" xfId="1227" xr:uid="{00000000-0005-0000-0000-0000CB040000}"/>
    <cellStyle name="Normal 7 5 2 2 3" xfId="1228" xr:uid="{00000000-0005-0000-0000-0000CC040000}"/>
    <cellStyle name="Normal 7 5 2 2 3 2" xfId="1229" xr:uid="{00000000-0005-0000-0000-0000CD040000}"/>
    <cellStyle name="Normal 7 5 2 2 3 2 2" xfId="310" xr:uid="{00000000-0005-0000-0000-000036010000}"/>
    <cellStyle name="Normal 7 5 2 2 3 2 3" xfId="318" xr:uid="{00000000-0005-0000-0000-00003E010000}"/>
    <cellStyle name="Normal 7 5 2 2 3 3" xfId="833" xr:uid="{00000000-0005-0000-0000-000041030000}"/>
    <cellStyle name="Normal 7 5 2 2 3 4" xfId="839" xr:uid="{00000000-0005-0000-0000-000047030000}"/>
    <cellStyle name="Normal 7 5 2 2 3 5" xfId="844" xr:uid="{00000000-0005-0000-0000-00004C030000}"/>
    <cellStyle name="Normal 7 5 2 2 3 6" xfId="848" xr:uid="{00000000-0005-0000-0000-000050030000}"/>
    <cellStyle name="Normal 7 5 2 2 4" xfId="1230" xr:uid="{00000000-0005-0000-0000-0000CE040000}"/>
    <cellStyle name="Normal 7 5 2 2 4 2" xfId="1231" xr:uid="{00000000-0005-0000-0000-0000CF040000}"/>
    <cellStyle name="Normal 7 5 2 2 4 3" xfId="856" xr:uid="{00000000-0005-0000-0000-000058030000}"/>
    <cellStyle name="Normal 7 5 2 2 5" xfId="1232" xr:uid="{00000000-0005-0000-0000-0000D0040000}"/>
    <cellStyle name="Normal 7 5 2 2 5 2" xfId="1234" xr:uid="{00000000-0005-0000-0000-0000D2040000}"/>
    <cellStyle name="Normal 7 5 2 2 5 3" xfId="863" xr:uid="{00000000-0005-0000-0000-00005F030000}"/>
    <cellStyle name="Normal 7 5 2 2 6" xfId="1236" xr:uid="{00000000-0005-0000-0000-0000D4040000}"/>
    <cellStyle name="Normal 7 5 2 2 7" xfId="1238" xr:uid="{00000000-0005-0000-0000-0000D6040000}"/>
    <cellStyle name="Normal 7 5 2 2 8" xfId="1240" xr:uid="{00000000-0005-0000-0000-0000D8040000}"/>
    <cellStyle name="Normal 7 5 2 2 9" xfId="1243" xr:uid="{00000000-0005-0000-0000-0000DB040000}"/>
    <cellStyle name="Normal 7 5 2 3" xfId="1246" xr:uid="{00000000-0005-0000-0000-0000DE040000}"/>
    <cellStyle name="Normal 7 5 2 3 2" xfId="1247" xr:uid="{00000000-0005-0000-0000-0000DF040000}"/>
    <cellStyle name="Normal 7 5 2 3 2 2" xfId="1249" xr:uid="{00000000-0005-0000-0000-0000E1040000}"/>
    <cellStyle name="Normal 7 5 2 3 2 3" xfId="1251" xr:uid="{00000000-0005-0000-0000-0000E3040000}"/>
    <cellStyle name="Normal 7 5 2 3 3" xfId="1252" xr:uid="{00000000-0005-0000-0000-0000E4040000}"/>
    <cellStyle name="Normal 7 5 2 3 4" xfId="1253" xr:uid="{00000000-0005-0000-0000-0000E5040000}"/>
    <cellStyle name="Normal 7 5 2 3 5" xfId="714" xr:uid="{00000000-0005-0000-0000-0000CA020000}"/>
    <cellStyle name="Normal 7 5 2 3 6" xfId="728" xr:uid="{00000000-0005-0000-0000-0000D8020000}"/>
    <cellStyle name="Normal 7 5 2 4" xfId="1254" xr:uid="{00000000-0005-0000-0000-0000E6040000}"/>
    <cellStyle name="Normal 7 5 2 4 2" xfId="1255" xr:uid="{00000000-0005-0000-0000-0000E7040000}"/>
    <cellStyle name="Normal 7 5 2 4 2 2" xfId="1256" xr:uid="{00000000-0005-0000-0000-0000E8040000}"/>
    <cellStyle name="Normal 7 5 2 4 2 3" xfId="1257" xr:uid="{00000000-0005-0000-0000-0000E9040000}"/>
    <cellStyle name="Normal 7 5 2 4 3" xfId="1258" xr:uid="{00000000-0005-0000-0000-0000EA040000}"/>
    <cellStyle name="Normal 7 5 2 4 4" xfId="1259" xr:uid="{00000000-0005-0000-0000-0000EB040000}"/>
    <cellStyle name="Normal 7 5 2 4 5" xfId="747" xr:uid="{00000000-0005-0000-0000-0000EB020000}"/>
    <cellStyle name="Normal 7 5 2 4 6" xfId="761" xr:uid="{00000000-0005-0000-0000-0000F9020000}"/>
    <cellStyle name="Normal 7 5 2 5" xfId="1260" xr:uid="{00000000-0005-0000-0000-0000EC040000}"/>
    <cellStyle name="Normal 7 5 2 5 2" xfId="1261" xr:uid="{00000000-0005-0000-0000-0000ED040000}"/>
    <cellStyle name="Normal 7 5 2 5 3" xfId="1262" xr:uid="{00000000-0005-0000-0000-0000EE040000}"/>
    <cellStyle name="Normal 7 5 2 6" xfId="1263" xr:uid="{00000000-0005-0000-0000-0000EF040000}"/>
    <cellStyle name="Normal 7 5 2 6 2" xfId="1264" xr:uid="{00000000-0005-0000-0000-0000F0040000}"/>
    <cellStyle name="Normal 7 5 2 6 3" xfId="1265" xr:uid="{00000000-0005-0000-0000-0000F1040000}"/>
    <cellStyle name="Normal 7 5 2 7" xfId="1266" xr:uid="{00000000-0005-0000-0000-0000F2040000}"/>
    <cellStyle name="Normal 7 5 2 8" xfId="1267" xr:uid="{00000000-0005-0000-0000-0000F3040000}"/>
    <cellStyle name="Normal 7 5 2 9" xfId="1268" xr:uid="{00000000-0005-0000-0000-0000F4040000}"/>
    <cellStyle name="Normal 7 5 3" xfId="1269" xr:uid="{00000000-0005-0000-0000-0000F5040000}"/>
    <cellStyle name="Normal 7 5 3 10" xfId="1270" xr:uid="{00000000-0005-0000-0000-0000F6040000}"/>
    <cellStyle name="Normal 7 5 3 2" xfId="1271" xr:uid="{00000000-0005-0000-0000-0000F7040000}"/>
    <cellStyle name="Normal 7 5 3 2 2" xfId="1272" xr:uid="{00000000-0005-0000-0000-0000F8040000}"/>
    <cellStyle name="Normal 7 5 3 2 2 2" xfId="1273" xr:uid="{00000000-0005-0000-0000-0000F9040000}"/>
    <cellStyle name="Normal 7 5 3 2 2 2 2" xfId="1274" xr:uid="{00000000-0005-0000-0000-0000FA040000}"/>
    <cellStyle name="Normal 7 5 3 2 2 2 3" xfId="1131" xr:uid="{00000000-0005-0000-0000-00006B040000}"/>
    <cellStyle name="Normal 7 5 3 2 2 3" xfId="1275" xr:uid="{00000000-0005-0000-0000-0000FB040000}"/>
    <cellStyle name="Normal 7 5 3 2 2 4" xfId="1276" xr:uid="{00000000-0005-0000-0000-0000FC040000}"/>
    <cellStyle name="Normal 7 5 3 2 2 5" xfId="1277" xr:uid="{00000000-0005-0000-0000-0000FD040000}"/>
    <cellStyle name="Normal 7 5 3 2 2 6" xfId="1278" xr:uid="{00000000-0005-0000-0000-0000FE040000}"/>
    <cellStyle name="Normal 7 5 3 2 3" xfId="1279" xr:uid="{00000000-0005-0000-0000-0000FF040000}"/>
    <cellStyle name="Normal 7 5 3 2 3 2" xfId="153" xr:uid="{00000000-0005-0000-0000-000099000000}"/>
    <cellStyle name="Normal 7 5 3 2 3 2 2" xfId="1280" xr:uid="{00000000-0005-0000-0000-000000050000}"/>
    <cellStyle name="Normal 7 5 3 2 3 2 3" xfId="1281" xr:uid="{00000000-0005-0000-0000-000001050000}"/>
    <cellStyle name="Normal 7 5 3 2 3 3" xfId="1282" xr:uid="{00000000-0005-0000-0000-000002050000}"/>
    <cellStyle name="Normal 7 5 3 2 3 4" xfId="1284" xr:uid="{00000000-0005-0000-0000-000004050000}"/>
    <cellStyle name="Normal 7 5 3 2 3 5" xfId="1286" xr:uid="{00000000-0005-0000-0000-000006050000}"/>
    <cellStyle name="Normal 7 5 3 2 3 6" xfId="1287" xr:uid="{00000000-0005-0000-0000-000007050000}"/>
    <cellStyle name="Normal 7 5 3 2 4" xfId="1288" xr:uid="{00000000-0005-0000-0000-000008050000}"/>
    <cellStyle name="Normal 7 5 3 2 4 2" xfId="1289" xr:uid="{00000000-0005-0000-0000-000009050000}"/>
    <cellStyle name="Normal 7 5 3 2 4 3" xfId="1290" xr:uid="{00000000-0005-0000-0000-00000A050000}"/>
    <cellStyle name="Normal 7 5 3 2 5" xfId="1291" xr:uid="{00000000-0005-0000-0000-00000B050000}"/>
    <cellStyle name="Normal 7 5 3 2 5 2" xfId="1292" xr:uid="{00000000-0005-0000-0000-00000C050000}"/>
    <cellStyle name="Normal 7 5 3 2 5 3" xfId="1293" xr:uid="{00000000-0005-0000-0000-00000D050000}"/>
    <cellStyle name="Normal 7 5 3 2 6" xfId="1294" xr:uid="{00000000-0005-0000-0000-00000E050000}"/>
    <cellStyle name="Normal 7 5 3 2 7" xfId="1295" xr:uid="{00000000-0005-0000-0000-00000F050000}"/>
    <cellStyle name="Normal 7 5 3 2 8" xfId="1296" xr:uid="{00000000-0005-0000-0000-000010050000}"/>
    <cellStyle name="Normal 7 5 3 2 9" xfId="877" xr:uid="{00000000-0005-0000-0000-00006D030000}"/>
    <cellStyle name="Normal 7 5 3 3" xfId="1297" xr:uid="{00000000-0005-0000-0000-000011050000}"/>
    <cellStyle name="Normal 7 5 3 3 2" xfId="1298" xr:uid="{00000000-0005-0000-0000-000012050000}"/>
    <cellStyle name="Normal 7 5 3 3 2 2" xfId="1299" xr:uid="{00000000-0005-0000-0000-000013050000}"/>
    <cellStyle name="Normal 7 5 3 3 2 3" xfId="1300" xr:uid="{00000000-0005-0000-0000-000014050000}"/>
    <cellStyle name="Normal 7 5 3 3 3" xfId="1301" xr:uid="{00000000-0005-0000-0000-000015050000}"/>
    <cellStyle name="Normal 7 5 3 3 4" xfId="1302" xr:uid="{00000000-0005-0000-0000-000016050000}"/>
    <cellStyle name="Normal 7 5 3 3 5" xfId="13" xr:uid="{00000000-0005-0000-0000-00000D000000}"/>
    <cellStyle name="Normal 7 5 3 3 6" xfId="1303" xr:uid="{00000000-0005-0000-0000-000017050000}"/>
    <cellStyle name="Normal 7 5 3 4" xfId="1304" xr:uid="{00000000-0005-0000-0000-000018050000}"/>
    <cellStyle name="Normal 7 5 3 4 2" xfId="1305" xr:uid="{00000000-0005-0000-0000-000019050000}"/>
    <cellStyle name="Normal 7 5 3 4 2 2" xfId="1306" xr:uid="{00000000-0005-0000-0000-00001A050000}"/>
    <cellStyle name="Normal 7 5 3 4 2 3" xfId="1307" xr:uid="{00000000-0005-0000-0000-00001B050000}"/>
    <cellStyle name="Normal 7 5 3 4 3" xfId="1308" xr:uid="{00000000-0005-0000-0000-00001C050000}"/>
    <cellStyle name="Normal 7 5 3 4 4" xfId="1309" xr:uid="{00000000-0005-0000-0000-00001D050000}"/>
    <cellStyle name="Normal 7 5 3 4 5" xfId="1310" xr:uid="{00000000-0005-0000-0000-00001E050000}"/>
    <cellStyle name="Normal 7 5 3 4 6" xfId="1311" xr:uid="{00000000-0005-0000-0000-00001F050000}"/>
    <cellStyle name="Normal 7 5 3 5" xfId="1312" xr:uid="{00000000-0005-0000-0000-000020050000}"/>
    <cellStyle name="Normal 7 5 3 5 2" xfId="1313" xr:uid="{00000000-0005-0000-0000-000021050000}"/>
    <cellStyle name="Normal 7 5 3 5 3" xfId="1314" xr:uid="{00000000-0005-0000-0000-000022050000}"/>
    <cellStyle name="Normal 7 5 3 6" xfId="1315" xr:uid="{00000000-0005-0000-0000-000023050000}"/>
    <cellStyle name="Normal 7 5 3 6 2" xfId="1316" xr:uid="{00000000-0005-0000-0000-000024050000}"/>
    <cellStyle name="Normal 7 5 3 6 3" xfId="1317" xr:uid="{00000000-0005-0000-0000-000025050000}"/>
    <cellStyle name="Normal 7 5 3 7" xfId="1318" xr:uid="{00000000-0005-0000-0000-000026050000}"/>
    <cellStyle name="Normal 7 5 3 8" xfId="1319" xr:uid="{00000000-0005-0000-0000-000027050000}"/>
    <cellStyle name="Normal 7 5 3 9" xfId="1320" xr:uid="{00000000-0005-0000-0000-000028050000}"/>
    <cellStyle name="Normal 7 5 4" xfId="1321" xr:uid="{00000000-0005-0000-0000-000029050000}"/>
    <cellStyle name="Normal 7 5 4 10" xfId="1322" xr:uid="{00000000-0005-0000-0000-00002A050000}"/>
    <cellStyle name="Normal 7 5 4 2" xfId="753" xr:uid="{00000000-0005-0000-0000-0000F1020000}"/>
    <cellStyle name="Normal 7 5 4 2 2" xfId="1323" xr:uid="{00000000-0005-0000-0000-00002B050000}"/>
    <cellStyle name="Normal 7 5 4 2 2 2" xfId="972" xr:uid="{00000000-0005-0000-0000-0000CC030000}"/>
    <cellStyle name="Normal 7 5 4 2 2 2 2" xfId="1325" xr:uid="{00000000-0005-0000-0000-00002D050000}"/>
    <cellStyle name="Normal 7 5 4 2 2 2 3" xfId="1326" xr:uid="{00000000-0005-0000-0000-00002E050000}"/>
    <cellStyle name="Normal 7 5 4 2 2 3" xfId="1327" xr:uid="{00000000-0005-0000-0000-00002F050000}"/>
    <cellStyle name="Normal 7 5 4 2 2 4" xfId="1330" xr:uid="{00000000-0005-0000-0000-000032050000}"/>
    <cellStyle name="Normal 7 5 4 2 2 5" xfId="1332" xr:uid="{00000000-0005-0000-0000-000034050000}"/>
    <cellStyle name="Normal 7 5 4 2 2 6" xfId="1333" xr:uid="{00000000-0005-0000-0000-000035050000}"/>
    <cellStyle name="Normal 7 5 4 2 3" xfId="1334" xr:uid="{00000000-0005-0000-0000-000036050000}"/>
    <cellStyle name="Normal 7 5 4 2 3 2" xfId="1336" xr:uid="{00000000-0005-0000-0000-000038050000}"/>
    <cellStyle name="Normal 7 5 4 2 3 2 2" xfId="637" xr:uid="{00000000-0005-0000-0000-00007D020000}"/>
    <cellStyle name="Normal 7 5 4 2 3 2 3" xfId="683" xr:uid="{00000000-0005-0000-0000-0000AB020000}"/>
    <cellStyle name="Normal 7 5 4 2 3 3" xfId="1339" xr:uid="{00000000-0005-0000-0000-00003B050000}"/>
    <cellStyle name="Normal 7 5 4 2 3 4" xfId="1343" xr:uid="{00000000-0005-0000-0000-00003F050000}"/>
    <cellStyle name="Normal 7 5 4 2 3 5" xfId="1345" xr:uid="{00000000-0005-0000-0000-000041050000}"/>
    <cellStyle name="Normal 7 5 4 2 3 6" xfId="1346" xr:uid="{00000000-0005-0000-0000-000042050000}"/>
    <cellStyle name="Normal 7 5 4 2 4" xfId="1347" xr:uid="{00000000-0005-0000-0000-000043050000}"/>
    <cellStyle name="Normal 7 5 4 2 4 2" xfId="1349" xr:uid="{00000000-0005-0000-0000-000045050000}"/>
    <cellStyle name="Normal 7 5 4 2 4 3" xfId="1350" xr:uid="{00000000-0005-0000-0000-000046050000}"/>
    <cellStyle name="Normal 7 5 4 2 5" xfId="1351" xr:uid="{00000000-0005-0000-0000-000047050000}"/>
    <cellStyle name="Normal 7 5 4 2 5 2" xfId="1352" xr:uid="{00000000-0005-0000-0000-000048050000}"/>
    <cellStyle name="Normal 7 5 4 2 5 3" xfId="1353" xr:uid="{00000000-0005-0000-0000-000049050000}"/>
    <cellStyle name="Normal 7 5 4 2 6" xfId="1354" xr:uid="{00000000-0005-0000-0000-00004A050000}"/>
    <cellStyle name="Normal 7 5 4 2 7" xfId="1355" xr:uid="{00000000-0005-0000-0000-00004B050000}"/>
    <cellStyle name="Normal 7 5 4 2 8" xfId="735" xr:uid="{00000000-0005-0000-0000-0000DF020000}"/>
    <cellStyle name="Normal 7 5 4 2 9" xfId="738" xr:uid="{00000000-0005-0000-0000-0000E2020000}"/>
    <cellStyle name="Normal 7 5 4 3" xfId="755" xr:uid="{00000000-0005-0000-0000-0000F3020000}"/>
    <cellStyle name="Normal 7 5 4 3 2" xfId="1356" xr:uid="{00000000-0005-0000-0000-00004C050000}"/>
    <cellStyle name="Normal 7 5 4 3 2 2" xfId="1357" xr:uid="{00000000-0005-0000-0000-00004D050000}"/>
    <cellStyle name="Normal 7 5 4 3 2 3" xfId="1358" xr:uid="{00000000-0005-0000-0000-00004E050000}"/>
    <cellStyle name="Normal 7 5 4 3 3" xfId="1359" xr:uid="{00000000-0005-0000-0000-00004F050000}"/>
    <cellStyle name="Normal 7 5 4 3 4" xfId="1360" xr:uid="{00000000-0005-0000-0000-000050050000}"/>
    <cellStyle name="Normal 7 5 4 3 5" xfId="1361" xr:uid="{00000000-0005-0000-0000-000051050000}"/>
    <cellStyle name="Normal 7 5 4 3 6" xfId="1362" xr:uid="{00000000-0005-0000-0000-000052050000}"/>
    <cellStyle name="Normal 7 5 4 4" xfId="757" xr:uid="{00000000-0005-0000-0000-0000F5020000}"/>
    <cellStyle name="Normal 7 5 4 4 2" xfId="1363" xr:uid="{00000000-0005-0000-0000-000053050000}"/>
    <cellStyle name="Normal 7 5 4 4 2 2" xfId="1113" xr:uid="{00000000-0005-0000-0000-000059040000}"/>
    <cellStyle name="Normal 7 5 4 4 2 3" xfId="1364" xr:uid="{00000000-0005-0000-0000-000054050000}"/>
    <cellStyle name="Normal 7 5 4 4 3" xfId="1365" xr:uid="{00000000-0005-0000-0000-000055050000}"/>
    <cellStyle name="Normal 7 5 4 4 4" xfId="1366" xr:uid="{00000000-0005-0000-0000-000056050000}"/>
    <cellStyle name="Normal 7 5 4 4 5" xfId="1367" xr:uid="{00000000-0005-0000-0000-000057050000}"/>
    <cellStyle name="Normal 7 5 4 4 6" xfId="1368" xr:uid="{00000000-0005-0000-0000-000058050000}"/>
    <cellStyle name="Normal 7 5 4 5" xfId="759" xr:uid="{00000000-0005-0000-0000-0000F7020000}"/>
    <cellStyle name="Normal 7 5 4 5 2" xfId="1369" xr:uid="{00000000-0005-0000-0000-000059050000}"/>
    <cellStyle name="Normal 7 5 4 5 3" xfId="1370" xr:uid="{00000000-0005-0000-0000-00005A050000}"/>
    <cellStyle name="Normal 7 5 4 6" xfId="1371" xr:uid="{00000000-0005-0000-0000-00005B050000}"/>
    <cellStyle name="Normal 7 5 4 6 2" xfId="1372" xr:uid="{00000000-0005-0000-0000-00005C050000}"/>
    <cellStyle name="Normal 7 5 4 6 3" xfId="1373" xr:uid="{00000000-0005-0000-0000-00005D050000}"/>
    <cellStyle name="Normal 7 5 4 7" xfId="1374" xr:uid="{00000000-0005-0000-0000-00005E050000}"/>
    <cellStyle name="Normal 7 5 4 8" xfId="1375" xr:uid="{00000000-0005-0000-0000-00005F050000}"/>
    <cellStyle name="Normal 7 5 4 9" xfId="586" xr:uid="{00000000-0005-0000-0000-00004A020000}"/>
    <cellStyle name="Normal 7 5 5" xfId="1376" xr:uid="{00000000-0005-0000-0000-000060050000}"/>
    <cellStyle name="Normal 7 5 5 2" xfId="765" xr:uid="{00000000-0005-0000-0000-0000FD020000}"/>
    <cellStyle name="Normal 7 5 5 2 2" xfId="1377" xr:uid="{00000000-0005-0000-0000-000061050000}"/>
    <cellStyle name="Normal 7 5 5 2 2 2" xfId="1378" xr:uid="{00000000-0005-0000-0000-000062050000}"/>
    <cellStyle name="Normal 7 5 5 2 2 3" xfId="1379" xr:uid="{00000000-0005-0000-0000-000063050000}"/>
    <cellStyle name="Normal 7 5 5 2 3" xfId="1380" xr:uid="{00000000-0005-0000-0000-000064050000}"/>
    <cellStyle name="Normal 7 5 5 2 4" xfId="1381" xr:uid="{00000000-0005-0000-0000-000065050000}"/>
    <cellStyle name="Normal 7 5 5 2 5" xfId="1382" xr:uid="{00000000-0005-0000-0000-000066050000}"/>
    <cellStyle name="Normal 7 5 5 2 6" xfId="1383" xr:uid="{00000000-0005-0000-0000-000067050000}"/>
    <cellStyle name="Normal 7 5 5 3" xfId="1384" xr:uid="{00000000-0005-0000-0000-000068050000}"/>
    <cellStyle name="Normal 7 5 5 3 2" xfId="1385" xr:uid="{00000000-0005-0000-0000-000069050000}"/>
    <cellStyle name="Normal 7 5 5 3 2 2" xfId="1386" xr:uid="{00000000-0005-0000-0000-00006A050000}"/>
    <cellStyle name="Normal 7 5 5 3 2 3" xfId="341" xr:uid="{00000000-0005-0000-0000-000055010000}"/>
    <cellStyle name="Normal 7 5 5 3 3" xfId="1387" xr:uid="{00000000-0005-0000-0000-00006B050000}"/>
    <cellStyle name="Normal 7 5 5 3 4" xfId="1388" xr:uid="{00000000-0005-0000-0000-00006C050000}"/>
    <cellStyle name="Normal 7 5 5 3 5" xfId="1389" xr:uid="{00000000-0005-0000-0000-00006D050000}"/>
    <cellStyle name="Normal 7 5 5 3 6" xfId="1390" xr:uid="{00000000-0005-0000-0000-00006E050000}"/>
    <cellStyle name="Normal 7 5 5 4" xfId="1391" xr:uid="{00000000-0005-0000-0000-00006F050000}"/>
    <cellStyle name="Normal 7 5 5 4 2" xfId="1392" xr:uid="{00000000-0005-0000-0000-000070050000}"/>
    <cellStyle name="Normal 7 5 5 4 3" xfId="1393" xr:uid="{00000000-0005-0000-0000-000071050000}"/>
    <cellStyle name="Normal 7 5 5 5" xfId="1394" xr:uid="{00000000-0005-0000-0000-000072050000}"/>
    <cellStyle name="Normal 7 5 5 5 2" xfId="1395" xr:uid="{00000000-0005-0000-0000-000073050000}"/>
    <cellStyle name="Normal 7 5 5 5 3" xfId="1396" xr:uid="{00000000-0005-0000-0000-000074050000}"/>
    <cellStyle name="Normal 7 5 5 6" xfId="1397" xr:uid="{00000000-0005-0000-0000-000075050000}"/>
    <cellStyle name="Normal 7 5 5 7" xfId="1398" xr:uid="{00000000-0005-0000-0000-000076050000}"/>
    <cellStyle name="Normal 7 5 5 8" xfId="1399" xr:uid="{00000000-0005-0000-0000-000077050000}"/>
    <cellStyle name="Normal 7 5 5 9" xfId="599" xr:uid="{00000000-0005-0000-0000-000057020000}"/>
    <cellStyle name="Normal 7 5 6" xfId="1400" xr:uid="{00000000-0005-0000-0000-000078050000}"/>
    <cellStyle name="Normal 7 5 6 2" xfId="769" xr:uid="{00000000-0005-0000-0000-000001030000}"/>
    <cellStyle name="Normal 7 5 6 2 2" xfId="403" xr:uid="{00000000-0005-0000-0000-000093010000}"/>
    <cellStyle name="Normal 7 5 6 2 3" xfId="408" xr:uid="{00000000-0005-0000-0000-000098010000}"/>
    <cellStyle name="Normal 7 5 6 3" xfId="1401" xr:uid="{00000000-0005-0000-0000-000079050000}"/>
    <cellStyle name="Normal 7 5 6 4" xfId="1402" xr:uid="{00000000-0005-0000-0000-00007A050000}"/>
    <cellStyle name="Normal 7 5 6 5" xfId="1403" xr:uid="{00000000-0005-0000-0000-00007B050000}"/>
    <cellStyle name="Normal 7 5 6 6" xfId="1404" xr:uid="{00000000-0005-0000-0000-00007C050000}"/>
    <cellStyle name="Normal 7 5 7" xfId="1405" xr:uid="{00000000-0005-0000-0000-00007D050000}"/>
    <cellStyle name="Normal 7 5 7 2" xfId="1406" xr:uid="{00000000-0005-0000-0000-00007E050000}"/>
    <cellStyle name="Normal 7 5 7 2 2" xfId="1169" xr:uid="{00000000-0005-0000-0000-000091040000}"/>
    <cellStyle name="Normal 7 5 7 2 3" xfId="1171" xr:uid="{00000000-0005-0000-0000-000093040000}"/>
    <cellStyle name="Normal 7 5 7 3" xfId="1407" xr:uid="{00000000-0005-0000-0000-00007F050000}"/>
    <cellStyle name="Normal 7 5 7 4" xfId="1408" xr:uid="{00000000-0005-0000-0000-000080050000}"/>
    <cellStyle name="Normal 7 5 7 5" xfId="1409" xr:uid="{00000000-0005-0000-0000-000081050000}"/>
    <cellStyle name="Normal 7 5 7 6" xfId="1410" xr:uid="{00000000-0005-0000-0000-000082050000}"/>
    <cellStyle name="Normal 7 5 8" xfId="1411" xr:uid="{00000000-0005-0000-0000-000083050000}"/>
    <cellStyle name="Normal 7 5 8 2" xfId="1412" xr:uid="{00000000-0005-0000-0000-000084050000}"/>
    <cellStyle name="Normal 7 5 8 3" xfId="1413" xr:uid="{00000000-0005-0000-0000-000085050000}"/>
    <cellStyle name="Normal 7 5 9" xfId="1414" xr:uid="{00000000-0005-0000-0000-000086050000}"/>
    <cellStyle name="Normal 7 5 9 2" xfId="1415" xr:uid="{00000000-0005-0000-0000-000087050000}"/>
    <cellStyle name="Normal 7 5 9 3" xfId="1416" xr:uid="{00000000-0005-0000-0000-000088050000}"/>
    <cellStyle name="Normal 7 6" xfId="1063" xr:uid="{00000000-0005-0000-0000-000027040000}"/>
    <cellStyle name="Normal 7 6 10" xfId="1049" xr:uid="{00000000-0005-0000-0000-000019040000}"/>
    <cellStyle name="Normal 7 6 2" xfId="1417" xr:uid="{00000000-0005-0000-0000-000089050000}"/>
    <cellStyle name="Normal 7 6 2 2" xfId="1418" xr:uid="{00000000-0005-0000-0000-00008A050000}"/>
    <cellStyle name="Normal 7 6 2 2 2" xfId="1419" xr:uid="{00000000-0005-0000-0000-00008B050000}"/>
    <cellStyle name="Normal 7 6 2 2 2 2" xfId="1420" xr:uid="{00000000-0005-0000-0000-00008C050000}"/>
    <cellStyle name="Normal 7 6 2 2 2 2 2" xfId="43" xr:uid="{00000000-0005-0000-0000-00002B000000}"/>
    <cellStyle name="Normal 7 6 2 2 2 2 3" xfId="46" xr:uid="{00000000-0005-0000-0000-00002E000000}"/>
    <cellStyle name="Normal 7 6 2 2 2 3" xfId="1421" xr:uid="{00000000-0005-0000-0000-00008D050000}"/>
    <cellStyle name="Normal 7 6 2 2 2 4" xfId="1422" xr:uid="{00000000-0005-0000-0000-00008E050000}"/>
    <cellStyle name="Normal 7 6 2 2 2 5" xfId="1423" xr:uid="{00000000-0005-0000-0000-00008F050000}"/>
    <cellStyle name="Normal 7 6 2 2 2 6" xfId="1424" xr:uid="{00000000-0005-0000-0000-000090050000}"/>
    <cellStyle name="Normal 7 6 2 2 3" xfId="1425" xr:uid="{00000000-0005-0000-0000-000091050000}"/>
    <cellStyle name="Normal 7 6 2 2 3 2" xfId="1426" xr:uid="{00000000-0005-0000-0000-000092050000}"/>
    <cellStyle name="Normal 7 6 2 2 3 2 2" xfId="1427" xr:uid="{00000000-0005-0000-0000-000093050000}"/>
    <cellStyle name="Normal 7 6 2 2 3 2 3" xfId="1428" xr:uid="{00000000-0005-0000-0000-000094050000}"/>
    <cellStyle name="Normal 7 6 2 2 3 3" xfId="1429" xr:uid="{00000000-0005-0000-0000-000095050000}"/>
    <cellStyle name="Normal 7 6 2 2 3 4" xfId="1430" xr:uid="{00000000-0005-0000-0000-000096050000}"/>
    <cellStyle name="Normal 7 6 2 2 3 5" xfId="1431" xr:uid="{00000000-0005-0000-0000-000097050000}"/>
    <cellStyle name="Normal 7 6 2 2 3 6" xfId="1432" xr:uid="{00000000-0005-0000-0000-000098050000}"/>
    <cellStyle name="Normal 7 6 2 2 4" xfId="1433" xr:uid="{00000000-0005-0000-0000-000099050000}"/>
    <cellStyle name="Normal 7 6 2 2 4 2" xfId="1117" xr:uid="{00000000-0005-0000-0000-00005D040000}"/>
    <cellStyle name="Normal 7 6 2 2 4 3" xfId="1118" xr:uid="{00000000-0005-0000-0000-00005E040000}"/>
    <cellStyle name="Normal 7 6 2 2 5" xfId="1435" xr:uid="{00000000-0005-0000-0000-00009B050000}"/>
    <cellStyle name="Normal 7 6 2 2 5 2" xfId="1437" xr:uid="{00000000-0005-0000-0000-00009D050000}"/>
    <cellStyle name="Normal 7 6 2 2 5 3" xfId="1438" xr:uid="{00000000-0005-0000-0000-00009E050000}"/>
    <cellStyle name="Normal 7 6 2 2 6" xfId="1439" xr:uid="{00000000-0005-0000-0000-00009F050000}"/>
    <cellStyle name="Normal 7 6 2 2 7" xfId="1440" xr:uid="{00000000-0005-0000-0000-0000A0050000}"/>
    <cellStyle name="Normal 7 6 2 2 8" xfId="1441" xr:uid="{00000000-0005-0000-0000-0000A1050000}"/>
    <cellStyle name="Normal 7 6 2 2 9" xfId="1442" xr:uid="{00000000-0005-0000-0000-0000A2050000}"/>
    <cellStyle name="Normal 7 6 2 3" xfId="1443" xr:uid="{00000000-0005-0000-0000-0000A3050000}"/>
    <cellStyle name="Normal 7 6 2 3 2" xfId="1444" xr:uid="{00000000-0005-0000-0000-0000A4050000}"/>
    <cellStyle name="Normal 7 6 2 3 3" xfId="588" xr:uid="{00000000-0005-0000-0000-00004C020000}"/>
    <cellStyle name="Normal 7 6 2 4" xfId="1445" xr:uid="{00000000-0005-0000-0000-0000A5050000}"/>
    <cellStyle name="Normal 7 6 2 5" xfId="1446" xr:uid="{00000000-0005-0000-0000-0000A6050000}"/>
    <cellStyle name="Normal 7 6 3" xfId="1447" xr:uid="{00000000-0005-0000-0000-0000A7050000}"/>
    <cellStyle name="Normal 7 6 3 2" xfId="1448" xr:uid="{00000000-0005-0000-0000-0000A8050000}"/>
    <cellStyle name="Normal 7 6 3 2 2" xfId="1449" xr:uid="{00000000-0005-0000-0000-0000A9050000}"/>
    <cellStyle name="Normal 7 6 3 2 3" xfId="1451" xr:uid="{00000000-0005-0000-0000-0000AB050000}"/>
    <cellStyle name="Normal 7 6 3 3" xfId="938" xr:uid="{00000000-0005-0000-0000-0000AA030000}"/>
    <cellStyle name="Normal 7 6 3 4" xfId="941" xr:uid="{00000000-0005-0000-0000-0000AD030000}"/>
    <cellStyle name="Normal 7 6 3 5" xfId="943" xr:uid="{00000000-0005-0000-0000-0000AF030000}"/>
    <cellStyle name="Normal 7 6 3 6" xfId="945" xr:uid="{00000000-0005-0000-0000-0000B1030000}"/>
    <cellStyle name="Normal 7 6 4" xfId="1452" xr:uid="{00000000-0005-0000-0000-0000AC050000}"/>
    <cellStyle name="Normal 7 6 4 2" xfId="778" xr:uid="{00000000-0005-0000-0000-00000A030000}"/>
    <cellStyle name="Normal 7 6 4 2 2" xfId="1453" xr:uid="{00000000-0005-0000-0000-0000AD050000}"/>
    <cellStyle name="Normal 7 6 4 2 3" xfId="1454" xr:uid="{00000000-0005-0000-0000-0000AE050000}"/>
    <cellStyle name="Normal 7 6 4 3" xfId="949" xr:uid="{00000000-0005-0000-0000-0000B5030000}"/>
    <cellStyle name="Normal 7 6 4 4" xfId="951" xr:uid="{00000000-0005-0000-0000-0000B7030000}"/>
    <cellStyle name="Normal 7 6 4 5" xfId="1455" xr:uid="{00000000-0005-0000-0000-0000AF050000}"/>
    <cellStyle name="Normal 7 6 4 6" xfId="1456" xr:uid="{00000000-0005-0000-0000-0000B0050000}"/>
    <cellStyle name="Normal 7 6 5" xfId="1457" xr:uid="{00000000-0005-0000-0000-0000B1050000}"/>
    <cellStyle name="Normal 7 6 5 2" xfId="1458" xr:uid="{00000000-0005-0000-0000-0000B2050000}"/>
    <cellStyle name="Normal 7 6 5 3" xfId="953" xr:uid="{00000000-0005-0000-0000-0000B9030000}"/>
    <cellStyle name="Normal 7 6 6" xfId="1459" xr:uid="{00000000-0005-0000-0000-0000B3050000}"/>
    <cellStyle name="Normal 7 6 6 2" xfId="1460" xr:uid="{00000000-0005-0000-0000-0000B4050000}"/>
    <cellStyle name="Normal 7 6 6 3" xfId="1102" xr:uid="{00000000-0005-0000-0000-00004E040000}"/>
    <cellStyle name="Normal 7 6 7" xfId="1461" xr:uid="{00000000-0005-0000-0000-0000B5050000}"/>
    <cellStyle name="Normal 7 6 8" xfId="1462" xr:uid="{00000000-0005-0000-0000-0000B6050000}"/>
    <cellStyle name="Normal 7 6 9" xfId="1463" xr:uid="{00000000-0005-0000-0000-0000B7050000}"/>
    <cellStyle name="Normal 7 7" xfId="1065" xr:uid="{00000000-0005-0000-0000-000029040000}"/>
    <cellStyle name="Normal 7 7 10" xfId="1464" xr:uid="{00000000-0005-0000-0000-0000B8050000}"/>
    <cellStyle name="Normal 7 7 11" xfId="1466" xr:uid="{00000000-0005-0000-0000-0000BA050000}"/>
    <cellStyle name="Normal 7 7 2" xfId="1468" xr:uid="{00000000-0005-0000-0000-0000BC050000}"/>
    <cellStyle name="Normal 7 7 2 2" xfId="1469" xr:uid="{00000000-0005-0000-0000-0000BD050000}"/>
    <cellStyle name="Normal 7 7 2 2 2" xfId="86" xr:uid="{00000000-0005-0000-0000-000056000000}"/>
    <cellStyle name="Normal 7 7 2 2 2 2" xfId="1470" xr:uid="{00000000-0005-0000-0000-0000BE050000}"/>
    <cellStyle name="Normal 7 7 2 2 2 3" xfId="1471" xr:uid="{00000000-0005-0000-0000-0000BF050000}"/>
    <cellStyle name="Normal 7 7 2 2 3" xfId="1472" xr:uid="{00000000-0005-0000-0000-0000C0050000}"/>
    <cellStyle name="Normal 7 7 2 2 4" xfId="1473" xr:uid="{00000000-0005-0000-0000-0000C1050000}"/>
    <cellStyle name="Normal 7 7 2 2 5" xfId="1474" xr:uid="{00000000-0005-0000-0000-0000C2050000}"/>
    <cellStyle name="Normal 7 7 2 2 6" xfId="1475" xr:uid="{00000000-0005-0000-0000-0000C3050000}"/>
    <cellStyle name="Normal 7 7 2 3" xfId="1476" xr:uid="{00000000-0005-0000-0000-0000C4050000}"/>
    <cellStyle name="Normal 7 7 2 3 2" xfId="506" xr:uid="{00000000-0005-0000-0000-0000FA010000}"/>
    <cellStyle name="Normal 7 7 2 3 3" xfId="1477" xr:uid="{00000000-0005-0000-0000-0000C5050000}"/>
    <cellStyle name="Normal 7 7 2 4" xfId="1478" xr:uid="{00000000-0005-0000-0000-0000C6050000}"/>
    <cellStyle name="Normal 7 7 2 4 2" xfId="1480" xr:uid="{00000000-0005-0000-0000-0000C8050000}"/>
    <cellStyle name="Normal 7 7 2 4 3" xfId="1482" xr:uid="{00000000-0005-0000-0000-0000CA050000}"/>
    <cellStyle name="Normal 7 7 2 5" xfId="1484" xr:uid="{00000000-0005-0000-0000-0000CC050000}"/>
    <cellStyle name="Normal 7 7 2 6" xfId="1486" xr:uid="{00000000-0005-0000-0000-0000CE050000}"/>
    <cellStyle name="Normal 7 7 2 7" xfId="1488" xr:uid="{00000000-0005-0000-0000-0000D0050000}"/>
    <cellStyle name="Normal 7 7 2 8" xfId="1490" xr:uid="{00000000-0005-0000-0000-0000D2050000}"/>
    <cellStyle name="Normal 7 7 3" xfId="1492" xr:uid="{00000000-0005-0000-0000-0000D4050000}"/>
    <cellStyle name="Normal 7 7 3 2" xfId="1493" xr:uid="{00000000-0005-0000-0000-0000D5050000}"/>
    <cellStyle name="Normal 7 7 3 2 2" xfId="1494" xr:uid="{00000000-0005-0000-0000-0000D6050000}"/>
    <cellStyle name="Normal 7 7 3 2 3" xfId="1495" xr:uid="{00000000-0005-0000-0000-0000D7050000}"/>
    <cellStyle name="Normal 7 7 3 3" xfId="964" xr:uid="{00000000-0005-0000-0000-0000C4030000}"/>
    <cellStyle name="Normal 7 7 3 4" xfId="966" xr:uid="{00000000-0005-0000-0000-0000C6030000}"/>
    <cellStyle name="Normal 7 7 3 5" xfId="1496" xr:uid="{00000000-0005-0000-0000-0000D8050000}"/>
    <cellStyle name="Normal 7 7 3 6" xfId="1498" xr:uid="{00000000-0005-0000-0000-0000DA050000}"/>
    <cellStyle name="Normal 7 7 4" xfId="1500" xr:uid="{00000000-0005-0000-0000-0000DC050000}"/>
    <cellStyle name="Normal 7 7 4 2" xfId="787" xr:uid="{00000000-0005-0000-0000-000013030000}"/>
    <cellStyle name="Normal 7 7 4 2 2" xfId="1501" xr:uid="{00000000-0005-0000-0000-0000DD050000}"/>
    <cellStyle name="Normal 7 7 4 2 3" xfId="1502" xr:uid="{00000000-0005-0000-0000-0000DE050000}"/>
    <cellStyle name="Normal 7 7 4 3" xfId="970" xr:uid="{00000000-0005-0000-0000-0000CA030000}"/>
    <cellStyle name="Normal 7 7 4 4" xfId="973" xr:uid="{00000000-0005-0000-0000-0000CD030000}"/>
    <cellStyle name="Normal 7 7 4 5" xfId="1328" xr:uid="{00000000-0005-0000-0000-000030050000}"/>
    <cellStyle name="Normal 7 7 4 6" xfId="1331" xr:uid="{00000000-0005-0000-0000-000033050000}"/>
    <cellStyle name="Normal 7 7 5" xfId="1503" xr:uid="{00000000-0005-0000-0000-0000DF050000}"/>
    <cellStyle name="Normal 7 7 5 2" xfId="1504" xr:uid="{00000000-0005-0000-0000-0000E0050000}"/>
    <cellStyle name="Normal 7 7 5 3" xfId="1506" xr:uid="{00000000-0005-0000-0000-0000E2050000}"/>
    <cellStyle name="Normal 7 7 6" xfId="1508" xr:uid="{00000000-0005-0000-0000-0000E4050000}"/>
    <cellStyle name="Normal 7 7 6 2" xfId="1509" xr:uid="{00000000-0005-0000-0000-0000E5050000}"/>
    <cellStyle name="Normal 7 7 6 3" xfId="1510" xr:uid="{00000000-0005-0000-0000-0000E6050000}"/>
    <cellStyle name="Normal 7 7 7" xfId="1511" xr:uid="{00000000-0005-0000-0000-0000E7050000}"/>
    <cellStyle name="Normal 7 7 7 2" xfId="1512" xr:uid="{00000000-0005-0000-0000-0000E8050000}"/>
    <cellStyle name="Normal 7 7 7 3" xfId="1513" xr:uid="{00000000-0005-0000-0000-0000E9050000}"/>
    <cellStyle name="Normal 7 7 8" xfId="1514" xr:uid="{00000000-0005-0000-0000-0000EA050000}"/>
    <cellStyle name="Normal 7 7 9" xfId="1515" xr:uid="{00000000-0005-0000-0000-0000EB050000}"/>
    <cellStyle name="Normal 7 8" xfId="1516" xr:uid="{00000000-0005-0000-0000-0000EC050000}"/>
    <cellStyle name="Normal 7 8 2" xfId="1517" xr:uid="{00000000-0005-0000-0000-0000ED050000}"/>
    <cellStyle name="Normal 7 8 2 2" xfId="1518" xr:uid="{00000000-0005-0000-0000-0000EE050000}"/>
    <cellStyle name="Normal 7 8 2 2 2" xfId="151" xr:uid="{00000000-0005-0000-0000-000097000000}"/>
    <cellStyle name="Normal 7 8 2 2 3" xfId="155" xr:uid="{00000000-0005-0000-0000-00009B000000}"/>
    <cellStyle name="Normal 7 8 2 3" xfId="1519" xr:uid="{00000000-0005-0000-0000-0000EF050000}"/>
    <cellStyle name="Normal 7 8 2 4" xfId="1520" xr:uid="{00000000-0005-0000-0000-0000F0050000}"/>
    <cellStyle name="Normal 7 8 2 5" xfId="1521" xr:uid="{00000000-0005-0000-0000-0000F1050000}"/>
    <cellStyle name="Normal 7 8 2 6" xfId="1522" xr:uid="{00000000-0005-0000-0000-0000F2050000}"/>
    <cellStyle name="Normal 7 8 3" xfId="1523" xr:uid="{00000000-0005-0000-0000-0000F3050000}"/>
    <cellStyle name="Normal 7 8 3 2" xfId="1524" xr:uid="{00000000-0005-0000-0000-0000F4050000}"/>
    <cellStyle name="Normal 7 8 3 2 2" xfId="1525" xr:uid="{00000000-0005-0000-0000-0000F5050000}"/>
    <cellStyle name="Normal 7 8 3 2 3" xfId="1526" xr:uid="{00000000-0005-0000-0000-0000F6050000}"/>
    <cellStyle name="Normal 7 8 3 3" xfId="1527" xr:uid="{00000000-0005-0000-0000-0000F7050000}"/>
    <cellStyle name="Normal 7 8 3 4" xfId="1528" xr:uid="{00000000-0005-0000-0000-0000F8050000}"/>
    <cellStyle name="Normal 7 8 3 5" xfId="1530" xr:uid="{00000000-0005-0000-0000-0000FA050000}"/>
    <cellStyle name="Normal 7 8 3 6" xfId="1531" xr:uid="{00000000-0005-0000-0000-0000FB050000}"/>
    <cellStyle name="Normal 7 8 4" xfId="1532" xr:uid="{00000000-0005-0000-0000-0000FC050000}"/>
    <cellStyle name="Normal 7 8 4 2" xfId="797" xr:uid="{00000000-0005-0000-0000-00001D030000}"/>
    <cellStyle name="Normal 7 8 4 3" xfId="1533" xr:uid="{00000000-0005-0000-0000-0000FD050000}"/>
    <cellStyle name="Normal 7 8 5" xfId="129" xr:uid="{00000000-0005-0000-0000-000081000000}"/>
    <cellStyle name="Normal 7 8 5 2" xfId="1534" xr:uid="{00000000-0005-0000-0000-0000FE050000}"/>
    <cellStyle name="Normal 7 8 5 3" xfId="1535" xr:uid="{00000000-0005-0000-0000-0000FF050000}"/>
    <cellStyle name="Normal 7 8 6" xfId="133" xr:uid="{00000000-0005-0000-0000-000085000000}"/>
    <cellStyle name="Normal 7 8 7" xfId="1536" xr:uid="{00000000-0005-0000-0000-000000060000}"/>
    <cellStyle name="Normal 7 8 8" xfId="1538" xr:uid="{00000000-0005-0000-0000-000002060000}"/>
    <cellStyle name="Normal 7 8 9" xfId="1540" xr:uid="{00000000-0005-0000-0000-000004060000}"/>
    <cellStyle name="Normal 7 9" xfId="1541" xr:uid="{00000000-0005-0000-0000-000005060000}"/>
    <cellStyle name="Normal 7 9 2" xfId="1542" xr:uid="{00000000-0005-0000-0000-000006060000}"/>
    <cellStyle name="Normal 7 9 2 2" xfId="434" xr:uid="{00000000-0005-0000-0000-0000B2010000}"/>
    <cellStyle name="Normal 7 9 2 2 2" xfId="1543" xr:uid="{00000000-0005-0000-0000-000007060000}"/>
    <cellStyle name="Normal 7 9 2 2 3" xfId="16" xr:uid="{00000000-0005-0000-0000-000010000000}"/>
    <cellStyle name="Normal 7 9 2 3" xfId="437" xr:uid="{00000000-0005-0000-0000-0000B5010000}"/>
    <cellStyle name="Normal 7 9 2 4" xfId="1082" xr:uid="{00000000-0005-0000-0000-00003A040000}"/>
    <cellStyle name="Normal 7 9 2 5" xfId="1544" xr:uid="{00000000-0005-0000-0000-000008060000}"/>
    <cellStyle name="Normal 7 9 2 6" xfId="1545" xr:uid="{00000000-0005-0000-0000-000009060000}"/>
    <cellStyle name="Normal 7 9 3" xfId="1546" xr:uid="{00000000-0005-0000-0000-00000A060000}"/>
    <cellStyle name="Normal 7 9 3 2" xfId="1094" xr:uid="{00000000-0005-0000-0000-000046040000}"/>
    <cellStyle name="Normal 7 9 3 3" xfId="1097" xr:uid="{00000000-0005-0000-0000-000049040000}"/>
    <cellStyle name="Normal 7 9 4" xfId="1547" xr:uid="{00000000-0005-0000-0000-00000B060000}"/>
    <cellStyle name="Normal 7 9 4 2" xfId="1109" xr:uid="{00000000-0005-0000-0000-000055040000}"/>
    <cellStyle name="Normal 7 9 4 3" xfId="1111" xr:uid="{00000000-0005-0000-0000-000057040000}"/>
    <cellStyle name="Normal 7 9 5" xfId="1086" xr:uid="{00000000-0005-0000-0000-00003E040000}"/>
    <cellStyle name="Normal 7 9 6" xfId="1088" xr:uid="{00000000-0005-0000-0000-000040040000}"/>
    <cellStyle name="Normal 7 9 7" xfId="1548" xr:uid="{00000000-0005-0000-0000-00000C060000}"/>
    <cellStyle name="Normal 7 9 8" xfId="69" xr:uid="{00000000-0005-0000-0000-000045000000}"/>
    <cellStyle name="Normal 8" xfId="1549" xr:uid="{00000000-0005-0000-0000-00000D060000}"/>
    <cellStyle name="Normal 8 10" xfId="1550" xr:uid="{00000000-0005-0000-0000-00000E060000}"/>
    <cellStyle name="Normal 8 2" xfId="1551" xr:uid="{00000000-0005-0000-0000-00000F060000}"/>
    <cellStyle name="Normal 8 2 2" xfId="1552" xr:uid="{00000000-0005-0000-0000-000010060000}"/>
    <cellStyle name="Normal 8 2 2 2" xfId="1537" xr:uid="{00000000-0005-0000-0000-000001060000}"/>
    <cellStyle name="Normal 8 2 2 3" xfId="1539" xr:uid="{00000000-0005-0000-0000-000003060000}"/>
    <cellStyle name="Normal 8 2 3" xfId="1553" xr:uid="{00000000-0005-0000-0000-000011060000}"/>
    <cellStyle name="Normal 8 2 4" xfId="1554" xr:uid="{00000000-0005-0000-0000-000012060000}"/>
    <cellStyle name="Normal 8 2 5" xfId="1555" xr:uid="{00000000-0005-0000-0000-000013060000}"/>
    <cellStyle name="Normal 8 2 6" xfId="1556" xr:uid="{00000000-0005-0000-0000-000014060000}"/>
    <cellStyle name="Normal 8 3" xfId="1557" xr:uid="{00000000-0005-0000-0000-000015060000}"/>
    <cellStyle name="Normal 8 3 2" xfId="1558" xr:uid="{00000000-0005-0000-0000-000016060000}"/>
    <cellStyle name="Normal 8 3 2 2" xfId="1283" xr:uid="{00000000-0005-0000-0000-000003050000}"/>
    <cellStyle name="Normal 8 3 2 3" xfId="1285" xr:uid="{00000000-0005-0000-0000-000005050000}"/>
    <cellStyle name="Normal 8 3 3" xfId="1559" xr:uid="{00000000-0005-0000-0000-000017060000}"/>
    <cellStyle name="Normal 8 3 4" xfId="1560" xr:uid="{00000000-0005-0000-0000-000018060000}"/>
    <cellStyle name="Normal 8 3 5" xfId="1561" xr:uid="{00000000-0005-0000-0000-000019060000}"/>
    <cellStyle name="Normal 8 3 6" xfId="1562" xr:uid="{00000000-0005-0000-0000-00001A060000}"/>
    <cellStyle name="Normal 8 4" xfId="1563" xr:uid="{00000000-0005-0000-0000-00001B060000}"/>
    <cellStyle name="Normal 8 4 2" xfId="1564" xr:uid="{00000000-0005-0000-0000-00001C060000}"/>
    <cellStyle name="Normal 8 4 3" xfId="1565" xr:uid="{00000000-0005-0000-0000-00001D060000}"/>
    <cellStyle name="Normal 8 5" xfId="516" xr:uid="{00000000-0005-0000-0000-000004020000}"/>
    <cellStyle name="Normal 8 5 10" xfId="1566" xr:uid="{00000000-0005-0000-0000-00001E060000}"/>
    <cellStyle name="Normal 8 5 2" xfId="1567" xr:uid="{00000000-0005-0000-0000-00001F060000}"/>
    <cellStyle name="Normal 8 5 2 2" xfId="1568" xr:uid="{00000000-0005-0000-0000-000020060000}"/>
    <cellStyle name="Normal 8 5 2 2 2" xfId="893" xr:uid="{00000000-0005-0000-0000-00007D030000}"/>
    <cellStyle name="Normal 8 5 2 2 2 2" xfId="1569" xr:uid="{00000000-0005-0000-0000-000021060000}"/>
    <cellStyle name="Normal 8 5 2 2 2 3" xfId="1570" xr:uid="{00000000-0005-0000-0000-000022060000}"/>
    <cellStyle name="Normal 8 5 2 2 3" xfId="895" xr:uid="{00000000-0005-0000-0000-00007F030000}"/>
    <cellStyle name="Normal 8 5 2 2 4" xfId="897" xr:uid="{00000000-0005-0000-0000-000081030000}"/>
    <cellStyle name="Normal 8 5 2 2 5" xfId="899" xr:uid="{00000000-0005-0000-0000-000083030000}"/>
    <cellStyle name="Normal 8 5 2 2 6" xfId="901" xr:uid="{00000000-0005-0000-0000-000085030000}"/>
    <cellStyle name="Normal 8 5 2 3" xfId="1571" xr:uid="{00000000-0005-0000-0000-000023060000}"/>
    <cellStyle name="Normal 8 5 2 3 2" xfId="907" xr:uid="{00000000-0005-0000-0000-00008B030000}"/>
    <cellStyle name="Normal 8 5 2 3 2 2" xfId="578" xr:uid="{00000000-0005-0000-0000-000042020000}"/>
    <cellStyle name="Normal 8 5 2 3 2 3" xfId="581" xr:uid="{00000000-0005-0000-0000-000045020000}"/>
    <cellStyle name="Normal 8 5 2 3 3" xfId="909" xr:uid="{00000000-0005-0000-0000-00008D030000}"/>
    <cellStyle name="Normal 8 5 2 3 4" xfId="1572" xr:uid="{00000000-0005-0000-0000-000024060000}"/>
    <cellStyle name="Normal 8 5 2 3 5" xfId="1573" xr:uid="{00000000-0005-0000-0000-000025060000}"/>
    <cellStyle name="Normal 8 5 2 3 6" xfId="1574" xr:uid="{00000000-0005-0000-0000-000026060000}"/>
    <cellStyle name="Normal 8 5 2 4" xfId="1575" xr:uid="{00000000-0005-0000-0000-000027060000}"/>
    <cellStyle name="Normal 8 5 2 4 2" xfId="1576" xr:uid="{00000000-0005-0000-0000-000028060000}"/>
    <cellStyle name="Normal 8 5 2 4 3" xfId="1577" xr:uid="{00000000-0005-0000-0000-000029060000}"/>
    <cellStyle name="Normal 8 5 2 5" xfId="1578" xr:uid="{00000000-0005-0000-0000-00002A060000}"/>
    <cellStyle name="Normal 8 5 2 5 2" xfId="1579" xr:uid="{00000000-0005-0000-0000-00002B060000}"/>
    <cellStyle name="Normal 8 5 2 5 3" xfId="1580" xr:uid="{00000000-0005-0000-0000-00002C060000}"/>
    <cellStyle name="Normal 8 5 2 6" xfId="1581" xr:uid="{00000000-0005-0000-0000-00002D060000}"/>
    <cellStyle name="Normal 8 5 2 7" xfId="42" xr:uid="{00000000-0005-0000-0000-00002A000000}"/>
    <cellStyle name="Normal 8 5 2 8" xfId="1582" xr:uid="{00000000-0005-0000-0000-00002E060000}"/>
    <cellStyle name="Normal 8 5 2 9" xfId="1583" xr:uid="{00000000-0005-0000-0000-00002F060000}"/>
    <cellStyle name="Normal 8 5 3" xfId="1584" xr:uid="{00000000-0005-0000-0000-000030060000}"/>
    <cellStyle name="Normal 8 5 3 2" xfId="1585" xr:uid="{00000000-0005-0000-0000-000031060000}"/>
    <cellStyle name="Normal 8 5 3 2 2" xfId="1586" xr:uid="{00000000-0005-0000-0000-000032060000}"/>
    <cellStyle name="Normal 8 5 3 2 3" xfId="1587" xr:uid="{00000000-0005-0000-0000-000033060000}"/>
    <cellStyle name="Normal 8 5 3 3" xfId="1588" xr:uid="{00000000-0005-0000-0000-000034060000}"/>
    <cellStyle name="Normal 8 5 3 4" xfId="1589" xr:uid="{00000000-0005-0000-0000-000035060000}"/>
    <cellStyle name="Normal 8 5 3 5" xfId="1590" xr:uid="{00000000-0005-0000-0000-000036060000}"/>
    <cellStyle name="Normal 8 5 3 6" xfId="1591" xr:uid="{00000000-0005-0000-0000-000037060000}"/>
    <cellStyle name="Normal 8 5 4" xfId="1592" xr:uid="{00000000-0005-0000-0000-000038060000}"/>
    <cellStyle name="Normal 8 5 4 2" xfId="1593" xr:uid="{00000000-0005-0000-0000-000039060000}"/>
    <cellStyle name="Normal 8 5 4 2 2" xfId="1594" xr:uid="{00000000-0005-0000-0000-00003A060000}"/>
    <cellStyle name="Normal 8 5 4 2 3" xfId="1595" xr:uid="{00000000-0005-0000-0000-00003B060000}"/>
    <cellStyle name="Normal 8 5 4 3" xfId="1596" xr:uid="{00000000-0005-0000-0000-00003C060000}"/>
    <cellStyle name="Normal 8 5 4 4" xfId="1597" xr:uid="{00000000-0005-0000-0000-00003D060000}"/>
    <cellStyle name="Normal 8 5 4 5" xfId="1598" xr:uid="{00000000-0005-0000-0000-00003E060000}"/>
    <cellStyle name="Normal 8 5 4 6" xfId="1599" xr:uid="{00000000-0005-0000-0000-00003F060000}"/>
    <cellStyle name="Normal 8 5 5" xfId="1601" xr:uid="{00000000-0005-0000-0000-000041060000}"/>
    <cellStyle name="Normal 8 5 5 2" xfId="1602" xr:uid="{00000000-0005-0000-0000-000042060000}"/>
    <cellStyle name="Normal 8 5 5 3" xfId="1603" xr:uid="{00000000-0005-0000-0000-000043060000}"/>
    <cellStyle name="Normal 8 5 6" xfId="1604" xr:uid="{00000000-0005-0000-0000-000044060000}"/>
    <cellStyle name="Normal 8 5 6 2" xfId="1605" xr:uid="{00000000-0005-0000-0000-000045060000}"/>
    <cellStyle name="Normal 8 5 6 3" xfId="1606" xr:uid="{00000000-0005-0000-0000-000046060000}"/>
    <cellStyle name="Normal 8 5 7" xfId="1607" xr:uid="{00000000-0005-0000-0000-000047060000}"/>
    <cellStyle name="Normal 8 5 8" xfId="1608" xr:uid="{00000000-0005-0000-0000-000048060000}"/>
    <cellStyle name="Normal 8 5 9" xfId="532" xr:uid="{00000000-0005-0000-0000-000014020000}"/>
    <cellStyle name="Normal 8 6" xfId="332" xr:uid="{00000000-0005-0000-0000-00004C010000}"/>
    <cellStyle name="Normal 8 6 2" xfId="1609" xr:uid="{00000000-0005-0000-0000-000049060000}"/>
    <cellStyle name="Normal 8 6 3" xfId="65" xr:uid="{00000000-0005-0000-0000-000041000000}"/>
    <cellStyle name="Normal 8 7" xfId="1465" xr:uid="{00000000-0005-0000-0000-0000B9050000}"/>
    <cellStyle name="Normal 8 8" xfId="1467" xr:uid="{00000000-0005-0000-0000-0000BB050000}"/>
    <cellStyle name="Normal 8 9" xfId="1610" xr:uid="{00000000-0005-0000-0000-00004A060000}"/>
    <cellStyle name="Normal 9" xfId="1611" xr:uid="{00000000-0005-0000-0000-00004B060000}"/>
    <cellStyle name="Normal 9 2" xfId="21" xr:uid="{00000000-0005-0000-0000-000015000000}"/>
    <cellStyle name="Normal 9 2 2" xfId="1613" xr:uid="{00000000-0005-0000-0000-00004D060000}"/>
    <cellStyle name="Normal 9 2 2 2" xfId="1614" xr:uid="{00000000-0005-0000-0000-00004E060000}"/>
    <cellStyle name="Normal 9 2 2 3" xfId="1615" xr:uid="{00000000-0005-0000-0000-00004F060000}"/>
    <cellStyle name="Normal 9 2 3" xfId="1616" xr:uid="{00000000-0005-0000-0000-000050060000}"/>
    <cellStyle name="Normal 9 2 4" xfId="1617" xr:uid="{00000000-0005-0000-0000-000051060000}"/>
    <cellStyle name="Normal 9 2 5" xfId="1618" xr:uid="{00000000-0005-0000-0000-000052060000}"/>
    <cellStyle name="Normal 9 2 6" xfId="1619" xr:uid="{00000000-0005-0000-0000-000053060000}"/>
    <cellStyle name="Normal 9 3" xfId="1620" xr:uid="{00000000-0005-0000-0000-000054060000}"/>
    <cellStyle name="Normal 9 3 2" xfId="1621" xr:uid="{00000000-0005-0000-0000-000055060000}"/>
    <cellStyle name="Normal 9 3 2 2" xfId="1340" xr:uid="{00000000-0005-0000-0000-00003C050000}"/>
    <cellStyle name="Normal 9 3 2 3" xfId="1344" xr:uid="{00000000-0005-0000-0000-000040050000}"/>
    <cellStyle name="Normal 9 3 3" xfId="1622" xr:uid="{00000000-0005-0000-0000-000056060000}"/>
    <cellStyle name="Normal 9 3 4" xfId="1623" xr:uid="{00000000-0005-0000-0000-000057060000}"/>
    <cellStyle name="Normal 9 3 5" xfId="1624" xr:uid="{00000000-0005-0000-0000-000058060000}"/>
    <cellStyle name="Normal 9 3 6" xfId="1625" xr:uid="{00000000-0005-0000-0000-000059060000}"/>
    <cellStyle name="Normal 9 4" xfId="1626" xr:uid="{00000000-0005-0000-0000-00005A060000}"/>
    <cellStyle name="Normal 9 4 2" xfId="1627" xr:uid="{00000000-0005-0000-0000-00005B060000}"/>
    <cellStyle name="Normal 9 4 3" xfId="1628" xr:uid="{00000000-0005-0000-0000-00005C060000}"/>
    <cellStyle name="Normal 9 5" xfId="1629" xr:uid="{00000000-0005-0000-0000-00005D060000}"/>
    <cellStyle name="Normal 9 5 2" xfId="1630" xr:uid="{00000000-0005-0000-0000-00005E060000}"/>
    <cellStyle name="Normal 9 5 3" xfId="1631" xr:uid="{00000000-0005-0000-0000-00005F060000}"/>
    <cellStyle name="Normal 9 6" xfId="1632" xr:uid="{00000000-0005-0000-0000-000060060000}"/>
    <cellStyle name="Normal 9 7" xfId="1633" xr:uid="{00000000-0005-0000-0000-000061060000}"/>
    <cellStyle name="Normal 9 8" xfId="1634" xr:uid="{00000000-0005-0000-0000-000062060000}"/>
    <cellStyle name="Normal 9 9" xfId="1635" xr:uid="{00000000-0005-0000-0000-000063060000}"/>
    <cellStyle name="Note 2" xfId="1636" xr:uid="{00000000-0005-0000-0000-000064060000}"/>
    <cellStyle name="Note 2 10" xfId="1637" xr:uid="{00000000-0005-0000-0000-000065060000}"/>
    <cellStyle name="Note 2 2" xfId="1638" xr:uid="{00000000-0005-0000-0000-000066060000}"/>
    <cellStyle name="Note 2 2 2" xfId="1600" xr:uid="{00000000-0005-0000-0000-000040060000}"/>
    <cellStyle name="Note 2 2 2 2" xfId="1639" xr:uid="{00000000-0005-0000-0000-000067060000}"/>
    <cellStyle name="Note 2 2 2 2 2" xfId="1640" xr:uid="{00000000-0005-0000-0000-000068060000}"/>
    <cellStyle name="Note 2 2 2 2 3" xfId="1641" xr:uid="{00000000-0005-0000-0000-000069060000}"/>
    <cellStyle name="Note 2 2 2 3" xfId="1642" xr:uid="{00000000-0005-0000-0000-00006A060000}"/>
    <cellStyle name="Note 2 2 2 4" xfId="1643" xr:uid="{00000000-0005-0000-0000-00006B060000}"/>
    <cellStyle name="Note 2 2 2 5" xfId="1644" xr:uid="{00000000-0005-0000-0000-00006C060000}"/>
    <cellStyle name="Note 2 2 2 6" xfId="1645" xr:uid="{00000000-0005-0000-0000-00006D060000}"/>
    <cellStyle name="Note 2 2 3" xfId="1646" xr:uid="{00000000-0005-0000-0000-00006E060000}"/>
    <cellStyle name="Note 2 2 3 2" xfId="1647" xr:uid="{00000000-0005-0000-0000-00006F060000}"/>
    <cellStyle name="Note 2 2 3 2 2" xfId="1648" xr:uid="{00000000-0005-0000-0000-000070060000}"/>
    <cellStyle name="Note 2 2 3 2 3" xfId="1649" xr:uid="{00000000-0005-0000-0000-000071060000}"/>
    <cellStyle name="Note 2 2 3 3" xfId="1650" xr:uid="{00000000-0005-0000-0000-000072060000}"/>
    <cellStyle name="Note 2 2 3 4" xfId="1651" xr:uid="{00000000-0005-0000-0000-000073060000}"/>
    <cellStyle name="Note 2 2 3 5" xfId="1652" xr:uid="{00000000-0005-0000-0000-000074060000}"/>
    <cellStyle name="Note 2 2 3 6" xfId="1653" xr:uid="{00000000-0005-0000-0000-000075060000}"/>
    <cellStyle name="Note 2 2 4" xfId="1654" xr:uid="{00000000-0005-0000-0000-000076060000}"/>
    <cellStyle name="Note 2 2 4 2" xfId="1655" xr:uid="{00000000-0005-0000-0000-000077060000}"/>
    <cellStyle name="Note 2 2 4 3" xfId="1657" xr:uid="{00000000-0005-0000-0000-000079060000}"/>
    <cellStyle name="Note 2 2 5" xfId="1659" xr:uid="{00000000-0005-0000-0000-00007B060000}"/>
    <cellStyle name="Note 2 2 5 2" xfId="711" xr:uid="{00000000-0005-0000-0000-0000C7020000}"/>
    <cellStyle name="Note 2 2 5 3" xfId="744" xr:uid="{00000000-0005-0000-0000-0000E8020000}"/>
    <cellStyle name="Note 2 2 6" xfId="1660" xr:uid="{00000000-0005-0000-0000-00007C060000}"/>
    <cellStyle name="Note 2 2 7" xfId="1661" xr:uid="{00000000-0005-0000-0000-00007D060000}"/>
    <cellStyle name="Note 2 2 8" xfId="1662" xr:uid="{00000000-0005-0000-0000-00007E060000}"/>
    <cellStyle name="Note 2 2 9" xfId="1663" xr:uid="{00000000-0005-0000-0000-00007F060000}"/>
    <cellStyle name="Note 2 3" xfId="1664" xr:uid="{00000000-0005-0000-0000-000080060000}"/>
    <cellStyle name="Note 2 3 2" xfId="1665" xr:uid="{00000000-0005-0000-0000-000081060000}"/>
    <cellStyle name="Note 2 3 2 2" xfId="1666" xr:uid="{00000000-0005-0000-0000-000082060000}"/>
    <cellStyle name="Note 2 3 2 3" xfId="1667" xr:uid="{00000000-0005-0000-0000-000083060000}"/>
    <cellStyle name="Note 2 3 3" xfId="1668" xr:uid="{00000000-0005-0000-0000-000084060000}"/>
    <cellStyle name="Note 2 3 4" xfId="1669" xr:uid="{00000000-0005-0000-0000-000085060000}"/>
    <cellStyle name="Note 2 3 5" xfId="1670" xr:uid="{00000000-0005-0000-0000-000086060000}"/>
    <cellStyle name="Note 2 3 6" xfId="1671" xr:uid="{00000000-0005-0000-0000-000087060000}"/>
    <cellStyle name="Note 2 4" xfId="1672" xr:uid="{00000000-0005-0000-0000-000088060000}"/>
    <cellStyle name="Note 2 4 2" xfId="1673" xr:uid="{00000000-0005-0000-0000-000089060000}"/>
    <cellStyle name="Note 2 4 2 2" xfId="1674" xr:uid="{00000000-0005-0000-0000-00008A060000}"/>
    <cellStyle name="Note 2 4 2 3" xfId="1675" xr:uid="{00000000-0005-0000-0000-00008B060000}"/>
    <cellStyle name="Note 2 4 3" xfId="1676" xr:uid="{00000000-0005-0000-0000-00008C060000}"/>
    <cellStyle name="Note 2 4 4" xfId="1677" xr:uid="{00000000-0005-0000-0000-00008D060000}"/>
    <cellStyle name="Note 2 4 5" xfId="1678" xr:uid="{00000000-0005-0000-0000-00008E060000}"/>
    <cellStyle name="Note 2 4 6" xfId="1250" xr:uid="{00000000-0005-0000-0000-0000E2040000}"/>
    <cellStyle name="Note 2 5" xfId="1679" xr:uid="{00000000-0005-0000-0000-00008F060000}"/>
    <cellStyle name="Note 2 5 2" xfId="1680" xr:uid="{00000000-0005-0000-0000-000090060000}"/>
    <cellStyle name="Note 2 5 3" xfId="1681" xr:uid="{00000000-0005-0000-0000-000091060000}"/>
    <cellStyle name="Note 2 6" xfId="1682" xr:uid="{00000000-0005-0000-0000-000092060000}"/>
    <cellStyle name="Note 2 6 2" xfId="1683" xr:uid="{00000000-0005-0000-0000-000093060000}"/>
    <cellStyle name="Note 2 6 3" xfId="356" xr:uid="{00000000-0005-0000-0000-000064010000}"/>
    <cellStyle name="Note 2 7" xfId="1684" xr:uid="{00000000-0005-0000-0000-000094060000}"/>
    <cellStyle name="Note 2 8" xfId="1685" xr:uid="{00000000-0005-0000-0000-000095060000}"/>
    <cellStyle name="Note 2 9" xfId="1450" xr:uid="{00000000-0005-0000-0000-0000AA050000}"/>
    <cellStyle name="Notiz 2" xfId="1686" xr:uid="{00000000-0005-0000-0000-000096060000}"/>
    <cellStyle name="Notiz 2 10" xfId="1529" xr:uid="{00000000-0005-0000-0000-0000F9050000}"/>
    <cellStyle name="Notiz 2 2" xfId="1687" xr:uid="{00000000-0005-0000-0000-000097060000}"/>
    <cellStyle name="Notiz 2 2 2" xfId="1688" xr:uid="{00000000-0005-0000-0000-000098060000}"/>
    <cellStyle name="Notiz 2 2 2 2" xfId="1689" xr:uid="{00000000-0005-0000-0000-000099060000}"/>
    <cellStyle name="Notiz 2 2 2 2 2" xfId="1690" xr:uid="{00000000-0005-0000-0000-00009A060000}"/>
    <cellStyle name="Notiz 2 2 2 2 3" xfId="1691" xr:uid="{00000000-0005-0000-0000-00009B060000}"/>
    <cellStyle name="Notiz 2 2 2 3" xfId="1692" xr:uid="{00000000-0005-0000-0000-00009C060000}"/>
    <cellStyle name="Notiz 2 2 2 4" xfId="1693" xr:uid="{00000000-0005-0000-0000-00009D060000}"/>
    <cellStyle name="Notiz 2 2 2 5" xfId="1694" xr:uid="{00000000-0005-0000-0000-00009E060000}"/>
    <cellStyle name="Notiz 2 2 2 6" xfId="1695" xr:uid="{00000000-0005-0000-0000-00009F060000}"/>
    <cellStyle name="Notiz 2 2 3" xfId="1697" xr:uid="{00000000-0005-0000-0000-0000A1060000}"/>
    <cellStyle name="Notiz 2 2 3 2" xfId="1698" xr:uid="{00000000-0005-0000-0000-0000A2060000}"/>
    <cellStyle name="Notiz 2 2 3 2 2" xfId="1699" xr:uid="{00000000-0005-0000-0000-0000A3060000}"/>
    <cellStyle name="Notiz 2 2 3 2 3" xfId="1700" xr:uid="{00000000-0005-0000-0000-0000A4060000}"/>
    <cellStyle name="Notiz 2 2 3 3" xfId="1701" xr:uid="{00000000-0005-0000-0000-0000A5060000}"/>
    <cellStyle name="Notiz 2 2 3 4" xfId="1702" xr:uid="{00000000-0005-0000-0000-0000A6060000}"/>
    <cellStyle name="Notiz 2 2 3 5" xfId="1703" xr:uid="{00000000-0005-0000-0000-0000A7060000}"/>
    <cellStyle name="Notiz 2 2 3 6" xfId="1704" xr:uid="{00000000-0005-0000-0000-0000A8060000}"/>
    <cellStyle name="Notiz 2 2 4" xfId="1706" xr:uid="{00000000-0005-0000-0000-0000AA060000}"/>
    <cellStyle name="Notiz 2 2 4 2" xfId="1612" xr:uid="{00000000-0005-0000-0000-00004C060000}"/>
    <cellStyle name="Notiz 2 2 4 3" xfId="1220" xr:uid="{00000000-0005-0000-0000-0000C4040000}"/>
    <cellStyle name="Notiz 2 2 5" xfId="1707" xr:uid="{00000000-0005-0000-0000-0000AB060000}"/>
    <cellStyle name="Notiz 2 2 5 2" xfId="1708" xr:uid="{00000000-0005-0000-0000-0000AC060000}"/>
    <cellStyle name="Notiz 2 2 5 3" xfId="1248" xr:uid="{00000000-0005-0000-0000-0000E0040000}"/>
    <cellStyle name="Notiz 2 2 6" xfId="1709" xr:uid="{00000000-0005-0000-0000-0000AD060000}"/>
    <cellStyle name="Notiz 2 2 7" xfId="866" xr:uid="{00000000-0005-0000-0000-000062030000}"/>
    <cellStyle name="Notiz 2 2 8" xfId="868" xr:uid="{00000000-0005-0000-0000-000064030000}"/>
    <cellStyle name="Notiz 2 2 9" xfId="1710" xr:uid="{00000000-0005-0000-0000-0000AE060000}"/>
    <cellStyle name="Notiz 2 3" xfId="1711" xr:uid="{00000000-0005-0000-0000-0000AF060000}"/>
    <cellStyle name="Notiz 2 3 2" xfId="1712" xr:uid="{00000000-0005-0000-0000-0000B0060000}"/>
    <cellStyle name="Notiz 2 3 2 2" xfId="1713" xr:uid="{00000000-0005-0000-0000-0000B1060000}"/>
    <cellStyle name="Notiz 2 3 2 3" xfId="1714" xr:uid="{00000000-0005-0000-0000-0000B2060000}"/>
    <cellStyle name="Notiz 2 3 3" xfId="1715" xr:uid="{00000000-0005-0000-0000-0000B3060000}"/>
    <cellStyle name="Notiz 2 3 4" xfId="1716" xr:uid="{00000000-0005-0000-0000-0000B4060000}"/>
    <cellStyle name="Notiz 2 3 5" xfId="1717" xr:uid="{00000000-0005-0000-0000-0000B5060000}"/>
    <cellStyle name="Notiz 2 3 6" xfId="1718" xr:uid="{00000000-0005-0000-0000-0000B6060000}"/>
    <cellStyle name="Notiz 2 4" xfId="1719" xr:uid="{00000000-0005-0000-0000-0000B7060000}"/>
    <cellStyle name="Notiz 2 4 2" xfId="1721" xr:uid="{00000000-0005-0000-0000-0000B9060000}"/>
    <cellStyle name="Notiz 2 4 2 2" xfId="1722" xr:uid="{00000000-0005-0000-0000-0000BA060000}"/>
    <cellStyle name="Notiz 2 4 2 3" xfId="1723" xr:uid="{00000000-0005-0000-0000-0000BB060000}"/>
    <cellStyle name="Notiz 2 4 3" xfId="1724" xr:uid="{00000000-0005-0000-0000-0000BC060000}"/>
    <cellStyle name="Notiz 2 4 4" xfId="1725" xr:uid="{00000000-0005-0000-0000-0000BD060000}"/>
    <cellStyle name="Notiz 2 4 5" xfId="1726" xr:uid="{00000000-0005-0000-0000-0000BE060000}"/>
    <cellStyle name="Notiz 2 4 6" xfId="1727" xr:uid="{00000000-0005-0000-0000-0000BF060000}"/>
    <cellStyle name="Notiz 2 5" xfId="1728" xr:uid="{00000000-0005-0000-0000-0000C0060000}"/>
    <cellStyle name="Notiz 2 5 2" xfId="1125" xr:uid="{00000000-0005-0000-0000-000065040000}"/>
    <cellStyle name="Notiz 2 5 3" xfId="1127" xr:uid="{00000000-0005-0000-0000-000067040000}"/>
    <cellStyle name="Notiz 2 6" xfId="1730" xr:uid="{00000000-0005-0000-0000-0000C2060000}"/>
    <cellStyle name="Notiz 2 6 2" xfId="1137" xr:uid="{00000000-0005-0000-0000-000071040000}"/>
    <cellStyle name="Notiz 2 6 3" xfId="1139" xr:uid="{00000000-0005-0000-0000-000073040000}"/>
    <cellStyle name="Notiz 2 7" xfId="1731" xr:uid="{00000000-0005-0000-0000-0000C3060000}"/>
    <cellStyle name="Notiz 2 8" xfId="1732" xr:uid="{00000000-0005-0000-0000-0000C4060000}"/>
    <cellStyle name="Notiz 2 9" xfId="70" xr:uid="{00000000-0005-0000-0000-000046000000}"/>
    <cellStyle name="Percent 10" xfId="1505" xr:uid="{00000000-0005-0000-0000-0000E1050000}"/>
    <cellStyle name="Percent 11" xfId="1507" xr:uid="{00000000-0005-0000-0000-0000E3050000}"/>
    <cellStyle name="Percent 12" xfId="1337" xr:uid="{00000000-0005-0000-0000-000039050000}"/>
    <cellStyle name="Percent 13" xfId="1341" xr:uid="{00000000-0005-0000-0000-00003D050000}"/>
    <cellStyle name="Percent 2" xfId="1733" xr:uid="{00000000-0005-0000-0000-0000C5060000}"/>
    <cellStyle name="Percent 2 2" xfId="911" xr:uid="{00000000-0005-0000-0000-00008F030000}"/>
    <cellStyle name="Percent 2 3" xfId="915" xr:uid="{00000000-0005-0000-0000-000093030000}"/>
    <cellStyle name="Percent 3" xfId="1734" xr:uid="{00000000-0005-0000-0000-0000C6060000}"/>
    <cellStyle name="Percent 3 2" xfId="1735" xr:uid="{00000000-0005-0000-0000-0000C7060000}"/>
    <cellStyle name="Percent 3 3" xfId="1736" xr:uid="{00000000-0005-0000-0000-0000C8060000}"/>
    <cellStyle name="Percent 4" xfId="1737" xr:uid="{00000000-0005-0000-0000-0000C9060000}"/>
    <cellStyle name="Percent 4 2" xfId="1738" xr:uid="{00000000-0005-0000-0000-0000CA060000}"/>
    <cellStyle name="Percent 4 2 2" xfId="1739" xr:uid="{00000000-0005-0000-0000-0000CB060000}"/>
    <cellStyle name="Percent 4 2 2 2" xfId="376" xr:uid="{00000000-0005-0000-0000-000078010000}"/>
    <cellStyle name="Percent 4 2 2 3" xfId="1740" xr:uid="{00000000-0005-0000-0000-0000CC060000}"/>
    <cellStyle name="Percent 4 2 3" xfId="1741" xr:uid="{00000000-0005-0000-0000-0000CD060000}"/>
    <cellStyle name="Percent 4 2 4" xfId="1742" xr:uid="{00000000-0005-0000-0000-0000CE060000}"/>
    <cellStyle name="Percent 4 2 5" xfId="614" xr:uid="{00000000-0005-0000-0000-000066020000}"/>
    <cellStyle name="Percent 4 2 6" xfId="616" xr:uid="{00000000-0005-0000-0000-000068020000}"/>
    <cellStyle name="Percent 4 3" xfId="1743" xr:uid="{00000000-0005-0000-0000-0000CF060000}"/>
    <cellStyle name="Percent 4 3 2" xfId="1744" xr:uid="{00000000-0005-0000-0000-0000D0060000}"/>
    <cellStyle name="Percent 4 3 3" xfId="1745" xr:uid="{00000000-0005-0000-0000-0000D1060000}"/>
    <cellStyle name="Percent 4 4" xfId="1072" xr:uid="{00000000-0005-0000-0000-000030040000}"/>
    <cellStyle name="Percent 4 4 2" xfId="1746" xr:uid="{00000000-0005-0000-0000-0000D2060000}"/>
    <cellStyle name="Percent 4 4 3" xfId="1747" xr:uid="{00000000-0005-0000-0000-0000D3060000}"/>
    <cellStyle name="Percent 4 5" xfId="1074" xr:uid="{00000000-0005-0000-0000-000032040000}"/>
    <cellStyle name="Percent 4 6" xfId="299" xr:uid="{00000000-0005-0000-0000-00002B010000}"/>
    <cellStyle name="Percent 4 7" xfId="304" xr:uid="{00000000-0005-0000-0000-000030010000}"/>
    <cellStyle name="Percent 4 8" xfId="257" xr:uid="{00000000-0005-0000-0000-000001010000}"/>
    <cellStyle name="Percent 5" xfId="1748" xr:uid="{00000000-0005-0000-0000-0000D4060000}"/>
    <cellStyle name="Percent 5 2" xfId="1696" xr:uid="{00000000-0005-0000-0000-0000A0060000}"/>
    <cellStyle name="Percent 5 2 2" xfId="1749" xr:uid="{00000000-0005-0000-0000-0000D5060000}"/>
    <cellStyle name="Percent 5 3" xfId="1750" xr:uid="{00000000-0005-0000-0000-0000D6060000}"/>
    <cellStyle name="Percent 5 4" xfId="1751" xr:uid="{00000000-0005-0000-0000-0000D7060000}"/>
    <cellStyle name="Percent 6" xfId="1752" xr:uid="{00000000-0005-0000-0000-0000D8060000}"/>
    <cellStyle name="Percent 6 2" xfId="1705" xr:uid="{00000000-0005-0000-0000-0000A9060000}"/>
    <cellStyle name="Percent 6 2 2" xfId="1753" xr:uid="{00000000-0005-0000-0000-0000D9060000}"/>
    <cellStyle name="Percent 6 2 2 2" xfId="1754" xr:uid="{00000000-0005-0000-0000-0000DA060000}"/>
    <cellStyle name="Percent 6 2 2 3" xfId="1755" xr:uid="{00000000-0005-0000-0000-0000DB060000}"/>
    <cellStyle name="Percent 6 2 3" xfId="307" xr:uid="{00000000-0005-0000-0000-000033010000}"/>
    <cellStyle name="Percent 6 2 4" xfId="315" xr:uid="{00000000-0005-0000-0000-00003B010000}"/>
    <cellStyle name="Percent 6 2 5" xfId="270" xr:uid="{00000000-0005-0000-0000-00000E010000}"/>
    <cellStyle name="Percent 6 2 6" xfId="1756" xr:uid="{00000000-0005-0000-0000-0000DC060000}"/>
    <cellStyle name="Percent 6 3" xfId="1757" xr:uid="{00000000-0005-0000-0000-0000DD060000}"/>
    <cellStyle name="Percent 6 3 2" xfId="1758" xr:uid="{00000000-0005-0000-0000-0000DE060000}"/>
    <cellStyle name="Percent 6 3 3" xfId="321" xr:uid="{00000000-0005-0000-0000-000041010000}"/>
    <cellStyle name="Percent 6 4" xfId="1760" xr:uid="{00000000-0005-0000-0000-0000E0060000}"/>
    <cellStyle name="Percent 6 4 2" xfId="1241" xr:uid="{00000000-0005-0000-0000-0000D9040000}"/>
    <cellStyle name="Percent 6 4 3" xfId="1244" xr:uid="{00000000-0005-0000-0000-0000DC040000}"/>
    <cellStyle name="Percent 6 5" xfId="1759" xr:uid="{00000000-0005-0000-0000-0000DF060000}"/>
    <cellStyle name="Percent 6 6" xfId="320" xr:uid="{00000000-0005-0000-0000-000040010000}"/>
    <cellStyle name="Percent 6 7" xfId="826" xr:uid="{00000000-0005-0000-0000-00003A030000}"/>
    <cellStyle name="Percent 6 8" xfId="1761" xr:uid="{00000000-0005-0000-0000-0000E1060000}"/>
    <cellStyle name="Percent 7" xfId="1762" xr:uid="{00000000-0005-0000-0000-0000E2060000}"/>
    <cellStyle name="Percent 7 2" xfId="1233" xr:uid="{00000000-0005-0000-0000-0000D1040000}"/>
    <cellStyle name="Percent 7 2 2" xfId="1235" xr:uid="{00000000-0005-0000-0000-0000D3040000}"/>
    <cellStyle name="Percent 7 2 3" xfId="864" xr:uid="{00000000-0005-0000-0000-000060030000}"/>
    <cellStyle name="Percent 7 3" xfId="1237" xr:uid="{00000000-0005-0000-0000-0000D5040000}"/>
    <cellStyle name="Percent 7 4" xfId="1239" xr:uid="{00000000-0005-0000-0000-0000D7040000}"/>
    <cellStyle name="Percent 7 5" xfId="1242" xr:uid="{00000000-0005-0000-0000-0000DA040000}"/>
    <cellStyle name="Percent 7 6" xfId="1245" xr:uid="{00000000-0005-0000-0000-0000DD040000}"/>
    <cellStyle name="Percent 8" xfId="712" xr:uid="{00000000-0005-0000-0000-0000C8020000}"/>
    <cellStyle name="Percent 8 2" xfId="715" xr:uid="{00000000-0005-0000-0000-0000CB020000}"/>
    <cellStyle name="Percent 8 3" xfId="729" xr:uid="{00000000-0005-0000-0000-0000D9020000}"/>
    <cellStyle name="Percent 9" xfId="745" xr:uid="{00000000-0005-0000-0000-0000E9020000}"/>
    <cellStyle name="Percent 9 2" xfId="748" xr:uid="{00000000-0005-0000-0000-0000EC020000}"/>
    <cellStyle name="Percent 9 3" xfId="762" xr:uid="{00000000-0005-0000-0000-0000FA020000}"/>
    <cellStyle name="Standard 2" xfId="575" xr:uid="{00000000-0005-0000-0000-00003F020000}"/>
    <cellStyle name="Standard 2 2" xfId="273" xr:uid="{00000000-0005-0000-0000-000011010000}"/>
    <cellStyle name="Standard 2 2 2" xfId="275" xr:uid="{00000000-0005-0000-0000-000013010000}"/>
    <cellStyle name="Standard 2 3" xfId="280" xr:uid="{00000000-0005-0000-0000-000018010000}"/>
    <cellStyle name="Standard 2 4" xfId="1763" xr:uid="{00000000-0005-0000-0000-0000E3060000}"/>
    <cellStyle name="Style 1" xfId="1764" xr:uid="{00000000-0005-0000-0000-0000E4060000}"/>
    <cellStyle name="Style 1 2" xfId="1134" xr:uid="{00000000-0005-0000-0000-00006E040000}"/>
    <cellStyle name="常规 2" xfId="1765" xr:uid="{00000000-0005-0000-0000-0000E5060000}"/>
    <cellStyle name="常规 2 2" xfId="1766" xr:uid="{00000000-0005-0000-0000-0000E6060000}"/>
    <cellStyle name="常规 2 2 2" xfId="1434" xr:uid="{00000000-0005-0000-0000-00009A050000}"/>
    <cellStyle name="常规 2 2 3" xfId="1436" xr:uid="{00000000-0005-0000-0000-00009C050000}"/>
    <cellStyle name="常规 2 3" xfId="1767" xr:uid="{00000000-0005-0000-0000-0000E7060000}"/>
    <cellStyle name="普通 2" xfId="526" xr:uid="{00000000-0005-0000-0000-00000E020000}"/>
    <cellStyle name="普通 2 10" xfId="1768" xr:uid="{00000000-0005-0000-0000-0000E8060000}"/>
    <cellStyle name="普通 2 11" xfId="1656" xr:uid="{00000000-0005-0000-0000-000078060000}"/>
    <cellStyle name="普通 2 12" xfId="1658" xr:uid="{00000000-0005-0000-0000-00007A060000}"/>
    <cellStyle name="普通 2 2" xfId="1769" xr:uid="{00000000-0005-0000-0000-0000E9060000}"/>
    <cellStyle name="普通 2 2 2" xfId="1770" xr:uid="{00000000-0005-0000-0000-0000EA060000}"/>
    <cellStyle name="普通 2 2 2 2" xfId="1771" xr:uid="{00000000-0005-0000-0000-0000EB060000}"/>
    <cellStyle name="普通 2 2 2 2 2" xfId="1772" xr:uid="{00000000-0005-0000-0000-0000EC060000}"/>
    <cellStyle name="普通 2 2 2 2 3" xfId="1773" xr:uid="{00000000-0005-0000-0000-0000ED060000}"/>
    <cellStyle name="普通 2 2 2 3" xfId="1774" xr:uid="{00000000-0005-0000-0000-0000EE060000}"/>
    <cellStyle name="普通 2 2 2 4" xfId="1775" xr:uid="{00000000-0005-0000-0000-0000EF060000}"/>
    <cellStyle name="普通 2 2 2 5" xfId="1776" xr:uid="{00000000-0005-0000-0000-0000F0060000}"/>
    <cellStyle name="普通 2 2 2 6" xfId="1165" xr:uid="{00000000-0005-0000-0000-00008D040000}"/>
    <cellStyle name="普通 2 2 3" xfId="1777" xr:uid="{00000000-0005-0000-0000-0000F1060000}"/>
    <cellStyle name="普通 2 2 3 2" xfId="1778" xr:uid="{00000000-0005-0000-0000-0000F2060000}"/>
    <cellStyle name="普通 2 2 3 2 2" xfId="1779" xr:uid="{00000000-0005-0000-0000-0000F3060000}"/>
    <cellStyle name="普通 2 2 3 2 3" xfId="1780" xr:uid="{00000000-0005-0000-0000-0000F4060000}"/>
    <cellStyle name="普通 2 2 3 3" xfId="1781" xr:uid="{00000000-0005-0000-0000-0000F5060000}"/>
    <cellStyle name="普通 2 2 3 4" xfId="1782" xr:uid="{00000000-0005-0000-0000-0000F6060000}"/>
    <cellStyle name="普通 2 2 3 5" xfId="12" xr:uid="{00000000-0005-0000-0000-00000C000000}"/>
    <cellStyle name="普通 2 2 3 6" xfId="1783" xr:uid="{00000000-0005-0000-0000-0000F7060000}"/>
    <cellStyle name="普通 2 2 4" xfId="1784" xr:uid="{00000000-0005-0000-0000-0000F8060000}"/>
    <cellStyle name="普通 2 2 4 2" xfId="1785" xr:uid="{00000000-0005-0000-0000-0000F9060000}"/>
    <cellStyle name="普通 2 2 4 3" xfId="1786" xr:uid="{00000000-0005-0000-0000-0000FA060000}"/>
    <cellStyle name="普通 2 2 5" xfId="1787" xr:uid="{00000000-0005-0000-0000-0000FB060000}"/>
    <cellStyle name="普通 2 2 5 2" xfId="1788" xr:uid="{00000000-0005-0000-0000-0000FC060000}"/>
    <cellStyle name="普通 2 2 5 3" xfId="1789" xr:uid="{00000000-0005-0000-0000-0000FD060000}"/>
    <cellStyle name="普通 2 2 6" xfId="1790" xr:uid="{00000000-0005-0000-0000-0000FE060000}"/>
    <cellStyle name="普通 2 2 7" xfId="1791" xr:uid="{00000000-0005-0000-0000-0000FF060000}"/>
    <cellStyle name="普通 2 2 8" xfId="1792" xr:uid="{00000000-0005-0000-0000-000000070000}"/>
    <cellStyle name="普通 2 2 9" xfId="1793" xr:uid="{00000000-0005-0000-0000-000001070000}"/>
    <cellStyle name="普通 2 3" xfId="1794" xr:uid="{00000000-0005-0000-0000-000002070000}"/>
    <cellStyle name="普通 2 3 2" xfId="1795" xr:uid="{00000000-0005-0000-0000-000003070000}"/>
    <cellStyle name="普通 2 3 2 2" xfId="1796" xr:uid="{00000000-0005-0000-0000-000004070000}"/>
    <cellStyle name="普通 2 3 2 2 2" xfId="1797" xr:uid="{00000000-0005-0000-0000-000005070000}"/>
    <cellStyle name="普通 2 3 2 2 3" xfId="1798" xr:uid="{00000000-0005-0000-0000-000006070000}"/>
    <cellStyle name="普通 2 3 2 3" xfId="1799" xr:uid="{00000000-0005-0000-0000-000007070000}"/>
    <cellStyle name="普通 2 3 2 4" xfId="1800" xr:uid="{00000000-0005-0000-0000-000008070000}"/>
    <cellStyle name="普通 2 3 2 5" xfId="1801" xr:uid="{00000000-0005-0000-0000-000009070000}"/>
    <cellStyle name="普通 2 3 2 6" xfId="1802" xr:uid="{00000000-0005-0000-0000-00000A070000}"/>
    <cellStyle name="普通 2 3 3" xfId="1803" xr:uid="{00000000-0005-0000-0000-00000B070000}"/>
    <cellStyle name="普通 2 3 3 2" xfId="1720" xr:uid="{00000000-0005-0000-0000-0000B8060000}"/>
    <cellStyle name="普通 2 3 3 3" xfId="1729" xr:uid="{00000000-0005-0000-0000-0000C1060000}"/>
    <cellStyle name="普通 2 3 4" xfId="1804" xr:uid="{00000000-0005-0000-0000-00000C070000}"/>
    <cellStyle name="普通 2 3 4 2" xfId="595" xr:uid="{00000000-0005-0000-0000-000053020000}"/>
    <cellStyle name="普通 2 3 4 3" xfId="338" xr:uid="{00000000-0005-0000-0000-000052010000}"/>
    <cellStyle name="普通 2 3 5" xfId="1805" xr:uid="{00000000-0005-0000-0000-00000D070000}"/>
    <cellStyle name="普通 2 3 6" xfId="1806" xr:uid="{00000000-0005-0000-0000-00000E070000}"/>
    <cellStyle name="普通 2 3 7" xfId="1807" xr:uid="{00000000-0005-0000-0000-00000F070000}"/>
    <cellStyle name="普通 2 3 8" xfId="1808" xr:uid="{00000000-0005-0000-0000-000010070000}"/>
    <cellStyle name="普通 2 4" xfId="1809" xr:uid="{00000000-0005-0000-0000-000011070000}"/>
    <cellStyle name="普通 2 4 2" xfId="1810" xr:uid="{00000000-0005-0000-0000-000012070000}"/>
    <cellStyle name="普通 2 4 2 2" xfId="1811" xr:uid="{00000000-0005-0000-0000-000013070000}"/>
    <cellStyle name="普通 2 4 2 3" xfId="1812" xr:uid="{00000000-0005-0000-0000-000014070000}"/>
    <cellStyle name="普通 2 4 3" xfId="1813" xr:uid="{00000000-0005-0000-0000-000015070000}"/>
    <cellStyle name="普通 2 4 3 2" xfId="1814" xr:uid="{00000000-0005-0000-0000-000016070000}"/>
    <cellStyle name="普通 2 4 3 3" xfId="1815" xr:uid="{00000000-0005-0000-0000-000017070000}"/>
    <cellStyle name="普通 2 4 4" xfId="1816" xr:uid="{00000000-0005-0000-0000-000018070000}"/>
    <cellStyle name="普通 2 4 5" xfId="1817" xr:uid="{00000000-0005-0000-0000-000019070000}"/>
    <cellStyle name="普通 2 4 6" xfId="1818" xr:uid="{00000000-0005-0000-0000-00001A070000}"/>
    <cellStyle name="普通 2 4 7" xfId="1819" xr:uid="{00000000-0005-0000-0000-00001B070000}"/>
    <cellStyle name="普通 2 5" xfId="1820" xr:uid="{00000000-0005-0000-0000-00001C070000}"/>
    <cellStyle name="普通 2 5 2" xfId="1479" xr:uid="{00000000-0005-0000-0000-0000C7050000}"/>
    <cellStyle name="普通 2 5 2 2" xfId="1481" xr:uid="{00000000-0005-0000-0000-0000C9050000}"/>
    <cellStyle name="普通 2 5 2 3" xfId="1483" xr:uid="{00000000-0005-0000-0000-0000CB050000}"/>
    <cellStyle name="普通 2 5 3" xfId="1485" xr:uid="{00000000-0005-0000-0000-0000CD050000}"/>
    <cellStyle name="普通 2 5 4" xfId="1487" xr:uid="{00000000-0005-0000-0000-0000CF050000}"/>
    <cellStyle name="普通 2 5 5" xfId="1489" xr:uid="{00000000-0005-0000-0000-0000D1050000}"/>
    <cellStyle name="普通 2 5 6" xfId="1491" xr:uid="{00000000-0005-0000-0000-0000D3050000}"/>
    <cellStyle name="普通 2 6" xfId="1821" xr:uid="{00000000-0005-0000-0000-00001D070000}"/>
    <cellStyle name="普通 2 6 2" xfId="967" xr:uid="{00000000-0005-0000-0000-0000C7030000}"/>
    <cellStyle name="普通 2 6 2 2" xfId="1822" xr:uid="{00000000-0005-0000-0000-00001E070000}"/>
    <cellStyle name="普通 2 6 2 3" xfId="1823" xr:uid="{00000000-0005-0000-0000-00001F070000}"/>
    <cellStyle name="普通 2 6 3" xfId="1497" xr:uid="{00000000-0005-0000-0000-0000D9050000}"/>
    <cellStyle name="普通 2 6 4" xfId="1499" xr:uid="{00000000-0005-0000-0000-0000DB050000}"/>
    <cellStyle name="普通 2 6 5" xfId="1824" xr:uid="{00000000-0005-0000-0000-000020070000}"/>
    <cellStyle name="普通 2 6 6" xfId="1825" xr:uid="{00000000-0005-0000-0000-000021070000}"/>
    <cellStyle name="普通 2 7" xfId="1324" xr:uid="{00000000-0005-0000-0000-00002C050000}"/>
    <cellStyle name="普通 2 7 2" xfId="974" xr:uid="{00000000-0005-0000-0000-0000CE030000}"/>
    <cellStyle name="普通 2 7 3" xfId="1329" xr:uid="{00000000-0005-0000-0000-000031050000}"/>
    <cellStyle name="普通 2 8" xfId="1335" xr:uid="{00000000-0005-0000-0000-000037050000}"/>
    <cellStyle name="普通 2 8 2" xfId="1338" xr:uid="{00000000-0005-0000-0000-00003A050000}"/>
    <cellStyle name="普通 2 8 3" xfId="1342" xr:uid="{00000000-0005-0000-0000-00003E050000}"/>
    <cellStyle name="普通 2 9" xfId="1348" xr:uid="{00000000-0005-0000-0000-000044050000}"/>
    <cellStyle name="普通 3" xfId="528" xr:uid="{00000000-0005-0000-0000-000010020000}"/>
    <cellStyle name="普通 3 2" xfId="1826" xr:uid="{00000000-0005-0000-0000-000022070000}"/>
    <cellStyle name="普通 3 2 2" xfId="1827" xr:uid="{00000000-0005-0000-0000-000023070000}"/>
    <cellStyle name="普通 3 3" xfId="1828" xr:uid="{00000000-0005-0000-0000-000024070000}"/>
    <cellStyle name="普通 3 4" xfId="1829" xr:uid="{00000000-0005-0000-0000-000025070000}"/>
    <cellStyle name="解释性文本 2" xfId="884" xr:uid="{00000000-0005-0000-0000-000074030000}"/>
    <cellStyle name="解释性文本 2 2" xfId="1830" xr:uid="{00000000-0005-0000-0000-000026070000}"/>
    <cellStyle name="解释性文本 2 3" xfId="1831" xr:uid="{00000000-0005-0000-0000-000027070000}"/>
    <cellStyle name="解释性文本 3" xfId="1832" xr:uid="{00000000-0005-0000-0000-000028070000}"/>
    <cellStyle name="适中 2" xfId="96" xr:uid="{00000000-0005-0000-0000-000060000000}"/>
    <cellStyle name="适中 2 2" xfId="1833" xr:uid="{00000000-0005-0000-0000-000029070000}"/>
    <cellStyle name="适中 2 3" xfId="1834" xr:uid="{00000000-0005-0000-0000-00002A070000}"/>
    <cellStyle name="适中 3" xfId="605" xr:uid="{00000000-0005-0000-0000-00005D020000}"/>
  </cellStyles>
  <dxfs count="117">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color theme="0"/>
      </font>
      <fill>
        <patternFill patternType="solid">
          <bgColor rgb="FFFF0000"/>
        </patternFill>
      </fill>
    </dxf>
    <dxf>
      <font>
        <b/>
        <color theme="1"/>
      </font>
      <fill>
        <patternFill patternType="solid">
          <bgColor rgb="FFFFD347"/>
        </patternFill>
      </fill>
    </dxf>
    <dxf>
      <font>
        <b/>
        <color theme="1"/>
      </font>
      <fill>
        <patternFill patternType="solid">
          <bgColor rgb="FFFFFF00"/>
        </patternFill>
      </fill>
    </dxf>
    <dxf>
      <font>
        <b/>
        <color theme="1"/>
      </font>
      <fill>
        <patternFill patternType="solid">
          <bgColor rgb="FF00CC00"/>
        </patternFill>
      </fill>
    </dxf>
    <dxf>
      <font>
        <b/>
        <color theme="1"/>
      </font>
      <fill>
        <patternFill patternType="solid">
          <bgColor rgb="FF33CC33"/>
        </patternFill>
      </fill>
    </dxf>
    <dxf>
      <font>
        <b/>
        <color theme="0"/>
      </font>
      <fill>
        <patternFill>
          <bgColor rgb="FFFF0000"/>
        </patternFill>
      </fill>
    </dxf>
    <dxf>
      <font>
        <b/>
        <color theme="0"/>
      </font>
      <fill>
        <patternFill patternType="solid">
          <bgColor rgb="FFFF0000"/>
        </patternFill>
      </fill>
    </dxf>
    <dxf>
      <font>
        <b/>
        <color theme="1"/>
      </font>
      <fill>
        <patternFill patternType="solid">
          <bgColor rgb="FFFFD347"/>
        </patternFill>
      </fill>
    </dxf>
    <dxf>
      <font>
        <b/>
        <color theme="1"/>
      </font>
      <fill>
        <patternFill patternType="solid">
          <bgColor rgb="FFFFFF00"/>
        </patternFill>
      </fill>
    </dxf>
    <dxf>
      <font>
        <b/>
        <color theme="1"/>
      </font>
      <fill>
        <patternFill patternType="solid">
          <bgColor rgb="FF00CC00"/>
        </patternFill>
      </fill>
    </dxf>
    <dxf>
      <font>
        <b/>
        <color theme="1"/>
      </font>
      <fill>
        <patternFill patternType="solid">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color theme="0"/>
      </font>
      <fill>
        <patternFill>
          <bgColor rgb="FFFF0000"/>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rgb="FFFFFFFF"/>
      </font>
      <fill>
        <patternFill>
          <bgColor rgb="FFFF0000"/>
        </patternFill>
      </fill>
    </dxf>
    <dxf>
      <font>
        <b/>
        <color rgb="FF000000"/>
      </font>
      <fill>
        <patternFill>
          <bgColor rgb="FFFFD347"/>
        </patternFill>
      </fill>
    </dxf>
    <dxf>
      <font>
        <b/>
        <color rgb="FF000000"/>
      </font>
      <fill>
        <patternFill>
          <bgColor rgb="FFFFFF00"/>
        </patternFill>
      </fill>
    </dxf>
    <dxf>
      <font>
        <b/>
        <color rgb="FF000000"/>
      </font>
      <fill>
        <patternFill>
          <bgColor rgb="FF00CC00"/>
        </patternFill>
      </fill>
    </dxf>
    <dxf>
      <font>
        <b/>
        <color rgb="FF000000"/>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ont>
        <b/>
        <color theme="0"/>
      </font>
      <fill>
        <patternFill>
          <bgColor rgb="FFFF0000"/>
        </patternFill>
      </fill>
    </dxf>
    <dxf>
      <font>
        <b/>
        <color theme="1"/>
      </font>
      <fill>
        <patternFill>
          <bgColor rgb="FFFFD347"/>
        </patternFill>
      </fill>
    </dxf>
    <dxf>
      <font>
        <b/>
        <color theme="1"/>
      </font>
      <fill>
        <patternFill>
          <bgColor rgb="FFFFFF00"/>
        </patternFill>
      </fill>
    </dxf>
    <dxf>
      <font>
        <b/>
        <color theme="1"/>
      </font>
      <fill>
        <patternFill>
          <bgColor rgb="FF00CC00"/>
        </patternFill>
      </fill>
    </dxf>
    <dxf>
      <font>
        <b/>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b/>
        <color rgb="FFFF0000"/>
      </font>
    </dxf>
    <dxf>
      <font>
        <b/>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pivotCacheDefinition" Target="pivotCache/pivotCacheDefinition3.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pivotCacheDefinition" Target="pivotCache/pivotCacheDefinition6.xml"/><Relationship Id="rId74"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pivotCacheDefinition" Target="pivotCache/pivotCacheDefinition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pivotCacheDefinition" Target="pivotCache/pivotCacheDefinition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pivotCacheDefinition" Target="pivotCache/pivotCacheDefinition5.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6.xml.rels><?xml version="1.0" encoding="UTF-8" standalone="yes"?>
<Relationships xmlns="http://schemas.openxmlformats.org/package/2006/relationships"><Relationship Id="rId1" Type="http://schemas.openxmlformats.org/officeDocument/2006/relationships/image" Target="../media/image15.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144780</xdr:colOff>
          <xdr:row>1</xdr:row>
          <xdr:rowOff>190500</xdr:rowOff>
        </xdr:from>
        <xdr:to>
          <xdr:col>2</xdr:col>
          <xdr:colOff>487680</xdr:colOff>
          <xdr:row>1</xdr:row>
          <xdr:rowOff>594360</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0000000-0008-0000-0200-00000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4</xdr:row>
          <xdr:rowOff>182880</xdr:rowOff>
        </xdr:from>
        <xdr:to>
          <xdr:col>2</xdr:col>
          <xdr:colOff>472440</xdr:colOff>
          <xdr:row>4</xdr:row>
          <xdr:rowOff>586740</xdr:rowOff>
        </xdr:to>
        <xdr:sp macro="" textlink="">
          <xdr:nvSpPr>
            <xdr:cNvPr id="176130" name="Button 2" hidden="1">
              <a:extLst>
                <a:ext uri="{63B3BB69-23CF-44E3-9099-C40C66FF867C}">
                  <a14:compatExt spid="_x0000_s176130"/>
                </a:ext>
                <a:ext uri="{FF2B5EF4-FFF2-40B4-BE49-F238E27FC236}">
                  <a16:creationId xmlns:a16="http://schemas.microsoft.com/office/drawing/2014/main" id="{00000000-0008-0000-0200-000002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Destination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7</xdr:row>
          <xdr:rowOff>182880</xdr:rowOff>
        </xdr:from>
        <xdr:to>
          <xdr:col>3</xdr:col>
          <xdr:colOff>129540</xdr:colOff>
          <xdr:row>7</xdr:row>
          <xdr:rowOff>586740</xdr:rowOff>
        </xdr:to>
        <xdr:sp macro="" textlink="">
          <xdr:nvSpPr>
            <xdr:cNvPr id="176131" name="Button 3" hidden="1">
              <a:extLst>
                <a:ext uri="{63B3BB69-23CF-44E3-9099-C40C66FF867C}">
                  <a14:compatExt spid="_x0000_s176131"/>
                </a:ext>
                <a:ext uri="{FF2B5EF4-FFF2-40B4-BE49-F238E27FC236}">
                  <a16:creationId xmlns:a16="http://schemas.microsoft.com/office/drawing/2014/main" id="{00000000-0008-0000-0200-000003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source to destination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a:ln>
          <a:prstDash val="solid"/>
        </a:ln>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a:ln>
          <a:prstDash val="solid"/>
        </a:ln>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a:ln>
          <a:prstDash val="solid"/>
        </a:ln>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a:ln>
          <a:prstDash val="solid"/>
        </a:ln>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a:ln>
          <a:prstDash val="solid"/>
        </a:ln>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a:ln>
          <a:prstDash val="solid"/>
        </a:ln>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a:ln>
          <a:prstDash val="solid"/>
        </a:ln>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a:ln>
          <a:prstDash val="solid"/>
        </a:ln>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a:ln>
          <a:prstDash val="solid"/>
        </a:ln>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a:ln>
          <a:prstDash val="solid"/>
        </a:ln>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a:ln>
          <a:prstDash val="solid"/>
        </a:ln>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a:ln>
          <a:prstDash val="solid"/>
        </a:ln>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5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5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5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5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5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5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5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5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5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1009650</xdr:colOff>
      <xdr:row>14</xdr:row>
      <xdr:rowOff>43815</xdr:rowOff>
    </xdr:from>
    <xdr:to>
      <xdr:col>1</xdr:col>
      <xdr:colOff>2874645</xdr:colOff>
      <xdr:row>15</xdr:row>
      <xdr:rowOff>60589</xdr:rowOff>
    </xdr:to>
    <xdr:pic>
      <xdr:nvPicPr>
        <xdr:cNvPr id="4" name="Picture 3">
          <a:extLst>
            <a:ext uri="{FF2B5EF4-FFF2-40B4-BE49-F238E27FC236}">
              <a16:creationId xmlns:a16="http://schemas.microsoft.com/office/drawing/2014/main" id="{C158CE49-A19A-C7B0-748D-75750AACDFBE}"/>
            </a:ext>
          </a:extLst>
        </xdr:cNvPr>
        <xdr:cNvPicPr>
          <a:picLocks noChangeAspect="1"/>
        </xdr:cNvPicPr>
      </xdr:nvPicPr>
      <xdr:blipFill rotWithShape="1">
        <a:blip xmlns:r="http://schemas.openxmlformats.org/officeDocument/2006/relationships" r:embed="rId1"/>
        <a:srcRect t="30687" b="27455"/>
        <a:stretch/>
      </xdr:blipFill>
      <xdr:spPr>
        <a:xfrm>
          <a:off x="3648075" y="4625340"/>
          <a:ext cx="1874520" cy="7825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350520</xdr:colOff>
          <xdr:row>38</xdr:row>
          <xdr:rowOff>83820</xdr:rowOff>
        </xdr:from>
        <xdr:to>
          <xdr:col>2</xdr:col>
          <xdr:colOff>2346960</xdr:colOff>
          <xdr:row>41</xdr:row>
          <xdr:rowOff>121920</xdr:rowOff>
        </xdr:to>
        <xdr:sp macro="" textlink="">
          <xdr:nvSpPr>
            <xdr:cNvPr id="194562" name="Button 2" hidden="1">
              <a:extLst>
                <a:ext uri="{63B3BB69-23CF-44E3-9099-C40C66FF867C}">
                  <a14:compatExt spid="_x0000_s194562"/>
                </a:ext>
                <a:ext uri="{FF2B5EF4-FFF2-40B4-BE49-F238E27FC236}">
                  <a16:creationId xmlns:a16="http://schemas.microsoft.com/office/drawing/2014/main" id="{00000000-0008-0000-0D00-000002F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Populate Staff Guide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00000000-000A-0000-FFFF-FFFF00000000}">
  <cacheSource type="worksheet">
    <worksheetSource ref="A2:B565"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00000000-000A-0000-FFFF-FFFF01000000}">
  <cacheSource type="worksheet">
    <worksheetSource ref="A2:Y103"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00000000-000A-0000-FFFF-FFFF02000000}">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00000000-000A-0000-FFFF-FFFF0300000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00000000-000A-0000-FFFF-FFFF04000000}">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00000000-000A-0000-FFFF-FFFF05000000}">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2.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3.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4.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6.xml><?xml version="1.0" encoding="utf-8"?>
<pivotCacheRecords xmlns="http://schemas.openxmlformats.org/spreadsheetml/2006/main"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3B00-000000000000}" name="PivotTable1"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3B00-000001000000}"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3B00-000002000000}"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3B00-000003000000}" name="PivotTable2"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3B00-000004000000}"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3B00-000005000000}"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3B00-000006000000}" name="PivotTable2"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3B00-000007000000}"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3B00-0000080000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https://github.com/DemixTech/CMMITools" TargetMode="External"/><Relationship Id="rId2" Type="http://schemas.openxmlformats.org/officeDocument/2006/relationships/hyperlink" Target="https://github.com/DemixTech/CMMITools/blob/main/LICENSE" TargetMode="External"/><Relationship Id="rId1" Type="http://schemas.openxmlformats.org/officeDocument/2006/relationships/hyperlink" Target="http://www.demix.org/"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compart.com/en/unicode/U+2022" TargetMode="Externa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mailto:melanie.vanzyl@demix.org"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4" Type="http://schemas.openxmlformats.org/officeDocument/2006/relationships/hyperlink" Target="mailto:lynn@tbd.com" TargetMode="External"/></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hyperlink" Target="https://www.szis.com.cn/" TargetMode="Externa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comments" Target="../comments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0.xml.rels><?xml version="1.0" encoding="UTF-8" standalone="yes"?>
<Relationships xmlns="http://schemas.openxmlformats.org/package/2006/relationships"><Relationship Id="rId8" Type="http://schemas.openxmlformats.org/officeDocument/2006/relationships/hyperlink" Target="mailto:atm4.email@gmail.com" TargetMode="External"/><Relationship Id="rId13" Type="http://schemas.openxmlformats.org/officeDocument/2006/relationships/hyperlink" Target="mailto:atm1.email@gmail.com" TargetMode="External"/><Relationship Id="rId3" Type="http://schemas.openxmlformats.org/officeDocument/2006/relationships/hyperlink" Target="mailto:qianjiedi@gktel.com.cn" TargetMode="External"/><Relationship Id="rId7" Type="http://schemas.openxmlformats.org/officeDocument/2006/relationships/hyperlink" Target="mailto:atm3.email@gmail.com" TargetMode="External"/><Relationship Id="rId12" Type="http://schemas.openxmlformats.org/officeDocument/2006/relationships/hyperlink" Target="mailto:atm1.email@gmail.com" TargetMode="External"/><Relationship Id="rId17" Type="http://schemas.openxmlformats.org/officeDocument/2006/relationships/comments" Target="../comments5.xml"/><Relationship Id="rId2" Type="http://schemas.openxmlformats.org/officeDocument/2006/relationships/hyperlink" Target="mailto:dkessler@gmail.com" TargetMode="External"/><Relationship Id="rId16" Type="http://schemas.openxmlformats.org/officeDocument/2006/relationships/vmlDrawing" Target="../drawings/vmlDrawing8.v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1.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1.email@gmail.com" TargetMode="External"/><Relationship Id="rId10" Type="http://schemas.openxmlformats.org/officeDocument/2006/relationships/hyperlink" Target="mailto:atm1.email@gmail.com" TargetMode="External"/><Relationship Id="rId4" Type="http://schemas.openxmlformats.org/officeDocument/2006/relationships/hyperlink" Target="mailto:fengxiaoling@aski.cc" TargetMode="External"/><Relationship Id="rId9" Type="http://schemas.openxmlformats.org/officeDocument/2006/relationships/hyperlink" Target="mailto:atm1.email@gmail.com" TargetMode="External"/><Relationship Id="rId14" Type="http://schemas.openxmlformats.org/officeDocument/2006/relationships/hyperlink" Target="mailto:chris.hemswoth@mailcom" TargetMode="External"/></Relationships>
</file>

<file path=xl/worksheets/_rels/sheet2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9.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10.v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4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7.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4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49.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59.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3"/>
  <dimension ref="A1:G154"/>
  <sheetViews>
    <sheetView workbookViewId="0">
      <pane ySplit="1" topLeftCell="A7" activePane="bottomLeft" state="frozen"/>
      <selection pane="bottomLeft" activeCell="F27" sqref="F27"/>
    </sheetView>
  </sheetViews>
  <sheetFormatPr defaultRowHeight="14.4"/>
  <cols>
    <col min="1" max="1" width="15" customWidth="1"/>
    <col min="2" max="2" width="45" customWidth="1"/>
    <col min="3" max="3" width="55" customWidth="1"/>
    <col min="4" max="4" width="6" customWidth="1"/>
    <col min="5" max="5" width="10" customWidth="1"/>
    <col min="6" max="7" width="40" customWidth="1"/>
  </cols>
  <sheetData>
    <row r="1" spans="1:7">
      <c r="A1" s="416" t="s">
        <v>0</v>
      </c>
      <c r="B1" s="416" t="s">
        <v>1</v>
      </c>
      <c r="C1" s="416" t="s">
        <v>2</v>
      </c>
      <c r="D1" s="416" t="s">
        <v>3</v>
      </c>
      <c r="E1" s="416" t="s">
        <v>4</v>
      </c>
      <c r="F1" s="416" t="s">
        <v>5</v>
      </c>
      <c r="G1" s="416" t="s">
        <v>6</v>
      </c>
    </row>
    <row r="2" spans="1:7">
      <c r="A2" s="417" t="s">
        <v>7</v>
      </c>
      <c r="B2" s="417" t="s">
        <v>8</v>
      </c>
      <c r="C2" s="417" t="s">
        <v>9</v>
      </c>
      <c r="D2" s="417">
        <v>1</v>
      </c>
      <c r="E2" s="417" t="s">
        <v>10</v>
      </c>
      <c r="F2" s="417"/>
      <c r="G2" s="417"/>
    </row>
    <row r="3" spans="1:7">
      <c r="A3" s="418" t="s">
        <v>7</v>
      </c>
      <c r="B3" s="418" t="s">
        <v>8</v>
      </c>
      <c r="C3" s="418" t="s">
        <v>11</v>
      </c>
      <c r="D3" s="418">
        <v>2</v>
      </c>
      <c r="E3" s="418" t="s">
        <v>12</v>
      </c>
      <c r="F3" s="418"/>
      <c r="G3" s="418"/>
    </row>
    <row r="4" spans="1:7">
      <c r="A4" s="418" t="s">
        <v>7</v>
      </c>
      <c r="B4" s="418" t="s">
        <v>8</v>
      </c>
      <c r="C4" s="418" t="s">
        <v>13</v>
      </c>
      <c r="D4" s="418">
        <v>3</v>
      </c>
      <c r="E4" s="418" t="s">
        <v>12</v>
      </c>
      <c r="F4" s="418"/>
      <c r="G4" s="418"/>
    </row>
    <row r="5" spans="1:7">
      <c r="A5" s="418" t="s">
        <v>7</v>
      </c>
      <c r="B5" s="418" t="s">
        <v>8</v>
      </c>
      <c r="C5" s="418" t="s">
        <v>14</v>
      </c>
      <c r="D5" s="418">
        <v>4</v>
      </c>
      <c r="E5" s="418" t="s">
        <v>12</v>
      </c>
      <c r="F5" s="418"/>
      <c r="G5" s="418"/>
    </row>
    <row r="6" spans="1:7">
      <c r="A6" s="418" t="s">
        <v>7</v>
      </c>
      <c r="B6" s="418" t="s">
        <v>8</v>
      </c>
      <c r="C6" s="418" t="s">
        <v>15</v>
      </c>
      <c r="D6" s="418">
        <v>5</v>
      </c>
      <c r="E6" s="418" t="s">
        <v>12</v>
      </c>
      <c r="F6" s="418"/>
      <c r="G6" s="418"/>
    </row>
    <row r="7" spans="1:7">
      <c r="A7" s="417" t="s">
        <v>7</v>
      </c>
      <c r="B7" s="417" t="s">
        <v>16</v>
      </c>
      <c r="C7" s="417" t="s">
        <v>9</v>
      </c>
      <c r="D7" s="417">
        <v>6</v>
      </c>
      <c r="E7" s="417" t="s">
        <v>10</v>
      </c>
      <c r="F7" s="417"/>
      <c r="G7" s="417"/>
    </row>
    <row r="8" spans="1:7">
      <c r="A8" s="418" t="s">
        <v>7</v>
      </c>
      <c r="B8" s="418" t="s">
        <v>16</v>
      </c>
      <c r="C8" s="418" t="s">
        <v>17</v>
      </c>
      <c r="D8" s="418">
        <v>7</v>
      </c>
      <c r="E8" s="418" t="s">
        <v>12</v>
      </c>
      <c r="F8" s="418"/>
      <c r="G8" s="418"/>
    </row>
    <row r="9" spans="1:7">
      <c r="A9" s="418" t="s">
        <v>7</v>
      </c>
      <c r="B9" s="418" t="s">
        <v>16</v>
      </c>
      <c r="C9" s="418" t="s">
        <v>18</v>
      </c>
      <c r="D9" s="418">
        <v>8</v>
      </c>
      <c r="E9" s="418" t="s">
        <v>12</v>
      </c>
      <c r="F9" s="418"/>
      <c r="G9" s="418"/>
    </row>
    <row r="10" spans="1:7">
      <c r="A10" s="418" t="s">
        <v>7</v>
      </c>
      <c r="B10" s="418" t="s">
        <v>16</v>
      </c>
      <c r="C10" s="418" t="s">
        <v>19</v>
      </c>
      <c r="D10" s="418">
        <v>9</v>
      </c>
      <c r="E10" s="418" t="s">
        <v>12</v>
      </c>
      <c r="F10" s="418"/>
      <c r="G10" s="418"/>
    </row>
    <row r="11" spans="1:7">
      <c r="A11" s="418" t="s">
        <v>7</v>
      </c>
      <c r="B11" s="418" t="s">
        <v>16</v>
      </c>
      <c r="C11" s="418" t="s">
        <v>20</v>
      </c>
      <c r="D11" s="418">
        <v>10</v>
      </c>
      <c r="E11" s="418" t="s">
        <v>12</v>
      </c>
      <c r="F11" s="418"/>
      <c r="G11" s="418"/>
    </row>
    <row r="12" spans="1:7">
      <c r="A12" s="418" t="s">
        <v>7</v>
      </c>
      <c r="B12" s="418" t="s">
        <v>16</v>
      </c>
      <c r="C12" s="418" t="s">
        <v>21</v>
      </c>
      <c r="D12" s="418">
        <v>11</v>
      </c>
      <c r="E12" s="418" t="s">
        <v>12</v>
      </c>
      <c r="F12" s="418" t="s">
        <v>22</v>
      </c>
      <c r="G12" s="418"/>
    </row>
    <row r="13" spans="1:7">
      <c r="A13" s="418" t="s">
        <v>7</v>
      </c>
      <c r="B13" s="418" t="s">
        <v>16</v>
      </c>
      <c r="C13" s="418" t="s">
        <v>23</v>
      </c>
      <c r="D13" s="418">
        <v>12</v>
      </c>
      <c r="E13" s="418" t="s">
        <v>12</v>
      </c>
      <c r="F13" s="418"/>
      <c r="G13" s="418"/>
    </row>
    <row r="14" spans="1:7">
      <c r="A14" s="418" t="s">
        <v>7</v>
      </c>
      <c r="B14" s="418" t="s">
        <v>16</v>
      </c>
      <c r="C14" s="418" t="s">
        <v>24</v>
      </c>
      <c r="D14" s="418">
        <v>13</v>
      </c>
      <c r="E14" s="418" t="s">
        <v>12</v>
      </c>
      <c r="F14" s="418"/>
      <c r="G14" s="418"/>
    </row>
    <row r="15" spans="1:7">
      <c r="A15" s="418" t="s">
        <v>7</v>
      </c>
      <c r="B15" s="418" t="s">
        <v>16</v>
      </c>
      <c r="C15" s="418" t="s">
        <v>25</v>
      </c>
      <c r="D15" s="418">
        <v>14</v>
      </c>
      <c r="E15" s="418" t="s">
        <v>12</v>
      </c>
      <c r="F15" s="418"/>
      <c r="G15" s="418"/>
    </row>
    <row r="16" spans="1:7">
      <c r="A16" s="417" t="s">
        <v>7</v>
      </c>
      <c r="B16" s="417" t="s">
        <v>26</v>
      </c>
      <c r="C16" s="417" t="s">
        <v>9</v>
      </c>
      <c r="D16" s="417">
        <v>15</v>
      </c>
      <c r="E16" s="417" t="s">
        <v>10</v>
      </c>
      <c r="F16" s="417"/>
      <c r="G16" s="417"/>
    </row>
    <row r="17" spans="1:7">
      <c r="A17" s="418" t="s">
        <v>7</v>
      </c>
      <c r="B17" s="418" t="s">
        <v>26</v>
      </c>
      <c r="C17" s="418" t="s">
        <v>27</v>
      </c>
      <c r="D17" s="418">
        <v>16</v>
      </c>
      <c r="E17" s="418" t="s">
        <v>12</v>
      </c>
      <c r="F17" s="418"/>
      <c r="G17" s="418"/>
    </row>
    <row r="18" spans="1:7">
      <c r="A18" s="418" t="s">
        <v>7</v>
      </c>
      <c r="B18" s="418" t="s">
        <v>26</v>
      </c>
      <c r="C18" s="418" t="s">
        <v>28</v>
      </c>
      <c r="D18" s="418">
        <v>17</v>
      </c>
      <c r="E18" s="418" t="s">
        <v>12</v>
      </c>
      <c r="F18" s="418"/>
      <c r="G18" s="418"/>
    </row>
    <row r="19" spans="1:7">
      <c r="A19" s="418" t="s">
        <v>7</v>
      </c>
      <c r="B19" s="418" t="s">
        <v>26</v>
      </c>
      <c r="C19" s="418" t="s">
        <v>29</v>
      </c>
      <c r="D19" s="418">
        <v>18</v>
      </c>
      <c r="E19" s="418" t="s">
        <v>12</v>
      </c>
      <c r="F19" s="418"/>
      <c r="G19" s="418"/>
    </row>
    <row r="20" spans="1:7">
      <c r="A20" s="418" t="s">
        <v>7</v>
      </c>
      <c r="B20" s="418" t="s">
        <v>26</v>
      </c>
      <c r="C20" s="418" t="s">
        <v>30</v>
      </c>
      <c r="D20" s="418">
        <v>19</v>
      </c>
      <c r="E20" s="418" t="s">
        <v>12</v>
      </c>
      <c r="F20" s="418"/>
      <c r="G20" s="418"/>
    </row>
    <row r="21" spans="1:7">
      <c r="A21" s="418" t="s">
        <v>7</v>
      </c>
      <c r="B21" s="418" t="s">
        <v>26</v>
      </c>
      <c r="C21" s="418" t="s">
        <v>31</v>
      </c>
      <c r="D21" s="418">
        <v>20</v>
      </c>
      <c r="E21" s="418" t="s">
        <v>12</v>
      </c>
      <c r="F21" s="418"/>
      <c r="G21" s="418"/>
    </row>
    <row r="22" spans="1:7">
      <c r="A22" s="417" t="s">
        <v>7</v>
      </c>
      <c r="B22" s="417" t="s">
        <v>32</v>
      </c>
      <c r="C22" s="417" t="s">
        <v>9</v>
      </c>
      <c r="D22" s="417">
        <v>21</v>
      </c>
      <c r="E22" s="417" t="s">
        <v>10</v>
      </c>
      <c r="F22" s="417"/>
      <c r="G22" s="417"/>
    </row>
    <row r="23" spans="1:7">
      <c r="A23" s="418" t="s">
        <v>7</v>
      </c>
      <c r="B23" s="418" t="s">
        <v>32</v>
      </c>
      <c r="C23" s="418" t="s">
        <v>33</v>
      </c>
      <c r="D23" s="418">
        <v>22</v>
      </c>
      <c r="E23" s="418" t="s">
        <v>12</v>
      </c>
      <c r="F23" s="418"/>
      <c r="G23" s="418"/>
    </row>
    <row r="24" spans="1:7">
      <c r="A24" s="418" t="s">
        <v>7</v>
      </c>
      <c r="B24" s="418" t="s">
        <v>32</v>
      </c>
      <c r="C24" s="418" t="s">
        <v>34</v>
      </c>
      <c r="D24" s="418">
        <v>23</v>
      </c>
      <c r="E24" s="418" t="s">
        <v>12</v>
      </c>
      <c r="F24" s="418"/>
      <c r="G24" s="418"/>
    </row>
    <row r="25" spans="1:7">
      <c r="A25" s="418" t="s">
        <v>7</v>
      </c>
      <c r="B25" s="418" t="s">
        <v>32</v>
      </c>
      <c r="C25" s="418" t="s">
        <v>35</v>
      </c>
      <c r="D25" s="418">
        <v>24</v>
      </c>
      <c r="E25" s="418" t="s">
        <v>12</v>
      </c>
      <c r="F25" s="418" t="s">
        <v>36</v>
      </c>
      <c r="G25" s="418"/>
    </row>
    <row r="26" spans="1:7">
      <c r="A26" s="418" t="s">
        <v>7</v>
      </c>
      <c r="B26" s="418" t="s">
        <v>32</v>
      </c>
      <c r="C26" s="418" t="s">
        <v>37</v>
      </c>
      <c r="D26" s="418">
        <v>25</v>
      </c>
      <c r="E26" s="418" t="s">
        <v>12</v>
      </c>
      <c r="F26" s="418" t="s">
        <v>38</v>
      </c>
      <c r="G26" s="418"/>
    </row>
    <row r="27" spans="1:7">
      <c r="A27" s="418" t="s">
        <v>7</v>
      </c>
      <c r="B27" s="418" t="s">
        <v>32</v>
      </c>
      <c r="C27" s="418" t="s">
        <v>39</v>
      </c>
      <c r="D27" s="418">
        <v>26</v>
      </c>
      <c r="E27" s="418" t="s">
        <v>12</v>
      </c>
      <c r="F27" s="418"/>
      <c r="G27" s="418"/>
    </row>
    <row r="28" spans="1:7">
      <c r="A28" s="418" t="s">
        <v>7</v>
      </c>
      <c r="B28" s="418" t="s">
        <v>32</v>
      </c>
      <c r="C28" s="418" t="s">
        <v>40</v>
      </c>
      <c r="D28" s="418">
        <v>27</v>
      </c>
      <c r="E28" s="419" t="s">
        <v>41</v>
      </c>
      <c r="F28" s="418"/>
      <c r="G28" s="418"/>
    </row>
    <row r="29" spans="1:7">
      <c r="A29" s="418" t="s">
        <v>7</v>
      </c>
      <c r="B29" s="418" t="s">
        <v>32</v>
      </c>
      <c r="C29" s="418" t="s">
        <v>42</v>
      </c>
      <c r="D29" s="418">
        <v>28</v>
      </c>
      <c r="E29" s="419" t="s">
        <v>41</v>
      </c>
      <c r="F29" s="418"/>
      <c r="G29" s="418"/>
    </row>
    <row r="30" spans="1:7">
      <c r="A30" s="417" t="s">
        <v>7</v>
      </c>
      <c r="B30" s="417" t="s">
        <v>43</v>
      </c>
      <c r="C30" s="417" t="s">
        <v>9</v>
      </c>
      <c r="D30" s="417">
        <v>29</v>
      </c>
      <c r="E30" s="417" t="s">
        <v>10</v>
      </c>
      <c r="F30" s="417"/>
      <c r="G30" s="417"/>
    </row>
    <row r="31" spans="1:7">
      <c r="A31" s="418" t="s">
        <v>7</v>
      </c>
      <c r="B31" s="418" t="s">
        <v>43</v>
      </c>
      <c r="C31" s="418" t="s">
        <v>17</v>
      </c>
      <c r="D31" s="418">
        <v>30</v>
      </c>
      <c r="E31" s="418" t="s">
        <v>12</v>
      </c>
      <c r="F31" s="418"/>
      <c r="G31" s="418"/>
    </row>
    <row r="32" spans="1:7">
      <c r="A32" s="418" t="s">
        <v>7</v>
      </c>
      <c r="B32" s="418" t="s">
        <v>43</v>
      </c>
      <c r="C32" s="418" t="s">
        <v>19</v>
      </c>
      <c r="D32" s="418">
        <v>31</v>
      </c>
      <c r="E32" s="418" t="s">
        <v>12</v>
      </c>
      <c r="F32" s="418"/>
      <c r="G32" s="418"/>
    </row>
    <row r="33" spans="1:7">
      <c r="A33" s="418" t="s">
        <v>7</v>
      </c>
      <c r="B33" s="418" t="s">
        <v>43</v>
      </c>
      <c r="C33" s="418" t="s">
        <v>23</v>
      </c>
      <c r="D33" s="418">
        <v>32</v>
      </c>
      <c r="E33" s="418" t="s">
        <v>12</v>
      </c>
      <c r="F33" s="418"/>
      <c r="G33" s="418"/>
    </row>
    <row r="34" spans="1:7">
      <c r="A34" s="418" t="s">
        <v>7</v>
      </c>
      <c r="B34" s="418" t="s">
        <v>43</v>
      </c>
      <c r="C34" s="418" t="s">
        <v>24</v>
      </c>
      <c r="D34" s="418">
        <v>33</v>
      </c>
      <c r="E34" s="418" t="s">
        <v>12</v>
      </c>
      <c r="F34" s="418"/>
      <c r="G34" s="418"/>
    </row>
    <row r="35" spans="1:7">
      <c r="A35" s="417" t="s">
        <v>7</v>
      </c>
      <c r="B35" s="417" t="s">
        <v>44</v>
      </c>
      <c r="C35" s="417" t="s">
        <v>9</v>
      </c>
      <c r="D35" s="417">
        <v>34</v>
      </c>
      <c r="E35" s="417" t="s">
        <v>10</v>
      </c>
      <c r="F35" s="417"/>
      <c r="G35" s="417"/>
    </row>
    <row r="36" spans="1:7">
      <c r="A36" s="418" t="s">
        <v>7</v>
      </c>
      <c r="B36" s="418" t="s">
        <v>44</v>
      </c>
      <c r="C36" s="418" t="s">
        <v>17</v>
      </c>
      <c r="D36" s="418">
        <v>35</v>
      </c>
      <c r="E36" s="418" t="s">
        <v>12</v>
      </c>
      <c r="F36" s="418"/>
      <c r="G36" s="418"/>
    </row>
    <row r="37" spans="1:7">
      <c r="A37" s="418" t="s">
        <v>7</v>
      </c>
      <c r="B37" s="418" t="s">
        <v>44</v>
      </c>
      <c r="C37" s="418" t="s">
        <v>19</v>
      </c>
      <c r="D37" s="418">
        <v>36</v>
      </c>
      <c r="E37" s="418" t="s">
        <v>12</v>
      </c>
      <c r="F37" s="418"/>
      <c r="G37" s="418"/>
    </row>
    <row r="38" spans="1:7">
      <c r="A38" s="418" t="s">
        <v>7</v>
      </c>
      <c r="B38" s="418" t="s">
        <v>44</v>
      </c>
      <c r="C38" s="418" t="s">
        <v>18</v>
      </c>
      <c r="D38" s="418">
        <v>37</v>
      </c>
      <c r="E38" s="419" t="s">
        <v>41</v>
      </c>
      <c r="F38" s="418"/>
      <c r="G38" s="418"/>
    </row>
    <row r="39" spans="1:7">
      <c r="A39" s="418" t="s">
        <v>7</v>
      </c>
      <c r="B39" s="418" t="s">
        <v>44</v>
      </c>
      <c r="C39" s="418" t="s">
        <v>23</v>
      </c>
      <c r="D39" s="418">
        <v>38</v>
      </c>
      <c r="E39" s="418" t="s">
        <v>12</v>
      </c>
      <c r="F39" s="418"/>
      <c r="G39" s="418"/>
    </row>
    <row r="40" spans="1:7">
      <c r="A40" s="418" t="s">
        <v>7</v>
      </c>
      <c r="B40" s="418" t="s">
        <v>44</v>
      </c>
      <c r="C40" s="418" t="s">
        <v>24</v>
      </c>
      <c r="D40" s="418">
        <v>39</v>
      </c>
      <c r="E40" s="418" t="s">
        <v>12</v>
      </c>
      <c r="F40" s="418"/>
      <c r="G40" s="418"/>
    </row>
    <row r="41" spans="1:7">
      <c r="A41" s="417" t="s">
        <v>7</v>
      </c>
      <c r="B41" s="417" t="s">
        <v>45</v>
      </c>
      <c r="C41" s="417" t="s">
        <v>9</v>
      </c>
      <c r="D41" s="417">
        <v>40</v>
      </c>
      <c r="E41" s="417" t="s">
        <v>10</v>
      </c>
      <c r="F41" s="417"/>
      <c r="G41" s="417"/>
    </row>
    <row r="42" spans="1:7">
      <c r="A42" s="418" t="s">
        <v>7</v>
      </c>
      <c r="B42" s="418" t="s">
        <v>45</v>
      </c>
      <c r="C42" s="418" t="s">
        <v>17</v>
      </c>
      <c r="D42" s="418">
        <v>41</v>
      </c>
      <c r="E42" s="418" t="s">
        <v>12</v>
      </c>
      <c r="F42" s="418"/>
      <c r="G42" s="418"/>
    </row>
    <row r="43" spans="1:7">
      <c r="A43" s="418" t="s">
        <v>7</v>
      </c>
      <c r="B43" s="418" t="s">
        <v>45</v>
      </c>
      <c r="C43" s="418" t="s">
        <v>18</v>
      </c>
      <c r="D43" s="418">
        <v>42</v>
      </c>
      <c r="E43" s="418" t="s">
        <v>12</v>
      </c>
      <c r="F43" s="418"/>
      <c r="G43" s="418"/>
    </row>
    <row r="44" spans="1:7">
      <c r="A44" s="418" t="s">
        <v>7</v>
      </c>
      <c r="B44" s="418" t="s">
        <v>45</v>
      </c>
      <c r="C44" s="418" t="s">
        <v>19</v>
      </c>
      <c r="D44" s="418">
        <v>43</v>
      </c>
      <c r="E44" s="418" t="s">
        <v>12</v>
      </c>
      <c r="F44" s="418"/>
      <c r="G44" s="418"/>
    </row>
    <row r="45" spans="1:7">
      <c r="A45" s="418" t="s">
        <v>7</v>
      </c>
      <c r="B45" s="418" t="s">
        <v>45</v>
      </c>
      <c r="C45" s="418" t="s">
        <v>23</v>
      </c>
      <c r="D45" s="418">
        <v>44</v>
      </c>
      <c r="E45" s="418" t="s">
        <v>12</v>
      </c>
      <c r="F45" s="418"/>
      <c r="G45" s="418"/>
    </row>
    <row r="46" spans="1:7">
      <c r="A46" s="418" t="s">
        <v>7</v>
      </c>
      <c r="B46" s="418" t="s">
        <v>45</v>
      </c>
      <c r="C46" s="418" t="s">
        <v>24</v>
      </c>
      <c r="D46" s="418">
        <v>45</v>
      </c>
      <c r="E46" s="418" t="s">
        <v>12</v>
      </c>
      <c r="F46" s="418"/>
      <c r="G46" s="418"/>
    </row>
    <row r="47" spans="1:7">
      <c r="A47" s="417" t="s">
        <v>7</v>
      </c>
      <c r="B47" s="417" t="s">
        <v>46</v>
      </c>
      <c r="C47" s="417" t="s">
        <v>9</v>
      </c>
      <c r="D47" s="417">
        <v>46</v>
      </c>
      <c r="E47" s="417" t="s">
        <v>10</v>
      </c>
      <c r="F47" s="417"/>
      <c r="G47" s="417"/>
    </row>
    <row r="48" spans="1:7">
      <c r="A48" s="418" t="s">
        <v>7</v>
      </c>
      <c r="B48" s="418" t="s">
        <v>46</v>
      </c>
      <c r="C48" s="418" t="s">
        <v>17</v>
      </c>
      <c r="D48" s="418">
        <v>47</v>
      </c>
      <c r="E48" s="418" t="s">
        <v>12</v>
      </c>
      <c r="F48" s="418"/>
      <c r="G48" s="418"/>
    </row>
    <row r="49" spans="1:7">
      <c r="A49" s="418" t="s">
        <v>7</v>
      </c>
      <c r="B49" s="418" t="s">
        <v>46</v>
      </c>
      <c r="C49" s="418" t="s">
        <v>18</v>
      </c>
      <c r="D49" s="418">
        <v>48</v>
      </c>
      <c r="E49" s="418" t="s">
        <v>12</v>
      </c>
      <c r="F49" s="418"/>
      <c r="G49" s="418"/>
    </row>
    <row r="50" spans="1:7">
      <c r="A50" s="418" t="s">
        <v>7</v>
      </c>
      <c r="B50" s="418" t="s">
        <v>46</v>
      </c>
      <c r="C50" s="418" t="s">
        <v>23</v>
      </c>
      <c r="D50" s="418">
        <v>49</v>
      </c>
      <c r="E50" s="418" t="s">
        <v>12</v>
      </c>
      <c r="F50" s="418"/>
      <c r="G50" s="418"/>
    </row>
    <row r="51" spans="1:7">
      <c r="A51" s="418" t="s">
        <v>7</v>
      </c>
      <c r="B51" s="418" t="s">
        <v>46</v>
      </c>
      <c r="C51" s="418" t="s">
        <v>24</v>
      </c>
      <c r="D51" s="418">
        <v>50</v>
      </c>
      <c r="E51" s="418" t="s">
        <v>12</v>
      </c>
      <c r="F51" s="418"/>
      <c r="G51" s="418"/>
    </row>
    <row r="52" spans="1:7">
      <c r="A52" s="417" t="s">
        <v>47</v>
      </c>
      <c r="B52" s="417" t="s">
        <v>48</v>
      </c>
      <c r="C52" s="417" t="s">
        <v>9</v>
      </c>
      <c r="D52" s="417">
        <v>1</v>
      </c>
      <c r="E52" s="417" t="s">
        <v>10</v>
      </c>
      <c r="F52" s="417"/>
      <c r="G52" s="417"/>
    </row>
    <row r="53" spans="1:7">
      <c r="A53" s="417" t="s">
        <v>47</v>
      </c>
      <c r="B53" s="417" t="s">
        <v>49</v>
      </c>
      <c r="C53" s="417" t="s">
        <v>9</v>
      </c>
      <c r="D53" s="417">
        <v>2</v>
      </c>
      <c r="E53" s="417" t="s">
        <v>10</v>
      </c>
      <c r="F53" s="417"/>
      <c r="G53" s="417"/>
    </row>
    <row r="54" spans="1:7">
      <c r="A54" s="418" t="s">
        <v>47</v>
      </c>
      <c r="B54" s="418" t="s">
        <v>49</v>
      </c>
      <c r="C54" s="418" t="s">
        <v>50</v>
      </c>
      <c r="D54" s="418">
        <v>3</v>
      </c>
      <c r="E54" s="419" t="s">
        <v>41</v>
      </c>
      <c r="F54" s="418"/>
      <c r="G54" s="418"/>
    </row>
    <row r="55" spans="1:7">
      <c r="A55" s="418" t="s">
        <v>47</v>
      </c>
      <c r="B55" s="418" t="s">
        <v>49</v>
      </c>
      <c r="C55" s="418" t="s">
        <v>51</v>
      </c>
      <c r="D55" s="418">
        <v>4</v>
      </c>
      <c r="E55" s="419" t="s">
        <v>41</v>
      </c>
      <c r="F55" s="418"/>
      <c r="G55" s="418"/>
    </row>
    <row r="56" spans="1:7">
      <c r="A56" s="418" t="s">
        <v>47</v>
      </c>
      <c r="B56" s="418" t="s">
        <v>49</v>
      </c>
      <c r="C56" s="418" t="s">
        <v>52</v>
      </c>
      <c r="D56" s="418">
        <v>6</v>
      </c>
      <c r="E56" s="419" t="s">
        <v>41</v>
      </c>
      <c r="F56" s="418"/>
      <c r="G56" s="418"/>
    </row>
    <row r="57" spans="1:7">
      <c r="A57" s="418" t="s">
        <v>47</v>
      </c>
      <c r="B57" s="418" t="s">
        <v>49</v>
      </c>
      <c r="C57" s="418" t="s">
        <v>53</v>
      </c>
      <c r="D57" s="418">
        <v>7</v>
      </c>
      <c r="E57" s="419" t="s">
        <v>41</v>
      </c>
      <c r="F57" s="418"/>
      <c r="G57" s="418"/>
    </row>
    <row r="58" spans="1:7">
      <c r="A58" s="418" t="s">
        <v>47</v>
      </c>
      <c r="B58" s="418" t="s">
        <v>49</v>
      </c>
      <c r="C58" s="418" t="s">
        <v>54</v>
      </c>
      <c r="D58" s="418">
        <v>9</v>
      </c>
      <c r="E58" s="418" t="s">
        <v>12</v>
      </c>
      <c r="F58" s="418"/>
      <c r="G58" s="418"/>
    </row>
    <row r="59" spans="1:7">
      <c r="A59" s="417" t="s">
        <v>47</v>
      </c>
      <c r="B59" s="417" t="s">
        <v>55</v>
      </c>
      <c r="C59" s="417" t="s">
        <v>9</v>
      </c>
      <c r="D59" s="417">
        <v>12</v>
      </c>
      <c r="E59" s="417" t="s">
        <v>10</v>
      </c>
      <c r="F59" s="417"/>
      <c r="G59" s="417"/>
    </row>
    <row r="60" spans="1:7">
      <c r="A60" s="418" t="s">
        <v>47</v>
      </c>
      <c r="B60" s="418" t="s">
        <v>55</v>
      </c>
      <c r="C60" s="418" t="s">
        <v>56</v>
      </c>
      <c r="D60" s="418">
        <v>13</v>
      </c>
      <c r="E60" s="418" t="s">
        <v>12</v>
      </c>
      <c r="F60" s="418"/>
      <c r="G60" s="418"/>
    </row>
    <row r="61" spans="1:7">
      <c r="A61" s="418" t="s">
        <v>47</v>
      </c>
      <c r="B61" s="418" t="s">
        <v>55</v>
      </c>
      <c r="C61" s="418" t="s">
        <v>56</v>
      </c>
      <c r="D61" s="418">
        <v>14</v>
      </c>
      <c r="E61" s="418" t="s">
        <v>12</v>
      </c>
      <c r="F61" s="418"/>
      <c r="G61" s="418"/>
    </row>
    <row r="62" spans="1:7">
      <c r="A62" s="418" t="s">
        <v>47</v>
      </c>
      <c r="B62" s="418" t="s">
        <v>55</v>
      </c>
      <c r="C62" s="418" t="s">
        <v>57</v>
      </c>
      <c r="D62" s="418">
        <v>15</v>
      </c>
      <c r="E62" s="418" t="s">
        <v>12</v>
      </c>
      <c r="F62" s="418"/>
      <c r="G62" s="418"/>
    </row>
    <row r="63" spans="1:7">
      <c r="A63" s="418" t="s">
        <v>47</v>
      </c>
      <c r="B63" s="418" t="s">
        <v>55</v>
      </c>
      <c r="C63" s="418" t="s">
        <v>58</v>
      </c>
      <c r="D63" s="418">
        <v>16</v>
      </c>
      <c r="E63" s="419" t="s">
        <v>41</v>
      </c>
      <c r="F63" s="418"/>
      <c r="G63" s="418"/>
    </row>
    <row r="64" spans="1:7">
      <c r="A64" s="418" t="s">
        <v>47</v>
      </c>
      <c r="B64" s="418" t="s">
        <v>55</v>
      </c>
      <c r="C64" s="418" t="s">
        <v>59</v>
      </c>
      <c r="D64" s="418">
        <v>18</v>
      </c>
      <c r="E64" s="418" t="s">
        <v>12</v>
      </c>
      <c r="F64" s="418"/>
      <c r="G64" s="418"/>
    </row>
    <row r="65" spans="1:7">
      <c r="A65" s="418" t="s">
        <v>47</v>
      </c>
      <c r="B65" s="418" t="s">
        <v>55</v>
      </c>
      <c r="C65" s="418" t="s">
        <v>60</v>
      </c>
      <c r="D65" s="418">
        <v>19</v>
      </c>
      <c r="E65" s="418" t="s">
        <v>12</v>
      </c>
      <c r="F65" s="418"/>
      <c r="G65" s="418"/>
    </row>
    <row r="66" spans="1:7">
      <c r="A66" s="418" t="s">
        <v>47</v>
      </c>
      <c r="B66" s="418" t="s">
        <v>55</v>
      </c>
      <c r="C66" s="418" t="s">
        <v>61</v>
      </c>
      <c r="D66" s="418">
        <v>20</v>
      </c>
      <c r="E66" s="418" t="s">
        <v>12</v>
      </c>
      <c r="F66" s="418"/>
      <c r="G66" s="418"/>
    </row>
    <row r="67" spans="1:7">
      <c r="A67" s="418" t="s">
        <v>47</v>
      </c>
      <c r="B67" s="418" t="s">
        <v>55</v>
      </c>
      <c r="C67" s="418" t="s">
        <v>62</v>
      </c>
      <c r="D67" s="418">
        <v>21</v>
      </c>
      <c r="E67" s="418" t="s">
        <v>12</v>
      </c>
      <c r="F67" s="418"/>
      <c r="G67" s="418"/>
    </row>
    <row r="68" spans="1:7">
      <c r="A68" s="418" t="s">
        <v>47</v>
      </c>
      <c r="B68" s="418" t="s">
        <v>55</v>
      </c>
      <c r="C68" s="418" t="s">
        <v>63</v>
      </c>
      <c r="D68" s="418">
        <v>22</v>
      </c>
      <c r="E68" s="418" t="s">
        <v>12</v>
      </c>
      <c r="F68" s="418"/>
      <c r="G68" s="418"/>
    </row>
    <row r="69" spans="1:7">
      <c r="A69" s="418" t="s">
        <v>47</v>
      </c>
      <c r="B69" s="418" t="s">
        <v>55</v>
      </c>
      <c r="C69" s="418" t="s">
        <v>64</v>
      </c>
      <c r="D69" s="418">
        <v>23</v>
      </c>
      <c r="E69" s="418" t="s">
        <v>12</v>
      </c>
      <c r="F69" s="418"/>
      <c r="G69" s="418"/>
    </row>
    <row r="70" spans="1:7">
      <c r="A70" s="418" t="s">
        <v>47</v>
      </c>
      <c r="B70" s="418" t="s">
        <v>55</v>
      </c>
      <c r="C70" s="418" t="s">
        <v>65</v>
      </c>
      <c r="D70" s="418">
        <v>24</v>
      </c>
      <c r="E70" s="418" t="s">
        <v>12</v>
      </c>
      <c r="F70" s="418"/>
      <c r="G70" s="418"/>
    </row>
    <row r="71" spans="1:7">
      <c r="A71" s="418" t="s">
        <v>47</v>
      </c>
      <c r="B71" s="418" t="s">
        <v>55</v>
      </c>
      <c r="C71" s="418" t="s">
        <v>66</v>
      </c>
      <c r="D71" s="418">
        <v>25</v>
      </c>
      <c r="E71" s="418" t="s">
        <v>12</v>
      </c>
      <c r="F71" s="418"/>
      <c r="G71" s="418"/>
    </row>
    <row r="72" spans="1:7">
      <c r="A72" s="418" t="s">
        <v>47</v>
      </c>
      <c r="B72" s="418" t="s">
        <v>55</v>
      </c>
      <c r="C72" s="418" t="s">
        <v>67</v>
      </c>
      <c r="D72" s="418">
        <v>26</v>
      </c>
      <c r="E72" s="418" t="s">
        <v>12</v>
      </c>
      <c r="F72" s="418"/>
      <c r="G72" s="418"/>
    </row>
    <row r="73" spans="1:7">
      <c r="A73" s="418" t="s">
        <v>47</v>
      </c>
      <c r="B73" s="418" t="s">
        <v>55</v>
      </c>
      <c r="C73" s="418" t="s">
        <v>68</v>
      </c>
      <c r="D73" s="418">
        <v>28</v>
      </c>
      <c r="E73" s="418" t="s">
        <v>12</v>
      </c>
      <c r="F73" s="418"/>
      <c r="G73" s="418"/>
    </row>
    <row r="74" spans="1:7">
      <c r="A74" s="418" t="s">
        <v>47</v>
      </c>
      <c r="B74" s="418" t="s">
        <v>55</v>
      </c>
      <c r="C74" s="418" t="s">
        <v>69</v>
      </c>
      <c r="D74" s="418">
        <v>29</v>
      </c>
      <c r="E74" s="418" t="s">
        <v>12</v>
      </c>
      <c r="F74" s="418"/>
      <c r="G74" s="418"/>
    </row>
    <row r="75" spans="1:7">
      <c r="A75" s="418" t="s">
        <v>47</v>
      </c>
      <c r="B75" s="418" t="s">
        <v>55</v>
      </c>
      <c r="C75" s="418" t="s">
        <v>70</v>
      </c>
      <c r="D75" s="418">
        <v>31</v>
      </c>
      <c r="E75" s="419" t="s">
        <v>41</v>
      </c>
      <c r="F75" s="418"/>
      <c r="G75" s="418"/>
    </row>
    <row r="76" spans="1:7">
      <c r="A76" s="418" t="s">
        <v>47</v>
      </c>
      <c r="B76" s="418" t="s">
        <v>55</v>
      </c>
      <c r="C76" s="418" t="s">
        <v>71</v>
      </c>
      <c r="D76" s="418">
        <v>32</v>
      </c>
      <c r="E76" s="419" t="s">
        <v>41</v>
      </c>
      <c r="F76" s="418"/>
      <c r="G76" s="418"/>
    </row>
    <row r="77" spans="1:7">
      <c r="A77" s="418" t="s">
        <v>47</v>
      </c>
      <c r="B77" s="418" t="s">
        <v>55</v>
      </c>
      <c r="C77" s="418" t="s">
        <v>72</v>
      </c>
      <c r="D77" s="418">
        <v>33</v>
      </c>
      <c r="E77" s="419" t="s">
        <v>41</v>
      </c>
      <c r="F77" s="418"/>
      <c r="G77" s="418"/>
    </row>
    <row r="78" spans="1:7">
      <c r="A78" s="417" t="s">
        <v>47</v>
      </c>
      <c r="B78" s="417" t="s">
        <v>73</v>
      </c>
      <c r="C78" s="417" t="s">
        <v>9</v>
      </c>
      <c r="D78" s="417">
        <v>35</v>
      </c>
      <c r="E78" s="417" t="s">
        <v>10</v>
      </c>
      <c r="F78" s="417"/>
      <c r="G78" s="417"/>
    </row>
    <row r="79" spans="1:7">
      <c r="A79" s="418" t="s">
        <v>47</v>
      </c>
      <c r="B79" s="418" t="s">
        <v>73</v>
      </c>
      <c r="C79" s="418" t="s">
        <v>74</v>
      </c>
      <c r="D79" s="418">
        <v>36</v>
      </c>
      <c r="E79" s="418" t="s">
        <v>12</v>
      </c>
      <c r="F79" s="418"/>
      <c r="G79" s="418"/>
    </row>
    <row r="80" spans="1:7">
      <c r="A80" s="418" t="s">
        <v>47</v>
      </c>
      <c r="B80" s="418" t="s">
        <v>73</v>
      </c>
      <c r="C80" s="418" t="s">
        <v>75</v>
      </c>
      <c r="D80" s="418">
        <v>37</v>
      </c>
      <c r="E80" s="419" t="s">
        <v>41</v>
      </c>
      <c r="F80" s="418"/>
      <c r="G80" s="418"/>
    </row>
    <row r="81" spans="1:7">
      <c r="A81" s="418" t="s">
        <v>47</v>
      </c>
      <c r="B81" s="418" t="s">
        <v>73</v>
      </c>
      <c r="C81" s="418" t="s">
        <v>76</v>
      </c>
      <c r="D81" s="418">
        <v>38</v>
      </c>
      <c r="E81" s="419" t="s">
        <v>41</v>
      </c>
      <c r="F81" s="418"/>
      <c r="G81" s="418"/>
    </row>
    <row r="82" spans="1:7">
      <c r="A82" s="418" t="s">
        <v>47</v>
      </c>
      <c r="B82" s="418" t="s">
        <v>73</v>
      </c>
      <c r="C82" s="418" t="s">
        <v>77</v>
      </c>
      <c r="D82" s="418">
        <v>40</v>
      </c>
      <c r="E82" s="419" t="s">
        <v>41</v>
      </c>
      <c r="F82" s="418"/>
      <c r="G82" s="418"/>
    </row>
    <row r="83" spans="1:7">
      <c r="A83" s="418" t="s">
        <v>47</v>
      </c>
      <c r="B83" s="418" t="s">
        <v>73</v>
      </c>
      <c r="C83" s="418" t="s">
        <v>78</v>
      </c>
      <c r="D83" s="418">
        <v>41</v>
      </c>
      <c r="E83" s="419" t="s">
        <v>41</v>
      </c>
      <c r="F83" s="418"/>
      <c r="G83" s="418"/>
    </row>
    <row r="84" spans="1:7">
      <c r="A84" s="418" t="s">
        <v>47</v>
      </c>
      <c r="B84" s="418" t="s">
        <v>73</v>
      </c>
      <c r="C84" s="418" t="s">
        <v>79</v>
      </c>
      <c r="D84" s="418">
        <v>43</v>
      </c>
      <c r="E84" s="419" t="s">
        <v>41</v>
      </c>
      <c r="F84" s="418"/>
      <c r="G84" s="418"/>
    </row>
    <row r="85" spans="1:7">
      <c r="A85" s="418" t="s">
        <v>47</v>
      </c>
      <c r="B85" s="418" t="s">
        <v>73</v>
      </c>
      <c r="C85" s="418" t="s">
        <v>80</v>
      </c>
      <c r="D85" s="418">
        <v>44</v>
      </c>
      <c r="E85" s="419" t="s">
        <v>41</v>
      </c>
      <c r="F85" s="418"/>
      <c r="G85" s="418"/>
    </row>
    <row r="86" spans="1:7">
      <c r="A86" s="418" t="s">
        <v>47</v>
      </c>
      <c r="B86" s="418" t="s">
        <v>73</v>
      </c>
      <c r="C86" s="418" t="s">
        <v>81</v>
      </c>
      <c r="D86" s="418">
        <v>45</v>
      </c>
      <c r="E86" s="418" t="s">
        <v>12</v>
      </c>
      <c r="F86" s="418"/>
      <c r="G86" s="418"/>
    </row>
    <row r="87" spans="1:7">
      <c r="A87" s="418" t="s">
        <v>47</v>
      </c>
      <c r="B87" s="418" t="s">
        <v>73</v>
      </c>
      <c r="C87" s="418" t="s">
        <v>82</v>
      </c>
      <c r="D87" s="418">
        <v>46</v>
      </c>
      <c r="E87" s="418" t="s">
        <v>12</v>
      </c>
      <c r="F87" s="418"/>
      <c r="G87" s="418"/>
    </row>
    <row r="88" spans="1:7">
      <c r="A88" s="418" t="s">
        <v>47</v>
      </c>
      <c r="B88" s="418" t="s">
        <v>73</v>
      </c>
      <c r="C88" s="418" t="s">
        <v>83</v>
      </c>
      <c r="D88" s="418">
        <v>47</v>
      </c>
      <c r="E88" s="419" t="s">
        <v>41</v>
      </c>
      <c r="F88" s="418"/>
      <c r="G88" s="418"/>
    </row>
    <row r="89" spans="1:7">
      <c r="A89" s="418" t="s">
        <v>47</v>
      </c>
      <c r="B89" s="418" t="s">
        <v>73</v>
      </c>
      <c r="C89" s="418" t="s">
        <v>84</v>
      </c>
      <c r="D89" s="418">
        <v>48</v>
      </c>
      <c r="E89" s="418" t="s">
        <v>12</v>
      </c>
      <c r="F89" s="418"/>
      <c r="G89" s="418"/>
    </row>
    <row r="90" spans="1:7">
      <c r="A90" s="418" t="s">
        <v>47</v>
      </c>
      <c r="B90" s="418" t="s">
        <v>73</v>
      </c>
      <c r="C90" s="418" t="s">
        <v>85</v>
      </c>
      <c r="D90" s="418">
        <v>49</v>
      </c>
      <c r="E90" s="419" t="s">
        <v>41</v>
      </c>
      <c r="F90" s="418"/>
      <c r="G90" s="418"/>
    </row>
    <row r="91" spans="1:7">
      <c r="A91" s="418" t="s">
        <v>47</v>
      </c>
      <c r="B91" s="418" t="s">
        <v>73</v>
      </c>
      <c r="C91" s="418" t="s">
        <v>37</v>
      </c>
      <c r="D91" s="418">
        <v>50</v>
      </c>
      <c r="E91" s="419" t="s">
        <v>41</v>
      </c>
      <c r="F91" s="418"/>
      <c r="G91" s="418"/>
    </row>
    <row r="92" spans="1:7">
      <c r="A92" s="418" t="s">
        <v>47</v>
      </c>
      <c r="B92" s="418" t="s">
        <v>73</v>
      </c>
      <c r="C92" s="418" t="s">
        <v>86</v>
      </c>
      <c r="D92" s="418">
        <v>51</v>
      </c>
      <c r="E92" s="419" t="s">
        <v>41</v>
      </c>
      <c r="F92" s="418"/>
      <c r="G92" s="418"/>
    </row>
    <row r="93" spans="1:7">
      <c r="A93" s="418" t="s">
        <v>47</v>
      </c>
      <c r="B93" s="418" t="s">
        <v>73</v>
      </c>
      <c r="C93" s="418" t="s">
        <v>87</v>
      </c>
      <c r="D93" s="418">
        <v>52</v>
      </c>
      <c r="E93" s="418" t="s">
        <v>12</v>
      </c>
      <c r="F93" s="418"/>
      <c r="G93" s="418"/>
    </row>
    <row r="94" spans="1:7">
      <c r="A94" s="418" t="s">
        <v>47</v>
      </c>
      <c r="B94" s="418" t="s">
        <v>73</v>
      </c>
      <c r="C94" s="418" t="s">
        <v>88</v>
      </c>
      <c r="D94" s="418">
        <v>53</v>
      </c>
      <c r="E94" s="419" t="s">
        <v>41</v>
      </c>
      <c r="F94" s="418"/>
      <c r="G94" s="418"/>
    </row>
    <row r="95" spans="1:7">
      <c r="A95" s="418" t="s">
        <v>47</v>
      </c>
      <c r="B95" s="418" t="s">
        <v>73</v>
      </c>
      <c r="C95" s="418" t="s">
        <v>89</v>
      </c>
      <c r="D95" s="418">
        <v>54</v>
      </c>
      <c r="E95" s="418" t="s">
        <v>12</v>
      </c>
      <c r="F95" s="418"/>
      <c r="G95" s="418"/>
    </row>
    <row r="96" spans="1:7">
      <c r="A96" s="418" t="s">
        <v>47</v>
      </c>
      <c r="B96" s="418" t="s">
        <v>73</v>
      </c>
      <c r="C96" s="418" t="s">
        <v>90</v>
      </c>
      <c r="D96" s="418">
        <v>55</v>
      </c>
      <c r="E96" s="419" t="s">
        <v>41</v>
      </c>
      <c r="F96" s="418"/>
      <c r="G96" s="418"/>
    </row>
    <row r="97" spans="1:7">
      <c r="A97" s="417" t="s">
        <v>47</v>
      </c>
      <c r="B97" s="417" t="s">
        <v>91</v>
      </c>
      <c r="C97" s="417" t="s">
        <v>9</v>
      </c>
      <c r="D97" s="417">
        <v>57</v>
      </c>
      <c r="E97" s="417" t="s">
        <v>10</v>
      </c>
      <c r="F97" s="417"/>
      <c r="G97" s="417"/>
    </row>
    <row r="98" spans="1:7">
      <c r="A98" s="418" t="s">
        <v>47</v>
      </c>
      <c r="B98" s="418" t="s">
        <v>91</v>
      </c>
      <c r="C98" s="418" t="s">
        <v>92</v>
      </c>
      <c r="D98" s="418">
        <v>58</v>
      </c>
      <c r="E98" s="419" t="s">
        <v>41</v>
      </c>
      <c r="F98" s="418"/>
      <c r="G98" s="418"/>
    </row>
    <row r="99" spans="1:7">
      <c r="A99" s="418" t="s">
        <v>47</v>
      </c>
      <c r="B99" s="418" t="s">
        <v>91</v>
      </c>
      <c r="C99" s="418" t="s">
        <v>93</v>
      </c>
      <c r="D99" s="418">
        <v>59</v>
      </c>
      <c r="E99" s="418" t="s">
        <v>12</v>
      </c>
      <c r="F99" s="418"/>
      <c r="G99" s="418"/>
    </row>
    <row r="100" spans="1:7">
      <c r="A100" s="418" t="s">
        <v>47</v>
      </c>
      <c r="B100" s="418" t="s">
        <v>91</v>
      </c>
      <c r="C100" s="418" t="s">
        <v>94</v>
      </c>
      <c r="D100" s="418">
        <v>60</v>
      </c>
      <c r="E100" s="418" t="s">
        <v>12</v>
      </c>
      <c r="F100" s="418"/>
      <c r="G100" s="418"/>
    </row>
    <row r="101" spans="1:7">
      <c r="A101" s="418" t="s">
        <v>47</v>
      </c>
      <c r="B101" s="418" t="s">
        <v>91</v>
      </c>
      <c r="C101" s="418" t="s">
        <v>95</v>
      </c>
      <c r="D101" s="418">
        <v>61</v>
      </c>
      <c r="E101" s="418" t="s">
        <v>12</v>
      </c>
      <c r="F101" s="418"/>
      <c r="G101" s="418"/>
    </row>
    <row r="102" spans="1:7">
      <c r="A102" s="417" t="s">
        <v>96</v>
      </c>
      <c r="B102" s="417" t="s">
        <v>97</v>
      </c>
      <c r="C102" s="417" t="s">
        <v>9</v>
      </c>
      <c r="D102" s="417">
        <v>1</v>
      </c>
      <c r="E102" s="417" t="s">
        <v>10</v>
      </c>
      <c r="F102" s="417"/>
      <c r="G102" s="417"/>
    </row>
    <row r="103" spans="1:7">
      <c r="A103" s="417" t="s">
        <v>96</v>
      </c>
      <c r="B103" s="417" t="s">
        <v>98</v>
      </c>
      <c r="C103" s="417" t="s">
        <v>9</v>
      </c>
      <c r="D103" s="417">
        <v>2</v>
      </c>
      <c r="E103" s="417" t="s">
        <v>10</v>
      </c>
      <c r="F103" s="417"/>
      <c r="G103" s="417"/>
    </row>
    <row r="104" spans="1:7">
      <c r="A104" s="418" t="s">
        <v>96</v>
      </c>
      <c r="B104" s="418" t="s">
        <v>98</v>
      </c>
      <c r="C104" s="418" t="s">
        <v>99</v>
      </c>
      <c r="D104" s="418">
        <v>3</v>
      </c>
      <c r="E104" s="419" t="s">
        <v>41</v>
      </c>
      <c r="F104" s="418"/>
      <c r="G104" s="418"/>
    </row>
    <row r="105" spans="1:7">
      <c r="A105" s="418" t="s">
        <v>96</v>
      </c>
      <c r="B105" s="418" t="s">
        <v>98</v>
      </c>
      <c r="C105" s="418" t="s">
        <v>28</v>
      </c>
      <c r="D105" s="418">
        <v>4</v>
      </c>
      <c r="E105" s="419" t="s">
        <v>41</v>
      </c>
      <c r="F105" s="418"/>
      <c r="G105" s="418"/>
    </row>
    <row r="106" spans="1:7">
      <c r="A106" s="418" t="s">
        <v>96</v>
      </c>
      <c r="B106" s="418" t="s">
        <v>98</v>
      </c>
      <c r="C106" s="418" t="s">
        <v>100</v>
      </c>
      <c r="D106" s="418">
        <v>5</v>
      </c>
      <c r="E106" s="418" t="s">
        <v>12</v>
      </c>
      <c r="F106" s="418"/>
      <c r="G106" s="418"/>
    </row>
    <row r="107" spans="1:7">
      <c r="A107" s="418" t="s">
        <v>96</v>
      </c>
      <c r="B107" s="418" t="s">
        <v>98</v>
      </c>
      <c r="C107" s="418" t="s">
        <v>101</v>
      </c>
      <c r="D107" s="418">
        <v>6</v>
      </c>
      <c r="E107" s="418" t="s">
        <v>12</v>
      </c>
      <c r="F107" s="418"/>
      <c r="G107" s="418"/>
    </row>
    <row r="108" spans="1:7">
      <c r="A108" s="418" t="s">
        <v>96</v>
      </c>
      <c r="B108" s="418" t="s">
        <v>98</v>
      </c>
      <c r="C108" s="418" t="s">
        <v>102</v>
      </c>
      <c r="D108" s="418">
        <v>7</v>
      </c>
      <c r="E108" s="419" t="s">
        <v>41</v>
      </c>
      <c r="F108" s="418"/>
      <c r="G108" s="418"/>
    </row>
    <row r="109" spans="1:7">
      <c r="A109" s="418" t="s">
        <v>96</v>
      </c>
      <c r="B109" s="418" t="s">
        <v>98</v>
      </c>
      <c r="C109" s="418" t="s">
        <v>103</v>
      </c>
      <c r="D109" s="418">
        <v>8</v>
      </c>
      <c r="E109" s="419" t="s">
        <v>41</v>
      </c>
      <c r="F109" s="418"/>
      <c r="G109" s="418"/>
    </row>
    <row r="110" spans="1:7">
      <c r="A110" s="418" t="s">
        <v>96</v>
      </c>
      <c r="B110" s="418" t="s">
        <v>98</v>
      </c>
      <c r="C110" s="418" t="s">
        <v>104</v>
      </c>
      <c r="D110" s="418">
        <v>9</v>
      </c>
      <c r="E110" s="418" t="s">
        <v>12</v>
      </c>
      <c r="F110" s="418"/>
      <c r="G110" s="418"/>
    </row>
    <row r="111" spans="1:7">
      <c r="A111" s="418" t="s">
        <v>96</v>
      </c>
      <c r="B111" s="418" t="s">
        <v>98</v>
      </c>
      <c r="C111" s="418" t="s">
        <v>31</v>
      </c>
      <c r="D111" s="418">
        <v>10</v>
      </c>
      <c r="E111" s="419" t="s">
        <v>41</v>
      </c>
      <c r="F111" s="418"/>
      <c r="G111" s="418"/>
    </row>
    <row r="112" spans="1:7">
      <c r="A112" s="418" t="s">
        <v>96</v>
      </c>
      <c r="B112" s="418" t="s">
        <v>98</v>
      </c>
      <c r="C112" s="418" t="s">
        <v>105</v>
      </c>
      <c r="D112" s="418">
        <v>11</v>
      </c>
      <c r="E112" s="419" t="s">
        <v>41</v>
      </c>
      <c r="F112" s="418"/>
      <c r="G112" s="418"/>
    </row>
    <row r="113" spans="1:7">
      <c r="A113" s="418" t="s">
        <v>96</v>
      </c>
      <c r="B113" s="418" t="s">
        <v>98</v>
      </c>
      <c r="C113" s="418" t="s">
        <v>106</v>
      </c>
      <c r="D113" s="418">
        <v>12</v>
      </c>
      <c r="E113" s="418" t="s">
        <v>12</v>
      </c>
      <c r="F113" s="418"/>
      <c r="G113" s="418"/>
    </row>
    <row r="114" spans="1:7">
      <c r="A114" s="418" t="s">
        <v>96</v>
      </c>
      <c r="B114" s="418" t="s">
        <v>98</v>
      </c>
      <c r="C114" s="418" t="s">
        <v>107</v>
      </c>
      <c r="D114" s="418">
        <v>13</v>
      </c>
      <c r="E114" s="419" t="s">
        <v>41</v>
      </c>
      <c r="F114" s="418"/>
      <c r="G114" s="418"/>
    </row>
    <row r="115" spans="1:7">
      <c r="A115" s="418" t="s">
        <v>96</v>
      </c>
      <c r="B115" s="418" t="s">
        <v>98</v>
      </c>
      <c r="C115" s="418" t="str">
        <f>Planning!A61</f>
        <v>Appraisal objectives</v>
      </c>
      <c r="D115" s="418">
        <v>14</v>
      </c>
      <c r="E115" s="419" t="s">
        <v>41</v>
      </c>
      <c r="F115" s="418"/>
      <c r="G115" s="418"/>
    </row>
    <row r="116" spans="1:7">
      <c r="A116" s="417" t="s">
        <v>96</v>
      </c>
      <c r="B116" s="417" t="s">
        <v>108</v>
      </c>
      <c r="C116" s="417" t="s">
        <v>9</v>
      </c>
      <c r="D116" s="417">
        <v>15</v>
      </c>
      <c r="E116" s="417" t="s">
        <v>10</v>
      </c>
      <c r="F116" s="417"/>
      <c r="G116" s="417"/>
    </row>
    <row r="117" spans="1:7">
      <c r="A117" s="417" t="s">
        <v>96</v>
      </c>
      <c r="B117" s="417" t="s">
        <v>109</v>
      </c>
      <c r="C117" s="417" t="s">
        <v>9</v>
      </c>
      <c r="D117" s="417">
        <v>17</v>
      </c>
      <c r="E117" s="417" t="s">
        <v>10</v>
      </c>
      <c r="F117" s="417"/>
      <c r="G117" s="417"/>
    </row>
    <row r="118" spans="1:7">
      <c r="A118" s="418" t="s">
        <v>96</v>
      </c>
      <c r="B118" s="418" t="s">
        <v>109</v>
      </c>
      <c r="C118" s="418" t="s">
        <v>110</v>
      </c>
      <c r="D118" s="418">
        <v>18</v>
      </c>
      <c r="E118" s="418" t="s">
        <v>12</v>
      </c>
      <c r="F118" s="418"/>
      <c r="G118" s="418"/>
    </row>
    <row r="119" spans="1:7">
      <c r="A119" s="418" t="s">
        <v>96</v>
      </c>
      <c r="B119" s="418" t="s">
        <v>109</v>
      </c>
      <c r="C119" s="418" t="s">
        <v>111</v>
      </c>
      <c r="D119" s="418">
        <v>19</v>
      </c>
      <c r="E119" s="418" t="s">
        <v>12</v>
      </c>
      <c r="F119" s="418"/>
      <c r="G119" s="418"/>
    </row>
    <row r="120" spans="1:7">
      <c r="A120" s="418" t="s">
        <v>96</v>
      </c>
      <c r="B120" s="418" t="s">
        <v>109</v>
      </c>
      <c r="C120" s="418" t="s">
        <v>112</v>
      </c>
      <c r="D120" s="418">
        <v>20</v>
      </c>
      <c r="E120" s="418" t="s">
        <v>12</v>
      </c>
      <c r="F120" s="418"/>
      <c r="G120" s="418"/>
    </row>
    <row r="121" spans="1:7">
      <c r="A121" s="418" t="s">
        <v>96</v>
      </c>
      <c r="B121" s="418" t="s">
        <v>109</v>
      </c>
      <c r="C121" s="418" t="s">
        <v>113</v>
      </c>
      <c r="D121" s="418">
        <v>21</v>
      </c>
      <c r="E121" s="418" t="s">
        <v>12</v>
      </c>
      <c r="F121" s="418"/>
      <c r="G121" s="418"/>
    </row>
    <row r="122" spans="1:7">
      <c r="A122" s="418" t="s">
        <v>96</v>
      </c>
      <c r="B122" s="418" t="s">
        <v>109</v>
      </c>
      <c r="C122" s="418" t="s">
        <v>59</v>
      </c>
      <c r="D122" s="418">
        <v>22</v>
      </c>
      <c r="E122" s="418" t="s">
        <v>12</v>
      </c>
      <c r="F122" s="418"/>
      <c r="G122" s="418"/>
    </row>
    <row r="123" spans="1:7">
      <c r="A123" s="418" t="s">
        <v>96</v>
      </c>
      <c r="B123" s="418" t="s">
        <v>109</v>
      </c>
      <c r="C123" s="418" t="s">
        <v>114</v>
      </c>
      <c r="D123" s="418">
        <v>24</v>
      </c>
      <c r="E123" s="419" t="s">
        <v>41</v>
      </c>
      <c r="F123" s="418"/>
      <c r="G123" s="418"/>
    </row>
    <row r="124" spans="1:7">
      <c r="A124" s="418" t="s">
        <v>96</v>
      </c>
      <c r="B124" s="418" t="s">
        <v>109</v>
      </c>
      <c r="C124" s="418" t="s">
        <v>115</v>
      </c>
      <c r="D124" s="418">
        <v>25</v>
      </c>
      <c r="E124" s="418" t="s">
        <v>12</v>
      </c>
      <c r="F124" s="418"/>
      <c r="G124" s="418"/>
    </row>
    <row r="125" spans="1:7">
      <c r="A125" s="418" t="s">
        <v>96</v>
      </c>
      <c r="B125" s="418" t="s">
        <v>109</v>
      </c>
      <c r="C125" s="418" t="s">
        <v>116</v>
      </c>
      <c r="D125" s="418">
        <v>27</v>
      </c>
      <c r="E125" s="418" t="s">
        <v>12</v>
      </c>
      <c r="F125" s="418"/>
      <c r="G125" s="418"/>
    </row>
    <row r="126" spans="1:7">
      <c r="A126" s="418" t="s">
        <v>96</v>
      </c>
      <c r="B126" s="418" t="s">
        <v>109</v>
      </c>
      <c r="C126" s="418" t="s">
        <v>117</v>
      </c>
      <c r="D126" s="418">
        <v>28</v>
      </c>
      <c r="E126" s="418" t="s">
        <v>12</v>
      </c>
      <c r="F126" s="418"/>
      <c r="G126" s="418"/>
    </row>
    <row r="127" spans="1:7">
      <c r="A127" s="418" t="s">
        <v>96</v>
      </c>
      <c r="B127" s="418" t="s">
        <v>109</v>
      </c>
      <c r="C127" s="418" t="s">
        <v>100</v>
      </c>
      <c r="D127" s="418">
        <v>29</v>
      </c>
      <c r="E127" s="419" t="s">
        <v>41</v>
      </c>
      <c r="F127" s="418"/>
      <c r="G127" s="418"/>
    </row>
    <row r="128" spans="1:7">
      <c r="A128" s="418" t="s">
        <v>96</v>
      </c>
      <c r="B128" s="418" t="s">
        <v>109</v>
      </c>
      <c r="C128" s="418" t="s">
        <v>101</v>
      </c>
      <c r="D128" s="418">
        <v>30</v>
      </c>
      <c r="E128" s="419" t="s">
        <v>41</v>
      </c>
      <c r="F128" s="418"/>
      <c r="G128" s="418"/>
    </row>
    <row r="129" spans="1:7">
      <c r="A129" s="418" t="s">
        <v>96</v>
      </c>
      <c r="B129" s="418" t="s">
        <v>109</v>
      </c>
      <c r="C129" s="418" t="s">
        <v>102</v>
      </c>
      <c r="D129" s="418">
        <v>31</v>
      </c>
      <c r="E129" s="419" t="s">
        <v>41</v>
      </c>
      <c r="F129" s="418"/>
      <c r="G129" s="418"/>
    </row>
    <row r="130" spans="1:7">
      <c r="A130" s="418" t="s">
        <v>96</v>
      </c>
      <c r="B130" s="418" t="s">
        <v>109</v>
      </c>
      <c r="C130" s="418" t="s">
        <v>103</v>
      </c>
      <c r="D130" s="418">
        <v>32</v>
      </c>
      <c r="E130" s="419" t="s">
        <v>41</v>
      </c>
      <c r="F130" s="418"/>
      <c r="G130" s="418"/>
    </row>
    <row r="131" spans="1:7">
      <c r="A131" s="418" t="s">
        <v>96</v>
      </c>
      <c r="B131" s="418" t="s">
        <v>109</v>
      </c>
      <c r="C131" s="418" t="s">
        <v>104</v>
      </c>
      <c r="D131" s="418">
        <v>33</v>
      </c>
      <c r="E131" s="418" t="s">
        <v>12</v>
      </c>
      <c r="F131" s="418"/>
      <c r="G131" s="418"/>
    </row>
    <row r="132" spans="1:7">
      <c r="A132" s="418" t="s">
        <v>96</v>
      </c>
      <c r="B132" s="418" t="s">
        <v>109</v>
      </c>
      <c r="C132" s="418" t="s">
        <v>31</v>
      </c>
      <c r="D132" s="418">
        <v>34</v>
      </c>
      <c r="E132" s="419" t="s">
        <v>41</v>
      </c>
      <c r="F132" s="418"/>
      <c r="G132" s="418"/>
    </row>
    <row r="133" spans="1:7">
      <c r="A133" s="418" t="s">
        <v>96</v>
      </c>
      <c r="B133" s="418" t="s">
        <v>109</v>
      </c>
      <c r="C133" s="418" t="s">
        <v>105</v>
      </c>
      <c r="D133" s="418">
        <v>35</v>
      </c>
      <c r="E133" s="419" t="s">
        <v>41</v>
      </c>
      <c r="F133" s="418"/>
      <c r="G133" s="418"/>
    </row>
    <row r="134" spans="1:7">
      <c r="A134" s="417" t="s">
        <v>96</v>
      </c>
      <c r="B134" s="417" t="s">
        <v>118</v>
      </c>
      <c r="C134" s="417" t="s">
        <v>9</v>
      </c>
      <c r="D134" s="417">
        <v>39</v>
      </c>
      <c r="E134" s="417" t="s">
        <v>10</v>
      </c>
      <c r="F134" s="417"/>
      <c r="G134" s="417"/>
    </row>
    <row r="135" spans="1:7">
      <c r="A135" s="418" t="s">
        <v>96</v>
      </c>
      <c r="B135" s="418" t="s">
        <v>118</v>
      </c>
      <c r="C135" s="418" t="s">
        <v>119</v>
      </c>
      <c r="D135" s="418">
        <v>40</v>
      </c>
      <c r="E135" s="419" t="s">
        <v>41</v>
      </c>
      <c r="F135" s="418"/>
      <c r="G135" s="418"/>
    </row>
    <row r="136" spans="1:7">
      <c r="A136" s="418" t="s">
        <v>96</v>
      </c>
      <c r="B136" s="418" t="s">
        <v>118</v>
      </c>
      <c r="C136" s="418" t="s">
        <v>120</v>
      </c>
      <c r="D136" s="418">
        <v>41</v>
      </c>
      <c r="E136" s="419" t="s">
        <v>41</v>
      </c>
      <c r="F136" s="418"/>
      <c r="G136" s="418"/>
    </row>
    <row r="137" spans="1:7">
      <c r="A137" s="418" t="s">
        <v>96</v>
      </c>
      <c r="B137" s="418" t="s">
        <v>118</v>
      </c>
      <c r="C137" s="418" t="s">
        <v>121</v>
      </c>
      <c r="D137" s="418">
        <v>42</v>
      </c>
      <c r="E137" s="419" t="s">
        <v>41</v>
      </c>
      <c r="F137" s="418"/>
      <c r="G137" s="418"/>
    </row>
    <row r="138" spans="1:7">
      <c r="A138" s="418" t="s">
        <v>96</v>
      </c>
      <c r="B138" s="418" t="s">
        <v>118</v>
      </c>
      <c r="C138" s="418" t="s">
        <v>122</v>
      </c>
      <c r="D138" s="418">
        <v>43</v>
      </c>
      <c r="E138" s="418" t="s">
        <v>12</v>
      </c>
      <c r="F138" s="418"/>
      <c r="G138" s="418"/>
    </row>
    <row r="139" spans="1:7">
      <c r="A139" s="418" t="s">
        <v>96</v>
      </c>
      <c r="B139" s="418" t="s">
        <v>118</v>
      </c>
      <c r="C139" s="418" t="s">
        <v>123</v>
      </c>
      <c r="D139" s="418">
        <v>44</v>
      </c>
      <c r="E139" s="419" t="s">
        <v>41</v>
      </c>
      <c r="F139" s="418"/>
      <c r="G139" s="418"/>
    </row>
    <row r="140" spans="1:7">
      <c r="A140" s="418" t="s">
        <v>96</v>
      </c>
      <c r="B140" s="418" t="s">
        <v>118</v>
      </c>
      <c r="C140" s="418" t="s">
        <v>124</v>
      </c>
      <c r="D140" s="418">
        <v>45</v>
      </c>
      <c r="E140" s="419" t="s">
        <v>41</v>
      </c>
      <c r="F140" s="418"/>
      <c r="G140" s="418"/>
    </row>
    <row r="141" spans="1:7">
      <c r="A141" s="418" t="s">
        <v>96</v>
      </c>
      <c r="B141" s="418" t="s">
        <v>118</v>
      </c>
      <c r="C141" s="418" t="s">
        <v>125</v>
      </c>
      <c r="D141" s="418">
        <v>46</v>
      </c>
      <c r="E141" s="419" t="s">
        <v>41</v>
      </c>
      <c r="F141" s="418"/>
      <c r="G141" s="418"/>
    </row>
    <row r="142" spans="1:7">
      <c r="A142" s="417" t="s">
        <v>96</v>
      </c>
      <c r="B142" s="417" t="s">
        <v>126</v>
      </c>
      <c r="C142" s="417" t="s">
        <v>9</v>
      </c>
      <c r="D142" s="417">
        <v>48</v>
      </c>
      <c r="E142" s="417" t="s">
        <v>10</v>
      </c>
      <c r="F142" s="417"/>
      <c r="G142" s="417"/>
    </row>
    <row r="143" spans="1:7">
      <c r="A143" s="418" t="s">
        <v>96</v>
      </c>
      <c r="B143" s="418" t="s">
        <v>126</v>
      </c>
      <c r="C143" s="418" t="s">
        <v>127</v>
      </c>
      <c r="D143" s="418">
        <v>49</v>
      </c>
      <c r="E143" s="419" t="s">
        <v>41</v>
      </c>
      <c r="F143" s="418"/>
      <c r="G143" s="418"/>
    </row>
    <row r="144" spans="1:7">
      <c r="A144" s="418" t="s">
        <v>96</v>
      </c>
      <c r="B144" s="418" t="s">
        <v>126</v>
      </c>
      <c r="C144" s="418" t="s">
        <v>128</v>
      </c>
      <c r="D144" s="418">
        <v>50</v>
      </c>
      <c r="E144" s="418" t="s">
        <v>12</v>
      </c>
      <c r="F144" s="418"/>
      <c r="G144" s="418"/>
    </row>
    <row r="145" spans="1:7">
      <c r="A145" s="418" t="s">
        <v>96</v>
      </c>
      <c r="B145" s="418" t="s">
        <v>126</v>
      </c>
      <c r="C145" s="418" t="s">
        <v>129</v>
      </c>
      <c r="D145" s="418">
        <v>51</v>
      </c>
      <c r="E145" s="419" t="s">
        <v>41</v>
      </c>
      <c r="F145" s="418"/>
      <c r="G145" s="418"/>
    </row>
    <row r="146" spans="1:7">
      <c r="A146" s="418" t="s">
        <v>96</v>
      </c>
      <c r="B146" s="418" t="s">
        <v>126</v>
      </c>
      <c r="C146" s="418" t="s">
        <v>130</v>
      </c>
      <c r="D146" s="418">
        <v>52</v>
      </c>
      <c r="E146" s="419" t="s">
        <v>41</v>
      </c>
      <c r="F146" s="418"/>
      <c r="G146" s="418"/>
    </row>
    <row r="147" spans="1:7">
      <c r="A147" s="417" t="s">
        <v>96</v>
      </c>
      <c r="B147" s="417" t="s">
        <v>45</v>
      </c>
      <c r="C147" s="417" t="s">
        <v>9</v>
      </c>
      <c r="D147" s="417">
        <v>54</v>
      </c>
      <c r="E147" s="417" t="s">
        <v>10</v>
      </c>
      <c r="F147" s="417"/>
      <c r="G147" s="417"/>
    </row>
    <row r="148" spans="1:7">
      <c r="A148" s="418" t="s">
        <v>96</v>
      </c>
      <c r="B148" s="418" t="s">
        <v>45</v>
      </c>
      <c r="C148" s="418" t="s">
        <v>27</v>
      </c>
      <c r="D148" s="418">
        <v>55</v>
      </c>
      <c r="E148" s="419" t="s">
        <v>41</v>
      </c>
      <c r="F148" s="418"/>
      <c r="G148" s="418"/>
    </row>
    <row r="149" spans="1:7">
      <c r="A149" s="418" t="s">
        <v>96</v>
      </c>
      <c r="B149" s="418" t="s">
        <v>45</v>
      </c>
      <c r="C149" s="418" t="s">
        <v>131</v>
      </c>
      <c r="D149" s="418">
        <v>56</v>
      </c>
      <c r="E149" s="419" t="s">
        <v>41</v>
      </c>
      <c r="F149" s="418"/>
      <c r="G149" s="418"/>
    </row>
    <row r="150" spans="1:7">
      <c r="A150" s="418" t="s">
        <v>96</v>
      </c>
      <c r="B150" s="418" t="s">
        <v>45</v>
      </c>
      <c r="C150" s="418" t="s">
        <v>132</v>
      </c>
      <c r="D150" s="418">
        <v>57</v>
      </c>
      <c r="E150" s="418" t="s">
        <v>12</v>
      </c>
      <c r="F150" s="418"/>
      <c r="G150" s="418"/>
    </row>
    <row r="151" spans="1:7">
      <c r="A151" s="418" t="s">
        <v>96</v>
      </c>
      <c r="B151" s="418" t="s">
        <v>45</v>
      </c>
      <c r="C151" s="418" t="s">
        <v>133</v>
      </c>
      <c r="D151" s="418">
        <v>58</v>
      </c>
      <c r="E151" s="418" t="s">
        <v>12</v>
      </c>
      <c r="F151" s="418"/>
      <c r="G151" s="418"/>
    </row>
    <row r="152" spans="1:7">
      <c r="A152" s="418" t="s">
        <v>96</v>
      </c>
      <c r="B152" s="418" t="s">
        <v>45</v>
      </c>
      <c r="C152" s="418" t="s">
        <v>134</v>
      </c>
      <c r="D152" s="418">
        <v>59</v>
      </c>
      <c r="E152" s="418" t="s">
        <v>12</v>
      </c>
      <c r="F152" s="418"/>
      <c r="G152" s="418"/>
    </row>
    <row r="153" spans="1:7">
      <c r="A153" s="418" t="s">
        <v>96</v>
      </c>
      <c r="B153" s="418" t="s">
        <v>45</v>
      </c>
      <c r="C153" s="418" t="s">
        <v>129</v>
      </c>
      <c r="D153" s="418">
        <v>60</v>
      </c>
      <c r="E153" s="419" t="s">
        <v>41</v>
      </c>
      <c r="F153" s="418"/>
      <c r="G153" s="418"/>
    </row>
    <row r="154" spans="1:7">
      <c r="A154" s="418" t="s">
        <v>96</v>
      </c>
      <c r="B154" s="418" t="s">
        <v>45</v>
      </c>
      <c r="C154" s="418" t="s">
        <v>130</v>
      </c>
      <c r="D154" s="418">
        <v>61</v>
      </c>
      <c r="E154" s="419" t="s">
        <v>41</v>
      </c>
      <c r="F154" s="418"/>
      <c r="G154" s="418"/>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1"/>
  <dimension ref="A2:A9"/>
  <sheetViews>
    <sheetView workbookViewId="0"/>
  </sheetViews>
  <sheetFormatPr defaultColWidth="8.77734375" defaultRowHeight="14.4"/>
  <cols>
    <col min="1" max="1" width="86.77734375" style="118" customWidth="1"/>
    <col min="2" max="7" width="8.77734375" style="8" customWidth="1"/>
    <col min="8" max="16384" width="8.77734375" style="8"/>
  </cols>
  <sheetData>
    <row r="2" spans="1:1">
      <c r="A2" s="118" t="s">
        <v>135</v>
      </c>
    </row>
    <row r="3" spans="1:1">
      <c r="A3" s="119" t="s">
        <v>136</v>
      </c>
    </row>
    <row r="4" spans="1:1">
      <c r="A4" s="119"/>
    </row>
    <row r="5" spans="1:1">
      <c r="A5" s="118" t="s">
        <v>137</v>
      </c>
    </row>
    <row r="6" spans="1:1" s="118" customFormat="1">
      <c r="A6" s="119" t="s">
        <v>138</v>
      </c>
    </row>
    <row r="8" spans="1:1">
      <c r="A8" s="118" t="s">
        <v>139</v>
      </c>
    </row>
    <row r="9" spans="1:1">
      <c r="A9" s="119" t="s">
        <v>140</v>
      </c>
    </row>
  </sheetData>
  <hyperlinks>
    <hyperlink ref="A3" r:id="rId1" xr:uid="{00000000-0004-0000-0100-000000000000}"/>
    <hyperlink ref="A6" r:id="rId2" xr:uid="{00000000-0004-0000-0100-000001000000}"/>
    <hyperlink ref="A9" r:id="rId3" xr:uid="{00000000-0004-0000-0100-000002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7" tint="0.79998168889431442"/>
  </sheetPr>
  <dimension ref="B2:C9"/>
  <sheetViews>
    <sheetView workbookViewId="0">
      <selection activeCell="K12" sqref="K12"/>
    </sheetView>
  </sheetViews>
  <sheetFormatPr defaultRowHeight="14.4"/>
  <cols>
    <col min="2" max="2" width="15.109375" customWidth="1"/>
  </cols>
  <sheetData>
    <row r="2" spans="2:3" ht="63.6" customHeight="1"/>
    <row r="3" spans="2:3">
      <c r="B3" t="s">
        <v>141</v>
      </c>
      <c r="C3" t="s">
        <v>142</v>
      </c>
    </row>
    <row r="5" spans="2:3" ht="56.4" customHeight="1"/>
    <row r="6" spans="2:3">
      <c r="B6" t="s">
        <v>143</v>
      </c>
      <c r="C6" t="s">
        <v>144</v>
      </c>
    </row>
    <row r="8" spans="2:3" ht="57.6" customHeight="1"/>
    <row r="9" spans="2:3">
      <c r="B9" t="s">
        <v>145</v>
      </c>
    </row>
  </sheetData>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76129" r:id="rId3" name="Button 1">
              <controlPr defaultSize="0" print="0" autoFill="0" autoPict="0" macro="[0]!SelectSourceFile">
                <anchor moveWithCells="1" sizeWithCells="1">
                  <from>
                    <xdr:col>1</xdr:col>
                    <xdr:colOff>144780</xdr:colOff>
                    <xdr:row>1</xdr:row>
                    <xdr:rowOff>190500</xdr:rowOff>
                  </from>
                  <to>
                    <xdr:col>2</xdr:col>
                    <xdr:colOff>487680</xdr:colOff>
                    <xdr:row>1</xdr:row>
                    <xdr:rowOff>594360</xdr:rowOff>
                  </to>
                </anchor>
              </controlPr>
            </control>
          </mc:Choice>
        </mc:AlternateContent>
        <mc:AlternateContent xmlns:mc="http://schemas.openxmlformats.org/markup-compatibility/2006">
          <mc:Choice Requires="x14">
            <control shapeId="176130" r:id="rId4" name="Button 2">
              <controlPr defaultSize="0" print="0" autoFill="0" autoPict="0" macro="[0]!SelectDestinationFile">
                <anchor moveWithCells="1" sizeWithCells="1">
                  <from>
                    <xdr:col>1</xdr:col>
                    <xdr:colOff>129540</xdr:colOff>
                    <xdr:row>4</xdr:row>
                    <xdr:rowOff>182880</xdr:rowOff>
                  </from>
                  <to>
                    <xdr:col>2</xdr:col>
                    <xdr:colOff>472440</xdr:colOff>
                    <xdr:row>4</xdr:row>
                    <xdr:rowOff>586740</xdr:rowOff>
                  </to>
                </anchor>
              </controlPr>
            </control>
          </mc:Choice>
        </mc:AlternateContent>
        <mc:AlternateContent xmlns:mc="http://schemas.openxmlformats.org/markup-compatibility/2006">
          <mc:Choice Requires="x14">
            <control shapeId="176131" r:id="rId5" name="Button 3">
              <controlPr defaultSize="0" print="0" autoFill="0" autoPict="0" macro="[0]!Synch_Agreement3_Planning_StartupInfo">
                <anchor moveWithCells="1" sizeWithCells="1">
                  <from>
                    <xdr:col>1</xdr:col>
                    <xdr:colOff>129540</xdr:colOff>
                    <xdr:row>7</xdr:row>
                    <xdr:rowOff>182880</xdr:rowOff>
                  </from>
                  <to>
                    <xdr:col>3</xdr:col>
                    <xdr:colOff>129540</xdr:colOff>
                    <xdr:row>7</xdr:row>
                    <xdr:rowOff>586740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2:AF84"/>
  <sheetViews>
    <sheetView workbookViewId="0"/>
  </sheetViews>
  <sheetFormatPr defaultColWidth="8.77734375" defaultRowHeight="14.4"/>
  <cols>
    <col min="1" max="1" width="8.44140625" style="39" customWidth="1"/>
    <col min="2" max="2" width="19.44140625" style="39" customWidth="1"/>
    <col min="3" max="3" width="17.44140625" style="39" customWidth="1"/>
    <col min="4" max="4" width="46" style="87" customWidth="1"/>
    <col min="5" max="10" width="8.77734375" style="39" customWidth="1"/>
    <col min="11" max="16384" width="8.77734375" style="39"/>
  </cols>
  <sheetData>
    <row r="2" spans="1:32">
      <c r="A2" s="39" t="s">
        <v>146</v>
      </c>
    </row>
    <row r="4" spans="1:32">
      <c r="A4" s="39" t="s">
        <v>147</v>
      </c>
      <c r="H4" s="177" t="s">
        <v>148</v>
      </c>
    </row>
    <row r="5" spans="1:32">
      <c r="A5" s="43" t="s">
        <v>149</v>
      </c>
      <c r="B5" s="43" t="s">
        <v>150</v>
      </c>
      <c r="C5" s="43" t="s">
        <v>151</v>
      </c>
      <c r="D5" s="89" t="s">
        <v>152</v>
      </c>
      <c r="G5" s="118"/>
      <c r="H5" s="118"/>
      <c r="I5" s="118"/>
      <c r="J5" s="118"/>
      <c r="K5" s="118"/>
      <c r="L5" s="118"/>
      <c r="M5" s="118"/>
      <c r="N5" s="118"/>
      <c r="O5" s="118"/>
      <c r="P5" s="8"/>
      <c r="Q5" s="8"/>
      <c r="R5" s="8"/>
      <c r="S5" s="8"/>
      <c r="W5" s="8"/>
      <c r="X5" s="8"/>
      <c r="Y5" s="8"/>
      <c r="Z5" s="8"/>
      <c r="AA5" s="8"/>
      <c r="AB5" s="8"/>
      <c r="AC5" s="8"/>
      <c r="AD5" s="8"/>
      <c r="AE5" s="8"/>
      <c r="AF5" s="8"/>
    </row>
    <row r="6" spans="1:32">
      <c r="A6" s="40">
        <v>9</v>
      </c>
      <c r="B6" s="41">
        <v>44137</v>
      </c>
      <c r="C6" s="40" t="s">
        <v>153</v>
      </c>
      <c r="D6" s="52" t="s">
        <v>154</v>
      </c>
      <c r="G6" s="118"/>
      <c r="H6" s="118"/>
      <c r="I6" s="118"/>
      <c r="J6" s="118"/>
      <c r="K6" s="118"/>
      <c r="L6" s="118"/>
      <c r="M6" s="118"/>
      <c r="N6" s="118"/>
    </row>
    <row r="7" spans="1:32">
      <c r="A7" s="40">
        <v>10</v>
      </c>
      <c r="B7" s="41">
        <v>44137</v>
      </c>
      <c r="C7" s="40" t="s">
        <v>153</v>
      </c>
      <c r="D7" s="52" t="s">
        <v>155</v>
      </c>
      <c r="G7" s="118"/>
      <c r="H7" s="160"/>
      <c r="I7" s="160"/>
      <c r="J7" s="160"/>
      <c r="K7" s="160"/>
      <c r="L7" s="160"/>
      <c r="M7" s="118"/>
      <c r="N7" s="161"/>
      <c r="O7" s="162"/>
      <c r="P7" s="162"/>
      <c r="Q7" s="162"/>
      <c r="R7" s="162"/>
      <c r="S7" s="8"/>
    </row>
    <row r="8" spans="1:32" ht="28.8" customHeight="1">
      <c r="A8" s="40">
        <v>13</v>
      </c>
      <c r="B8" s="41">
        <v>44142</v>
      </c>
      <c r="C8" s="40" t="s">
        <v>153</v>
      </c>
      <c r="D8" s="52" t="s">
        <v>156</v>
      </c>
      <c r="G8" s="118"/>
      <c r="H8" s="118"/>
      <c r="I8" s="118"/>
      <c r="J8" s="118"/>
      <c r="K8" s="118"/>
      <c r="L8" s="118"/>
      <c r="M8" s="118"/>
      <c r="N8" s="118"/>
      <c r="O8" s="118"/>
      <c r="P8" s="8"/>
      <c r="Q8" s="8"/>
      <c r="R8" s="8"/>
      <c r="S8" s="8"/>
      <c r="T8" s="8"/>
    </row>
    <row r="9" spans="1:32">
      <c r="A9" s="40">
        <v>16</v>
      </c>
      <c r="B9" s="41">
        <v>44145</v>
      </c>
      <c r="C9" s="40" t="s">
        <v>153</v>
      </c>
      <c r="D9" s="52" t="s">
        <v>157</v>
      </c>
      <c r="G9" s="118"/>
      <c r="H9" s="118"/>
      <c r="I9" s="118"/>
      <c r="J9" s="118"/>
      <c r="K9" s="118"/>
      <c r="L9" s="118"/>
      <c r="M9" s="118"/>
      <c r="N9" s="118"/>
      <c r="O9" s="118"/>
      <c r="P9" s="8"/>
      <c r="Q9" s="8"/>
      <c r="R9" s="8"/>
      <c r="S9" s="8"/>
    </row>
    <row r="10" spans="1:32">
      <c r="A10" s="40">
        <v>17</v>
      </c>
      <c r="B10" s="41">
        <v>44145</v>
      </c>
      <c r="C10" s="40" t="s">
        <v>153</v>
      </c>
      <c r="D10" s="52" t="s">
        <v>158</v>
      </c>
      <c r="G10" s="118"/>
      <c r="H10" s="118"/>
      <c r="I10" s="118"/>
      <c r="J10" s="118"/>
      <c r="K10" s="118"/>
      <c r="L10" s="118"/>
      <c r="M10" s="118"/>
      <c r="N10" s="118"/>
      <c r="O10" s="118"/>
      <c r="P10" s="8"/>
      <c r="Q10" s="8"/>
      <c r="R10" s="8"/>
      <c r="S10" s="8"/>
    </row>
    <row r="11" spans="1:32" ht="28.8" customHeight="1">
      <c r="A11" s="40">
        <v>24</v>
      </c>
      <c r="B11" s="41">
        <v>44153</v>
      </c>
      <c r="C11" s="40" t="s">
        <v>153</v>
      </c>
      <c r="D11" s="52" t="s">
        <v>159</v>
      </c>
      <c r="G11" s="118"/>
      <c r="H11" s="118"/>
      <c r="I11" s="118"/>
      <c r="J11" s="118"/>
      <c r="K11" s="118"/>
      <c r="L11" s="118"/>
      <c r="M11" s="118"/>
      <c r="N11" s="118"/>
      <c r="O11" s="118"/>
      <c r="P11" s="8"/>
      <c r="Q11" s="8"/>
      <c r="R11" s="8"/>
      <c r="S11" s="8"/>
    </row>
    <row r="12" spans="1:32">
      <c r="A12" s="40">
        <v>25</v>
      </c>
      <c r="B12" s="41">
        <v>44153</v>
      </c>
      <c r="C12" s="40" t="s">
        <v>153</v>
      </c>
      <c r="D12" s="52" t="s">
        <v>160</v>
      </c>
      <c r="G12" s="118"/>
      <c r="H12" s="118"/>
      <c r="I12" s="118"/>
      <c r="J12" s="118"/>
      <c r="K12" s="118"/>
      <c r="L12" s="118"/>
      <c r="M12" s="118"/>
      <c r="N12" s="118"/>
      <c r="O12" s="118"/>
      <c r="P12" s="8"/>
      <c r="Q12" s="8"/>
      <c r="R12" s="8"/>
      <c r="S12" s="8"/>
    </row>
    <row r="13" spans="1:32" ht="28.8" customHeight="1">
      <c r="A13" s="40">
        <v>26</v>
      </c>
      <c r="B13" s="41">
        <v>44154</v>
      </c>
      <c r="C13" s="40" t="s">
        <v>153</v>
      </c>
      <c r="D13" s="52" t="s">
        <v>161</v>
      </c>
      <c r="G13" s="118"/>
      <c r="H13" s="118"/>
      <c r="I13" s="118"/>
      <c r="J13" s="118"/>
      <c r="K13" s="118"/>
      <c r="L13" s="118"/>
      <c r="M13" s="118"/>
      <c r="N13" s="118"/>
      <c r="O13" s="118"/>
      <c r="P13" s="8"/>
      <c r="Q13" s="8"/>
      <c r="R13" s="8"/>
      <c r="S13" s="8"/>
    </row>
    <row r="14" spans="1:32">
      <c r="A14" s="40">
        <v>34</v>
      </c>
      <c r="B14" s="41">
        <v>44170</v>
      </c>
      <c r="C14" s="40" t="s">
        <v>153</v>
      </c>
      <c r="D14" s="52" t="s">
        <v>162</v>
      </c>
      <c r="G14" s="118"/>
      <c r="H14" s="118"/>
      <c r="I14" s="118"/>
      <c r="J14" s="118"/>
      <c r="K14" s="118"/>
      <c r="L14" s="118"/>
      <c r="M14" s="118"/>
      <c r="N14" s="118"/>
      <c r="O14" s="118"/>
      <c r="P14" s="8"/>
      <c r="Q14" s="8"/>
      <c r="R14" s="8"/>
      <c r="S14" s="8"/>
    </row>
    <row r="15" spans="1:32">
      <c r="A15" s="40">
        <v>38</v>
      </c>
      <c r="B15" s="41">
        <v>44175</v>
      </c>
      <c r="C15" s="40" t="s">
        <v>153</v>
      </c>
      <c r="D15" s="52" t="s">
        <v>163</v>
      </c>
      <c r="G15" s="118"/>
      <c r="H15" s="118"/>
      <c r="I15" s="118"/>
      <c r="J15" s="118"/>
      <c r="K15" s="118"/>
      <c r="L15" s="118"/>
      <c r="M15" s="118"/>
      <c r="N15" s="118"/>
      <c r="O15" s="118"/>
      <c r="P15" s="8"/>
      <c r="Q15" s="8"/>
      <c r="R15" s="8"/>
      <c r="S15" s="8"/>
    </row>
    <row r="16" spans="1:32" ht="28.8" customHeight="1">
      <c r="A16" s="40">
        <v>43</v>
      </c>
      <c r="B16" s="41">
        <v>44231</v>
      </c>
      <c r="C16" s="40" t="s">
        <v>164</v>
      </c>
      <c r="D16" s="52" t="s">
        <v>165</v>
      </c>
      <c r="G16" s="118"/>
      <c r="H16" s="118"/>
      <c r="I16" s="118"/>
      <c r="J16" s="118"/>
      <c r="K16" s="118"/>
      <c r="L16" s="118"/>
      <c r="M16" s="118"/>
      <c r="N16" s="118"/>
      <c r="O16" s="118"/>
      <c r="P16" s="8"/>
      <c r="Q16" s="8"/>
      <c r="R16" s="8"/>
      <c r="S16" s="8"/>
    </row>
    <row r="17" spans="1:19" ht="28.8" customHeight="1">
      <c r="A17" s="40">
        <v>50</v>
      </c>
      <c r="B17" s="41">
        <v>44314</v>
      </c>
      <c r="C17" s="40" t="s">
        <v>153</v>
      </c>
      <c r="D17" s="52" t="s">
        <v>166</v>
      </c>
      <c r="G17" s="118"/>
      <c r="H17" s="118"/>
      <c r="I17" s="118"/>
      <c r="J17" s="118"/>
      <c r="K17" s="118"/>
      <c r="L17" s="118"/>
      <c r="M17" s="118"/>
      <c r="N17" s="118"/>
      <c r="O17" s="118"/>
      <c r="P17" s="8"/>
      <c r="Q17" s="8"/>
      <c r="R17" s="8"/>
      <c r="S17" s="8"/>
    </row>
    <row r="18" spans="1:19" ht="28.8" customHeight="1">
      <c r="A18" s="40">
        <v>51</v>
      </c>
      <c r="B18" s="41">
        <v>44318</v>
      </c>
      <c r="C18" s="40" t="s">
        <v>153</v>
      </c>
      <c r="D18" s="52" t="s">
        <v>167</v>
      </c>
      <c r="G18" s="118"/>
      <c r="H18" s="118"/>
      <c r="I18" s="118"/>
      <c r="J18" s="118"/>
      <c r="K18" s="118"/>
      <c r="L18" s="118"/>
      <c r="M18" s="118"/>
      <c r="N18" s="118"/>
      <c r="O18" s="118"/>
      <c r="P18" s="8"/>
      <c r="Q18" s="8"/>
      <c r="R18" s="8"/>
      <c r="S18" s="8"/>
    </row>
    <row r="19" spans="1:19">
      <c r="A19" s="40">
        <v>52</v>
      </c>
      <c r="B19" s="41">
        <v>44324</v>
      </c>
      <c r="C19" s="40" t="s">
        <v>153</v>
      </c>
      <c r="D19" s="52" t="s">
        <v>168</v>
      </c>
      <c r="G19" s="118"/>
      <c r="H19" s="118"/>
      <c r="I19" s="118"/>
      <c r="J19" s="118"/>
      <c r="K19" s="118"/>
      <c r="L19" s="118"/>
      <c r="M19" s="118"/>
    </row>
    <row r="20" spans="1:19" ht="28.8" customHeight="1">
      <c r="A20" s="40">
        <v>53</v>
      </c>
      <c r="B20" s="41">
        <v>44343</v>
      </c>
      <c r="C20" s="40" t="s">
        <v>153</v>
      </c>
      <c r="D20" s="52" t="s">
        <v>169</v>
      </c>
    </row>
    <row r="21" spans="1:19">
      <c r="A21" s="40">
        <v>53</v>
      </c>
      <c r="B21" s="41">
        <v>44354</v>
      </c>
      <c r="C21" s="40" t="s">
        <v>170</v>
      </c>
      <c r="D21" s="52" t="s">
        <v>171</v>
      </c>
    </row>
    <row r="22" spans="1:19">
      <c r="A22" s="40">
        <v>56</v>
      </c>
      <c r="B22" s="41">
        <v>44463</v>
      </c>
      <c r="C22" s="40" t="s">
        <v>153</v>
      </c>
      <c r="D22" s="52" t="s">
        <v>172</v>
      </c>
    </row>
    <row r="23" spans="1:19">
      <c r="A23" s="40">
        <v>57</v>
      </c>
      <c r="B23" s="41">
        <v>44566</v>
      </c>
      <c r="C23" s="40" t="s">
        <v>170</v>
      </c>
      <c r="D23" s="52" t="s">
        <v>173</v>
      </c>
    </row>
    <row r="24" spans="1:19">
      <c r="H24" s="8"/>
      <c r="I24" s="8"/>
      <c r="J24" s="8"/>
      <c r="K24" s="8"/>
      <c r="L24" s="8"/>
      <c r="M24" s="8"/>
      <c r="N24" s="8"/>
      <c r="O24" s="8"/>
      <c r="P24" s="8"/>
      <c r="Q24" s="8"/>
      <c r="R24" s="8"/>
    </row>
    <row r="25" spans="1:19">
      <c r="H25" s="163"/>
      <c r="I25" s="163"/>
      <c r="J25" s="163"/>
      <c r="K25" s="163"/>
      <c r="L25" s="163"/>
      <c r="M25" s="8"/>
      <c r="N25" s="164"/>
      <c r="O25" s="164"/>
      <c r="P25" s="164"/>
      <c r="Q25" s="164"/>
      <c r="R25" s="164"/>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1" t="s">
        <v>174</v>
      </c>
      <c r="D45" s="280" t="s">
        <v>175</v>
      </c>
      <c r="H45" s="279" t="s">
        <v>176</v>
      </c>
      <c r="I45" s="279"/>
      <c r="J45" s="279"/>
      <c r="K45" s="279"/>
      <c r="L45" s="279"/>
    </row>
    <row r="64" spans="2:19">
      <c r="B64" s="282" t="s">
        <v>177</v>
      </c>
      <c r="C64" s="282"/>
      <c r="D64" s="283" t="s">
        <v>178</v>
      </c>
      <c r="F64" s="284" t="s">
        <v>179</v>
      </c>
      <c r="G64" s="284"/>
      <c r="H64" s="284"/>
      <c r="I64" s="284"/>
      <c r="K64" s="285" t="s">
        <v>180</v>
      </c>
      <c r="L64" s="285"/>
      <c r="M64" s="285"/>
      <c r="N64" s="285"/>
      <c r="P64" s="287" t="s">
        <v>181</v>
      </c>
      <c r="Q64" s="286"/>
      <c r="R64" s="286"/>
      <c r="S64" s="286"/>
    </row>
    <row r="84" spans="6:8">
      <c r="F84" s="290" t="s">
        <v>182</v>
      </c>
      <c r="G84" s="290"/>
      <c r="H84" s="289"/>
    </row>
  </sheetData>
  <hyperlinks>
    <hyperlink ref="H4" r:id="rId1" xr:uid="{00000000-0004-0000-0300-000000000000}"/>
  </hyperlink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5"/>
  <dimension ref="A1:B47"/>
  <sheetViews>
    <sheetView workbookViewId="0"/>
  </sheetViews>
  <sheetFormatPr defaultColWidth="8.77734375" defaultRowHeight="14.4"/>
  <cols>
    <col min="1" max="1" width="25.77734375" style="11" customWidth="1"/>
    <col min="2" max="2" width="90.21875" style="11" customWidth="1"/>
    <col min="3" max="8" width="8.77734375" style="11" customWidth="1"/>
    <col min="9" max="16384" width="8.77734375" style="11"/>
  </cols>
  <sheetData>
    <row r="1" spans="1:2">
      <c r="A1" s="242" t="s">
        <v>183</v>
      </c>
      <c r="B1" s="242"/>
    </row>
    <row r="2" spans="1:2" ht="43.2" customHeight="1">
      <c r="A2" s="11" t="s">
        <v>184</v>
      </c>
      <c r="B2" s="11" t="s">
        <v>185</v>
      </c>
    </row>
    <row r="3" spans="1:2">
      <c r="B3" s="243" t="s">
        <v>186</v>
      </c>
    </row>
    <row r="4" spans="1:2">
      <c r="B4" s="244" t="s">
        <v>187</v>
      </c>
    </row>
    <row r="5" spans="1:2" ht="28.8" customHeight="1">
      <c r="B5" s="245" t="s">
        <v>188</v>
      </c>
    </row>
    <row r="7" spans="1:2" ht="72" customHeight="1">
      <c r="A7" s="11" t="s">
        <v>189</v>
      </c>
      <c r="B7" s="11" t="s">
        <v>190</v>
      </c>
    </row>
    <row r="9" spans="1:2" ht="28.8" customHeight="1">
      <c r="A9" s="11" t="s">
        <v>191</v>
      </c>
      <c r="B9" s="11" t="s">
        <v>192</v>
      </c>
    </row>
    <row r="11" spans="1:2">
      <c r="A11" s="242" t="s">
        <v>193</v>
      </c>
      <c r="B11" s="242"/>
    </row>
    <row r="12" spans="1:2">
      <c r="A12" s="11" t="s">
        <v>194</v>
      </c>
      <c r="B12" s="11" t="s">
        <v>195</v>
      </c>
    </row>
    <row r="13" spans="1:2" ht="43.2" customHeight="1">
      <c r="A13" s="11" t="s">
        <v>196</v>
      </c>
      <c r="B13" s="11" t="s">
        <v>197</v>
      </c>
    </row>
    <row r="14" spans="1:2">
      <c r="A14" s="11" t="s">
        <v>198</v>
      </c>
      <c r="B14" s="11" t="s">
        <v>199</v>
      </c>
    </row>
    <row r="15" spans="1:2" ht="57.6" customHeight="1">
      <c r="A15" s="11" t="s">
        <v>200</v>
      </c>
      <c r="B15" s="11" t="s">
        <v>201</v>
      </c>
    </row>
    <row r="16" spans="1:2" ht="43.2" customHeight="1">
      <c r="A16" s="16" t="s">
        <v>7</v>
      </c>
      <c r="B16" s="11" t="s">
        <v>202</v>
      </c>
    </row>
    <row r="17" spans="1:2">
      <c r="A17" s="16" t="s">
        <v>47</v>
      </c>
      <c r="B17" s="11" t="s">
        <v>203</v>
      </c>
    </row>
    <row r="18" spans="1:2" ht="28.8" customHeight="1">
      <c r="A18" s="16" t="s">
        <v>96</v>
      </c>
      <c r="B18" s="11" t="s">
        <v>204</v>
      </c>
    </row>
    <row r="19" spans="1:2" ht="43.2" customHeight="1">
      <c r="A19" s="16" t="s">
        <v>205</v>
      </c>
      <c r="B19" s="11" t="s">
        <v>206</v>
      </c>
    </row>
    <row r="20" spans="1:2">
      <c r="A20" s="16" t="s">
        <v>207</v>
      </c>
      <c r="B20" s="11" t="s">
        <v>208</v>
      </c>
    </row>
    <row r="21" spans="1:2">
      <c r="A21" s="16" t="s">
        <v>209</v>
      </c>
    </row>
    <row r="22" spans="1:2">
      <c r="A22" s="16" t="s">
        <v>210</v>
      </c>
    </row>
    <row r="23" spans="1:2">
      <c r="A23" s="16" t="s">
        <v>211</v>
      </c>
    </row>
    <row r="24" spans="1:2">
      <c r="A24" s="16" t="s">
        <v>212</v>
      </c>
    </row>
    <row r="25" spans="1:2">
      <c r="A25" s="16" t="s">
        <v>213</v>
      </c>
    </row>
    <row r="26" spans="1:2">
      <c r="A26" s="16" t="s">
        <v>214</v>
      </c>
    </row>
    <row r="27" spans="1:2">
      <c r="A27" s="16" t="s">
        <v>215</v>
      </c>
    </row>
    <row r="28" spans="1:2">
      <c r="A28" s="16" t="s">
        <v>216</v>
      </c>
    </row>
    <row r="29" spans="1:2">
      <c r="A29" s="16" t="s">
        <v>217</v>
      </c>
    </row>
    <row r="30" spans="1:2">
      <c r="A30" s="16" t="s">
        <v>218</v>
      </c>
    </row>
    <row r="31" spans="1:2">
      <c r="A31" s="16" t="s">
        <v>219</v>
      </c>
    </row>
    <row r="32" spans="1:2">
      <c r="A32" s="16" t="s">
        <v>220</v>
      </c>
    </row>
    <row r="33" spans="1:1">
      <c r="A33" s="16" t="s">
        <v>221</v>
      </c>
    </row>
    <row r="34" spans="1:1">
      <c r="A34" s="16" t="s">
        <v>222</v>
      </c>
    </row>
    <row r="35" spans="1:1">
      <c r="A35" s="16" t="s">
        <v>223</v>
      </c>
    </row>
    <row r="36" spans="1:1">
      <c r="A36" s="16" t="s">
        <v>224</v>
      </c>
    </row>
    <row r="37" spans="1:1">
      <c r="A37" s="16" t="s">
        <v>225</v>
      </c>
    </row>
    <row r="38" spans="1:1">
      <c r="A38" s="16" t="s">
        <v>226</v>
      </c>
    </row>
    <row r="39" spans="1:1">
      <c r="A39" s="16" t="s">
        <v>227</v>
      </c>
    </row>
    <row r="40" spans="1:1">
      <c r="A40" s="16" t="s">
        <v>228</v>
      </c>
    </row>
    <row r="41" spans="1:1">
      <c r="A41" s="16" t="s">
        <v>229</v>
      </c>
    </row>
    <row r="42" spans="1:1">
      <c r="A42" s="16" t="s">
        <v>230</v>
      </c>
    </row>
    <row r="43" spans="1:1">
      <c r="A43" s="16" t="s">
        <v>231</v>
      </c>
    </row>
    <row r="44" spans="1:1">
      <c r="A44" s="16" t="s">
        <v>232</v>
      </c>
    </row>
    <row r="45" spans="1:1">
      <c r="A45" s="16" t="s">
        <v>233</v>
      </c>
    </row>
    <row r="46" spans="1:1">
      <c r="A46" s="16" t="s">
        <v>234</v>
      </c>
    </row>
    <row r="47" spans="1:1">
      <c r="A47" s="1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F54"/>
  <sheetViews>
    <sheetView workbookViewId="0"/>
  </sheetViews>
  <sheetFormatPr defaultColWidth="8.77734375" defaultRowHeight="14.4"/>
  <cols>
    <col min="1" max="1" width="30.77734375" customWidth="1"/>
    <col min="2" max="8" width="11.77734375" style="106" customWidth="1"/>
    <col min="9" max="10" width="8.77734375" style="53" customWidth="1"/>
    <col min="11" max="11" width="16.44140625" style="53" customWidth="1"/>
    <col min="12" max="29" width="8.77734375" style="53" customWidth="1"/>
    <col min="30" max="30" width="30.77734375" style="73" customWidth="1"/>
    <col min="31" max="32" width="8.77734375" style="73" customWidth="1"/>
    <col min="33" max="38" width="8.77734375" style="53" customWidth="1"/>
    <col min="39" max="16384" width="8.77734375" style="53"/>
  </cols>
  <sheetData>
    <row r="1" spans="1:32">
      <c r="AD1" s="73" t="s">
        <v>235</v>
      </c>
      <c r="AE1" s="73">
        <v>48</v>
      </c>
    </row>
    <row r="2" spans="1:32" s="88" customFormat="1" ht="28.8" customHeight="1">
      <c r="A2" s="252"/>
      <c r="B2" s="88" t="s">
        <v>236</v>
      </c>
      <c r="C2" s="88" t="s">
        <v>237</v>
      </c>
      <c r="D2" s="88" t="s">
        <v>238</v>
      </c>
      <c r="E2" s="88" t="s">
        <v>239</v>
      </c>
      <c r="F2" s="88" t="s">
        <v>240</v>
      </c>
      <c r="G2" s="88" t="s">
        <v>241</v>
      </c>
      <c r="H2" s="88" t="s">
        <v>242</v>
      </c>
      <c r="AD2" s="253"/>
      <c r="AE2" s="253"/>
      <c r="AF2" s="253"/>
    </row>
    <row r="7" spans="1:32" s="73" customFormat="1">
      <c r="A7" t="s">
        <v>194</v>
      </c>
      <c r="B7" s="106" t="s">
        <v>243</v>
      </c>
      <c r="C7" s="106" t="s">
        <v>243</v>
      </c>
      <c r="D7" s="106" t="s">
        <v>243</v>
      </c>
      <c r="E7" s="106" t="s">
        <v>243</v>
      </c>
      <c r="F7" s="106" t="s">
        <v>243</v>
      </c>
      <c r="G7" s="106" t="s">
        <v>243</v>
      </c>
      <c r="H7" s="106" t="s">
        <v>243</v>
      </c>
      <c r="I7" s="53">
        <f t="shared" ref="I7:I54" si="0">COUNTA(B7:H7)</f>
        <v>7</v>
      </c>
      <c r="J7" s="53"/>
      <c r="L7" s="53"/>
      <c r="M7" s="53"/>
      <c r="N7" s="53"/>
      <c r="O7" s="53"/>
      <c r="P7" s="53"/>
      <c r="Q7" s="53"/>
      <c r="R7" s="53"/>
      <c r="S7" s="53"/>
      <c r="T7" s="53"/>
      <c r="U7" s="53"/>
      <c r="V7" s="53"/>
      <c r="W7" s="53"/>
      <c r="X7" s="53"/>
      <c r="Y7" s="53"/>
      <c r="Z7" s="53"/>
      <c r="AA7" s="53"/>
      <c r="AB7" s="53"/>
      <c r="AC7" s="53"/>
    </row>
    <row r="8" spans="1:32" s="73" customFormat="1">
      <c r="A8" t="s">
        <v>196</v>
      </c>
      <c r="B8" s="106"/>
      <c r="C8" s="106"/>
      <c r="D8" s="106"/>
      <c r="E8" s="106"/>
      <c r="F8" s="106"/>
      <c r="G8" s="106"/>
      <c r="H8" s="106"/>
      <c r="I8" s="53">
        <f t="shared" si="0"/>
        <v>0</v>
      </c>
      <c r="J8" s="53"/>
      <c r="L8" s="53"/>
      <c r="M8" s="53"/>
      <c r="N8" s="53"/>
      <c r="O8" s="53"/>
      <c r="P8" s="53"/>
      <c r="Q8" s="53"/>
      <c r="R8" s="53"/>
      <c r="S8" s="53"/>
      <c r="T8" s="53"/>
      <c r="U8" s="53"/>
      <c r="V8" s="53"/>
      <c r="W8" s="53"/>
      <c r="X8" s="53"/>
      <c r="Y8" s="53"/>
      <c r="Z8" s="53"/>
      <c r="AA8" s="53"/>
      <c r="AB8" s="53"/>
      <c r="AC8" s="53"/>
    </row>
    <row r="9" spans="1:32" s="73" customFormat="1">
      <c r="A9" t="s">
        <v>198</v>
      </c>
      <c r="B9" s="106"/>
      <c r="C9" s="106"/>
      <c r="D9" s="106"/>
      <c r="E9" s="106"/>
      <c r="F9" s="106" t="s">
        <v>243</v>
      </c>
      <c r="G9" s="106"/>
      <c r="H9" s="106"/>
      <c r="I9" s="53">
        <f t="shared" si="0"/>
        <v>1</v>
      </c>
      <c r="J9" s="53"/>
      <c r="L9" s="53"/>
      <c r="M9" s="53"/>
      <c r="N9" s="53"/>
      <c r="O9" s="53"/>
      <c r="P9" s="53"/>
      <c r="Q9" s="53"/>
      <c r="R9" s="53"/>
      <c r="S9" s="53"/>
      <c r="T9" s="53"/>
      <c r="U9" s="53"/>
      <c r="V9" s="53"/>
      <c r="W9" s="53"/>
      <c r="X9" s="53"/>
      <c r="Y9" s="53"/>
      <c r="Z9" s="53"/>
      <c r="AA9" s="53"/>
      <c r="AB9" s="53"/>
      <c r="AC9" s="53"/>
    </row>
    <row r="10" spans="1:32" s="73" customFormat="1">
      <c r="A10" t="s">
        <v>200</v>
      </c>
      <c r="B10" s="106" t="s">
        <v>243</v>
      </c>
      <c r="C10" s="106" t="s">
        <v>243</v>
      </c>
      <c r="D10" s="106" t="s">
        <v>243</v>
      </c>
      <c r="E10" s="106" t="s">
        <v>243</v>
      </c>
      <c r="F10" s="106" t="s">
        <v>243</v>
      </c>
      <c r="G10" s="106" t="s">
        <v>243</v>
      </c>
      <c r="H10" s="106" t="s">
        <v>243</v>
      </c>
      <c r="I10" s="53">
        <f t="shared" si="0"/>
        <v>7</v>
      </c>
      <c r="J10" s="53"/>
      <c r="L10" s="53"/>
      <c r="M10" s="53"/>
      <c r="N10" s="53"/>
      <c r="O10" s="53"/>
      <c r="P10" s="53"/>
      <c r="Q10" s="53"/>
      <c r="R10" s="53"/>
      <c r="S10" s="53"/>
      <c r="T10" s="53"/>
      <c r="U10" s="53"/>
      <c r="V10" s="53"/>
      <c r="W10" s="53"/>
      <c r="X10" s="53"/>
      <c r="Y10" s="53"/>
      <c r="Z10" s="53"/>
      <c r="AA10" s="53"/>
      <c r="AB10" s="53"/>
      <c r="AC10" s="53"/>
    </row>
    <row r="11" spans="1:32" s="73" customFormat="1">
      <c r="A11" t="s">
        <v>7</v>
      </c>
      <c r="B11" s="106" t="s">
        <v>243</v>
      </c>
      <c r="C11" s="106"/>
      <c r="D11" s="106" t="s">
        <v>243</v>
      </c>
      <c r="E11" s="106"/>
      <c r="F11" s="106" t="s">
        <v>243</v>
      </c>
      <c r="G11" s="106"/>
      <c r="H11" s="106"/>
      <c r="I11" s="53">
        <f t="shared" si="0"/>
        <v>3</v>
      </c>
      <c r="J11" s="53"/>
      <c r="L11" s="53"/>
      <c r="M11" s="53"/>
      <c r="N11" s="53"/>
      <c r="O11" s="53"/>
      <c r="P11" s="53"/>
      <c r="Q11" s="53"/>
      <c r="R11" s="53"/>
      <c r="S11" s="53"/>
      <c r="T11" s="53"/>
      <c r="U11" s="53"/>
      <c r="V11" s="53"/>
      <c r="W11" s="53"/>
      <c r="X11" s="53"/>
      <c r="Y11" s="53"/>
      <c r="Z11" s="53"/>
      <c r="AA11" s="53"/>
      <c r="AB11" s="53"/>
      <c r="AC11" s="53"/>
    </row>
    <row r="12" spans="1:32" s="73" customFormat="1">
      <c r="A12" t="s">
        <v>47</v>
      </c>
      <c r="B12" s="106" t="s">
        <v>243</v>
      </c>
      <c r="C12" s="106"/>
      <c r="D12" s="106"/>
      <c r="E12" s="106" t="s">
        <v>243</v>
      </c>
      <c r="F12" s="106" t="s">
        <v>243</v>
      </c>
      <c r="G12" s="106"/>
      <c r="H12" s="106"/>
      <c r="I12" s="53">
        <f t="shared" si="0"/>
        <v>3</v>
      </c>
      <c r="J12" s="53"/>
      <c r="L12" s="53"/>
      <c r="M12" s="53"/>
      <c r="N12" s="53"/>
      <c r="O12" s="53"/>
      <c r="P12" s="53"/>
      <c r="Q12" s="53"/>
      <c r="R12" s="53"/>
      <c r="S12" s="53"/>
      <c r="T12" s="53"/>
      <c r="U12" s="53"/>
      <c r="V12" s="53"/>
      <c r="W12" s="53"/>
      <c r="X12" s="53"/>
      <c r="Y12" s="53"/>
      <c r="Z12" s="53"/>
      <c r="AA12" s="53"/>
      <c r="AB12" s="53"/>
      <c r="AC12" s="53"/>
    </row>
    <row r="13" spans="1:32" s="73" customFormat="1">
      <c r="A13" t="s">
        <v>96</v>
      </c>
      <c r="B13" s="106" t="s">
        <v>243</v>
      </c>
      <c r="C13" s="106"/>
      <c r="D13" s="106" t="s">
        <v>243</v>
      </c>
      <c r="E13" s="106" t="s">
        <v>243</v>
      </c>
      <c r="F13" s="106" t="s">
        <v>243</v>
      </c>
      <c r="G13" s="106" t="s">
        <v>243</v>
      </c>
      <c r="H13" s="106" t="s">
        <v>243</v>
      </c>
      <c r="I13" s="53">
        <f t="shared" si="0"/>
        <v>6</v>
      </c>
      <c r="J13" s="53"/>
      <c r="L13" s="53"/>
      <c r="M13" s="53"/>
      <c r="N13" s="53"/>
      <c r="O13" s="53"/>
      <c r="P13" s="53"/>
      <c r="Q13" s="53"/>
      <c r="R13" s="53"/>
      <c r="S13" s="53"/>
      <c r="T13" s="53"/>
      <c r="U13" s="53"/>
      <c r="V13" s="53"/>
      <c r="W13" s="53"/>
      <c r="X13" s="53"/>
      <c r="Y13" s="53"/>
      <c r="Z13" s="53"/>
      <c r="AA13" s="53"/>
      <c r="AB13" s="53"/>
      <c r="AC13" s="53"/>
    </row>
    <row r="14" spans="1:32" s="73" customFormat="1">
      <c r="A14" t="s">
        <v>205</v>
      </c>
      <c r="B14" s="106" t="s">
        <v>243</v>
      </c>
      <c r="C14" s="106" t="s">
        <v>243</v>
      </c>
      <c r="D14" s="106" t="s">
        <v>243</v>
      </c>
      <c r="E14" s="106" t="s">
        <v>243</v>
      </c>
      <c r="F14" s="106" t="s">
        <v>243</v>
      </c>
      <c r="G14" s="106" t="s">
        <v>243</v>
      </c>
      <c r="H14" s="106" t="s">
        <v>243</v>
      </c>
      <c r="I14" s="53">
        <f t="shared" si="0"/>
        <v>7</v>
      </c>
      <c r="J14" s="53"/>
      <c r="L14" s="53"/>
      <c r="M14" s="53"/>
      <c r="N14" s="53"/>
      <c r="O14" s="53"/>
      <c r="P14" s="53"/>
      <c r="Q14" s="53"/>
      <c r="R14" s="53"/>
      <c r="S14" s="53"/>
      <c r="T14" s="53"/>
      <c r="U14" s="53"/>
      <c r="V14" s="53"/>
      <c r="W14" s="53"/>
      <c r="X14" s="53"/>
      <c r="Y14" s="53"/>
      <c r="Z14" s="53"/>
      <c r="AA14" s="53"/>
      <c r="AB14" s="53"/>
      <c r="AC14" s="53"/>
    </row>
    <row r="15" spans="1:32" s="73" customFormat="1">
      <c r="A15" t="s">
        <v>207</v>
      </c>
      <c r="B15" s="106" t="s">
        <v>243</v>
      </c>
      <c r="C15" s="106" t="s">
        <v>243</v>
      </c>
      <c r="D15" s="106" t="s">
        <v>243</v>
      </c>
      <c r="E15" s="106" t="s">
        <v>243</v>
      </c>
      <c r="F15" s="106" t="s">
        <v>243</v>
      </c>
      <c r="G15" s="106" t="s">
        <v>243</v>
      </c>
      <c r="H15" s="106" t="s">
        <v>243</v>
      </c>
      <c r="I15" s="53">
        <f t="shared" si="0"/>
        <v>7</v>
      </c>
      <c r="J15" s="53"/>
      <c r="L15" s="53"/>
      <c r="M15" s="53"/>
      <c r="N15" s="53"/>
      <c r="O15" s="53"/>
      <c r="P15" s="53"/>
      <c r="Q15" s="53"/>
      <c r="R15" s="53"/>
      <c r="S15" s="53"/>
      <c r="T15" s="53"/>
      <c r="U15" s="53"/>
      <c r="V15" s="53"/>
      <c r="W15" s="53"/>
      <c r="X15" s="53"/>
      <c r="Y15" s="53"/>
      <c r="Z15" s="53"/>
      <c r="AA15" s="53"/>
      <c r="AB15" s="53"/>
      <c r="AC15" s="53"/>
    </row>
    <row r="16" spans="1:32" s="73" customFormat="1">
      <c r="A16" t="s">
        <v>244</v>
      </c>
      <c r="B16" s="106" t="s">
        <v>243</v>
      </c>
      <c r="C16" s="106" t="s">
        <v>243</v>
      </c>
      <c r="D16" s="106"/>
      <c r="E16" s="106"/>
      <c r="F16" s="106"/>
      <c r="G16" s="106"/>
      <c r="H16" s="106"/>
      <c r="I16" s="53">
        <f t="shared" si="0"/>
        <v>2</v>
      </c>
      <c r="J16" s="53"/>
      <c r="L16" s="53"/>
      <c r="M16" s="53"/>
      <c r="N16" s="53"/>
      <c r="O16" s="53"/>
      <c r="P16" s="53"/>
      <c r="Q16" s="53"/>
      <c r="R16" s="53"/>
      <c r="S16" s="53"/>
      <c r="T16" s="53"/>
      <c r="U16" s="53"/>
      <c r="V16" s="53"/>
      <c r="W16" s="53"/>
      <c r="X16" s="53"/>
      <c r="Y16" s="53"/>
      <c r="Z16" s="53"/>
      <c r="AA16" s="53"/>
      <c r="AB16" s="53"/>
      <c r="AC16" s="53"/>
    </row>
    <row r="17" spans="1:9">
      <c r="A17" t="s">
        <v>245</v>
      </c>
      <c r="I17" s="53">
        <f t="shared" si="0"/>
        <v>0</v>
      </c>
    </row>
    <row r="18" spans="1:9">
      <c r="A18" t="s">
        <v>246</v>
      </c>
      <c r="I18" s="53">
        <f t="shared" si="0"/>
        <v>0</v>
      </c>
    </row>
    <row r="19" spans="1:9">
      <c r="A19" t="s">
        <v>247</v>
      </c>
      <c r="I19" s="53">
        <f t="shared" si="0"/>
        <v>0</v>
      </c>
    </row>
    <row r="20" spans="1:9">
      <c r="A20" t="s">
        <v>213</v>
      </c>
      <c r="B20" s="106" t="s">
        <v>243</v>
      </c>
      <c r="C20" s="106" t="s">
        <v>243</v>
      </c>
      <c r="E20" s="106" t="s">
        <v>243</v>
      </c>
      <c r="I20" s="53">
        <f t="shared" si="0"/>
        <v>3</v>
      </c>
    </row>
    <row r="21" spans="1:9">
      <c r="A21" t="s">
        <v>214</v>
      </c>
      <c r="C21" s="106" t="s">
        <v>243</v>
      </c>
      <c r="E21" s="106" t="s">
        <v>243</v>
      </c>
      <c r="I21" s="53">
        <f t="shared" si="0"/>
        <v>2</v>
      </c>
    </row>
    <row r="22" spans="1:9">
      <c r="A22" t="s">
        <v>215</v>
      </c>
      <c r="C22" s="106" t="s">
        <v>243</v>
      </c>
      <c r="E22" s="106" t="s">
        <v>243</v>
      </c>
      <c r="I22" s="53">
        <f t="shared" si="0"/>
        <v>2</v>
      </c>
    </row>
    <row r="23" spans="1:9">
      <c r="A23" t="s">
        <v>216</v>
      </c>
      <c r="I23" s="53">
        <f t="shared" si="0"/>
        <v>0</v>
      </c>
    </row>
    <row r="24" spans="1:9">
      <c r="A24" t="s">
        <v>217</v>
      </c>
      <c r="I24" s="53">
        <f t="shared" si="0"/>
        <v>0</v>
      </c>
    </row>
    <row r="25" spans="1:9">
      <c r="A25" t="s">
        <v>218</v>
      </c>
      <c r="B25" s="106" t="s">
        <v>243</v>
      </c>
      <c r="C25" s="106" t="s">
        <v>243</v>
      </c>
      <c r="E25" s="106" t="s">
        <v>243</v>
      </c>
      <c r="I25" s="53">
        <f t="shared" si="0"/>
        <v>3</v>
      </c>
    </row>
    <row r="26" spans="1:9">
      <c r="A26" t="s">
        <v>248</v>
      </c>
      <c r="I26" s="53">
        <f t="shared" si="0"/>
        <v>0</v>
      </c>
    </row>
    <row r="27" spans="1:9">
      <c r="A27" t="s">
        <v>220</v>
      </c>
      <c r="B27" s="106" t="s">
        <v>243</v>
      </c>
      <c r="C27" s="106" t="s">
        <v>243</v>
      </c>
      <c r="E27" s="106" t="s">
        <v>243</v>
      </c>
      <c r="F27" s="106" t="s">
        <v>243</v>
      </c>
      <c r="I27" s="53">
        <f t="shared" si="0"/>
        <v>4</v>
      </c>
    </row>
    <row r="28" spans="1:9">
      <c r="A28" t="s">
        <v>249</v>
      </c>
      <c r="F28" s="106" t="s">
        <v>243</v>
      </c>
      <c r="I28" s="53">
        <f t="shared" si="0"/>
        <v>1</v>
      </c>
    </row>
    <row r="29" spans="1:9">
      <c r="A29" t="s">
        <v>250</v>
      </c>
      <c r="I29" s="53">
        <f t="shared" si="0"/>
        <v>0</v>
      </c>
    </row>
    <row r="30" spans="1:9">
      <c r="A30" t="s">
        <v>251</v>
      </c>
      <c r="I30" s="53">
        <f t="shared" si="0"/>
        <v>0</v>
      </c>
    </row>
    <row r="31" spans="1:9">
      <c r="A31" t="s">
        <v>252</v>
      </c>
      <c r="I31" s="53">
        <f t="shared" si="0"/>
        <v>0</v>
      </c>
    </row>
    <row r="32" spans="1:9">
      <c r="A32" t="s">
        <v>226</v>
      </c>
      <c r="I32" s="53">
        <f t="shared" si="0"/>
        <v>0</v>
      </c>
    </row>
    <row r="33" spans="1:9">
      <c r="A33" t="s">
        <v>253</v>
      </c>
      <c r="I33" s="53">
        <f t="shared" si="0"/>
        <v>0</v>
      </c>
    </row>
    <row r="34" spans="1:9">
      <c r="A34" t="s">
        <v>254</v>
      </c>
      <c r="B34" s="106" t="s">
        <v>243</v>
      </c>
      <c r="I34" s="53">
        <f t="shared" si="0"/>
        <v>1</v>
      </c>
    </row>
    <row r="35" spans="1:9">
      <c r="A35" t="s">
        <v>255</v>
      </c>
      <c r="B35" s="106" t="s">
        <v>243</v>
      </c>
      <c r="I35" s="53">
        <f t="shared" si="0"/>
        <v>1</v>
      </c>
    </row>
    <row r="36" spans="1:9">
      <c r="A36" t="s">
        <v>256</v>
      </c>
      <c r="C36" s="106" t="s">
        <v>243</v>
      </c>
      <c r="I36" s="53">
        <f t="shared" si="0"/>
        <v>1</v>
      </c>
    </row>
    <row r="37" spans="1:9">
      <c r="A37" t="s">
        <v>257</v>
      </c>
      <c r="C37" s="106" t="s">
        <v>243</v>
      </c>
      <c r="I37" s="53">
        <f t="shared" si="0"/>
        <v>1</v>
      </c>
    </row>
    <row r="38" spans="1:9">
      <c r="A38" t="s">
        <v>258</v>
      </c>
      <c r="C38" s="106" t="s">
        <v>243</v>
      </c>
      <c r="I38" s="53">
        <f t="shared" si="0"/>
        <v>1</v>
      </c>
    </row>
    <row r="39" spans="1:9">
      <c r="A39" t="s">
        <v>233</v>
      </c>
      <c r="I39" s="53">
        <f t="shared" si="0"/>
        <v>0</v>
      </c>
    </row>
    <row r="40" spans="1:9">
      <c r="A40" t="s">
        <v>259</v>
      </c>
      <c r="I40" s="53">
        <f t="shared" si="0"/>
        <v>0</v>
      </c>
    </row>
    <row r="41" spans="1:9">
      <c r="A41" t="s">
        <v>260</v>
      </c>
      <c r="I41" s="53">
        <f t="shared" si="0"/>
        <v>0</v>
      </c>
    </row>
    <row r="42" spans="1:9">
      <c r="A42" t="s">
        <v>261</v>
      </c>
      <c r="I42" s="53">
        <f t="shared" si="0"/>
        <v>0</v>
      </c>
    </row>
    <row r="43" spans="1:9">
      <c r="A43" t="s">
        <v>262</v>
      </c>
      <c r="I43" s="53">
        <f t="shared" si="0"/>
        <v>0</v>
      </c>
    </row>
    <row r="44" spans="1:9">
      <c r="A44" t="s">
        <v>228</v>
      </c>
      <c r="I44" s="53">
        <f t="shared" si="0"/>
        <v>0</v>
      </c>
    </row>
    <row r="45" spans="1:9">
      <c r="A45" t="s">
        <v>229</v>
      </c>
      <c r="I45" s="53">
        <f t="shared" si="0"/>
        <v>0</v>
      </c>
    </row>
    <row r="46" spans="1:9">
      <c r="A46" t="s">
        <v>263</v>
      </c>
      <c r="I46" s="53">
        <f t="shared" si="0"/>
        <v>0</v>
      </c>
    </row>
    <row r="47" spans="1:9">
      <c r="A47" t="s">
        <v>264</v>
      </c>
      <c r="I47" s="53">
        <f t="shared" si="0"/>
        <v>0</v>
      </c>
    </row>
    <row r="48" spans="1:9">
      <c r="A48" t="s">
        <v>265</v>
      </c>
      <c r="I48" s="53">
        <f t="shared" si="0"/>
        <v>0</v>
      </c>
    </row>
    <row r="49" spans="1:9">
      <c r="A49" t="s">
        <v>266</v>
      </c>
      <c r="I49" s="53">
        <f t="shared" si="0"/>
        <v>0</v>
      </c>
    </row>
    <row r="50" spans="1:9">
      <c r="A50" t="s">
        <v>267</v>
      </c>
      <c r="I50" s="53">
        <f t="shared" si="0"/>
        <v>0</v>
      </c>
    </row>
    <row r="51" spans="1:9">
      <c r="A51" t="s">
        <v>268</v>
      </c>
      <c r="I51" s="53">
        <f t="shared" si="0"/>
        <v>0</v>
      </c>
    </row>
    <row r="52" spans="1:9">
      <c r="A52" t="s">
        <v>269</v>
      </c>
      <c r="I52" s="53">
        <f t="shared" si="0"/>
        <v>0</v>
      </c>
    </row>
    <row r="53" spans="1:9">
      <c r="A53" t="s">
        <v>234</v>
      </c>
      <c r="I53" s="53">
        <f t="shared" si="0"/>
        <v>0</v>
      </c>
    </row>
    <row r="54" spans="1:9">
      <c r="A54" t="s">
        <v>239</v>
      </c>
      <c r="I54" s="53">
        <f t="shared" si="0"/>
        <v>0</v>
      </c>
    </row>
  </sheetData>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4"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5"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6"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7"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8"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9"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0"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1"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dimension ref="A1:C16"/>
  <sheetViews>
    <sheetView workbookViewId="0">
      <selection activeCell="B5" sqref="B5"/>
    </sheetView>
  </sheetViews>
  <sheetFormatPr defaultColWidth="8.77734375" defaultRowHeight="14.4"/>
  <cols>
    <col min="1" max="1" width="33.77734375" style="11" customWidth="1"/>
    <col min="2" max="2" width="83.77734375" style="11" customWidth="1"/>
    <col min="3" max="3" width="11.21875" style="11" customWidth="1"/>
    <col min="4" max="9" width="8.77734375" style="11" customWidth="1"/>
    <col min="10" max="16384" width="8.77734375" style="11"/>
  </cols>
  <sheetData>
    <row r="1" spans="1:3">
      <c r="A1" s="377" t="s">
        <v>270</v>
      </c>
      <c r="B1" s="378"/>
    </row>
    <row r="2" spans="1:3" s="46" customFormat="1" ht="15.6" customHeight="1">
      <c r="A2" s="47" t="s">
        <v>271</v>
      </c>
      <c r="B2" s="47" t="s">
        <v>272</v>
      </c>
      <c r="C2" s="45"/>
    </row>
    <row r="3" spans="1:3" s="46" customFormat="1" ht="15.6" customHeight="1">
      <c r="A3" s="45" t="s">
        <v>273</v>
      </c>
      <c r="B3" s="379" t="str">
        <f>'Agreement 3'!B45</f>
        <v>lynn@tbd.com</v>
      </c>
      <c r="C3" s="45"/>
    </row>
    <row r="4" spans="1:3" s="46" customFormat="1" ht="15.6" customHeight="1">
      <c r="A4" s="45" t="s">
        <v>274</v>
      </c>
      <c r="B4" s="379" t="str">
        <f>_xlfn.CONCAT('Agreement 3'!B33,"; ",'Agreement 3'!B39)</f>
        <v>sam_zhou@bis.com.cn; zhangyu1@bis.com.cn</v>
      </c>
      <c r="C4" s="45"/>
    </row>
    <row r="5" spans="1:3" s="16" customFormat="1">
      <c r="A5" s="16" t="s">
        <v>275</v>
      </c>
      <c r="B5" s="16" t="str">
        <f>_xlfn.CONCAT(,'Agreement 3'!B16," (CASID",'Agreement 3'!B5,") | Review and complete Agreement3, Planning, StartupInfo, Project&amp;Support, Staff")</f>
        <v>Shenzhen Insigma Innovation Software Co., Ltd. (CASID81846) | Review and complete Agreement3, Planning, StartupInfo, Project&amp;Support, Staff</v>
      </c>
    </row>
    <row r="6" spans="1:3" s="16" customFormat="1">
      <c r="A6" s="16" t="s">
        <v>45</v>
      </c>
      <c r="B6" s="154" t="str">
        <f>'Agreement 3'!B41</f>
        <v>Lynn</v>
      </c>
    </row>
    <row r="7" spans="1:3" s="16" customFormat="1">
      <c r="B7" s="154"/>
    </row>
    <row r="8" spans="1:3" s="16" customFormat="1">
      <c r="A8" s="16" t="s">
        <v>276</v>
      </c>
      <c r="B8" s="154" t="str">
        <f>'Agreement 3'!B30</f>
        <v>Sheng Zhou</v>
      </c>
    </row>
    <row r="9" spans="1:3" s="16" customFormat="1">
      <c r="A9" s="16" t="s">
        <v>277</v>
      </c>
      <c r="B9" s="154" t="str">
        <f>'Agreement 3'!B16</f>
        <v>Shenzhen Insigma Innovation Software Co., Ltd.</v>
      </c>
    </row>
    <row r="10" spans="1:3" s="16" customFormat="1">
      <c r="A10" s="16" t="s">
        <v>278</v>
      </c>
      <c r="B10" s="154" t="str">
        <f>'Agreement 3'!B31</f>
        <v>General Manager</v>
      </c>
    </row>
    <row r="11" spans="1:3" s="16" customFormat="1">
      <c r="A11" s="16" t="s">
        <v>279</v>
      </c>
      <c r="B11" s="154" t="str">
        <f>'Agreement 3'!B32</f>
        <v>13510363575</v>
      </c>
    </row>
    <row r="12" spans="1:3" s="16" customFormat="1">
      <c r="A12" s="16" t="s">
        <v>280</v>
      </c>
      <c r="B12" s="154" t="str">
        <f>'Agreement 3'!B33</f>
        <v>sam_zhou@bis.com.cn</v>
      </c>
    </row>
    <row r="13" spans="1:3" s="16" customFormat="1">
      <c r="B13" s="154"/>
    </row>
    <row r="14" spans="1:3" s="16" customFormat="1">
      <c r="A14" s="16" t="s">
        <v>281</v>
      </c>
      <c r="B14" s="154" t="str">
        <f>'Agreement 3'!B35</f>
        <v>Yu Zhang</v>
      </c>
    </row>
    <row r="15" spans="1:3" s="16" customFormat="1">
      <c r="A15" s="16" t="s">
        <v>282</v>
      </c>
      <c r="B15" s="16">
        <f ca="1">Planning!B44-TODAY()</f>
        <v>15</v>
      </c>
    </row>
    <row r="16" spans="1:3" s="16" customFormat="1"/>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dimension ref="A2:M30"/>
  <sheetViews>
    <sheetView workbookViewId="0"/>
  </sheetViews>
  <sheetFormatPr defaultColWidth="8.77734375" defaultRowHeight="14.4"/>
  <cols>
    <col min="1" max="1" width="20.21875" style="16" customWidth="1"/>
    <col min="2" max="2" width="18.77734375" style="16" customWidth="1"/>
    <col min="3" max="10" width="8.77734375" style="60" customWidth="1"/>
    <col min="11" max="16" width="8.77734375" style="16" customWidth="1"/>
    <col min="17" max="16384" width="8.77734375" style="16"/>
  </cols>
  <sheetData>
    <row r="2" spans="1:13">
      <c r="A2" s="16" t="s">
        <v>283</v>
      </c>
      <c r="C2" s="386">
        <v>0.3</v>
      </c>
      <c r="D2" s="386">
        <v>0.5</v>
      </c>
      <c r="E2" s="386">
        <v>1</v>
      </c>
    </row>
    <row r="3" spans="1:13">
      <c r="A3" s="16" t="s">
        <v>284</v>
      </c>
      <c r="B3" s="16" t="s">
        <v>285</v>
      </c>
      <c r="C3" s="60" t="s">
        <v>286</v>
      </c>
      <c r="M3" s="29" t="str">
        <f>HYPERLINK(_xlfn.CONCAT("https://cmmiinstitute.com/appraisals-sys/appraisals/",'Agreement 3'!B5,"/roles-responsibilities"))</f>
        <v>https://cmmiinstitute.com/appraisals-sys/appraisals/81846/roles-responsibilities</v>
      </c>
    </row>
    <row r="4" spans="1:13">
      <c r="B4" s="16" t="s">
        <v>287</v>
      </c>
      <c r="C4" s="60" t="s">
        <v>286</v>
      </c>
      <c r="M4" s="29" t="str">
        <f>HYPERLINK(_xlfn.CONCAT("https://cmmiinstitute.com/appraisals-sys/appraisals/",'Agreement 3'!B5,"/appraisal-plan-summary"))</f>
        <v>https://cmmiinstitute.com/appraisals-sys/appraisals/81846/appraisal-plan-summary</v>
      </c>
    </row>
    <row r="5" spans="1:13">
      <c r="B5" s="16" t="s">
        <v>288</v>
      </c>
      <c r="C5" s="60" t="s">
        <v>286</v>
      </c>
      <c r="M5" s="29" t="str">
        <f>HYPERLINK(_xlfn.CONCAT("https://cmmiinstitute.com/appraisals-sys/appraisals/",'Agreement 3'!B5,"/confidentiality-agreement"))</f>
        <v>https://cmmiinstitute.com/appraisals-sys/appraisals/81846/confidentiality-agreement</v>
      </c>
    </row>
    <row r="6" spans="1:13">
      <c r="B6" s="16" t="s">
        <v>289</v>
      </c>
      <c r="C6" s="60" t="s">
        <v>286</v>
      </c>
      <c r="M6" s="29" t="str">
        <f>HYPERLINK(_xlfn.CONCAT("https://cmmiinstitute.com/appraisals-sys/appraisals/",'Agreement 3'!B5,"/appraisal-team"))</f>
        <v>https://cmmiinstitute.com/appraisals-sys/appraisals/81846/appraisal-team</v>
      </c>
    </row>
    <row r="8" spans="1:13">
      <c r="A8" s="16" t="s">
        <v>290</v>
      </c>
      <c r="B8" s="16" t="s">
        <v>285</v>
      </c>
      <c r="C8" s="60" t="s">
        <v>286</v>
      </c>
      <c r="M8" s="29" t="str">
        <f>HYPERLINK(_xlfn.CONCAT("https://cmmiinstitute.com/appraisals-sys/appraisals/",'Agreement 3'!B5,"/roles-responsibilities"))</f>
        <v>https://cmmiinstitute.com/appraisals-sys/appraisals/81846/roles-responsibilities</v>
      </c>
    </row>
    <row r="9" spans="1:13">
      <c r="B9" s="16" t="s">
        <v>287</v>
      </c>
      <c r="C9" s="60" t="s">
        <v>286</v>
      </c>
      <c r="M9" s="29" t="str">
        <f>HYPERLINK(_xlfn.CONCAT("https://cmmiinstitute.com/appraisals-sys/appraisals/",'Agreement 3'!B5,"/appraisal-plan-summary"))</f>
        <v>https://cmmiinstitute.com/appraisals-sys/appraisals/81846/appraisal-plan-summary</v>
      </c>
    </row>
    <row r="10" spans="1:13">
      <c r="B10" s="16" t="s">
        <v>288</v>
      </c>
      <c r="C10" s="60" t="s">
        <v>286</v>
      </c>
      <c r="M10" s="29" t="str">
        <f>HYPERLINK(_xlfn.CONCAT("https://cmmiinstitute.com/appraisals-sys/appraisals/",'Agreement 3'!B5,"/confidentiality-agreement"))</f>
        <v>https://cmmiinstitute.com/appraisals-sys/appraisals/81846/confidentiality-agreement</v>
      </c>
    </row>
    <row r="11" spans="1:13">
      <c r="B11" s="16" t="s">
        <v>289</v>
      </c>
      <c r="C11" s="60" t="s">
        <v>286</v>
      </c>
      <c r="M11" s="29" t="str">
        <f>HYPERLINK(_xlfn.CONCAT("https://cmmiinstitute.com/appraisals-sys/appraisals/",'Agreement 3'!B5,"/appraisal-sponsor"))</f>
        <v>https://cmmiinstitute.com/appraisals-sys/appraisals/81846/appraisal-sponsor</v>
      </c>
    </row>
    <row r="12" spans="1:13">
      <c r="M12" s="29"/>
    </row>
    <row r="13" spans="1:13">
      <c r="A13" s="16" t="s">
        <v>291</v>
      </c>
      <c r="B13" s="16" t="s">
        <v>292</v>
      </c>
      <c r="C13" s="60" t="s">
        <v>286</v>
      </c>
      <c r="F13" s="60" t="s">
        <v>293</v>
      </c>
      <c r="G13" s="60" t="s">
        <v>294</v>
      </c>
      <c r="H13" s="60" t="s">
        <v>295</v>
      </c>
      <c r="I13" s="60" t="s">
        <v>296</v>
      </c>
      <c r="J13" s="60" t="s">
        <v>297</v>
      </c>
    </row>
    <row r="14" spans="1:13">
      <c r="B14" s="16" t="s">
        <v>298</v>
      </c>
      <c r="C14" s="60" t="s">
        <v>286</v>
      </c>
    </row>
    <row r="15" spans="1:13">
      <c r="B15" s="16" t="s">
        <v>288</v>
      </c>
      <c r="C15" s="60" t="s">
        <v>286</v>
      </c>
      <c r="F15" s="60" t="s">
        <v>286</v>
      </c>
      <c r="G15" s="60" t="s">
        <v>286</v>
      </c>
      <c r="H15" s="60" t="s">
        <v>286</v>
      </c>
      <c r="I15" s="60" t="s">
        <v>286</v>
      </c>
      <c r="J15" s="60" t="s">
        <v>286</v>
      </c>
      <c r="M15" s="29" t="str">
        <f>HYPERLINK(_xlfn.CONCAT("https://cmmiinstitute.com/appraisals-sys/appraisals/",'Agreement 3'!B5,"/confidentiality-agreement"))</f>
        <v>https://cmmiinstitute.com/appraisals-sys/appraisals/81846/confidentiality-agreement</v>
      </c>
    </row>
    <row r="16" spans="1:13">
      <c r="B16" s="16" t="s">
        <v>299</v>
      </c>
      <c r="C16" s="60" t="s">
        <v>286</v>
      </c>
      <c r="F16" s="60" t="s">
        <v>286</v>
      </c>
      <c r="G16" s="60" t="s">
        <v>286</v>
      </c>
      <c r="H16" s="60" t="s">
        <v>286</v>
      </c>
      <c r="I16" s="60" t="s">
        <v>286</v>
      </c>
      <c r="J16" s="60" t="s">
        <v>286</v>
      </c>
      <c r="M16" s="29" t="str">
        <f>HYPERLINK(_xlfn.CONCAT("https://cmmiinstitute.com/appraisals-sys/appraisals/",'Agreement 3'!B5,"/appraisal-plan-summary"))</f>
        <v>https://cmmiinstitute.com/appraisals-sys/appraisals/81846/appraisal-plan-summary</v>
      </c>
    </row>
    <row r="17" spans="1:13">
      <c r="B17" s="16" t="s">
        <v>289</v>
      </c>
      <c r="C17" s="60" t="s">
        <v>286</v>
      </c>
      <c r="F17" s="60" t="s">
        <v>286</v>
      </c>
      <c r="G17" s="60" t="s">
        <v>286</v>
      </c>
      <c r="H17" s="60" t="s">
        <v>286</v>
      </c>
      <c r="I17" s="60" t="s">
        <v>286</v>
      </c>
      <c r="J17" s="60" t="s">
        <v>286</v>
      </c>
      <c r="M17" s="29" t="str">
        <f>HYPERLINK(_xlfn.CONCAT("https://cmmiinstitute.com/appraisals-sys/appraisals/",'Agreement 3'!B5,"/appraisal-team"))</f>
        <v>https://cmmiinstitute.com/appraisals-sys/appraisals/81846/appraisal-team</v>
      </c>
    </row>
    <row r="19" spans="1:13">
      <c r="A19" s="16" t="s">
        <v>300</v>
      </c>
      <c r="B19" s="16" t="s">
        <v>288</v>
      </c>
      <c r="C19" s="60" t="s">
        <v>286</v>
      </c>
      <c r="M19" s="29" t="str">
        <f>HYPERLINK(_xlfn.CONCAT("https://cmmiinstitute.com/appraisals-sys/appraisals/",'Agreement 3'!B5,"/confidentiality-agreement"))</f>
        <v>https://cmmiinstitute.com/appraisals-sys/appraisals/81846/confidentiality-agreement</v>
      </c>
    </row>
    <row r="20" spans="1:13">
      <c r="B20" s="16" t="s">
        <v>289</v>
      </c>
      <c r="C20" s="60" t="s">
        <v>286</v>
      </c>
      <c r="M20" s="29" t="str">
        <f>HYPERLINK(_xlfn.CONCAT("https://cmmiinstitute.com/appraisals-sys/appraisals/",'Agreement 3'!B5,"/appraisal-team"))</f>
        <v>https://cmmiinstitute.com/appraisals-sys/appraisals/81846/appraisal-team</v>
      </c>
    </row>
    <row r="22" spans="1:13">
      <c r="A22" s="16" t="s">
        <v>301</v>
      </c>
      <c r="B22" s="16" t="s">
        <v>288</v>
      </c>
      <c r="C22" s="60" t="s">
        <v>286</v>
      </c>
      <c r="M22" s="29" t="str">
        <f>HYPERLINK(_xlfn.CONCAT("https://cmmiinstitute.com/appraisals-sys/appraisals/",'Agreement 3'!B5,"/confidentiality-agreement"))</f>
        <v>https://cmmiinstitute.com/appraisals-sys/appraisals/81846/confidentiality-agreement</v>
      </c>
    </row>
    <row r="23" spans="1:13">
      <c r="B23" s="16" t="s">
        <v>289</v>
      </c>
      <c r="C23" s="60" t="s">
        <v>286</v>
      </c>
      <c r="M23" s="29" t="str">
        <f>HYPERLINK(_xlfn.CONCAT("https://cmmiinstitute.com/appraisals-sys/appraisals/",'Agreement 3'!B5,"/appraisal-team"))</f>
        <v>https://cmmiinstitute.com/appraisals-sys/appraisals/81846/appraisal-team</v>
      </c>
    </row>
    <row r="25" spans="1:13">
      <c r="A25" s="16" t="s">
        <v>302</v>
      </c>
      <c r="B25" s="16" t="s">
        <v>303</v>
      </c>
    </row>
    <row r="28" spans="1:13">
      <c r="A28" s="16" t="s">
        <v>304</v>
      </c>
      <c r="B28" s="16" t="s">
        <v>305</v>
      </c>
    </row>
    <row r="30" spans="1:13">
      <c r="A30" s="16" t="s">
        <v>306</v>
      </c>
    </row>
  </sheetData>
  <conditionalFormatting sqref="C1:C1048576">
    <cfRule type="cellIs" dxfId="116" priority="2" operator="equal">
      <formula>"No"</formula>
    </cfRule>
  </conditionalFormatting>
  <conditionalFormatting sqref="F15:J17">
    <cfRule type="cellIs" dxfId="115" priority="1" operator="equal">
      <formula>"No"</formula>
    </cfRule>
  </conditionalFormatting>
  <hyperlinks>
    <hyperlink ref="M4" r:id="rId1" display="https://cmmiinstitute.com/appraisals-sys/appraisals/59657/appraisal-plan-summary" xr:uid="{00000000-0004-0000-0700-000000000000}"/>
    <hyperlink ref="M5" r:id="rId2" display="https://cmmiinstitute.com/appraisals-sys/appraisals/59657/confidentiality-agreement" xr:uid="{00000000-0004-0000-0700-000001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7" tint="0.79998168889431442"/>
  </sheetPr>
  <dimension ref="A1:AB50"/>
  <sheetViews>
    <sheetView topLeftCell="A11" workbookViewId="0">
      <selection activeCell="B26" sqref="B26"/>
    </sheetView>
  </sheetViews>
  <sheetFormatPr defaultRowHeight="14.4"/>
  <cols>
    <col min="1" max="1" width="54.21875" style="8" customWidth="1"/>
    <col min="2" max="2" width="56" style="8" customWidth="1"/>
    <col min="3" max="3" width="16.77734375" customWidth="1"/>
    <col min="4" max="5" width="19.77734375" customWidth="1"/>
    <col min="28" max="28" width="44.77734375" style="16" customWidth="1"/>
  </cols>
  <sheetData>
    <row r="1" spans="1:28">
      <c r="A1" s="1" t="s">
        <v>8</v>
      </c>
      <c r="B1" s="23" t="s">
        <v>307</v>
      </c>
    </row>
    <row r="2" spans="1:28">
      <c r="A2" s="2" t="s">
        <v>11</v>
      </c>
      <c r="B2" s="3" t="s">
        <v>2029</v>
      </c>
      <c r="AB2" s="16" t="s">
        <v>308</v>
      </c>
    </row>
    <row r="3" spans="1:28">
      <c r="A3" s="2" t="s">
        <v>13</v>
      </c>
      <c r="B3" s="259"/>
      <c r="AB3" s="16" t="s">
        <v>309</v>
      </c>
    </row>
    <row r="4" spans="1:28">
      <c r="A4" s="2" t="s">
        <v>14</v>
      </c>
      <c r="B4" s="3" t="s">
        <v>310</v>
      </c>
      <c r="AB4" s="16" t="s">
        <v>311</v>
      </c>
    </row>
    <row r="5" spans="1:28">
      <c r="A5" s="2" t="s">
        <v>15</v>
      </c>
      <c r="B5" s="4">
        <v>81846</v>
      </c>
      <c r="AB5" s="16" t="s">
        <v>312</v>
      </c>
    </row>
    <row r="6" spans="1:28">
      <c r="A6" s="5" t="s">
        <v>16</v>
      </c>
      <c r="B6" s="5"/>
    </row>
    <row r="7" spans="1:28">
      <c r="A7" s="2" t="s">
        <v>17</v>
      </c>
      <c r="B7" s="6" t="s">
        <v>313</v>
      </c>
      <c r="AB7" s="16" t="s">
        <v>314</v>
      </c>
    </row>
    <row r="8" spans="1:28">
      <c r="A8" s="2" t="s">
        <v>18</v>
      </c>
      <c r="B8" s="6" t="s">
        <v>315</v>
      </c>
      <c r="AB8" s="16" t="s">
        <v>316</v>
      </c>
    </row>
    <row r="9" spans="1:28">
      <c r="A9" s="2" t="s">
        <v>19</v>
      </c>
      <c r="B9" s="6" t="s">
        <v>317</v>
      </c>
      <c r="AB9" s="16" t="s">
        <v>318</v>
      </c>
    </row>
    <row r="10" spans="1:28">
      <c r="A10" s="2" t="s">
        <v>20</v>
      </c>
      <c r="B10" s="6" t="s">
        <v>319</v>
      </c>
      <c r="AB10" s="16" t="s">
        <v>320</v>
      </c>
    </row>
    <row r="11" spans="1:28">
      <c r="A11" s="2" t="s">
        <v>21</v>
      </c>
      <c r="B11" s="6" t="s">
        <v>321</v>
      </c>
      <c r="AB11" s="16" t="s">
        <v>322</v>
      </c>
    </row>
    <row r="12" spans="1:28">
      <c r="A12" s="2" t="s">
        <v>23</v>
      </c>
      <c r="B12" s="6" t="s">
        <v>323</v>
      </c>
      <c r="AB12" s="16" t="s">
        <v>324</v>
      </c>
    </row>
    <row r="13" spans="1:28">
      <c r="A13" s="2" t="s">
        <v>24</v>
      </c>
      <c r="B13" s="6" t="s">
        <v>325</v>
      </c>
      <c r="AB13" s="16" t="s">
        <v>326</v>
      </c>
    </row>
    <row r="14" spans="1:28">
      <c r="A14" s="2" t="s">
        <v>25</v>
      </c>
      <c r="B14" s="6" t="s">
        <v>327</v>
      </c>
      <c r="AB14" s="16" t="s">
        <v>328</v>
      </c>
    </row>
    <row r="15" spans="1:28">
      <c r="A15" s="5" t="s">
        <v>26</v>
      </c>
      <c r="B15" s="5"/>
    </row>
    <row r="16" spans="1:28">
      <c r="A16" s="2" t="s">
        <v>27</v>
      </c>
      <c r="B16" s="6" t="s">
        <v>2030</v>
      </c>
      <c r="AB16" s="16" t="s">
        <v>329</v>
      </c>
    </row>
    <row r="17" spans="1:28">
      <c r="A17" s="2" t="s">
        <v>28</v>
      </c>
      <c r="B17" s="427" t="s">
        <v>2031</v>
      </c>
      <c r="AB17" s="16" t="s">
        <v>330</v>
      </c>
    </row>
    <row r="18" spans="1:28">
      <c r="A18" s="2" t="s">
        <v>29</v>
      </c>
      <c r="B18" s="6" t="s">
        <v>2032</v>
      </c>
      <c r="AB18" s="16" t="s">
        <v>332</v>
      </c>
    </row>
    <row r="19" spans="1:28">
      <c r="A19" s="2" t="s">
        <v>30</v>
      </c>
      <c r="B19" s="6" t="s">
        <v>333</v>
      </c>
      <c r="AB19" s="16" t="s">
        <v>334</v>
      </c>
    </row>
    <row r="20" spans="1:28">
      <c r="A20" s="2" t="s">
        <v>31</v>
      </c>
      <c r="B20" s="13" t="s">
        <v>335</v>
      </c>
      <c r="AB20" s="16" t="s">
        <v>336</v>
      </c>
    </row>
    <row r="21" spans="1:28">
      <c r="A21" s="5" t="s">
        <v>32</v>
      </c>
      <c r="B21" s="5"/>
    </row>
    <row r="22" spans="1:28">
      <c r="A22" s="2" t="s">
        <v>33</v>
      </c>
      <c r="B22" s="6">
        <v>46046</v>
      </c>
      <c r="AB22" s="16" t="s">
        <v>337</v>
      </c>
    </row>
    <row r="23" spans="1:28">
      <c r="A23" s="2" t="s">
        <v>34</v>
      </c>
      <c r="B23" s="391" t="s">
        <v>338</v>
      </c>
      <c r="C23" t="s">
        <v>339</v>
      </c>
      <c r="AB23" s="16" t="s">
        <v>340</v>
      </c>
    </row>
    <row r="24" spans="1:28">
      <c r="A24" s="2" t="s">
        <v>35</v>
      </c>
      <c r="B24" s="6">
        <v>46165</v>
      </c>
      <c r="AB24" s="16" t="s">
        <v>341</v>
      </c>
    </row>
    <row r="25" spans="1:28">
      <c r="A25" s="2" t="s">
        <v>37</v>
      </c>
      <c r="B25" s="246">
        <v>46171</v>
      </c>
      <c r="AB25" s="16" t="s">
        <v>342</v>
      </c>
    </row>
    <row r="26" spans="1:28" s="400" customFormat="1">
      <c r="A26" s="399" t="s">
        <v>39</v>
      </c>
      <c r="B26" s="415">
        <v>2</v>
      </c>
      <c r="AB26" s="16" t="s">
        <v>343</v>
      </c>
    </row>
    <row r="27" spans="1:28" s="400" customFormat="1">
      <c r="A27" s="399" t="s">
        <v>40</v>
      </c>
      <c r="B27" s="401">
        <f>B24+B26</f>
        <v>46167</v>
      </c>
      <c r="AB27" s="16" t="s">
        <v>344</v>
      </c>
    </row>
    <row r="28" spans="1:28" s="400" customFormat="1">
      <c r="A28" s="399" t="s">
        <v>42</v>
      </c>
      <c r="B28" s="402">
        <f>B25</f>
        <v>46171</v>
      </c>
      <c r="AB28" s="16" t="s">
        <v>345</v>
      </c>
    </row>
    <row r="29" spans="1:28">
      <c r="A29" s="5" t="s">
        <v>43</v>
      </c>
      <c r="B29" s="22"/>
    </row>
    <row r="30" spans="1:28">
      <c r="A30" s="2" t="s">
        <v>17</v>
      </c>
      <c r="B30" s="6" t="s">
        <v>2033</v>
      </c>
      <c r="AB30" s="16" t="s">
        <v>346</v>
      </c>
    </row>
    <row r="31" spans="1:28">
      <c r="A31" s="2" t="s">
        <v>19</v>
      </c>
      <c r="B31" s="6" t="s">
        <v>347</v>
      </c>
      <c r="AB31" s="16" t="s">
        <v>348</v>
      </c>
    </row>
    <row r="32" spans="1:28">
      <c r="A32" s="2" t="s">
        <v>23</v>
      </c>
      <c r="B32" s="246" t="s">
        <v>2034</v>
      </c>
      <c r="AB32" s="16" t="s">
        <v>349</v>
      </c>
    </row>
    <row r="33" spans="1:28">
      <c r="A33" s="2" t="s">
        <v>24</v>
      </c>
      <c r="B33" s="26" t="s">
        <v>2035</v>
      </c>
      <c r="AB33" s="16" t="s">
        <v>350</v>
      </c>
    </row>
    <row r="34" spans="1:28">
      <c r="A34" s="5" t="s">
        <v>44</v>
      </c>
      <c r="B34" s="5"/>
    </row>
    <row r="35" spans="1:28">
      <c r="A35" s="2" t="s">
        <v>17</v>
      </c>
      <c r="B35" s="260" t="s">
        <v>2038</v>
      </c>
      <c r="AB35" s="16" t="s">
        <v>351</v>
      </c>
    </row>
    <row r="36" spans="1:28">
      <c r="A36" s="2" t="s">
        <v>19</v>
      </c>
      <c r="B36" s="6" t="s">
        <v>2039</v>
      </c>
      <c r="AB36" s="16" t="s">
        <v>352</v>
      </c>
    </row>
    <row r="37" spans="1:28">
      <c r="A37" s="2" t="s">
        <v>18</v>
      </c>
      <c r="B37" s="348" t="str">
        <f>B16</f>
        <v>Shenzhen Insigma Innovation Software Co., Ltd.</v>
      </c>
      <c r="C37" s="11"/>
      <c r="AB37" s="16" t="s">
        <v>353</v>
      </c>
    </row>
    <row r="38" spans="1:28">
      <c r="A38" s="2" t="s">
        <v>23</v>
      </c>
      <c r="B38" s="246" t="s">
        <v>2036</v>
      </c>
      <c r="AB38" s="16" t="s">
        <v>354</v>
      </c>
    </row>
    <row r="39" spans="1:28">
      <c r="A39" s="2" t="s">
        <v>24</v>
      </c>
      <c r="B39" s="261" t="s">
        <v>2037</v>
      </c>
      <c r="AB39" s="16" t="s">
        <v>355</v>
      </c>
    </row>
    <row r="40" spans="1:28">
      <c r="A40" s="5" t="s">
        <v>45</v>
      </c>
      <c r="B40" s="5"/>
    </row>
    <row r="41" spans="1:28">
      <c r="A41" s="2" t="s">
        <v>17</v>
      </c>
      <c r="B41" s="6" t="s">
        <v>2040</v>
      </c>
      <c r="AB41" s="16" t="s">
        <v>356</v>
      </c>
    </row>
    <row r="42" spans="1:28">
      <c r="A42" s="2" t="s">
        <v>18</v>
      </c>
      <c r="B42" s="6" t="s">
        <v>357</v>
      </c>
      <c r="AB42" s="16" t="s">
        <v>358</v>
      </c>
    </row>
    <row r="43" spans="1:28">
      <c r="A43" s="2" t="s">
        <v>19</v>
      </c>
      <c r="B43" s="6" t="s">
        <v>359</v>
      </c>
      <c r="AB43" s="16" t="s">
        <v>360</v>
      </c>
    </row>
    <row r="44" spans="1:28">
      <c r="A44" s="2" t="s">
        <v>23</v>
      </c>
      <c r="B44" s="246" t="s">
        <v>361</v>
      </c>
      <c r="AB44" s="16" t="s">
        <v>362</v>
      </c>
    </row>
    <row r="45" spans="1:28">
      <c r="A45" s="2" t="s">
        <v>24</v>
      </c>
      <c r="B45" s="428" t="s">
        <v>2041</v>
      </c>
      <c r="AB45" s="16" t="s">
        <v>363</v>
      </c>
    </row>
    <row r="46" spans="1:28">
      <c r="A46" s="7" t="s">
        <v>46</v>
      </c>
      <c r="B46" s="5"/>
    </row>
    <row r="47" spans="1:28">
      <c r="A47" s="2" t="s">
        <v>17</v>
      </c>
      <c r="B47" s="6" t="s">
        <v>364</v>
      </c>
      <c r="D47" t="s">
        <v>365</v>
      </c>
      <c r="E47" t="s">
        <v>366</v>
      </c>
      <c r="AB47" s="16" t="s">
        <v>367</v>
      </c>
    </row>
    <row r="48" spans="1:28">
      <c r="A48" s="2" t="s">
        <v>18</v>
      </c>
      <c r="B48" s="13" t="s">
        <v>315</v>
      </c>
      <c r="D48" t="s">
        <v>315</v>
      </c>
      <c r="E48" t="s">
        <v>369</v>
      </c>
      <c r="AB48" s="16" t="s">
        <v>370</v>
      </c>
    </row>
    <row r="49" spans="1:28">
      <c r="A49" s="2" t="s">
        <v>23</v>
      </c>
      <c r="B49" s="246" t="s">
        <v>371</v>
      </c>
      <c r="D49" t="s">
        <v>371</v>
      </c>
      <c r="E49" t="s">
        <v>372</v>
      </c>
      <c r="AB49" s="16" t="s">
        <v>373</v>
      </c>
    </row>
    <row r="50" spans="1:28">
      <c r="A50" s="2" t="s">
        <v>24</v>
      </c>
      <c r="B50" s="26" t="s">
        <v>374</v>
      </c>
      <c r="D50" t="s">
        <v>374</v>
      </c>
      <c r="E50" t="s">
        <v>375</v>
      </c>
      <c r="AB50" s="16" t="s">
        <v>376</v>
      </c>
    </row>
  </sheetData>
  <conditionalFormatting sqref="B29:B1048576 B1:B26">
    <cfRule type="cellIs" dxfId="114" priority="2" operator="equal">
      <formula>"xxx"</formula>
    </cfRule>
  </conditionalFormatting>
  <conditionalFormatting sqref="B27:B28">
    <cfRule type="cellIs" dxfId="113" priority="1" operator="equal">
      <formula>"xxx"</formula>
    </cfRule>
  </conditionalFormatting>
  <dataValidations count="2">
    <dataValidation type="list" allowBlank="1" showInputMessage="1" showErrorMessage="1" sqref="B20" xr:uid="{00000000-0002-0000-0800-000000000000}">
      <formula1>tbl_country</formula1>
    </dataValidation>
    <dataValidation type="list" allowBlank="1" showInputMessage="1" showErrorMessage="1" sqref="B48" xr:uid="{00000000-0002-0000-0800-000001000000}">
      <formula1>tbl_Partner</formula1>
    </dataValidation>
  </dataValidations>
  <hyperlinks>
    <hyperlink ref="B33" r:id="rId1" display="hyc@systec.com.cn" xr:uid="{00000000-0004-0000-0800-000000000000}"/>
    <hyperlink ref="B39" r:id="rId2" display="meijy@systec.com.cn" xr:uid="{00000000-0004-0000-0800-000001000000}"/>
    <hyperlink ref="B50" r:id="rId3" xr:uid="{00000000-0004-0000-0800-000002000000}"/>
    <hyperlink ref="B45" r:id="rId4" xr:uid="{1E4AF57B-29FF-47BF-B66B-8E3A91CDC4EC}"/>
  </hyperlinks>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7" tint="0.79998168889431442"/>
  </sheetPr>
  <dimension ref="A1:AB62"/>
  <sheetViews>
    <sheetView workbookViewId="0">
      <selection activeCell="B62" sqref="B62"/>
    </sheetView>
  </sheetViews>
  <sheetFormatPr defaultColWidth="8.77734375" defaultRowHeight="14.4"/>
  <cols>
    <col min="1" max="1" width="31.77734375" style="11" customWidth="1"/>
    <col min="2" max="2" width="58.21875" style="11" customWidth="1"/>
    <col min="3" max="3" width="11.21875" style="11" customWidth="1"/>
    <col min="4" max="27" width="8.77734375" style="11" customWidth="1"/>
    <col min="28" max="28" width="38.109375" style="16" customWidth="1"/>
    <col min="29" max="34" width="8.77734375" style="11" customWidth="1"/>
    <col min="35" max="16384" width="8.77734375" style="11"/>
  </cols>
  <sheetData>
    <row r="1" spans="1:28">
      <c r="A1" s="377" t="s">
        <v>48</v>
      </c>
      <c r="B1" s="378"/>
    </row>
    <row r="2" spans="1:28" s="46" customFormat="1" ht="15.6" customHeight="1">
      <c r="A2" s="47" t="s">
        <v>49</v>
      </c>
      <c r="B2" s="47"/>
      <c r="C2" s="45"/>
      <c r="AB2" s="16"/>
    </row>
    <row r="3" spans="1:28">
      <c r="A3" s="11" t="s">
        <v>50</v>
      </c>
      <c r="B3" s="79" t="str">
        <f>'Agreement 3'!B16</f>
        <v>Shenzhen Insigma Innovation Software Co., Ltd.</v>
      </c>
      <c r="C3" s="11" t="s">
        <v>377</v>
      </c>
      <c r="AB3" s="16" t="s">
        <v>378</v>
      </c>
    </row>
    <row r="4" spans="1:28">
      <c r="A4" s="11" t="s">
        <v>51</v>
      </c>
      <c r="B4" s="241" t="s">
        <v>2042</v>
      </c>
      <c r="AB4" s="16" t="s">
        <v>379</v>
      </c>
    </row>
    <row r="6" spans="1:28">
      <c r="A6" s="11" t="s">
        <v>52</v>
      </c>
      <c r="B6" s="80" t="str">
        <f>CONCATENATE(TEXT(B44,"yyyy-mm-dd"),"to",TEXT(B53,"mm-dd")," (A",RIGHT(B16,1),") ","C",'Agreement 3'!B5, " ",Planning!B4)</f>
        <v>2026-05-23to05-29 (A5) C81846 Shenzhen Insigma</v>
      </c>
      <c r="C6" s="11" t="s">
        <v>380</v>
      </c>
      <c r="AB6" s="16" t="s">
        <v>381</v>
      </c>
    </row>
    <row r="7" spans="1:28">
      <c r="A7" s="11" t="s">
        <v>53</v>
      </c>
      <c r="B7" s="11" t="s">
        <v>2043</v>
      </c>
      <c r="AB7" s="16" t="s">
        <v>382</v>
      </c>
    </row>
    <row r="9" spans="1:28">
      <c r="A9" s="11" t="s">
        <v>54</v>
      </c>
      <c r="B9" s="13" t="s">
        <v>383</v>
      </c>
      <c r="C9" s="11" t="s">
        <v>384</v>
      </c>
      <c r="AB9" s="16" t="s">
        <v>385</v>
      </c>
    </row>
    <row r="10" spans="1:28">
      <c r="B10" s="13"/>
    </row>
    <row r="12" spans="1:28" s="46" customFormat="1" ht="15.6" customHeight="1">
      <c r="A12" s="47" t="s">
        <v>55</v>
      </c>
      <c r="B12" s="47"/>
      <c r="C12" s="45"/>
      <c r="AB12" s="16"/>
    </row>
    <row r="13" spans="1:28" s="46" customFormat="1" ht="15.6" customHeight="1">
      <c r="A13" s="387" t="s">
        <v>56</v>
      </c>
      <c r="B13" s="45"/>
      <c r="C13" s="45"/>
      <c r="AB13" s="16"/>
    </row>
    <row r="14" spans="1:28">
      <c r="A14" s="11" t="s">
        <v>56</v>
      </c>
      <c r="B14" s="13" t="s">
        <v>386</v>
      </c>
      <c r="C14" s="16"/>
      <c r="D14" s="16"/>
      <c r="E14" s="16"/>
      <c r="F14" s="16"/>
      <c r="G14" s="16"/>
      <c r="H14" s="16"/>
      <c r="I14" s="16"/>
      <c r="J14" s="16"/>
      <c r="K14" s="16"/>
      <c r="L14" s="16"/>
      <c r="M14" s="16"/>
      <c r="N14" s="16"/>
      <c r="O14" s="16"/>
      <c r="P14" s="16"/>
      <c r="Q14" s="16"/>
      <c r="R14" s="16"/>
      <c r="S14" s="16"/>
      <c r="T14" s="16"/>
      <c r="U14" s="16"/>
      <c r="V14" s="16"/>
      <c r="W14" s="16"/>
      <c r="AB14" s="16" t="s">
        <v>387</v>
      </c>
    </row>
    <row r="15" spans="1:28">
      <c r="A15" s="11" t="s">
        <v>57</v>
      </c>
      <c r="B15" s="13" t="s">
        <v>388</v>
      </c>
      <c r="C15" s="16"/>
      <c r="D15" s="16"/>
      <c r="E15" s="16"/>
      <c r="F15" s="16"/>
      <c r="G15" s="16"/>
      <c r="H15" s="16"/>
      <c r="I15" s="16"/>
      <c r="J15" s="16"/>
      <c r="K15" s="16"/>
      <c r="L15" s="16"/>
      <c r="M15" s="16"/>
      <c r="N15" s="16"/>
      <c r="O15" s="16"/>
      <c r="P15" s="16"/>
      <c r="Q15" s="16"/>
      <c r="R15" s="16"/>
      <c r="S15" s="16"/>
      <c r="T15" s="16"/>
      <c r="U15" s="16"/>
      <c r="V15" s="16"/>
      <c r="W15" s="16"/>
      <c r="AB15" s="16" t="s">
        <v>389</v>
      </c>
    </row>
    <row r="16" spans="1:28">
      <c r="A16" s="11" t="s">
        <v>58</v>
      </c>
      <c r="B16" s="80"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c r="AB16" s="16" t="s">
        <v>390</v>
      </c>
    </row>
    <row r="17" spans="1:28">
      <c r="C17" s="16"/>
      <c r="D17" s="16"/>
      <c r="E17" s="16"/>
      <c r="F17" s="16"/>
      <c r="G17" s="16"/>
      <c r="H17" s="16"/>
      <c r="I17" s="16"/>
      <c r="J17" s="16"/>
      <c r="K17" s="16"/>
      <c r="L17" s="16"/>
      <c r="M17" s="16"/>
      <c r="N17" s="16"/>
      <c r="O17" s="16"/>
      <c r="P17" s="16"/>
      <c r="Q17" s="16"/>
      <c r="R17" s="16"/>
      <c r="S17" s="16"/>
      <c r="T17" s="16"/>
      <c r="U17" s="16"/>
      <c r="V17" s="16"/>
      <c r="W17" s="16"/>
    </row>
    <row r="18" spans="1:28">
      <c r="A18" s="387" t="s">
        <v>59</v>
      </c>
      <c r="C18" s="16"/>
      <c r="D18" s="16"/>
      <c r="E18" s="16"/>
      <c r="F18" s="16"/>
      <c r="G18" s="16"/>
      <c r="H18" s="16"/>
      <c r="I18" s="16"/>
      <c r="J18" s="16"/>
      <c r="K18" s="16"/>
      <c r="L18" s="16"/>
      <c r="M18" s="16"/>
      <c r="N18" s="16"/>
      <c r="O18" s="16"/>
      <c r="P18" s="16"/>
      <c r="Q18" s="16"/>
      <c r="R18" s="16"/>
      <c r="S18" s="16"/>
      <c r="T18" s="16"/>
      <c r="U18" s="16"/>
      <c r="V18" s="16"/>
      <c r="W18" s="16"/>
    </row>
    <row r="19" spans="1:28">
      <c r="A19" s="11" t="s">
        <v>60</v>
      </c>
      <c r="B19" s="243"/>
      <c r="C19" s="16" t="s">
        <v>60</v>
      </c>
      <c r="D19" s="16"/>
      <c r="E19" s="16"/>
      <c r="F19" s="16"/>
      <c r="G19" s="16"/>
      <c r="H19" s="16"/>
      <c r="I19" s="16"/>
      <c r="J19" s="16"/>
      <c r="K19" s="16"/>
      <c r="L19" s="16"/>
      <c r="M19" s="16"/>
      <c r="N19" s="16"/>
      <c r="O19" s="16"/>
      <c r="P19" s="16"/>
      <c r="Q19" s="16"/>
      <c r="R19" s="16"/>
      <c r="S19" s="16"/>
      <c r="T19" s="16"/>
      <c r="U19" s="16"/>
      <c r="V19" s="16"/>
      <c r="W19" s="16"/>
      <c r="AB19" s="16" t="s">
        <v>391</v>
      </c>
    </row>
    <row r="20" spans="1:28">
      <c r="A20" s="11" t="s">
        <v>61</v>
      </c>
      <c r="B20" s="243" t="s">
        <v>243</v>
      </c>
      <c r="C20" s="16" t="s">
        <v>61</v>
      </c>
      <c r="D20" s="16"/>
      <c r="E20" s="16"/>
      <c r="F20" s="16"/>
      <c r="G20" s="16"/>
      <c r="H20" s="16"/>
      <c r="I20" s="16"/>
      <c r="J20" s="16"/>
      <c r="K20" s="16"/>
      <c r="L20" s="16"/>
      <c r="M20" s="16"/>
      <c r="N20" s="16"/>
      <c r="O20" s="16"/>
      <c r="P20" s="16"/>
      <c r="Q20" s="16"/>
      <c r="R20" s="16"/>
      <c r="S20" s="16"/>
      <c r="T20" s="16"/>
      <c r="U20" s="16"/>
      <c r="V20" s="16"/>
      <c r="W20" s="16"/>
      <c r="AB20" s="16" t="s">
        <v>392</v>
      </c>
    </row>
    <row r="21" spans="1:28">
      <c r="A21" s="11" t="s">
        <v>62</v>
      </c>
      <c r="B21" s="243"/>
      <c r="C21" s="16" t="s">
        <v>62</v>
      </c>
      <c r="D21" s="16"/>
      <c r="E21" s="16"/>
      <c r="F21" s="16"/>
      <c r="G21" s="16"/>
      <c r="H21" s="16"/>
      <c r="I21" s="16"/>
      <c r="J21" s="16"/>
      <c r="K21" s="16"/>
      <c r="L21" s="16"/>
      <c r="M21" s="16"/>
      <c r="N21" s="16"/>
      <c r="O21" s="16"/>
      <c r="P21" s="16"/>
      <c r="Q21" s="16"/>
      <c r="R21" s="16"/>
      <c r="S21" s="16"/>
      <c r="T21" s="16"/>
      <c r="U21" s="16"/>
      <c r="V21" s="16"/>
      <c r="W21" s="16"/>
      <c r="AB21" s="16" t="s">
        <v>393</v>
      </c>
    </row>
    <row r="22" spans="1:28">
      <c r="A22" s="11" t="s">
        <v>63</v>
      </c>
      <c r="B22" s="243"/>
      <c r="C22" s="16" t="s">
        <v>63</v>
      </c>
      <c r="D22" s="16"/>
      <c r="E22" s="16"/>
      <c r="F22" s="16"/>
      <c r="G22" s="16"/>
      <c r="H22" s="16"/>
      <c r="I22" s="16"/>
      <c r="J22" s="16"/>
      <c r="K22" s="16"/>
      <c r="L22" s="16"/>
      <c r="M22" s="16"/>
      <c r="N22" s="16"/>
      <c r="O22" s="16"/>
      <c r="P22" s="16"/>
      <c r="Q22" s="16"/>
      <c r="R22" s="16"/>
      <c r="S22" s="16"/>
      <c r="T22" s="16"/>
      <c r="U22" s="16"/>
      <c r="V22" s="16"/>
      <c r="W22" s="16"/>
      <c r="AB22" s="16" t="s">
        <v>394</v>
      </c>
    </row>
    <row r="23" spans="1:28">
      <c r="A23" s="11" t="s">
        <v>64</v>
      </c>
      <c r="B23" s="243"/>
      <c r="C23" s="16" t="s">
        <v>64</v>
      </c>
      <c r="D23" s="16"/>
      <c r="E23" s="16"/>
      <c r="F23" s="16"/>
      <c r="G23" s="16"/>
      <c r="H23" s="16"/>
      <c r="I23" s="16"/>
      <c r="J23" s="16"/>
      <c r="K23" s="16"/>
      <c r="L23" s="16"/>
      <c r="M23" s="16"/>
      <c r="N23" s="16"/>
      <c r="O23" s="16"/>
      <c r="P23" s="16"/>
      <c r="Q23" s="16"/>
      <c r="R23" s="16"/>
      <c r="S23" s="16"/>
      <c r="T23" s="16"/>
      <c r="U23" s="16"/>
      <c r="V23" s="16"/>
      <c r="W23" s="16"/>
      <c r="AB23" s="16" t="s">
        <v>395</v>
      </c>
    </row>
    <row r="24" spans="1:28">
      <c r="A24" s="11" t="s">
        <v>65</v>
      </c>
      <c r="B24" s="243"/>
      <c r="C24" s="16" t="s">
        <v>65</v>
      </c>
      <c r="D24" s="16"/>
      <c r="E24" s="16"/>
      <c r="F24" s="16"/>
      <c r="G24" s="16"/>
      <c r="H24" s="16"/>
      <c r="I24" s="16"/>
      <c r="J24" s="16"/>
      <c r="K24" s="16"/>
      <c r="L24" s="16"/>
      <c r="M24" s="16"/>
      <c r="N24" s="16"/>
      <c r="O24" s="16"/>
      <c r="P24" s="16"/>
      <c r="Q24" s="16"/>
      <c r="R24" s="16"/>
      <c r="S24" s="16"/>
      <c r="T24" s="16"/>
      <c r="U24" s="16"/>
      <c r="V24" s="16"/>
      <c r="W24" s="16"/>
      <c r="AB24" s="16" t="s">
        <v>396</v>
      </c>
    </row>
    <row r="25" spans="1:28">
      <c r="A25" s="11" t="s">
        <v>66</v>
      </c>
      <c r="B25" s="243"/>
      <c r="C25" s="16" t="s">
        <v>66</v>
      </c>
      <c r="D25" s="16"/>
      <c r="E25" s="16"/>
      <c r="F25" s="16"/>
      <c r="G25" s="16"/>
      <c r="H25" s="16"/>
      <c r="I25" s="16"/>
      <c r="J25" s="16"/>
      <c r="K25" s="16"/>
      <c r="L25" s="16"/>
      <c r="M25" s="16"/>
      <c r="N25" s="16"/>
      <c r="O25" s="16"/>
      <c r="P25" s="16"/>
      <c r="Q25" s="16"/>
      <c r="R25" s="16"/>
      <c r="S25" s="16"/>
      <c r="T25" s="16"/>
      <c r="U25" s="16"/>
      <c r="V25" s="16"/>
      <c r="W25" s="16"/>
      <c r="AB25" s="16" t="s">
        <v>397</v>
      </c>
    </row>
    <row r="26" spans="1:28">
      <c r="A26" s="11" t="s">
        <v>67</v>
      </c>
      <c r="B26" s="243"/>
      <c r="C26" s="16" t="s">
        <v>67</v>
      </c>
      <c r="D26" s="16"/>
      <c r="E26" s="16"/>
      <c r="F26" s="16"/>
      <c r="G26" s="16"/>
      <c r="H26" s="16"/>
      <c r="I26" s="16"/>
      <c r="J26" s="16"/>
      <c r="K26" s="16"/>
      <c r="L26" s="16"/>
      <c r="M26" s="16"/>
      <c r="N26" s="16"/>
      <c r="O26" s="16"/>
      <c r="P26" s="16"/>
      <c r="Q26" s="16"/>
      <c r="R26" s="16"/>
      <c r="S26" s="16"/>
      <c r="T26" s="16"/>
      <c r="U26" s="16"/>
      <c r="V26" s="16"/>
      <c r="W26" s="16"/>
      <c r="AB26" s="16" t="s">
        <v>398</v>
      </c>
    </row>
    <row r="27" spans="1:28">
      <c r="C27" s="16"/>
      <c r="D27" s="16"/>
      <c r="E27" s="16"/>
      <c r="F27" s="16"/>
      <c r="G27" s="16"/>
      <c r="H27" s="16"/>
      <c r="I27" s="16"/>
      <c r="J27" s="16"/>
      <c r="K27" s="16"/>
      <c r="L27" s="16"/>
      <c r="M27" s="16"/>
      <c r="N27" s="16"/>
      <c r="O27" s="16"/>
      <c r="P27" s="16"/>
      <c r="Q27" s="16"/>
      <c r="R27" s="16"/>
      <c r="S27" s="16"/>
      <c r="T27" s="16"/>
      <c r="U27" s="16"/>
      <c r="V27" s="16"/>
      <c r="W27" s="16"/>
    </row>
    <row r="28" spans="1:28">
      <c r="A28" s="11" t="s">
        <v>68</v>
      </c>
      <c r="B28" s="13" t="s">
        <v>399</v>
      </c>
      <c r="C28" s="11" t="s">
        <v>384</v>
      </c>
      <c r="AB28" s="16" t="s">
        <v>400</v>
      </c>
    </row>
    <row r="29" spans="1:28" ht="43.2" customHeight="1">
      <c r="A29" s="11" t="s">
        <v>69</v>
      </c>
      <c r="B29" t="s">
        <v>401</v>
      </c>
      <c r="AB29" s="16" t="s">
        <v>402</v>
      </c>
    </row>
    <row r="31" spans="1:28">
      <c r="A31" s="11" t="s">
        <v>70</v>
      </c>
      <c r="B31" s="80" t="str">
        <f>CONCATENATE("D",'Agreement 3'!B2, " (A",RIGHT(B16,1),") ",B4," - ",'Agreement 3'!B18," (Q",ROUNDUP(MONTH('Agreement 3'!B25)/3,0),") ",YEAR('Agreement 3'!B25))</f>
        <v>D260324 (A5) Shenzhen Insigma - Shenzhen (Q2) 2026</v>
      </c>
      <c r="C31" s="11" t="s">
        <v>377</v>
      </c>
      <c r="AB31" s="16" t="s">
        <v>403</v>
      </c>
    </row>
    <row r="32" spans="1:28">
      <c r="A32" s="11" t="s">
        <v>71</v>
      </c>
      <c r="B32" s="11" t="s">
        <v>2044</v>
      </c>
      <c r="AB32" s="16" t="s">
        <v>404</v>
      </c>
    </row>
    <row r="33" spans="1:28">
      <c r="A33" s="11" t="s">
        <v>72</v>
      </c>
      <c r="B33" s="81">
        <f>'Agreement 3'!B5</f>
        <v>81846</v>
      </c>
      <c r="C33" s="11" t="s">
        <v>377</v>
      </c>
      <c r="AB33" s="16" t="s">
        <v>312</v>
      </c>
    </row>
    <row r="35" spans="1:28" s="46" customFormat="1" ht="15.6" customHeight="1">
      <c r="A35" s="47" t="s">
        <v>73</v>
      </c>
      <c r="B35" s="47"/>
      <c r="C35" s="45"/>
      <c r="AB35" s="16"/>
    </row>
    <row r="36" spans="1:28" s="46" customFormat="1" ht="15.6" customHeight="1">
      <c r="A36" s="46" t="s">
        <v>74</v>
      </c>
      <c r="B36" s="46" t="s">
        <v>2045</v>
      </c>
      <c r="C36" s="45"/>
      <c r="AB36" s="16" t="s">
        <v>405</v>
      </c>
    </row>
    <row r="37" spans="1:28" s="46" customFormat="1" ht="15.6" customHeight="1">
      <c r="A37" s="46" t="s">
        <v>75</v>
      </c>
      <c r="B37" s="197">
        <f>B44-28</f>
        <v>46137</v>
      </c>
      <c r="C37" s="45"/>
      <c r="AB37" s="16" t="s">
        <v>406</v>
      </c>
    </row>
    <row r="38" spans="1:28" s="46" customFormat="1" ht="15.6" hidden="1" customHeight="1">
      <c r="A38" s="46" t="s">
        <v>407</v>
      </c>
      <c r="B38" s="410">
        <f>B37</f>
        <v>46137</v>
      </c>
      <c r="C38" s="45" t="s">
        <v>380</v>
      </c>
      <c r="AB38" s="16" t="s">
        <v>408</v>
      </c>
    </row>
    <row r="39" spans="1:28" s="46" customFormat="1" ht="15.6" customHeight="1">
      <c r="B39" s="411"/>
      <c r="C39" s="45"/>
      <c r="AB39" s="16"/>
    </row>
    <row r="40" spans="1:28" s="46" customFormat="1" ht="15.6" customHeight="1">
      <c r="A40" s="46" t="s">
        <v>77</v>
      </c>
      <c r="B40" s="197">
        <f>B44-10</f>
        <v>46155</v>
      </c>
      <c r="C40" s="45"/>
      <c r="AB40" s="16" t="s">
        <v>409</v>
      </c>
    </row>
    <row r="41" spans="1:28" s="46" customFormat="1" ht="15.6" hidden="1" customHeight="1">
      <c r="A41" s="46" t="s">
        <v>78</v>
      </c>
      <c r="B41" s="410">
        <f>B40</f>
        <v>46155</v>
      </c>
      <c r="C41" s="45" t="s">
        <v>380</v>
      </c>
      <c r="AB41" s="16" t="s">
        <v>410</v>
      </c>
    </row>
    <row r="42" spans="1:28" s="46" customFormat="1" ht="15.6" customHeight="1">
      <c r="B42" s="411"/>
      <c r="C42" s="45"/>
      <c r="AB42" s="16"/>
    </row>
    <row r="43" spans="1:28" s="46" customFormat="1" ht="15.6" customHeight="1">
      <c r="A43" s="46" t="s">
        <v>79</v>
      </c>
      <c r="B43" s="411">
        <f>B44-2</f>
        <v>46163</v>
      </c>
      <c r="C43" s="45"/>
      <c r="AB43" s="16" t="s">
        <v>411</v>
      </c>
    </row>
    <row r="44" spans="1:28" s="46" customFormat="1" ht="15.6" customHeight="1">
      <c r="A44" s="46" t="s">
        <v>80</v>
      </c>
      <c r="B44" s="197">
        <f>B47-B46</f>
        <v>46165</v>
      </c>
      <c r="C44" s="46" t="s">
        <v>380</v>
      </c>
      <c r="AB44" s="16" t="s">
        <v>412</v>
      </c>
    </row>
    <row r="45" spans="1:28" s="46" customFormat="1" ht="15.6" customHeight="1">
      <c r="A45" s="46" t="s">
        <v>81</v>
      </c>
      <c r="B45" s="11">
        <v>0</v>
      </c>
      <c r="C45" s="45"/>
      <c r="AB45" s="16" t="s">
        <v>413</v>
      </c>
    </row>
    <row r="46" spans="1:28" s="46" customFormat="1" ht="15.6" customHeight="1">
      <c r="A46" s="46" t="s">
        <v>82</v>
      </c>
      <c r="B46" s="11">
        <v>2</v>
      </c>
      <c r="C46" s="45" t="s">
        <v>414</v>
      </c>
      <c r="AB46" s="16" t="s">
        <v>415</v>
      </c>
    </row>
    <row r="47" spans="1:28" s="46" customFormat="1" ht="15.6" customHeight="1">
      <c r="A47" s="46" t="s">
        <v>83</v>
      </c>
      <c r="B47" s="197">
        <f>'Agreement 3'!B27</f>
        <v>46167</v>
      </c>
      <c r="C47" s="104"/>
      <c r="AB47" s="16" t="s">
        <v>416</v>
      </c>
    </row>
    <row r="48" spans="1:28" s="46" customFormat="1" ht="15.6" customHeight="1">
      <c r="A48" s="46" t="s">
        <v>84</v>
      </c>
      <c r="B48" s="11">
        <v>0</v>
      </c>
      <c r="C48" s="104"/>
      <c r="AB48" s="16" t="s">
        <v>417</v>
      </c>
    </row>
    <row r="49" spans="1:28" s="46" customFormat="1" ht="15.6" customHeight="1">
      <c r="A49" s="46" t="s">
        <v>85</v>
      </c>
      <c r="B49" s="197">
        <f>B50-1</f>
        <v>46170</v>
      </c>
      <c r="C49" s="104" t="s">
        <v>380</v>
      </c>
      <c r="AB49" s="16" t="s">
        <v>418</v>
      </c>
    </row>
    <row r="50" spans="1:28" s="46" customFormat="1" ht="15.6" customHeight="1">
      <c r="A50" s="46" t="s">
        <v>37</v>
      </c>
      <c r="B50" s="197">
        <f>'Agreement 3'!B25</f>
        <v>46171</v>
      </c>
      <c r="C50" s="45" t="s">
        <v>377</v>
      </c>
      <c r="AB50" s="16" t="s">
        <v>419</v>
      </c>
    </row>
    <row r="51" spans="1:28" ht="15.6" customHeight="1">
      <c r="A51" s="46" t="s">
        <v>86</v>
      </c>
      <c r="B51" s="35">
        <f>B50-B44+1-B45</f>
        <v>7</v>
      </c>
      <c r="C51" s="11" t="s">
        <v>380</v>
      </c>
      <c r="AB51" s="16" t="s">
        <v>420</v>
      </c>
    </row>
    <row r="52" spans="1:28">
      <c r="A52" s="11" t="s">
        <v>87</v>
      </c>
      <c r="B52" s="11">
        <v>0</v>
      </c>
      <c r="AB52" s="16" t="s">
        <v>421</v>
      </c>
    </row>
    <row r="53" spans="1:28">
      <c r="A53" s="11" t="s">
        <v>88</v>
      </c>
      <c r="B53" s="197">
        <f>B52+B49+1</f>
        <v>46171</v>
      </c>
      <c r="C53" s="11" t="s">
        <v>380</v>
      </c>
      <c r="AB53" s="16" t="s">
        <v>422</v>
      </c>
    </row>
    <row r="54" spans="1:28">
      <c r="A54" s="11" t="s">
        <v>89</v>
      </c>
      <c r="B54" s="11">
        <v>14</v>
      </c>
      <c r="AB54" s="16" t="s">
        <v>423</v>
      </c>
    </row>
    <row r="55" spans="1:28">
      <c r="A55" s="11" t="s">
        <v>90</v>
      </c>
      <c r="B55" s="197">
        <f>B53+B54-1</f>
        <v>46184</v>
      </c>
      <c r="C55" s="11" t="s">
        <v>380</v>
      </c>
      <c r="AB55" s="16" t="s">
        <v>424</v>
      </c>
    </row>
    <row r="57" spans="1:28" s="46" customFormat="1" ht="31.2" customHeight="1">
      <c r="A57" s="47" t="s">
        <v>91</v>
      </c>
      <c r="B57" s="47"/>
      <c r="C57" s="45"/>
      <c r="AB57" s="16"/>
    </row>
    <row r="58" spans="1:28" s="46" customFormat="1" ht="15.6" customHeight="1">
      <c r="A58" s="46" t="s">
        <v>92</v>
      </c>
      <c r="B58" s="51" t="str">
        <f>'Agreement 3'!B23</f>
        <v>Conduct Maturity Level 5 appraisal in  2025</v>
      </c>
      <c r="C58" s="45" t="s">
        <v>377</v>
      </c>
      <c r="AB58" s="16" t="s">
        <v>425</v>
      </c>
    </row>
    <row r="59" spans="1:28" s="16" customFormat="1">
      <c r="A59" s="16" t="s">
        <v>93</v>
      </c>
      <c r="B59" s="16" t="s">
        <v>2047</v>
      </c>
      <c r="C59" s="16" t="s">
        <v>426</v>
      </c>
      <c r="D59" s="16" t="s">
        <v>427</v>
      </c>
      <c r="AB59" s="16" t="s">
        <v>428</v>
      </c>
    </row>
    <row r="60" spans="1:28" s="16" customFormat="1" ht="86.4" customHeight="1">
      <c r="A60" s="16" t="s">
        <v>94</v>
      </c>
      <c r="B60" s="11" t="s">
        <v>2046</v>
      </c>
      <c r="C60" s="16" t="s">
        <v>426</v>
      </c>
      <c r="D60" s="16" t="s">
        <v>427</v>
      </c>
      <c r="AB60" s="16" t="s">
        <v>429</v>
      </c>
    </row>
    <row r="61" spans="1:28" ht="59.7" customHeight="1">
      <c r="A61" s="11" t="s">
        <v>95</v>
      </c>
      <c r="B61" s="11" t="str">
        <f>_xlfn.CONCAT("[A1] In support of the business objectives, understand the current strength and weaknesses of the CMMI ",B10," practices within the organisation [BO1 &amp; BO2].")</f>
        <v>[A1] In support of the business objectives, understand the current strength and weaknesses of the CMMI  practices within the organisation [BO1 &amp; BO2].</v>
      </c>
      <c r="C61" s="16"/>
      <c r="E61" s="16"/>
      <c r="AB61" s="16" t="s">
        <v>430</v>
      </c>
    </row>
    <row r="62" spans="1:28" s="46" customFormat="1" ht="15.6" customHeight="1">
      <c r="C62" s="45"/>
      <c r="AB62" s="16"/>
    </row>
  </sheetData>
  <dataValidations count="4">
    <dataValidation type="list" allowBlank="1" showInputMessage="1" showErrorMessage="1" sqref="B28" xr:uid="{00000000-0002-0000-0900-000000000000}">
      <formula1>tbl_modelview</formula1>
    </dataValidation>
    <dataValidation type="list" allowBlank="1" showInputMessage="1" showErrorMessage="1" sqref="B9:B10" xr:uid="{00000000-0002-0000-0900-000001000000}">
      <formula1>tbl_timezone</formula1>
    </dataValidation>
    <dataValidation type="list" allowBlank="1" showInputMessage="1" showErrorMessage="1" sqref="B15" xr:uid="{00000000-0002-0000-0900-000002000000}">
      <formula1>tbl_Level</formula1>
    </dataValidation>
    <dataValidation type="list" allowBlank="1" showInputMessage="1" showErrorMessage="1" sqref="B14" xr:uid="{00000000-0002-0000-0900-000003000000}">
      <formula1>tbl_LevelType</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7"/>
  <dimension ref="A1:B44"/>
  <sheetViews>
    <sheetView workbookViewId="0">
      <selection activeCell="B28" sqref="B28"/>
    </sheetView>
  </sheetViews>
  <sheetFormatPr defaultRowHeight="14.4"/>
  <cols>
    <col min="1" max="1" width="45.77734375" customWidth="1"/>
    <col min="2" max="2" width="44.21875" customWidth="1"/>
  </cols>
  <sheetData>
    <row r="1" spans="1:2">
      <c r="A1" s="412" t="s">
        <v>431</v>
      </c>
      <c r="B1" s="412"/>
    </row>
    <row r="2" spans="1:2">
      <c r="A2" t="s">
        <v>432</v>
      </c>
      <c r="B2" s="414" t="str">
        <f>'P1-OrgScope'!B16</f>
        <v>Shenzhen Insigma Innovation Software Co., Ltd.</v>
      </c>
    </row>
    <row r="3" spans="1:2">
      <c r="A3" t="s">
        <v>433</v>
      </c>
      <c r="B3" t="str">
        <f>'P1-OrgScope'!B33</f>
        <v>Technology Center of Excellence</v>
      </c>
    </row>
    <row r="4" spans="1:2">
      <c r="A4" t="s">
        <v>434</v>
      </c>
      <c r="B4" t="str">
        <f>_xlfn.TEXTJOIN(", ",TRUE,'P1-OrgScope'!B18:B23)</f>
        <v>901-912, Sun Yat-sen University Shenzhen Industry-Research Base Building, No. 1, Yuexing 4th Road, Keji South 10th Road, Nanshan District, Shenzhen, Guangdong, 518057, China</v>
      </c>
    </row>
    <row r="5" spans="1:2">
      <c r="A5" t="s">
        <v>435</v>
      </c>
      <c r="B5" s="413">
        <f>'P1-OrgScope'!B85</f>
        <v>46165</v>
      </c>
    </row>
    <row r="6" spans="1:2">
      <c r="A6" t="s">
        <v>436</v>
      </c>
      <c r="B6" s="413">
        <f>'P1-OrgScope'!B87</f>
        <v>46171</v>
      </c>
    </row>
    <row r="8" spans="1:2">
      <c r="A8" s="412" t="s">
        <v>437</v>
      </c>
      <c r="B8" s="412">
        <v>0</v>
      </c>
    </row>
    <row r="9" spans="1:2">
      <c r="A9" t="s">
        <v>438</v>
      </c>
      <c r="B9" t="s">
        <v>439</v>
      </c>
    </row>
    <row r="10" spans="1:2">
      <c r="A10" t="s">
        <v>440</v>
      </c>
      <c r="B10" t="s">
        <v>441</v>
      </c>
    </row>
    <row r="11" spans="1:2">
      <c r="A11" t="s">
        <v>68</v>
      </c>
      <c r="B11" t="s">
        <v>442</v>
      </c>
    </row>
    <row r="12" spans="1:2">
      <c r="A12" t="s">
        <v>443</v>
      </c>
      <c r="B12" t="s">
        <v>444</v>
      </c>
    </row>
    <row r="13" spans="1:2">
      <c r="A13" t="s">
        <v>445</v>
      </c>
      <c r="B13" t="s">
        <v>286</v>
      </c>
    </row>
    <row r="14" spans="1:2">
      <c r="A14" t="s">
        <v>446</v>
      </c>
      <c r="B14" t="s">
        <v>447</v>
      </c>
    </row>
    <row r="15" spans="1:2">
      <c r="A15" t="s">
        <v>448</v>
      </c>
      <c r="B15" t="s">
        <v>286</v>
      </c>
    </row>
    <row r="16" spans="1:2">
      <c r="A16" t="s">
        <v>449</v>
      </c>
      <c r="B16" t="s">
        <v>286</v>
      </c>
    </row>
    <row r="17" spans="1:2">
      <c r="A17" t="s">
        <v>450</v>
      </c>
      <c r="B17" t="s">
        <v>286</v>
      </c>
    </row>
    <row r="18" spans="1:2">
      <c r="A18" t="s">
        <v>451</v>
      </c>
      <c r="B18" t="s">
        <v>286</v>
      </c>
    </row>
    <row r="19" spans="1:2">
      <c r="A19" t="s">
        <v>452</v>
      </c>
      <c r="B19" t="s">
        <v>286</v>
      </c>
    </row>
    <row r="20" spans="1:2">
      <c r="A20" t="s">
        <v>453</v>
      </c>
      <c r="B20" t="s">
        <v>286</v>
      </c>
    </row>
    <row r="22" spans="1:2">
      <c r="A22" s="412" t="s">
        <v>454</v>
      </c>
      <c r="B22" s="412"/>
    </row>
    <row r="23" spans="1:2">
      <c r="A23" t="s">
        <v>455</v>
      </c>
      <c r="B23">
        <f>COUNTA('Project&amp;Support'!B3:B12)</f>
        <v>8</v>
      </c>
    </row>
    <row r="25" spans="1:2">
      <c r="A25" t="s">
        <v>456</v>
      </c>
      <c r="B25" t="str">
        <f>'Project&amp;Support'!B3</f>
        <v>p1LTMS</v>
      </c>
    </row>
    <row r="26" spans="1:2">
      <c r="A26" t="s">
        <v>457</v>
      </c>
      <c r="B26" t="str">
        <f>'Project&amp;Support'!B4</f>
        <v>p2EBS</v>
      </c>
    </row>
    <row r="27" spans="1:2">
      <c r="A27" t="s">
        <v>458</v>
      </c>
      <c r="B27" t="str">
        <f>'Project&amp;Support'!B5</f>
        <v>p3BFARH</v>
      </c>
    </row>
    <row r="28" spans="1:2">
      <c r="A28" t="s">
        <v>459</v>
      </c>
      <c r="B28" t="str">
        <f>'Project&amp;Support'!B6</f>
        <v>p4HWP</v>
      </c>
    </row>
    <row r="29" spans="1:2">
      <c r="A29" t="s">
        <v>460</v>
      </c>
      <c r="B29" t="e">
        <f>'Project&amp;Support'!#REF!</f>
        <v>#REF!</v>
      </c>
    </row>
    <row r="30" spans="1:2">
      <c r="A30" t="s">
        <v>461</v>
      </c>
      <c r="B30" t="e">
        <f>'Project&amp;Support'!#REF!</f>
        <v>#REF!</v>
      </c>
    </row>
    <row r="31" spans="1:2">
      <c r="A31" t="s">
        <v>462</v>
      </c>
      <c r="B31" t="e">
        <f>'Project&amp;Support'!#REF!</f>
        <v>#REF!</v>
      </c>
    </row>
    <row r="32" spans="1:2">
      <c r="A32" t="s">
        <v>463</v>
      </c>
      <c r="B32" t="str">
        <f>'Project&amp;Support'!B7</f>
        <v>S1-CM</v>
      </c>
    </row>
    <row r="33" spans="1:2">
      <c r="A33" t="s">
        <v>464</v>
      </c>
      <c r="B33" t="str">
        <f>'Project&amp;Support'!B8</f>
        <v>S2-EPG</v>
      </c>
    </row>
    <row r="34" spans="1:2">
      <c r="A34" t="s">
        <v>465</v>
      </c>
      <c r="B34" t="str">
        <f>'Project&amp;Support'!B9</f>
        <v>S3-HR</v>
      </c>
    </row>
    <row r="35" spans="1:2">
      <c r="A35" t="s">
        <v>466</v>
      </c>
      <c r="B35" t="str">
        <f>'Project&amp;Support'!B10</f>
        <v>S4-QA</v>
      </c>
    </row>
    <row r="36" spans="1:2">
      <c r="A36" t="s">
        <v>467</v>
      </c>
      <c r="B36" t="s">
        <v>468</v>
      </c>
    </row>
    <row r="37" spans="1:2">
      <c r="A37" t="s">
        <v>469</v>
      </c>
      <c r="B37" t="s">
        <v>470</v>
      </c>
    </row>
    <row r="38" spans="1:2">
      <c r="A38" t="s">
        <v>471</v>
      </c>
      <c r="B38" t="s">
        <v>472</v>
      </c>
    </row>
    <row r="39" spans="1:2">
      <c r="A39" t="s">
        <v>473</v>
      </c>
      <c r="B39" t="s">
        <v>474</v>
      </c>
    </row>
    <row r="40" spans="1:2">
      <c r="A40" t="s">
        <v>475</v>
      </c>
      <c r="B40" t="s">
        <v>476</v>
      </c>
    </row>
    <row r="41" spans="1:2">
      <c r="A41" t="s">
        <v>477</v>
      </c>
      <c r="B41" t="s">
        <v>478</v>
      </c>
    </row>
    <row r="42" spans="1:2">
      <c r="A42" t="s">
        <v>479</v>
      </c>
      <c r="B42" t="s">
        <v>480</v>
      </c>
    </row>
    <row r="43" spans="1:2">
      <c r="A43" t="s">
        <v>481</v>
      </c>
      <c r="B43" t="s">
        <v>482</v>
      </c>
    </row>
    <row r="44" spans="1:2">
      <c r="A44" t="s">
        <v>483</v>
      </c>
      <c r="B44" t="s">
        <v>484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theme="5" tint="0.79998168889431442"/>
    <pageSetUpPr fitToPage="1"/>
  </sheetPr>
  <dimension ref="A1:AB61"/>
  <sheetViews>
    <sheetView topLeftCell="A36" workbookViewId="0">
      <selection activeCell="B27" sqref="B27"/>
    </sheetView>
  </sheetViews>
  <sheetFormatPr defaultColWidth="10.77734375" defaultRowHeight="15.6"/>
  <cols>
    <col min="1" max="1" width="38.44140625" style="46" customWidth="1"/>
    <col min="2" max="2" width="71.77734375" style="46" customWidth="1"/>
    <col min="3" max="3" width="32.44140625" style="45" customWidth="1"/>
    <col min="4" max="4" width="44.21875" style="46" customWidth="1"/>
    <col min="5" max="27" width="10.77734375" style="46" customWidth="1"/>
    <col min="28" max="28" width="30.109375" style="16" customWidth="1"/>
    <col min="29" max="34" width="10.77734375" style="46" customWidth="1"/>
    <col min="35" max="16384" width="10.77734375" style="46"/>
  </cols>
  <sheetData>
    <row r="1" spans="1:28" ht="36" customHeight="1">
      <c r="A1" s="44" t="s">
        <v>97</v>
      </c>
      <c r="B1" s="44"/>
      <c r="C1" s="45" t="s">
        <v>485</v>
      </c>
    </row>
    <row r="2" spans="1:28">
      <c r="A2" s="47" t="s">
        <v>98</v>
      </c>
      <c r="B2" s="47"/>
    </row>
    <row r="3" spans="1:28">
      <c r="A3" s="46" t="s">
        <v>99</v>
      </c>
      <c r="B3" s="51" t="str">
        <f>'Agreement 3'!B16</f>
        <v>Shenzhen Insigma Innovation Software Co., Ltd.</v>
      </c>
      <c r="C3" s="45" t="s">
        <v>377</v>
      </c>
      <c r="AB3" s="16" t="s">
        <v>329</v>
      </c>
    </row>
    <row r="4" spans="1:28">
      <c r="A4" s="46" t="s">
        <v>28</v>
      </c>
      <c r="B4" s="51" t="str">
        <f>IF('Agreement 3'!B17&lt;&gt;"",'Agreement 3'!B17,"")</f>
        <v>深圳市网新新思软件有限公司</v>
      </c>
      <c r="C4" s="45" t="s">
        <v>377</v>
      </c>
      <c r="AB4" s="16" t="s">
        <v>330</v>
      </c>
    </row>
    <row r="5" spans="1:28" s="11" customFormat="1" ht="14.4" customHeight="1">
      <c r="A5" s="11" t="s">
        <v>100</v>
      </c>
      <c r="B5" s="11" t="s">
        <v>2048</v>
      </c>
      <c r="AB5" s="16" t="s">
        <v>487</v>
      </c>
    </row>
    <row r="6" spans="1:28" s="11" customFormat="1" ht="14.4" customHeight="1">
      <c r="A6" s="11" t="s">
        <v>101</v>
      </c>
      <c r="B6" s="11" t="s">
        <v>2049</v>
      </c>
      <c r="AB6" s="16" t="s">
        <v>489</v>
      </c>
    </row>
    <row r="7" spans="1:28" s="11" customFormat="1">
      <c r="A7" s="11" t="s">
        <v>102</v>
      </c>
      <c r="B7" s="51" t="str">
        <f>'Agreement 3'!B18</f>
        <v>Shenzhen</v>
      </c>
      <c r="C7" s="11" t="s">
        <v>377</v>
      </c>
      <c r="AB7" s="16" t="s">
        <v>332</v>
      </c>
    </row>
    <row r="8" spans="1:28" s="11" customFormat="1">
      <c r="A8" s="11" t="s">
        <v>103</v>
      </c>
      <c r="B8" s="51" t="str">
        <f>'Agreement 3'!B19</f>
        <v>Guangdong</v>
      </c>
      <c r="C8" s="11" t="s">
        <v>377</v>
      </c>
      <c r="AB8" s="16" t="s">
        <v>334</v>
      </c>
    </row>
    <row r="9" spans="1:28" s="11" customFormat="1" ht="14.4" customHeight="1">
      <c r="A9" s="11" t="s">
        <v>104</v>
      </c>
      <c r="B9" s="11">
        <v>518057</v>
      </c>
      <c r="AB9" s="16" t="s">
        <v>490</v>
      </c>
    </row>
    <row r="10" spans="1:28" s="11" customFormat="1">
      <c r="A10" s="11" t="s">
        <v>31</v>
      </c>
      <c r="B10" s="51" t="str">
        <f>'Agreement 3'!B20</f>
        <v>China</v>
      </c>
      <c r="C10" s="11" t="s">
        <v>377</v>
      </c>
      <c r="AB10" s="16" t="s">
        <v>336</v>
      </c>
    </row>
    <row r="11" spans="1:28" ht="31.2" customHeight="1">
      <c r="A11" s="46" t="s">
        <v>105</v>
      </c>
      <c r="B11" s="78" t="str">
        <f>_xlfn.CONCAT(B5,", ",B6,", ",B7,", ",B8,", ",B9,", ",B10)</f>
        <v>901-912, Sun Yat-sen University Shenzhen Industry-Research Base Building, No. 1, Yuexing 4th Road, Keji South 10th Road, Nanshan District, Shenzhen, Guangdong, 518057, China</v>
      </c>
      <c r="C11" s="45" t="s">
        <v>380</v>
      </c>
      <c r="AB11" s="16" t="s">
        <v>491</v>
      </c>
    </row>
    <row r="12" spans="1:28">
      <c r="A12" s="46" t="s">
        <v>106</v>
      </c>
      <c r="B12" s="9" t="s">
        <v>2050</v>
      </c>
      <c r="AB12" s="16" t="s">
        <v>492</v>
      </c>
    </row>
    <row r="13" spans="1:28" ht="93.6" customHeight="1">
      <c r="A13" s="46" t="s">
        <v>107</v>
      </c>
      <c r="B13" s="51" t="str">
        <f>_xlfn.CONCAT(Planning!B60)</f>
        <v>[BO1] Increase 6% productivity to support annual revenue growth.
[BO2] Reduce post-deployment defects by 5% to improve overall quality.</v>
      </c>
      <c r="C13" s="45" t="s">
        <v>47</v>
      </c>
      <c r="AB13" s="16" t="s">
        <v>429</v>
      </c>
    </row>
    <row r="14" spans="1:28" ht="46.8" customHeight="1">
      <c r="A14" s="404" t="str">
        <f>Planning!A61</f>
        <v>Appraisal objectives</v>
      </c>
      <c r="B14" s="405" t="str">
        <f>Planning!B61</f>
        <v>[A1] In support of the business objectives, understand the current strength and weaknesses of the CMMI  practices within the organisation [BO1 &amp; BO2].</v>
      </c>
      <c r="C14" s="406" t="s">
        <v>47</v>
      </c>
      <c r="AB14" s="16" t="s">
        <v>430</v>
      </c>
    </row>
    <row r="15" spans="1:28" ht="60" customHeight="1">
      <c r="A15" s="407" t="s">
        <v>108</v>
      </c>
      <c r="B15" s="408"/>
      <c r="C15" s="338"/>
      <c r="AB15" s="16" t="s">
        <v>493</v>
      </c>
    </row>
    <row r="17" spans="1:28">
      <c r="A17" s="47" t="s">
        <v>109</v>
      </c>
      <c r="B17" s="47"/>
    </row>
    <row r="18" spans="1:28">
      <c r="A18" s="46" t="s">
        <v>494</v>
      </c>
      <c r="B18" s="11" t="s">
        <v>2051</v>
      </c>
      <c r="AB18" s="16" t="s">
        <v>496</v>
      </c>
    </row>
    <row r="19" spans="1:28">
      <c r="A19" s="46" t="s">
        <v>111</v>
      </c>
      <c r="B19" s="427" t="s">
        <v>2052</v>
      </c>
      <c r="AB19" s="16" t="s">
        <v>497</v>
      </c>
    </row>
    <row r="20" spans="1:28" ht="129.6" customHeight="1">
      <c r="A20" s="46" t="s">
        <v>112</v>
      </c>
      <c r="B20" s="11" t="s">
        <v>2053</v>
      </c>
      <c r="AB20" s="16" t="s">
        <v>498</v>
      </c>
    </row>
    <row r="21" spans="1:28" ht="216">
      <c r="A21" s="46" t="s">
        <v>113</v>
      </c>
      <c r="B21" s="243" t="s">
        <v>2054</v>
      </c>
      <c r="AB21" s="16" t="s">
        <v>499</v>
      </c>
    </row>
    <row r="22" spans="1:28" ht="31.2" customHeight="1">
      <c r="A22" s="46" t="s">
        <v>59</v>
      </c>
      <c r="B22" s="50" t="s">
        <v>500</v>
      </c>
      <c r="C22" s="45" t="s">
        <v>384</v>
      </c>
      <c r="AB22" s="16" t="s">
        <v>501</v>
      </c>
    </row>
    <row r="23" spans="1:28">
      <c r="B23" s="45"/>
    </row>
    <row r="24" spans="1:28">
      <c r="A24" s="46" t="s">
        <v>114</v>
      </c>
      <c r="B24" s="409">
        <f>SUM('Project&amp;Support'!AB2:AB12)</f>
        <v>27</v>
      </c>
      <c r="C24" s="11"/>
      <c r="AB24" s="206" t="s">
        <v>502</v>
      </c>
    </row>
    <row r="25" spans="1:28">
      <c r="A25" s="46" t="s">
        <v>115</v>
      </c>
      <c r="B25" s="13" t="s">
        <v>503</v>
      </c>
      <c r="C25" s="11" t="s">
        <v>384</v>
      </c>
      <c r="AB25" s="206" t="s">
        <v>504</v>
      </c>
    </row>
    <row r="26" spans="1:28">
      <c r="B26" s="11"/>
      <c r="C26" s="11"/>
    </row>
    <row r="27" spans="1:28">
      <c r="A27" s="46" t="s">
        <v>116</v>
      </c>
      <c r="B27" s="429">
        <v>61240</v>
      </c>
      <c r="AB27" s="16" t="s">
        <v>505</v>
      </c>
    </row>
    <row r="28" spans="1:28" ht="46.8" customHeight="1">
      <c r="A28" s="46" t="s">
        <v>117</v>
      </c>
      <c r="B28" s="262" t="s">
        <v>506</v>
      </c>
      <c r="C28" s="45" t="s">
        <v>380</v>
      </c>
    </row>
    <row r="29" spans="1:28" s="11" customFormat="1" ht="14.4" customHeight="1">
      <c r="A29" s="11" t="s">
        <v>100</v>
      </c>
      <c r="B29" s="85" t="str">
        <f t="shared" ref="B29:B34" si="0">B5</f>
        <v>901-912, Sun Yat-sen University Shenzhen Industry-Research Base Building</v>
      </c>
      <c r="AB29" s="16" t="s">
        <v>507</v>
      </c>
    </row>
    <row r="30" spans="1:28" s="11" customFormat="1" ht="14.4" customHeight="1">
      <c r="A30" s="11" t="s">
        <v>101</v>
      </c>
      <c r="B30" s="85" t="str">
        <f t="shared" si="0"/>
        <v>No. 1, Yuexing 4th Road, Keji South 10th Road, Nanshan District</v>
      </c>
      <c r="AB30" s="16" t="s">
        <v>508</v>
      </c>
    </row>
    <row r="31" spans="1:28" s="11" customFormat="1" ht="14.4" customHeight="1">
      <c r="A31" s="11" t="s">
        <v>102</v>
      </c>
      <c r="B31" s="85" t="str">
        <f t="shared" si="0"/>
        <v>Shenzhen</v>
      </c>
      <c r="C31" s="11" t="s">
        <v>377</v>
      </c>
      <c r="AB31" s="16" t="s">
        <v>509</v>
      </c>
    </row>
    <row r="32" spans="1:28" s="11" customFormat="1" ht="14.4" customHeight="1">
      <c r="A32" s="11" t="s">
        <v>103</v>
      </c>
      <c r="B32" s="85" t="str">
        <f t="shared" si="0"/>
        <v>Guangdong</v>
      </c>
      <c r="C32" s="11" t="s">
        <v>377</v>
      </c>
      <c r="AB32" s="16" t="s">
        <v>510</v>
      </c>
    </row>
    <row r="33" spans="1:28" s="11" customFormat="1" ht="14.4" customHeight="1">
      <c r="A33" s="11" t="s">
        <v>104</v>
      </c>
      <c r="B33" s="85">
        <f t="shared" si="0"/>
        <v>518057</v>
      </c>
      <c r="AB33" s="16" t="s">
        <v>511</v>
      </c>
    </row>
    <row r="34" spans="1:28" s="11" customFormat="1" ht="14.4" customHeight="1">
      <c r="A34" s="11" t="s">
        <v>31</v>
      </c>
      <c r="B34" s="13" t="str">
        <f t="shared" si="0"/>
        <v>China</v>
      </c>
      <c r="C34" s="11" t="s">
        <v>384</v>
      </c>
      <c r="AB34" s="16" t="s">
        <v>512</v>
      </c>
    </row>
    <row r="35" spans="1:28" ht="31.2" customHeight="1">
      <c r="A35" s="46" t="s">
        <v>105</v>
      </c>
      <c r="B35" s="86" t="str">
        <f>_xlfn.CONCAT(B29,", ",B30,", ",B31,", ",B32,", ",B33,", ",B34)</f>
        <v>901-912, Sun Yat-sen University Shenzhen Industry-Research Base Building, No. 1, Yuexing 4th Road, Keji South 10th Road, Nanshan District, Shenzhen, Guangdong, 518057, China</v>
      </c>
      <c r="C35" s="45" t="s">
        <v>380</v>
      </c>
      <c r="AB35" s="16" t="s">
        <v>513</v>
      </c>
    </row>
    <row r="39" spans="1:28">
      <c r="A39" s="47" t="s">
        <v>118</v>
      </c>
      <c r="B39" s="47"/>
    </row>
    <row r="40" spans="1:28">
      <c r="A40" s="46" t="s">
        <v>119</v>
      </c>
      <c r="B40" s="51" t="str">
        <f>'Agreement 3'!B31</f>
        <v>General Manager</v>
      </c>
      <c r="C40" s="45" t="s">
        <v>377</v>
      </c>
      <c r="AB40" s="16" t="s">
        <v>514</v>
      </c>
    </row>
    <row r="41" spans="1:28">
      <c r="A41" s="46" t="s">
        <v>120</v>
      </c>
      <c r="B41" s="51" t="str">
        <f>'Agreement 3'!B30</f>
        <v>Sheng Zhou</v>
      </c>
      <c r="C41" s="45" t="s">
        <v>377</v>
      </c>
      <c r="AB41" s="16" t="s">
        <v>515</v>
      </c>
    </row>
    <row r="42" spans="1:28">
      <c r="A42" s="46" t="s">
        <v>121</v>
      </c>
      <c r="B42" s="51" t="str">
        <f>'Agreement 3'!B16</f>
        <v>Shenzhen Insigma Innovation Software Co., Ltd.</v>
      </c>
      <c r="C42" s="45" t="s">
        <v>377</v>
      </c>
      <c r="AB42" s="16" t="s">
        <v>516</v>
      </c>
    </row>
    <row r="43" spans="1:28" ht="31.2" customHeight="1">
      <c r="A43" s="46" t="s">
        <v>122</v>
      </c>
      <c r="B43" s="50" t="s">
        <v>517</v>
      </c>
      <c r="C43" s="45" t="s">
        <v>384</v>
      </c>
      <c r="AB43" s="16" t="s">
        <v>518</v>
      </c>
    </row>
    <row r="44" spans="1:28" ht="31.2" customHeight="1">
      <c r="A44" s="46" t="s">
        <v>123</v>
      </c>
      <c r="B44" s="48" t="str">
        <f>B11</f>
        <v>901-912, Sun Yat-sen University Shenzhen Industry-Research Base Building, No. 1, Yuexing 4th Road, Keji South 10th Road, Nanshan District, Shenzhen, Guangdong, 518057, China</v>
      </c>
      <c r="C44" s="45" t="s">
        <v>380</v>
      </c>
      <c r="AB44" s="16" t="s">
        <v>519</v>
      </c>
    </row>
    <row r="45" spans="1:28">
      <c r="A45" s="46" t="s">
        <v>124</v>
      </c>
      <c r="B45" s="74" t="str">
        <f>'Agreement 3'!B33</f>
        <v>sam_zhou@bis.com.cn</v>
      </c>
      <c r="C45" s="45" t="s">
        <v>377</v>
      </c>
      <c r="AB45" s="16" t="s">
        <v>520</v>
      </c>
    </row>
    <row r="46" spans="1:28">
      <c r="A46" s="46" t="s">
        <v>125</v>
      </c>
      <c r="B46" s="75" t="str">
        <f>'Agreement 3'!B32</f>
        <v>13510363575</v>
      </c>
      <c r="C46" s="45" t="s">
        <v>377</v>
      </c>
      <c r="AB46" s="16" t="s">
        <v>521</v>
      </c>
    </row>
    <row r="48" spans="1:28">
      <c r="A48" s="47" t="s">
        <v>126</v>
      </c>
      <c r="B48" s="47"/>
    </row>
    <row r="49" spans="1:28">
      <c r="A49" s="46" t="s">
        <v>127</v>
      </c>
      <c r="B49" s="51" t="str">
        <f>'Agreement 3'!B35</f>
        <v>Yu Zhang</v>
      </c>
      <c r="C49" s="45" t="s">
        <v>377</v>
      </c>
      <c r="AB49" s="16" t="s">
        <v>522</v>
      </c>
    </row>
    <row r="50" spans="1:28" ht="31.2" customHeight="1">
      <c r="A50" s="46" t="s">
        <v>128</v>
      </c>
      <c r="B50" s="50" t="s">
        <v>517</v>
      </c>
      <c r="C50" s="45" t="s">
        <v>384</v>
      </c>
      <c r="AB50" s="16" t="s">
        <v>523</v>
      </c>
    </row>
    <row r="51" spans="1:28">
      <c r="A51" s="46" t="s">
        <v>129</v>
      </c>
      <c r="B51" s="75" t="str">
        <f>'Agreement 3'!B38</f>
        <v>18682057356</v>
      </c>
      <c r="C51" s="45" t="s">
        <v>377</v>
      </c>
      <c r="AB51" s="16" t="s">
        <v>524</v>
      </c>
    </row>
    <row r="52" spans="1:28">
      <c r="A52" s="46" t="s">
        <v>130</v>
      </c>
      <c r="B52" s="74" t="str">
        <f>'Agreement 3'!B39</f>
        <v>zhangyu1@bis.com.cn</v>
      </c>
      <c r="C52" s="45" t="s">
        <v>377</v>
      </c>
      <c r="AB52" s="16" t="s">
        <v>525</v>
      </c>
    </row>
    <row r="54" spans="1:28">
      <c r="A54" s="47" t="s">
        <v>45</v>
      </c>
      <c r="B54" s="47"/>
    </row>
    <row r="55" spans="1:28">
      <c r="A55" s="46" t="s">
        <v>27</v>
      </c>
      <c r="B55" s="51" t="str">
        <f>'Agreement 3'!B41</f>
        <v>Lynn</v>
      </c>
      <c r="C55" s="45" t="s">
        <v>377</v>
      </c>
      <c r="AB55" s="16" t="s">
        <v>356</v>
      </c>
    </row>
    <row r="56" spans="1:28">
      <c r="A56" s="46" t="s">
        <v>131</v>
      </c>
      <c r="B56" s="51" t="str">
        <f>'Agreement 3'!B42</f>
        <v>Freelance</v>
      </c>
      <c r="C56" s="45" t="s">
        <v>377</v>
      </c>
      <c r="AB56" s="16" t="s">
        <v>358</v>
      </c>
    </row>
    <row r="57" spans="1:28">
      <c r="A57" s="46" t="s">
        <v>132</v>
      </c>
      <c r="B57" s="50" t="s">
        <v>526</v>
      </c>
      <c r="C57" s="45" t="s">
        <v>384</v>
      </c>
      <c r="AB57" s="16" t="s">
        <v>527</v>
      </c>
    </row>
    <row r="58" spans="1:28">
      <c r="A58" s="46" t="s">
        <v>133</v>
      </c>
      <c r="B58" s="50" t="s">
        <v>528</v>
      </c>
      <c r="C58" s="45" t="s">
        <v>384</v>
      </c>
      <c r="AB58" s="16" t="s">
        <v>529</v>
      </c>
    </row>
    <row r="59" spans="1:28">
      <c r="A59" s="46" t="s">
        <v>134</v>
      </c>
      <c r="B59" s="46" t="s">
        <v>530</v>
      </c>
      <c r="AB59" s="16" t="s">
        <v>531</v>
      </c>
    </row>
    <row r="60" spans="1:28">
      <c r="A60" s="46" t="s">
        <v>129</v>
      </c>
      <c r="B60" s="75" t="str">
        <f>'Agreement 3'!B44</f>
        <v>+1 202-358-0003</v>
      </c>
      <c r="C60" s="45" t="s">
        <v>377</v>
      </c>
      <c r="AB60" s="16" t="s">
        <v>362</v>
      </c>
    </row>
    <row r="61" spans="1:28">
      <c r="A61" s="46" t="s">
        <v>130</v>
      </c>
      <c r="B61" s="74" t="str">
        <f>'Agreement 3'!B45</f>
        <v>lynn@tbd.com</v>
      </c>
      <c r="C61" s="45" t="s">
        <v>377</v>
      </c>
      <c r="AB61" s="16" t="s">
        <v>363</v>
      </c>
    </row>
  </sheetData>
  <dataValidations count="5">
    <dataValidation type="list" allowBlank="1" showInputMessage="1" showErrorMessage="1" sqref="B22:B23" xr:uid="{00000000-0002-0000-0B00-000000000000}">
      <formula1>tbl_isic</formula1>
    </dataValidation>
    <dataValidation type="list" allowBlank="1" showInputMessage="1" showErrorMessage="1" sqref="B10:B11 B34" xr:uid="{00000000-0002-0000-0B00-000001000000}">
      <formula1>tbl_country</formula1>
    </dataValidation>
    <dataValidation type="list" allowBlank="1" showInputMessage="1" showErrorMessage="1" sqref="B43 B50 B57" xr:uid="{00000000-0002-0000-0B00-000002000000}">
      <formula1>"External, Internal"</formula1>
    </dataValidation>
    <dataValidation type="list" allowBlank="1" showInputMessage="1" showErrorMessage="1" sqref="B58" xr:uid="{00000000-0002-0000-0B00-000003000000}">
      <formula1>tbl_reportingRelationship</formula1>
    </dataValidation>
    <dataValidation type="list" allowBlank="1" showInputMessage="1" showErrorMessage="1" sqref="B25" xr:uid="{00000000-0002-0000-0B00-000004000000}">
      <formula1>tbl_FTE</formula1>
    </dataValidation>
  </dataValidations>
  <hyperlinks>
    <hyperlink ref="B45" r:id="rId1" display="jack@c-goshine.com" xr:uid="{00000000-0004-0000-0B00-000001000000}"/>
    <hyperlink ref="B52" r:id="rId2" display="qianjiedi@gktel.com.cn" xr:uid="{00000000-0004-0000-0B00-000002000000}"/>
    <hyperlink ref="B12" r:id="rId3" xr:uid="{112F4BDE-4AF5-47A0-931E-868C99CCE430}"/>
  </hyperlinks>
  <pageMargins left="0.7" right="0.7" top="0.75" bottom="0.75" header="0.3" footer="0.3"/>
  <pageSetup paperSize="9" scale="69" fitToHeight="0" orientation="portrait"/>
  <rowBreaks count="1" manualBreakCount="1">
    <brk id="38" max="16383" man="1"/>
  </rowBreaks>
  <drawing r:id="rId4"/>
  <legacyDrawing r:id="rId5"/>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theme="5" tint="0.79998168889431442"/>
    <pageSetUpPr fitToPage="1"/>
  </sheetPr>
  <dimension ref="A1:AJ27"/>
  <sheetViews>
    <sheetView topLeftCell="A2" zoomScale="85" zoomScaleNormal="85" workbookViewId="0">
      <selection activeCell="C9" sqref="C9"/>
    </sheetView>
  </sheetViews>
  <sheetFormatPr defaultColWidth="8.77734375" defaultRowHeight="14.4"/>
  <cols>
    <col min="1" max="1" width="11.44140625" style="11" customWidth="1"/>
    <col min="2" max="2" width="20.44140625" style="11" customWidth="1"/>
    <col min="3" max="3" width="60.44140625" style="11" customWidth="1"/>
    <col min="4" max="4" width="15.21875" style="11" customWidth="1"/>
    <col min="5" max="5" width="20.44140625" style="11" customWidth="1"/>
    <col min="6" max="7" width="15.44140625" style="91" customWidth="1"/>
    <col min="8" max="8" width="11.77734375" style="11" customWidth="1"/>
    <col min="9" max="9" width="9.77734375" style="88" customWidth="1"/>
    <col min="10" max="27" width="6.44140625" style="88" customWidth="1"/>
    <col min="28" max="28" width="8.77734375" style="88" customWidth="1"/>
    <col min="29" max="35" width="7.44140625" style="11" customWidth="1"/>
    <col min="36" max="36" width="5.21875" style="11" customWidth="1"/>
    <col min="37" max="42" width="8.77734375" style="11" customWidth="1"/>
    <col min="43" max="16384" width="8.77734375" style="11"/>
  </cols>
  <sheetData>
    <row r="1" spans="1:36" s="46" customFormat="1" ht="57" customHeight="1">
      <c r="A1" s="96" t="s">
        <v>572</v>
      </c>
      <c r="B1" s="44"/>
      <c r="C1" s="97"/>
      <c r="D1" s="98"/>
      <c r="E1" s="98"/>
      <c r="F1" s="98"/>
      <c r="G1" s="98"/>
      <c r="H1" s="98"/>
      <c r="I1" s="98"/>
      <c r="J1" s="98"/>
      <c r="K1" s="98"/>
      <c r="L1" s="98"/>
      <c r="M1" s="98"/>
      <c r="N1" s="98"/>
      <c r="O1" s="98"/>
      <c r="P1" s="98"/>
      <c r="Q1" s="98"/>
      <c r="R1" s="98"/>
      <c r="S1" s="98"/>
      <c r="T1" s="98"/>
      <c r="U1" s="98"/>
      <c r="V1" s="98"/>
      <c r="W1" s="98"/>
      <c r="X1" s="98"/>
      <c r="Y1" s="98"/>
      <c r="Z1" s="98"/>
      <c r="AA1" s="98"/>
      <c r="AB1" s="213" t="s">
        <v>573</v>
      </c>
      <c r="AC1" s="433" t="s">
        <v>574</v>
      </c>
      <c r="AD1" s="434"/>
      <c r="AE1" s="434"/>
      <c r="AF1" s="434"/>
      <c r="AG1" s="434"/>
      <c r="AH1" s="434"/>
      <c r="AI1" s="434"/>
      <c r="AJ1" s="434"/>
    </row>
    <row r="2" spans="1:36" s="327" customFormat="1" ht="69.599999999999994" customHeight="1">
      <c r="A2" s="325" t="s">
        <v>575</v>
      </c>
      <c r="B2" s="325" t="s">
        <v>27</v>
      </c>
      <c r="C2" s="325" t="s">
        <v>152</v>
      </c>
      <c r="D2" s="325" t="s">
        <v>576</v>
      </c>
      <c r="E2" s="325" t="s">
        <v>577</v>
      </c>
      <c r="F2" s="326" t="s">
        <v>578</v>
      </c>
      <c r="G2" s="326" t="s">
        <v>579</v>
      </c>
      <c r="H2" s="325" t="s">
        <v>580</v>
      </c>
      <c r="I2" s="214" t="s">
        <v>581</v>
      </c>
      <c r="J2" s="215" t="s">
        <v>548</v>
      </c>
      <c r="K2" s="215" t="s">
        <v>551</v>
      </c>
      <c r="L2" s="215" t="s">
        <v>547</v>
      </c>
      <c r="M2" s="215" t="s">
        <v>426</v>
      </c>
      <c r="N2" s="215" t="s">
        <v>549</v>
      </c>
      <c r="O2" s="215" t="s">
        <v>552</v>
      </c>
      <c r="P2" s="215" t="s">
        <v>541</v>
      </c>
      <c r="Q2" s="215" t="s">
        <v>545</v>
      </c>
      <c r="R2" s="215" t="s">
        <v>546</v>
      </c>
      <c r="S2" s="215" t="s">
        <v>550</v>
      </c>
      <c r="T2" s="215" t="s">
        <v>543</v>
      </c>
      <c r="U2" s="215" t="s">
        <v>538</v>
      </c>
      <c r="V2" s="215" t="s">
        <v>542</v>
      </c>
      <c r="W2" s="215" t="s">
        <v>544</v>
      </c>
      <c r="X2" s="215" t="s">
        <v>535</v>
      </c>
      <c r="Y2" s="215" t="s">
        <v>536</v>
      </c>
      <c r="Z2" s="215" t="s">
        <v>537</v>
      </c>
      <c r="AA2" s="215" t="s">
        <v>553</v>
      </c>
      <c r="AB2" s="214"/>
      <c r="AC2" s="216" t="s">
        <v>582</v>
      </c>
      <c r="AD2" s="216" t="s">
        <v>583</v>
      </c>
      <c r="AE2" s="216" t="s">
        <v>584</v>
      </c>
      <c r="AF2" s="216" t="s">
        <v>585</v>
      </c>
      <c r="AG2" s="216" t="s">
        <v>586</v>
      </c>
      <c r="AH2" s="216" t="s">
        <v>587</v>
      </c>
      <c r="AI2" s="216" t="s">
        <v>588</v>
      </c>
      <c r="AJ2" s="217" t="s">
        <v>589</v>
      </c>
    </row>
    <row r="3" spans="1:36" s="218" customFormat="1" ht="55.2" customHeight="1">
      <c r="A3" s="219" t="s">
        <v>590</v>
      </c>
      <c r="B3" s="218" t="s">
        <v>2056</v>
      </c>
      <c r="C3" s="219" t="s">
        <v>2055</v>
      </c>
      <c r="D3" s="219" t="s">
        <v>593</v>
      </c>
      <c r="E3" s="219" t="s">
        <v>594</v>
      </c>
      <c r="F3" s="220">
        <v>45823</v>
      </c>
      <c r="G3" s="220">
        <v>45986</v>
      </c>
      <c r="H3" s="219" t="s">
        <v>593</v>
      </c>
      <c r="I3" s="221" t="s">
        <v>595</v>
      </c>
      <c r="J3" s="222"/>
      <c r="K3" s="222"/>
      <c r="L3" s="222"/>
      <c r="M3" s="222"/>
      <c r="N3" s="222"/>
      <c r="O3" s="222"/>
      <c r="P3" s="222"/>
      <c r="Q3" s="222"/>
      <c r="R3" s="222"/>
      <c r="S3" s="222" t="s">
        <v>596</v>
      </c>
      <c r="T3" s="222"/>
      <c r="U3" s="222"/>
      <c r="V3" s="222"/>
      <c r="W3" s="222"/>
      <c r="X3" s="222"/>
      <c r="Y3" s="222"/>
      <c r="Z3" s="222"/>
      <c r="AA3" s="222"/>
      <c r="AB3" s="221">
        <v>5</v>
      </c>
      <c r="AC3" s="223"/>
      <c r="AD3" s="223" t="s">
        <v>243</v>
      </c>
      <c r="AE3" s="223"/>
      <c r="AF3" s="223"/>
      <c r="AG3" s="223"/>
      <c r="AH3" s="223"/>
      <c r="AI3" s="223"/>
      <c r="AJ3" s="224"/>
    </row>
    <row r="4" spans="1:36" s="218" customFormat="1" ht="55.2" customHeight="1">
      <c r="A4" s="219" t="s">
        <v>597</v>
      </c>
      <c r="B4" s="218" t="s">
        <v>2058</v>
      </c>
      <c r="C4" s="219" t="s">
        <v>2057</v>
      </c>
      <c r="D4" s="219" t="s">
        <v>593</v>
      </c>
      <c r="E4" s="219" t="s">
        <v>594</v>
      </c>
      <c r="F4" s="225">
        <v>45783</v>
      </c>
      <c r="G4" s="225">
        <v>45944</v>
      </c>
      <c r="H4" s="219" t="s">
        <v>593</v>
      </c>
      <c r="I4" s="221" t="s">
        <v>595</v>
      </c>
      <c r="J4" s="222"/>
      <c r="K4" s="222"/>
      <c r="L4" s="222"/>
      <c r="M4" s="222"/>
      <c r="N4" s="222"/>
      <c r="O4" s="222"/>
      <c r="P4" s="222"/>
      <c r="Q4" s="222"/>
      <c r="R4" s="222"/>
      <c r="S4" s="222"/>
      <c r="T4" s="222"/>
      <c r="U4" s="222"/>
      <c r="V4" s="222"/>
      <c r="W4" s="222"/>
      <c r="X4" s="222"/>
      <c r="Y4" s="222"/>
      <c r="Z4" s="222"/>
      <c r="AA4" s="222"/>
      <c r="AB4" s="221">
        <v>6</v>
      </c>
      <c r="AC4" s="223"/>
      <c r="AD4" s="223"/>
      <c r="AE4" s="223"/>
      <c r="AF4" s="223"/>
      <c r="AG4" s="223"/>
      <c r="AH4" s="223"/>
      <c r="AI4" s="223"/>
      <c r="AJ4" s="224"/>
    </row>
    <row r="5" spans="1:36" s="218" customFormat="1" ht="55.2" customHeight="1">
      <c r="A5" s="219" t="s">
        <v>601</v>
      </c>
      <c r="B5" s="218" t="s">
        <v>2060</v>
      </c>
      <c r="C5" s="219" t="s">
        <v>2059</v>
      </c>
      <c r="D5" s="219" t="s">
        <v>593</v>
      </c>
      <c r="E5" s="219" t="s">
        <v>594</v>
      </c>
      <c r="F5" s="225">
        <v>45850</v>
      </c>
      <c r="G5" s="225">
        <v>45991</v>
      </c>
      <c r="H5" s="219" t="s">
        <v>593</v>
      </c>
      <c r="I5" s="221" t="s">
        <v>595</v>
      </c>
      <c r="J5" s="222" t="s">
        <v>600</v>
      </c>
      <c r="K5" s="222" t="s">
        <v>600</v>
      </c>
      <c r="L5" s="222"/>
      <c r="M5" s="222"/>
      <c r="N5" s="222"/>
      <c r="O5" s="222"/>
      <c r="P5" s="222"/>
      <c r="Q5" s="222"/>
      <c r="R5" s="222"/>
      <c r="S5" s="222"/>
      <c r="T5" s="222"/>
      <c r="U5" s="222"/>
      <c r="V5" s="222"/>
      <c r="W5" s="222"/>
      <c r="X5" s="222"/>
      <c r="Y5" s="222"/>
      <c r="Z5" s="222"/>
      <c r="AA5" s="222"/>
      <c r="AB5" s="221">
        <v>6</v>
      </c>
      <c r="AC5" s="223" t="s">
        <v>243</v>
      </c>
      <c r="AD5" s="223"/>
      <c r="AE5" s="223"/>
      <c r="AF5" s="223"/>
      <c r="AG5" s="223"/>
      <c r="AH5" s="223"/>
      <c r="AI5" s="223"/>
      <c r="AJ5" s="224"/>
    </row>
    <row r="6" spans="1:36" s="218" customFormat="1" ht="55.2" customHeight="1">
      <c r="A6" s="219" t="s">
        <v>604</v>
      </c>
      <c r="B6" s="218" t="s">
        <v>2062</v>
      </c>
      <c r="C6" s="225" t="s">
        <v>2061</v>
      </c>
      <c r="D6" s="219" t="s">
        <v>593</v>
      </c>
      <c r="E6" s="219" t="s">
        <v>594</v>
      </c>
      <c r="F6" s="225">
        <v>45893</v>
      </c>
      <c r="G6" s="225">
        <v>46022</v>
      </c>
      <c r="H6" s="219" t="s">
        <v>593</v>
      </c>
      <c r="I6" s="221" t="s">
        <v>595</v>
      </c>
      <c r="J6" s="222"/>
      <c r="K6" s="222"/>
      <c r="L6" s="222"/>
      <c r="M6" s="222" t="s">
        <v>600</v>
      </c>
      <c r="N6" s="222" t="s">
        <v>600</v>
      </c>
      <c r="O6" s="222" t="s">
        <v>600</v>
      </c>
      <c r="P6" s="222"/>
      <c r="Q6" s="222"/>
      <c r="R6" s="222"/>
      <c r="S6" s="222"/>
      <c r="T6" s="222"/>
      <c r="U6" s="222"/>
      <c r="V6" s="222"/>
      <c r="W6" s="222"/>
      <c r="X6" s="222"/>
      <c r="Y6" s="222"/>
      <c r="Z6" s="222"/>
      <c r="AA6" s="222"/>
      <c r="AB6" s="221">
        <v>6</v>
      </c>
      <c r="AC6" s="223" t="s">
        <v>243</v>
      </c>
      <c r="AD6" s="223"/>
      <c r="AE6" s="223"/>
      <c r="AF6" s="223"/>
      <c r="AG6" s="223"/>
      <c r="AH6" s="223"/>
      <c r="AI6" s="223"/>
      <c r="AJ6" s="224"/>
    </row>
    <row r="7" spans="1:36" s="218" customFormat="1" ht="27.6" customHeight="1">
      <c r="A7" s="227" t="s">
        <v>610</v>
      </c>
      <c r="B7" s="227" t="s">
        <v>611</v>
      </c>
      <c r="C7" s="227" t="s">
        <v>612</v>
      </c>
      <c r="D7" s="227" t="s">
        <v>613</v>
      </c>
      <c r="E7" s="228"/>
      <c r="F7" s="229"/>
      <c r="G7" s="229"/>
      <c r="H7" s="219" t="s">
        <v>614</v>
      </c>
      <c r="I7" s="222" t="s">
        <v>615</v>
      </c>
      <c r="J7" s="222"/>
      <c r="K7" s="222"/>
      <c r="L7" s="222"/>
      <c r="M7" s="222"/>
      <c r="N7" s="222"/>
      <c r="O7" s="222"/>
      <c r="P7" s="222"/>
      <c r="Q7" s="222"/>
      <c r="R7" s="222"/>
      <c r="S7" s="222"/>
      <c r="T7" s="222"/>
      <c r="U7" s="222"/>
      <c r="V7" s="222"/>
      <c r="W7" s="222"/>
      <c r="X7" s="222"/>
      <c r="Y7" s="222" t="s">
        <v>600</v>
      </c>
      <c r="Z7" s="222"/>
      <c r="AA7" s="222"/>
      <c r="AB7" s="226">
        <v>1</v>
      </c>
      <c r="AC7" s="223"/>
      <c r="AD7" s="223"/>
      <c r="AE7" s="223" t="s">
        <v>243</v>
      </c>
      <c r="AF7" s="223"/>
      <c r="AG7" s="223"/>
      <c r="AH7" s="223"/>
      <c r="AI7" s="223"/>
      <c r="AJ7" s="224"/>
    </row>
    <row r="8" spans="1:36" s="218" customFormat="1" ht="69" customHeight="1">
      <c r="A8" s="227" t="s">
        <v>616</v>
      </c>
      <c r="B8" s="227" t="s">
        <v>617</v>
      </c>
      <c r="C8" s="227" t="s">
        <v>618</v>
      </c>
      <c r="D8" s="227" t="s">
        <v>613</v>
      </c>
      <c r="E8" s="228"/>
      <c r="F8" s="229"/>
      <c r="G8" s="229"/>
      <c r="H8" s="219" t="s">
        <v>614</v>
      </c>
      <c r="I8" s="222" t="s">
        <v>615</v>
      </c>
      <c r="J8" s="222"/>
      <c r="K8" s="222"/>
      <c r="L8" s="222"/>
      <c r="M8" s="222"/>
      <c r="N8" s="222"/>
      <c r="O8" s="222"/>
      <c r="P8" s="222" t="s">
        <v>600</v>
      </c>
      <c r="Q8" s="222" t="s">
        <v>600</v>
      </c>
      <c r="R8" s="222" t="s">
        <v>600</v>
      </c>
      <c r="S8" s="222"/>
      <c r="T8" s="222"/>
      <c r="U8" s="222"/>
      <c r="V8" s="222"/>
      <c r="W8" s="222"/>
      <c r="X8" s="222" t="s">
        <v>600</v>
      </c>
      <c r="Y8" s="222"/>
      <c r="Z8" s="222" t="s">
        <v>600</v>
      </c>
      <c r="AA8" s="222"/>
      <c r="AB8" s="226">
        <v>1</v>
      </c>
      <c r="AC8" s="223"/>
      <c r="AD8" s="223"/>
      <c r="AE8" s="223"/>
      <c r="AF8" s="223" t="s">
        <v>243</v>
      </c>
      <c r="AG8" s="223" t="s">
        <v>243</v>
      </c>
      <c r="AH8" s="223"/>
      <c r="AI8" s="223"/>
      <c r="AJ8" s="224"/>
    </row>
    <row r="9" spans="1:36" s="218" customFormat="1" ht="41.4" customHeight="1">
      <c r="A9" s="227" t="s">
        <v>619</v>
      </c>
      <c r="B9" s="227" t="s">
        <v>620</v>
      </c>
      <c r="C9" s="227" t="s">
        <v>621</v>
      </c>
      <c r="D9" s="227" t="s">
        <v>613</v>
      </c>
      <c r="E9" s="228"/>
      <c r="F9" s="229"/>
      <c r="G9" s="229"/>
      <c r="H9" s="219" t="s">
        <v>614</v>
      </c>
      <c r="I9" s="222" t="s">
        <v>615</v>
      </c>
      <c r="J9" s="222"/>
      <c r="K9" s="222"/>
      <c r="L9" s="222"/>
      <c r="M9" s="222"/>
      <c r="N9" s="222"/>
      <c r="O9" s="222"/>
      <c r="P9" s="222"/>
      <c r="Q9" s="222"/>
      <c r="R9" s="222"/>
      <c r="S9" s="222"/>
      <c r="T9" s="222" t="s">
        <v>600</v>
      </c>
      <c r="U9" s="222"/>
      <c r="V9" s="222"/>
      <c r="W9" s="222"/>
      <c r="X9" s="222"/>
      <c r="Y9" s="222"/>
      <c r="Z9" s="222"/>
      <c r="AA9" s="222"/>
      <c r="AB9" s="226">
        <v>1</v>
      </c>
      <c r="AC9" s="223"/>
      <c r="AD9" s="223"/>
      <c r="AE9" s="223"/>
      <c r="AF9" s="223"/>
      <c r="AG9" s="223"/>
      <c r="AH9" s="223" t="s">
        <v>243</v>
      </c>
      <c r="AI9" s="223"/>
      <c r="AJ9" s="224"/>
    </row>
    <row r="10" spans="1:36" s="218" customFormat="1" ht="27.6" customHeight="1">
      <c r="A10" s="227" t="s">
        <v>622</v>
      </c>
      <c r="B10" s="227" t="s">
        <v>623</v>
      </c>
      <c r="C10" s="227" t="s">
        <v>624</v>
      </c>
      <c r="D10" s="227" t="s">
        <v>613</v>
      </c>
      <c r="E10" s="228"/>
      <c r="F10" s="229"/>
      <c r="G10" s="229"/>
      <c r="H10" s="219" t="s">
        <v>614</v>
      </c>
      <c r="I10" s="222" t="s">
        <v>615</v>
      </c>
      <c r="J10" s="222"/>
      <c r="K10" s="222"/>
      <c r="L10" s="222" t="s">
        <v>600</v>
      </c>
      <c r="M10" s="222"/>
      <c r="N10" s="222"/>
      <c r="O10" s="222"/>
      <c r="P10" s="222"/>
      <c r="Q10" s="222"/>
      <c r="R10" s="222"/>
      <c r="S10" s="222"/>
      <c r="T10" s="222"/>
      <c r="U10" s="222"/>
      <c r="V10" s="222"/>
      <c r="W10" s="222"/>
      <c r="X10" s="222"/>
      <c r="Y10" s="222"/>
      <c r="Z10" s="222"/>
      <c r="AA10" s="222"/>
      <c r="AB10" s="226">
        <v>1</v>
      </c>
      <c r="AC10" s="223"/>
      <c r="AD10" s="223"/>
      <c r="AE10" s="223"/>
      <c r="AF10" s="223"/>
      <c r="AG10" s="223"/>
      <c r="AH10" s="223"/>
      <c r="AI10" s="223" t="s">
        <v>243</v>
      </c>
      <c r="AJ10" s="224"/>
    </row>
    <row r="23" spans="3:3">
      <c r="C23" s="341" t="s">
        <v>625</v>
      </c>
    </row>
    <row r="24" spans="3:3" ht="40.5" customHeight="1">
      <c r="C24" s="11" t="s">
        <v>626</v>
      </c>
    </row>
    <row r="25" spans="3:3" ht="40.5" customHeight="1">
      <c r="C25" s="11" t="s">
        <v>627</v>
      </c>
    </row>
    <row r="26" spans="3:3" ht="40.5" customHeight="1">
      <c r="C26" s="11" t="s">
        <v>628</v>
      </c>
    </row>
    <row r="27" spans="3:3" ht="40.5" customHeight="1">
      <c r="C27" s="11" t="s">
        <v>629</v>
      </c>
    </row>
  </sheetData>
  <mergeCells count="1">
    <mergeCell ref="AC1:AJ1"/>
  </mergeCells>
  <conditionalFormatting sqref="J3:AA12">
    <cfRule type="cellIs" dxfId="112" priority="6" operator="equal">
      <formula>"s"</formula>
    </cfRule>
    <cfRule type="cellIs" dxfId="111" priority="7" operator="equal">
      <formula>"a"</formula>
    </cfRule>
  </conditionalFormatting>
  <conditionalFormatting sqref="AC3:AI10">
    <cfRule type="cellIs" dxfId="110" priority="1" operator="equal">
      <formula>"x"</formula>
    </cfRule>
  </conditionalFormatting>
  <pageMargins left="0.7" right="0.7" top="0.75" bottom="0.75" header="0.3" footer="0.3"/>
  <pageSetup paperSize="9" scale="60" fitToHeight="0" orientation="landscape"/>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1">
    <tabColor theme="5" tint="0.79998168889431442"/>
    <pageSetUpPr fitToPage="1"/>
  </sheetPr>
  <dimension ref="A1:AA32"/>
  <sheetViews>
    <sheetView zoomScale="70" zoomScaleNormal="70" workbookViewId="0">
      <selection activeCell="F28" sqref="F28:Z28"/>
    </sheetView>
  </sheetViews>
  <sheetFormatPr defaultColWidth="10.77734375" defaultRowHeight="15.6"/>
  <cols>
    <col min="1" max="1" width="11.44140625" style="58" customWidth="1"/>
    <col min="2" max="2" width="22.21875" style="58" customWidth="1"/>
    <col min="3" max="3" width="42.21875" style="58" customWidth="1"/>
    <col min="4" max="4" width="39.5546875" style="58" customWidth="1"/>
    <col min="5" max="5" width="42.21875" style="58" customWidth="1"/>
    <col min="6" max="25" width="7.77734375" style="59" customWidth="1"/>
    <col min="26" max="26" width="10.77734375" style="385" customWidth="1"/>
    <col min="27" max="27" width="7.21875" style="385" bestFit="1" customWidth="1"/>
    <col min="28" max="31" width="10.77734375" style="58" customWidth="1"/>
    <col min="32" max="16384" width="10.77734375" style="58"/>
  </cols>
  <sheetData>
    <row r="1" spans="1:27" s="56" customFormat="1" ht="18" customHeight="1">
      <c r="A1" s="247" t="s">
        <v>630</v>
      </c>
      <c r="B1" s="248"/>
      <c r="C1" s="249"/>
      <c r="D1" s="250"/>
      <c r="E1" s="250"/>
      <c r="F1" s="213">
        <f t="shared" ref="F1:Y1" si="0">COUNTIF(F3:F1048576,"=x")</f>
        <v>5</v>
      </c>
      <c r="G1" s="213">
        <f t="shared" si="0"/>
        <v>1</v>
      </c>
      <c r="H1" s="213">
        <f t="shared" si="0"/>
        <v>6</v>
      </c>
      <c r="I1" s="213">
        <f t="shared" si="0"/>
        <v>4</v>
      </c>
      <c r="J1" s="213">
        <f t="shared" si="0"/>
        <v>0</v>
      </c>
      <c r="K1" s="213">
        <f t="shared" si="0"/>
        <v>0</v>
      </c>
      <c r="L1" s="213">
        <f t="shared" si="0"/>
        <v>1</v>
      </c>
      <c r="M1" s="213">
        <f t="shared" si="0"/>
        <v>4</v>
      </c>
      <c r="N1" s="213">
        <f t="shared" si="0"/>
        <v>1</v>
      </c>
      <c r="O1" s="213">
        <f t="shared" si="0"/>
        <v>21</v>
      </c>
      <c r="P1" s="213">
        <f t="shared" si="0"/>
        <v>4</v>
      </c>
      <c r="Q1" s="213">
        <f t="shared" si="0"/>
        <v>1</v>
      </c>
      <c r="R1" s="213">
        <f t="shared" si="0"/>
        <v>1</v>
      </c>
      <c r="S1" s="213">
        <f t="shared" si="0"/>
        <v>1</v>
      </c>
      <c r="T1" s="213">
        <f t="shared" si="0"/>
        <v>5</v>
      </c>
      <c r="U1" s="213">
        <f t="shared" si="0"/>
        <v>4</v>
      </c>
      <c r="V1" s="213">
        <f t="shared" si="0"/>
        <v>4</v>
      </c>
      <c r="W1" s="213">
        <f t="shared" si="0"/>
        <v>4</v>
      </c>
      <c r="X1" s="213">
        <f t="shared" si="0"/>
        <v>4</v>
      </c>
      <c r="Y1" s="213">
        <f t="shared" si="0"/>
        <v>0</v>
      </c>
      <c r="Z1" s="430"/>
      <c r="AA1" s="430"/>
    </row>
    <row r="2" spans="1:27" s="56" customFormat="1">
      <c r="A2" s="238" t="s">
        <v>575</v>
      </c>
      <c r="B2" s="238" t="s">
        <v>631</v>
      </c>
      <c r="C2" s="238" t="s">
        <v>27</v>
      </c>
      <c r="D2" s="238" t="s">
        <v>533</v>
      </c>
      <c r="E2" s="238" t="s">
        <v>632</v>
      </c>
      <c r="F2" s="239" t="s">
        <v>535</v>
      </c>
      <c r="G2" s="239" t="s">
        <v>536</v>
      </c>
      <c r="H2" s="239" t="s">
        <v>537</v>
      </c>
      <c r="I2" s="239" t="s">
        <v>538</v>
      </c>
      <c r="J2" s="239" t="s">
        <v>539</v>
      </c>
      <c r="K2" s="239" t="s">
        <v>540</v>
      </c>
      <c r="L2" s="239" t="s">
        <v>541</v>
      </c>
      <c r="M2" s="239" t="s">
        <v>542</v>
      </c>
      <c r="N2" s="239" t="s">
        <v>543</v>
      </c>
      <c r="O2" s="239" t="s">
        <v>426</v>
      </c>
      <c r="P2" s="239" t="s">
        <v>544</v>
      </c>
      <c r="Q2" s="239" t="s">
        <v>545</v>
      </c>
      <c r="R2" s="239" t="s">
        <v>546</v>
      </c>
      <c r="S2" s="239" t="s">
        <v>547</v>
      </c>
      <c r="T2" s="239" t="s">
        <v>548</v>
      </c>
      <c r="U2" s="239" t="s">
        <v>549</v>
      </c>
      <c r="V2" s="239" t="s">
        <v>550</v>
      </c>
      <c r="W2" s="239" t="s">
        <v>551</v>
      </c>
      <c r="X2" s="239" t="s">
        <v>552</v>
      </c>
      <c r="Y2" s="239" t="s">
        <v>553</v>
      </c>
      <c r="Z2" s="430"/>
      <c r="AA2" s="430" t="s">
        <v>721</v>
      </c>
    </row>
    <row r="3" spans="1:27">
      <c r="A3" s="380" t="s">
        <v>2063</v>
      </c>
      <c r="B3" s="381" t="str">
        <f t="shared" ref="B3:B28" si="1">VLOOKUP(A3,tbl_projectNames,2,FALSE)</f>
        <v>p1LTMS</v>
      </c>
      <c r="C3" t="s">
        <v>2073</v>
      </c>
      <c r="D3" s="380" t="s">
        <v>554</v>
      </c>
      <c r="E3" s="381" t="str">
        <f t="shared" ref="E3:E28" si="2">_xlfn.CONCAT(D3," function in OU")</f>
        <v>Analyst function in OU</v>
      </c>
      <c r="F3" s="57"/>
      <c r="G3" s="57"/>
      <c r="H3" s="57"/>
      <c r="I3" s="57"/>
      <c r="J3" s="57"/>
      <c r="K3" s="57"/>
      <c r="L3" s="57"/>
      <c r="M3" s="57"/>
      <c r="N3" s="57"/>
      <c r="O3" s="57" t="s">
        <v>243</v>
      </c>
      <c r="P3" s="57"/>
      <c r="Q3" s="57"/>
      <c r="R3" s="57"/>
      <c r="S3" s="57"/>
      <c r="T3" s="57"/>
      <c r="U3" s="57" t="s">
        <v>243</v>
      </c>
      <c r="V3" s="57"/>
      <c r="W3" s="57"/>
      <c r="X3" s="57"/>
      <c r="Y3" s="57"/>
      <c r="Z3" s="45" t="s">
        <v>554</v>
      </c>
      <c r="AA3" s="385" t="s">
        <v>2087</v>
      </c>
    </row>
    <row r="4" spans="1:27">
      <c r="A4" s="380" t="s">
        <v>2063</v>
      </c>
      <c r="B4" s="381" t="str">
        <f t="shared" si="1"/>
        <v>p1LTMS</v>
      </c>
      <c r="C4" t="s">
        <v>2076</v>
      </c>
      <c r="D4" s="380" t="s">
        <v>558</v>
      </c>
      <c r="E4" s="381" t="str">
        <f t="shared" si="2"/>
        <v>Designer function in OU</v>
      </c>
      <c r="F4" s="57"/>
      <c r="G4" s="57"/>
      <c r="H4" s="57"/>
      <c r="I4" s="57"/>
      <c r="J4" s="57"/>
      <c r="K4" s="57"/>
      <c r="L4" s="57"/>
      <c r="M4" s="57"/>
      <c r="N4" s="57"/>
      <c r="O4" s="57" t="s">
        <v>243</v>
      </c>
      <c r="P4" s="57"/>
      <c r="Q4" s="57"/>
      <c r="R4" s="57"/>
      <c r="S4" s="57"/>
      <c r="T4" s="57"/>
      <c r="U4" s="57"/>
      <c r="V4" s="57"/>
      <c r="W4" s="57" t="s">
        <v>243</v>
      </c>
      <c r="X4" s="57"/>
      <c r="Y4" s="57"/>
      <c r="Z4" s="45" t="s">
        <v>558</v>
      </c>
      <c r="AA4" s="385" t="s">
        <v>2087</v>
      </c>
    </row>
    <row r="5" spans="1:27">
      <c r="A5" s="380" t="s">
        <v>2063</v>
      </c>
      <c r="B5" s="381" t="str">
        <f t="shared" si="1"/>
        <v>p1LTMS</v>
      </c>
      <c r="C5" t="s">
        <v>2080</v>
      </c>
      <c r="D5" s="380" t="s">
        <v>559</v>
      </c>
      <c r="E5" s="381" t="str">
        <f t="shared" si="2"/>
        <v>Developer function in OU</v>
      </c>
      <c r="F5" s="57"/>
      <c r="G5" s="57"/>
      <c r="H5" s="57"/>
      <c r="I5" s="57"/>
      <c r="J5" s="57"/>
      <c r="K5" s="57"/>
      <c r="L5" s="57"/>
      <c r="M5" s="57"/>
      <c r="N5" s="57"/>
      <c r="O5" s="57" t="s">
        <v>243</v>
      </c>
      <c r="P5" s="57"/>
      <c r="Q5" s="57"/>
      <c r="R5" s="57"/>
      <c r="S5" s="57"/>
      <c r="T5" s="57" t="s">
        <v>243</v>
      </c>
      <c r="U5" s="57"/>
      <c r="V5" s="57"/>
      <c r="W5" s="57"/>
      <c r="X5" s="57"/>
      <c r="Y5" s="57"/>
      <c r="Z5" s="45" t="s">
        <v>559</v>
      </c>
      <c r="AA5" s="385" t="s">
        <v>2087</v>
      </c>
    </row>
    <row r="6" spans="1:27">
      <c r="A6" s="380" t="s">
        <v>2063</v>
      </c>
      <c r="B6" s="381" t="str">
        <f t="shared" si="1"/>
        <v>p1LTMS</v>
      </c>
      <c r="C6" t="s">
        <v>2069</v>
      </c>
      <c r="D6" s="380" t="s">
        <v>634</v>
      </c>
      <c r="E6" s="381" t="str">
        <f t="shared" si="2"/>
        <v>Project Manager function in OU</v>
      </c>
      <c r="F6" s="57" t="s">
        <v>243</v>
      </c>
      <c r="G6" s="57"/>
      <c r="H6" s="57" t="s">
        <v>243</v>
      </c>
      <c r="I6" s="57" t="s">
        <v>243</v>
      </c>
      <c r="J6" s="57"/>
      <c r="K6" s="57"/>
      <c r="L6" s="57"/>
      <c r="M6" s="57" t="s">
        <v>243</v>
      </c>
      <c r="N6" s="57"/>
      <c r="O6" s="57" t="s">
        <v>243</v>
      </c>
      <c r="P6" s="57" t="s">
        <v>243</v>
      </c>
      <c r="Q6" s="57"/>
      <c r="R6" s="57"/>
      <c r="S6" s="57"/>
      <c r="T6" s="57"/>
      <c r="U6" s="57"/>
      <c r="V6" s="57" t="s">
        <v>243</v>
      </c>
      <c r="W6" s="57"/>
      <c r="X6" s="57"/>
      <c r="Y6" s="57"/>
      <c r="Z6" s="45" t="s">
        <v>567</v>
      </c>
      <c r="AA6" s="385" t="s">
        <v>2087</v>
      </c>
    </row>
    <row r="7" spans="1:27">
      <c r="A7" s="380" t="s">
        <v>2063</v>
      </c>
      <c r="B7" s="381" t="str">
        <f t="shared" si="1"/>
        <v>p1LTMS</v>
      </c>
      <c r="C7" t="s">
        <v>2085</v>
      </c>
      <c r="D7" s="380" t="s">
        <v>569</v>
      </c>
      <c r="E7" s="381" t="str">
        <f t="shared" si="2"/>
        <v>Tester function in OU</v>
      </c>
      <c r="F7" s="57"/>
      <c r="G7" s="57"/>
      <c r="H7" s="57"/>
      <c r="I7" s="57"/>
      <c r="J7" s="57"/>
      <c r="K7" s="57"/>
      <c r="L7" s="57"/>
      <c r="M7" s="57"/>
      <c r="N7" s="57"/>
      <c r="O7" s="57" t="s">
        <v>243</v>
      </c>
      <c r="P7" s="57"/>
      <c r="Q7" s="57"/>
      <c r="R7" s="57"/>
      <c r="S7" s="57"/>
      <c r="T7" s="57"/>
      <c r="U7" s="57"/>
      <c r="V7" s="57"/>
      <c r="W7" s="57"/>
      <c r="X7" s="57" t="s">
        <v>243</v>
      </c>
      <c r="Y7" s="57"/>
      <c r="Z7" s="45" t="s">
        <v>569</v>
      </c>
      <c r="AA7" s="385" t="s">
        <v>2087</v>
      </c>
    </row>
    <row r="8" spans="1:27">
      <c r="A8" s="380" t="s">
        <v>2064</v>
      </c>
      <c r="B8" s="381" t="str">
        <f t="shared" si="1"/>
        <v>p2EBS</v>
      </c>
      <c r="C8" t="s">
        <v>2070</v>
      </c>
      <c r="D8" s="380" t="s">
        <v>554</v>
      </c>
      <c r="E8" s="381" t="str">
        <f t="shared" si="2"/>
        <v>Analyst function in OU</v>
      </c>
      <c r="F8" s="57"/>
      <c r="G8" s="57"/>
      <c r="H8" s="57"/>
      <c r="I8" s="57"/>
      <c r="J8" s="57"/>
      <c r="K8" s="57"/>
      <c r="L8" s="57"/>
      <c r="M8" s="57"/>
      <c r="N8" s="57"/>
      <c r="O8" s="57" t="s">
        <v>243</v>
      </c>
      <c r="P8" s="57"/>
      <c r="Q8" s="57"/>
      <c r="R8" s="57"/>
      <c r="S8" s="57"/>
      <c r="T8" s="57"/>
      <c r="U8" s="57" t="s">
        <v>243</v>
      </c>
      <c r="V8" s="57"/>
      <c r="W8" s="57"/>
      <c r="X8" s="57"/>
      <c r="Y8" s="57"/>
      <c r="Z8" s="45" t="s">
        <v>554</v>
      </c>
      <c r="AA8" s="385" t="s">
        <v>2087</v>
      </c>
    </row>
    <row r="9" spans="1:27">
      <c r="A9" s="380" t="s">
        <v>2064</v>
      </c>
      <c r="B9" s="381" t="str">
        <f t="shared" si="1"/>
        <v>p2EBS</v>
      </c>
      <c r="C9" t="s">
        <v>2077</v>
      </c>
      <c r="D9" s="380" t="s">
        <v>558</v>
      </c>
      <c r="E9" s="381" t="str">
        <f t="shared" si="2"/>
        <v>Designer function in OU</v>
      </c>
      <c r="F9" s="57"/>
      <c r="G9" s="57"/>
      <c r="H9" s="57"/>
      <c r="I9" s="57"/>
      <c r="J9" s="57"/>
      <c r="K9" s="57"/>
      <c r="L9" s="57"/>
      <c r="M9" s="57"/>
      <c r="N9" s="57"/>
      <c r="O9" s="57" t="s">
        <v>243</v>
      </c>
      <c r="P9" s="57"/>
      <c r="Q9" s="57"/>
      <c r="R9" s="57"/>
      <c r="S9" s="57"/>
      <c r="T9" s="57"/>
      <c r="U9" s="57"/>
      <c r="V9" s="57"/>
      <c r="W9" s="57" t="s">
        <v>243</v>
      </c>
      <c r="X9" s="57"/>
      <c r="Y9" s="57"/>
      <c r="Z9" s="45" t="s">
        <v>558</v>
      </c>
      <c r="AA9" s="385" t="s">
        <v>2087</v>
      </c>
    </row>
    <row r="10" spans="1:27">
      <c r="A10" s="380" t="s">
        <v>2064</v>
      </c>
      <c r="B10" s="381" t="str">
        <f t="shared" si="1"/>
        <v>p2EBS</v>
      </c>
      <c r="C10" t="s">
        <v>2081</v>
      </c>
      <c r="D10" s="380" t="s">
        <v>559</v>
      </c>
      <c r="E10" s="381" t="str">
        <f t="shared" si="2"/>
        <v>Developer function in OU</v>
      </c>
      <c r="F10" s="57"/>
      <c r="G10" s="57"/>
      <c r="H10" s="57"/>
      <c r="I10" s="57"/>
      <c r="J10" s="57"/>
      <c r="K10" s="57"/>
      <c r="L10" s="57"/>
      <c r="M10" s="57"/>
      <c r="N10" s="57"/>
      <c r="O10" s="57" t="s">
        <v>243</v>
      </c>
      <c r="P10" s="57"/>
      <c r="Q10" s="57"/>
      <c r="R10" s="57"/>
      <c r="S10" s="57"/>
      <c r="T10" s="57" t="s">
        <v>243</v>
      </c>
      <c r="U10" s="57"/>
      <c r="V10" s="57"/>
      <c r="W10" s="57"/>
      <c r="X10" s="57"/>
      <c r="Y10" s="57"/>
      <c r="Z10" s="45" t="s">
        <v>559</v>
      </c>
      <c r="AA10" s="385" t="s">
        <v>2087</v>
      </c>
    </row>
    <row r="11" spans="1:27">
      <c r="A11" s="380" t="s">
        <v>2064</v>
      </c>
      <c r="B11" s="381" t="str">
        <f t="shared" si="1"/>
        <v>p2EBS</v>
      </c>
      <c r="C11" t="s">
        <v>2070</v>
      </c>
      <c r="D11" s="380" t="s">
        <v>634</v>
      </c>
      <c r="E11" s="381" t="str">
        <f t="shared" si="2"/>
        <v>Project Manager function in OU</v>
      </c>
      <c r="F11" s="57" t="s">
        <v>243</v>
      </c>
      <c r="G11" s="57"/>
      <c r="H11" s="57" t="s">
        <v>243</v>
      </c>
      <c r="I11" s="57" t="s">
        <v>243</v>
      </c>
      <c r="J11" s="57"/>
      <c r="K11" s="57"/>
      <c r="L11" s="57"/>
      <c r="M11" s="57" t="s">
        <v>243</v>
      </c>
      <c r="N11" s="57"/>
      <c r="O11" s="57" t="s">
        <v>243</v>
      </c>
      <c r="P11" s="57" t="s">
        <v>243</v>
      </c>
      <c r="Q11" s="57"/>
      <c r="R11" s="57"/>
      <c r="S11" s="57"/>
      <c r="T11" s="57"/>
      <c r="U11" s="57"/>
      <c r="V11" s="57" t="s">
        <v>243</v>
      </c>
      <c r="W11" s="57"/>
      <c r="X11" s="57"/>
      <c r="Y11" s="57"/>
      <c r="Z11" s="45" t="s">
        <v>567</v>
      </c>
      <c r="AA11" s="385" t="s">
        <v>2087</v>
      </c>
    </row>
    <row r="12" spans="1:27">
      <c r="A12" s="380" t="s">
        <v>2064</v>
      </c>
      <c r="B12" s="381" t="str">
        <f t="shared" si="1"/>
        <v>p2EBS</v>
      </c>
      <c r="C12" t="s">
        <v>2085</v>
      </c>
      <c r="D12" s="380" t="s">
        <v>569</v>
      </c>
      <c r="E12" s="381" t="str">
        <f t="shared" si="2"/>
        <v>Tester function in OU</v>
      </c>
      <c r="F12" s="57"/>
      <c r="G12" s="57"/>
      <c r="H12" s="57"/>
      <c r="I12" s="57"/>
      <c r="J12" s="57"/>
      <c r="K12" s="57"/>
      <c r="L12" s="57"/>
      <c r="M12" s="57"/>
      <c r="N12" s="57"/>
      <c r="O12" s="57" t="s">
        <v>243</v>
      </c>
      <c r="P12" s="57"/>
      <c r="Q12" s="57"/>
      <c r="R12" s="57"/>
      <c r="S12" s="57"/>
      <c r="T12" s="57"/>
      <c r="U12" s="57"/>
      <c r="V12" s="57"/>
      <c r="W12" s="57"/>
      <c r="X12" s="57" t="s">
        <v>243</v>
      </c>
      <c r="Y12" s="57"/>
      <c r="Z12" s="431" t="s">
        <v>569</v>
      </c>
      <c r="AA12" s="385" t="s">
        <v>2087</v>
      </c>
    </row>
    <row r="13" spans="1:27">
      <c r="A13" s="380" t="s">
        <v>2065</v>
      </c>
      <c r="B13" s="381" t="str">
        <f t="shared" si="1"/>
        <v>p3BFARH</v>
      </c>
      <c r="C13" t="s">
        <v>2074</v>
      </c>
      <c r="D13" s="380" t="s">
        <v>554</v>
      </c>
      <c r="E13" s="381" t="str">
        <f t="shared" si="2"/>
        <v>Analyst function in OU</v>
      </c>
      <c r="F13" s="57"/>
      <c r="G13" s="57"/>
      <c r="H13" s="57"/>
      <c r="I13" s="57"/>
      <c r="J13" s="57"/>
      <c r="K13" s="57"/>
      <c r="L13" s="57"/>
      <c r="M13" s="57"/>
      <c r="N13" s="57"/>
      <c r="O13" s="57" t="s">
        <v>243</v>
      </c>
      <c r="P13" s="57"/>
      <c r="Q13" s="57"/>
      <c r="R13" s="57"/>
      <c r="S13" s="57"/>
      <c r="T13" s="57"/>
      <c r="U13" s="57" t="s">
        <v>243</v>
      </c>
      <c r="V13" s="57"/>
      <c r="W13" s="57"/>
      <c r="X13" s="57"/>
      <c r="Y13" s="57"/>
      <c r="Z13" s="45" t="s">
        <v>554</v>
      </c>
      <c r="AA13" s="385" t="s">
        <v>2087</v>
      </c>
    </row>
    <row r="14" spans="1:27">
      <c r="A14" s="380" t="s">
        <v>2065</v>
      </c>
      <c r="B14" s="381" t="str">
        <f t="shared" si="1"/>
        <v>p3BFARH</v>
      </c>
      <c r="C14" t="s">
        <v>2078</v>
      </c>
      <c r="D14" s="380" t="s">
        <v>558</v>
      </c>
      <c r="E14" s="381" t="str">
        <f t="shared" si="2"/>
        <v>Designer function in OU</v>
      </c>
      <c r="F14" s="57"/>
      <c r="G14" s="57"/>
      <c r="H14" s="57"/>
      <c r="I14" s="57"/>
      <c r="J14" s="57"/>
      <c r="K14" s="57"/>
      <c r="L14" s="57"/>
      <c r="M14" s="57"/>
      <c r="N14" s="57"/>
      <c r="O14" s="57" t="s">
        <v>243</v>
      </c>
      <c r="P14" s="57"/>
      <c r="Q14" s="57"/>
      <c r="R14" s="57"/>
      <c r="S14" s="57"/>
      <c r="T14" s="57"/>
      <c r="U14" s="57"/>
      <c r="V14" s="57"/>
      <c r="W14" s="57" t="s">
        <v>243</v>
      </c>
      <c r="X14" s="57"/>
      <c r="Y14" s="57"/>
      <c r="Z14" s="45" t="s">
        <v>558</v>
      </c>
      <c r="AA14" s="385" t="s">
        <v>2087</v>
      </c>
    </row>
    <row r="15" spans="1:27">
      <c r="A15" s="380" t="s">
        <v>2065</v>
      </c>
      <c r="B15" s="381" t="str">
        <f t="shared" si="1"/>
        <v>p3BFARH</v>
      </c>
      <c r="C15" t="s">
        <v>2082</v>
      </c>
      <c r="D15" s="380" t="s">
        <v>559</v>
      </c>
      <c r="E15" s="381" t="str">
        <f t="shared" si="2"/>
        <v>Developer function in OU</v>
      </c>
      <c r="F15" s="57"/>
      <c r="G15" s="57"/>
      <c r="H15" s="57"/>
      <c r="I15" s="57"/>
      <c r="J15" s="57"/>
      <c r="K15" s="57"/>
      <c r="L15" s="57"/>
      <c r="M15" s="57"/>
      <c r="N15" s="57"/>
      <c r="O15" s="57" t="s">
        <v>243</v>
      </c>
      <c r="P15" s="57"/>
      <c r="Q15" s="57"/>
      <c r="R15" s="57"/>
      <c r="S15" s="57"/>
      <c r="T15" s="57" t="s">
        <v>243</v>
      </c>
      <c r="U15" s="57"/>
      <c r="V15" s="57"/>
      <c r="W15" s="57"/>
      <c r="X15" s="57"/>
      <c r="Y15" s="57"/>
      <c r="Z15" s="45" t="s">
        <v>559</v>
      </c>
      <c r="AA15" s="385" t="s">
        <v>2087</v>
      </c>
    </row>
    <row r="16" spans="1:27">
      <c r="A16" s="380" t="s">
        <v>2065</v>
      </c>
      <c r="B16" s="381" t="str">
        <f t="shared" si="1"/>
        <v>p3BFARH</v>
      </c>
      <c r="C16" t="s">
        <v>2071</v>
      </c>
      <c r="D16" s="380" t="s">
        <v>634</v>
      </c>
      <c r="E16" s="381" t="str">
        <f t="shared" si="2"/>
        <v>Project Manager function in OU</v>
      </c>
      <c r="F16" s="57" t="s">
        <v>243</v>
      </c>
      <c r="G16" s="57"/>
      <c r="H16" s="57" t="s">
        <v>243</v>
      </c>
      <c r="I16" s="57" t="s">
        <v>243</v>
      </c>
      <c r="J16" s="57"/>
      <c r="K16" s="57"/>
      <c r="L16" s="57"/>
      <c r="M16" s="57" t="s">
        <v>243</v>
      </c>
      <c r="N16" s="57"/>
      <c r="O16" s="57" t="s">
        <v>243</v>
      </c>
      <c r="P16" s="57" t="s">
        <v>243</v>
      </c>
      <c r="Q16" s="57"/>
      <c r="R16" s="57"/>
      <c r="S16" s="57"/>
      <c r="T16" s="57"/>
      <c r="U16" s="57"/>
      <c r="V16" s="57" t="s">
        <v>243</v>
      </c>
      <c r="W16" s="57"/>
      <c r="X16" s="57"/>
      <c r="Y16" s="57"/>
      <c r="Z16" s="45" t="s">
        <v>567</v>
      </c>
      <c r="AA16" s="385" t="s">
        <v>2087</v>
      </c>
    </row>
    <row r="17" spans="1:27">
      <c r="A17" s="380" t="s">
        <v>2065</v>
      </c>
      <c r="B17" s="381" t="str">
        <f t="shared" si="1"/>
        <v>p3BFARH</v>
      </c>
      <c r="C17" t="s">
        <v>2085</v>
      </c>
      <c r="D17" s="380" t="s">
        <v>569</v>
      </c>
      <c r="E17" s="381" t="str">
        <f t="shared" si="2"/>
        <v>Tester function in OU</v>
      </c>
      <c r="F17" s="57"/>
      <c r="G17" s="57"/>
      <c r="H17" s="57"/>
      <c r="I17" s="57"/>
      <c r="J17" s="57"/>
      <c r="K17" s="57"/>
      <c r="L17" s="57"/>
      <c r="M17" s="57"/>
      <c r="N17" s="57"/>
      <c r="O17" s="57" t="s">
        <v>243</v>
      </c>
      <c r="P17" s="57"/>
      <c r="Q17" s="57"/>
      <c r="R17" s="57"/>
      <c r="S17" s="57"/>
      <c r="T17" s="57"/>
      <c r="U17" s="57"/>
      <c r="V17" s="57"/>
      <c r="W17" s="57"/>
      <c r="X17" s="57" t="s">
        <v>243</v>
      </c>
      <c r="Y17" s="57"/>
      <c r="Z17" s="431" t="s">
        <v>569</v>
      </c>
      <c r="AA17" s="385" t="s">
        <v>2087</v>
      </c>
    </row>
    <row r="18" spans="1:27">
      <c r="A18" s="380" t="s">
        <v>640</v>
      </c>
      <c r="B18" s="381" t="str">
        <f t="shared" si="1"/>
        <v>p4HWP</v>
      </c>
      <c r="C18" t="s">
        <v>2075</v>
      </c>
      <c r="D18" s="380" t="s">
        <v>554</v>
      </c>
      <c r="E18" s="381" t="str">
        <f t="shared" si="2"/>
        <v>Analyst function in OU</v>
      </c>
      <c r="F18" s="57"/>
      <c r="G18" s="57"/>
      <c r="H18" s="57"/>
      <c r="I18" s="57"/>
      <c r="J18" s="57"/>
      <c r="K18" s="57"/>
      <c r="L18" s="57"/>
      <c r="M18" s="57"/>
      <c r="N18" s="57"/>
      <c r="O18" s="57" t="s">
        <v>243</v>
      </c>
      <c r="P18" s="57"/>
      <c r="Q18" s="57"/>
      <c r="R18" s="57"/>
      <c r="S18" s="57"/>
      <c r="T18" s="57"/>
      <c r="U18" s="57" t="s">
        <v>243</v>
      </c>
      <c r="V18" s="57"/>
      <c r="W18" s="57"/>
      <c r="X18" s="57"/>
      <c r="Y18" s="57"/>
      <c r="Z18" s="45" t="s">
        <v>554</v>
      </c>
      <c r="AA18" s="385" t="s">
        <v>2087</v>
      </c>
    </row>
    <row r="19" spans="1:27">
      <c r="A19" s="380" t="s">
        <v>640</v>
      </c>
      <c r="B19" s="381" t="str">
        <f t="shared" si="1"/>
        <v>p4HWP</v>
      </c>
      <c r="C19" t="s">
        <v>2079</v>
      </c>
      <c r="D19" s="380" t="s">
        <v>558</v>
      </c>
      <c r="E19" s="381" t="str">
        <f t="shared" si="2"/>
        <v>Designer function in OU</v>
      </c>
      <c r="F19" s="57"/>
      <c r="G19" s="57"/>
      <c r="H19" s="57"/>
      <c r="I19" s="57"/>
      <c r="J19" s="57"/>
      <c r="K19" s="57"/>
      <c r="L19" s="57"/>
      <c r="M19" s="57"/>
      <c r="N19" s="57"/>
      <c r="O19" s="57" t="s">
        <v>243</v>
      </c>
      <c r="P19" s="57"/>
      <c r="Q19" s="57"/>
      <c r="R19" s="57"/>
      <c r="S19" s="57"/>
      <c r="T19" s="57"/>
      <c r="U19" s="57"/>
      <c r="V19" s="57"/>
      <c r="W19" s="57" t="s">
        <v>243</v>
      </c>
      <c r="X19" s="57"/>
      <c r="Y19" s="57"/>
      <c r="Z19" s="45" t="s">
        <v>558</v>
      </c>
      <c r="AA19" s="385" t="s">
        <v>2087</v>
      </c>
    </row>
    <row r="20" spans="1:27">
      <c r="A20" s="380" t="s">
        <v>640</v>
      </c>
      <c r="B20" s="381" t="str">
        <f t="shared" si="1"/>
        <v>p4HWP</v>
      </c>
      <c r="C20" t="s">
        <v>2083</v>
      </c>
      <c r="D20" s="380" t="s">
        <v>559</v>
      </c>
      <c r="E20" s="381" t="str">
        <f t="shared" si="2"/>
        <v>Developer function in OU</v>
      </c>
      <c r="F20" s="57"/>
      <c r="G20" s="57"/>
      <c r="H20" s="57"/>
      <c r="I20" s="57"/>
      <c r="J20" s="57"/>
      <c r="K20" s="57"/>
      <c r="L20" s="57"/>
      <c r="M20" s="57"/>
      <c r="N20" s="57"/>
      <c r="O20" s="57" t="s">
        <v>243</v>
      </c>
      <c r="P20" s="57"/>
      <c r="Q20" s="57"/>
      <c r="R20" s="57"/>
      <c r="S20" s="57"/>
      <c r="T20" s="57" t="s">
        <v>243</v>
      </c>
      <c r="U20" s="57"/>
      <c r="V20" s="57"/>
      <c r="W20" s="57"/>
      <c r="X20" s="57"/>
      <c r="Y20" s="57"/>
      <c r="Z20" s="45" t="s">
        <v>559</v>
      </c>
      <c r="AA20" s="385" t="s">
        <v>2087</v>
      </c>
    </row>
    <row r="21" spans="1:27">
      <c r="A21" s="380" t="s">
        <v>640</v>
      </c>
      <c r="B21" s="381" t="str">
        <f t="shared" si="1"/>
        <v>p4HWP</v>
      </c>
      <c r="C21" t="s">
        <v>2084</v>
      </c>
      <c r="D21" s="380" t="s">
        <v>559</v>
      </c>
      <c r="E21" s="381" t="str">
        <f t="shared" si="2"/>
        <v>Developer function in OU</v>
      </c>
      <c r="F21" s="57"/>
      <c r="G21" s="57"/>
      <c r="H21" s="57"/>
      <c r="I21" s="57"/>
      <c r="J21" s="57"/>
      <c r="K21" s="57"/>
      <c r="L21" s="57"/>
      <c r="M21" s="57"/>
      <c r="N21" s="57"/>
      <c r="O21" s="57" t="s">
        <v>243</v>
      </c>
      <c r="P21" s="57"/>
      <c r="Q21" s="57"/>
      <c r="R21" s="57"/>
      <c r="S21" s="57"/>
      <c r="T21" s="57" t="s">
        <v>243</v>
      </c>
      <c r="U21" s="57"/>
      <c r="V21" s="57"/>
      <c r="W21" s="57"/>
      <c r="X21" s="57"/>
      <c r="Y21" s="57"/>
      <c r="Z21" s="45" t="s">
        <v>559</v>
      </c>
      <c r="AA21" s="385" t="s">
        <v>2087</v>
      </c>
    </row>
    <row r="22" spans="1:27">
      <c r="A22" s="380" t="s">
        <v>640</v>
      </c>
      <c r="B22" s="381" t="str">
        <f t="shared" si="1"/>
        <v>p4HWP</v>
      </c>
      <c r="C22" t="s">
        <v>2072</v>
      </c>
      <c r="D22" s="380" t="s">
        <v>634</v>
      </c>
      <c r="E22" s="381" t="str">
        <f t="shared" si="2"/>
        <v>Project Manager function in OU</v>
      </c>
      <c r="F22" s="57" t="s">
        <v>243</v>
      </c>
      <c r="G22" s="57"/>
      <c r="H22" s="57" t="s">
        <v>243</v>
      </c>
      <c r="I22" s="57" t="s">
        <v>243</v>
      </c>
      <c r="J22" s="57"/>
      <c r="K22" s="57"/>
      <c r="L22" s="57"/>
      <c r="M22" s="57" t="s">
        <v>243</v>
      </c>
      <c r="N22" s="57"/>
      <c r="O22" s="57" t="s">
        <v>243</v>
      </c>
      <c r="P22" s="57" t="s">
        <v>243</v>
      </c>
      <c r="Q22" s="57"/>
      <c r="R22" s="57"/>
      <c r="S22" s="57"/>
      <c r="T22" s="57"/>
      <c r="U22" s="57"/>
      <c r="V22" s="57" t="s">
        <v>243</v>
      </c>
      <c r="W22" s="57"/>
      <c r="X22" s="57"/>
      <c r="Y22" s="57"/>
      <c r="Z22" s="45" t="s">
        <v>567</v>
      </c>
      <c r="AA22" s="385" t="s">
        <v>2087</v>
      </c>
    </row>
    <row r="23" spans="1:27">
      <c r="A23" s="380" t="s">
        <v>640</v>
      </c>
      <c r="B23" s="381" t="str">
        <f t="shared" si="1"/>
        <v>p4HWP</v>
      </c>
      <c r="C23" t="s">
        <v>2086</v>
      </c>
      <c r="D23" s="380" t="s">
        <v>569</v>
      </c>
      <c r="E23" s="381" t="str">
        <f t="shared" si="2"/>
        <v>Tester function in OU</v>
      </c>
      <c r="F23" s="57"/>
      <c r="G23" s="57"/>
      <c r="H23" s="57"/>
      <c r="I23" s="57"/>
      <c r="J23" s="57"/>
      <c r="K23" s="57"/>
      <c r="L23" s="57"/>
      <c r="M23" s="57"/>
      <c r="N23" s="57"/>
      <c r="O23" s="57" t="s">
        <v>243</v>
      </c>
      <c r="P23" s="57"/>
      <c r="Q23" s="57"/>
      <c r="R23" s="57"/>
      <c r="S23" s="57"/>
      <c r="T23" s="57"/>
      <c r="U23" s="57"/>
      <c r="V23" s="57"/>
      <c r="W23" s="57"/>
      <c r="X23" s="57" t="s">
        <v>243</v>
      </c>
      <c r="Y23" s="57"/>
      <c r="Z23" s="431" t="s">
        <v>569</v>
      </c>
      <c r="AA23" s="385" t="s">
        <v>2087</v>
      </c>
    </row>
    <row r="24" spans="1:27">
      <c r="A24" s="380" t="s">
        <v>610</v>
      </c>
      <c r="B24" s="381" t="str">
        <f t="shared" si="1"/>
        <v>S1-CM</v>
      </c>
      <c r="C24" t="s">
        <v>2066</v>
      </c>
      <c r="D24" s="380" t="s">
        <v>645</v>
      </c>
      <c r="E24" s="381" t="str">
        <f t="shared" si="2"/>
        <v>Configuration Manager function in OU</v>
      </c>
      <c r="F24" s="57"/>
      <c r="G24" s="57" t="s">
        <v>243</v>
      </c>
      <c r="H24" s="57"/>
      <c r="I24" s="57"/>
      <c r="J24" s="57"/>
      <c r="K24" s="57"/>
      <c r="L24" s="57"/>
      <c r="M24" s="57"/>
      <c r="N24" s="57"/>
      <c r="O24" s="57"/>
      <c r="P24" s="57"/>
      <c r="Q24" s="57"/>
      <c r="R24" s="57"/>
      <c r="S24" s="57"/>
      <c r="T24" s="57"/>
      <c r="U24" s="57"/>
      <c r="V24" s="57"/>
      <c r="W24" s="57"/>
      <c r="X24" s="57"/>
      <c r="Y24" s="57"/>
      <c r="Z24" s="45" t="s">
        <v>556</v>
      </c>
      <c r="AA24" s="385" t="s">
        <v>2087</v>
      </c>
    </row>
    <row r="25" spans="1:27">
      <c r="A25" s="380" t="s">
        <v>616</v>
      </c>
      <c r="B25" s="381" t="str">
        <f t="shared" si="1"/>
        <v>S2-EPG</v>
      </c>
      <c r="C25" t="s">
        <v>2068</v>
      </c>
      <c r="D25" s="380" t="s">
        <v>566</v>
      </c>
      <c r="E25" s="381" t="str">
        <f t="shared" si="2"/>
        <v>Process manager function in OU</v>
      </c>
      <c r="F25" s="57"/>
      <c r="G25" s="57"/>
      <c r="H25" s="57" t="s">
        <v>243</v>
      </c>
      <c r="I25" s="57"/>
      <c r="J25" s="57"/>
      <c r="K25" s="57"/>
      <c r="L25" s="57"/>
      <c r="M25" s="57"/>
      <c r="N25" s="57"/>
      <c r="O25" s="57"/>
      <c r="P25" s="57"/>
      <c r="Q25" s="57" t="s">
        <v>243</v>
      </c>
      <c r="R25" s="57" t="s">
        <v>243</v>
      </c>
      <c r="S25" s="57"/>
      <c r="T25" s="57"/>
      <c r="U25" s="57"/>
      <c r="V25" s="57"/>
      <c r="W25" s="57"/>
      <c r="X25" s="57"/>
      <c r="Y25" s="57"/>
      <c r="Z25" s="45" t="s">
        <v>566</v>
      </c>
      <c r="AA25" s="385" t="s">
        <v>2087</v>
      </c>
    </row>
    <row r="26" spans="1:27">
      <c r="A26" s="380" t="s">
        <v>616</v>
      </c>
      <c r="B26" s="381" t="str">
        <f t="shared" si="1"/>
        <v>S2-EPG</v>
      </c>
      <c r="C26" t="s">
        <v>2088</v>
      </c>
      <c r="D26" s="380" t="s">
        <v>562</v>
      </c>
      <c r="E26" s="381" t="str">
        <f t="shared" si="2"/>
        <v>Measurements manager function in OU</v>
      </c>
      <c r="F26" s="57" t="s">
        <v>243</v>
      </c>
      <c r="G26" s="57"/>
      <c r="H26" s="57" t="s">
        <v>243</v>
      </c>
      <c r="I26" s="57"/>
      <c r="J26" s="57"/>
      <c r="K26" s="57"/>
      <c r="L26" s="57" t="s">
        <v>243</v>
      </c>
      <c r="M26" s="57"/>
      <c r="N26" s="57"/>
      <c r="O26" s="57"/>
      <c r="P26" s="57"/>
      <c r="Q26" s="57"/>
      <c r="R26" s="57"/>
      <c r="S26" s="57"/>
      <c r="T26" s="57"/>
      <c r="U26" s="57"/>
      <c r="V26" s="57"/>
      <c r="W26" s="57"/>
      <c r="X26" s="57"/>
      <c r="Y26" s="57"/>
      <c r="Z26" s="45" t="s">
        <v>562</v>
      </c>
      <c r="AA26" s="385" t="s">
        <v>2087</v>
      </c>
    </row>
    <row r="27" spans="1:27">
      <c r="A27" s="380" t="s">
        <v>619</v>
      </c>
      <c r="B27" s="381" t="str">
        <f t="shared" si="1"/>
        <v>S3-HR</v>
      </c>
      <c r="C27" t="s">
        <v>2038</v>
      </c>
      <c r="D27" s="380" t="s">
        <v>649</v>
      </c>
      <c r="E27" s="381" t="str">
        <f t="shared" si="2"/>
        <v>Training Manager function in OU</v>
      </c>
      <c r="F27" s="57"/>
      <c r="G27" s="57"/>
      <c r="H27" s="57"/>
      <c r="I27" s="57"/>
      <c r="J27" s="57"/>
      <c r="K27" s="57"/>
      <c r="L27" s="57"/>
      <c r="M27" s="57"/>
      <c r="N27" s="57" t="s">
        <v>243</v>
      </c>
      <c r="O27" s="57"/>
      <c r="P27" s="57"/>
      <c r="Q27" s="57"/>
      <c r="R27" s="57"/>
      <c r="S27" s="57"/>
      <c r="T27" s="57"/>
      <c r="U27" s="57"/>
      <c r="V27" s="57"/>
      <c r="W27" s="57"/>
      <c r="X27" s="57"/>
      <c r="Y27" s="57"/>
      <c r="Z27" s="45" t="s">
        <v>570</v>
      </c>
      <c r="AA27" s="385" t="s">
        <v>2087</v>
      </c>
    </row>
    <row r="28" spans="1:27">
      <c r="A28" s="380" t="s">
        <v>622</v>
      </c>
      <c r="B28" s="381" t="str">
        <f t="shared" si="1"/>
        <v>S4-QA</v>
      </c>
      <c r="C28" t="s">
        <v>2067</v>
      </c>
      <c r="D28" s="380" t="s">
        <v>564</v>
      </c>
      <c r="E28" s="381" t="str">
        <f t="shared" si="2"/>
        <v>Process Assurance Manager function in OU</v>
      </c>
      <c r="F28" s="57"/>
      <c r="G28" s="57"/>
      <c r="H28" s="57"/>
      <c r="I28" s="57"/>
      <c r="J28" s="57"/>
      <c r="K28" s="57"/>
      <c r="L28" s="57"/>
      <c r="M28" s="57"/>
      <c r="N28" s="57"/>
      <c r="O28" s="57"/>
      <c r="P28" s="57"/>
      <c r="Q28" s="57"/>
      <c r="R28" s="57"/>
      <c r="S28" s="57" t="s">
        <v>243</v>
      </c>
      <c r="T28" s="57"/>
      <c r="U28" s="57"/>
      <c r="V28" s="57"/>
      <c r="W28" s="57"/>
      <c r="X28" s="57"/>
      <c r="Y28" s="57"/>
      <c r="Z28" s="45" t="s">
        <v>564</v>
      </c>
      <c r="AA28" s="385" t="s">
        <v>2087</v>
      </c>
    </row>
    <row r="29" spans="1:27">
      <c r="A29" s="380"/>
      <c r="B29" s="381"/>
      <c r="C29" s="380"/>
      <c r="D29" s="380"/>
      <c r="E29" s="381"/>
      <c r="F29" s="57"/>
      <c r="G29" s="57"/>
      <c r="H29" s="57"/>
      <c r="I29" s="57"/>
      <c r="J29" s="57"/>
      <c r="K29" s="57"/>
      <c r="L29" s="57"/>
      <c r="M29" s="57"/>
      <c r="N29" s="57"/>
      <c r="O29" s="57"/>
      <c r="P29" s="57"/>
      <c r="Q29" s="57"/>
      <c r="R29" s="57"/>
      <c r="S29" s="57"/>
      <c r="T29" s="57"/>
      <c r="U29" s="57"/>
      <c r="V29" s="57"/>
      <c r="W29" s="57"/>
      <c r="X29" s="57"/>
      <c r="Y29" s="57"/>
      <c r="Z29" s="431"/>
    </row>
    <row r="30" spans="1:27">
      <c r="A30" s="380"/>
      <c r="B30" s="381"/>
      <c r="C30" s="380"/>
      <c r="D30" s="380"/>
      <c r="E30" s="381"/>
      <c r="F30" s="57"/>
      <c r="G30" s="57"/>
      <c r="H30" s="57"/>
      <c r="I30" s="57"/>
      <c r="J30" s="57"/>
      <c r="K30" s="57"/>
      <c r="L30" s="57"/>
      <c r="M30" s="57"/>
      <c r="N30" s="57"/>
      <c r="O30" s="57"/>
      <c r="P30" s="57"/>
      <c r="Q30" s="57"/>
      <c r="R30" s="57"/>
      <c r="S30" s="57"/>
      <c r="T30" s="57"/>
      <c r="U30" s="57"/>
      <c r="V30" s="57"/>
      <c r="W30" s="57"/>
      <c r="X30" s="57"/>
      <c r="Y30" s="57"/>
      <c r="Z30" s="431"/>
    </row>
    <row r="31" spans="1:27">
      <c r="A31" s="382"/>
      <c r="B31" s="383"/>
      <c r="C31" s="382"/>
      <c r="D31" s="382"/>
      <c r="E31" s="383"/>
      <c r="F31" s="384"/>
      <c r="G31" s="384"/>
      <c r="H31" s="384"/>
      <c r="I31" s="384"/>
      <c r="J31" s="384"/>
      <c r="K31" s="384"/>
      <c r="L31" s="384"/>
      <c r="M31" s="384"/>
      <c r="N31" s="384"/>
      <c r="O31" s="384"/>
      <c r="P31" s="384"/>
      <c r="Q31" s="384"/>
      <c r="R31" s="384"/>
      <c r="S31" s="384"/>
      <c r="T31" s="384"/>
      <c r="U31" s="384"/>
      <c r="V31" s="384"/>
      <c r="W31" s="384"/>
      <c r="X31" s="384"/>
      <c r="Y31" s="384"/>
      <c r="Z31" s="431"/>
    </row>
    <row r="32" spans="1:27">
      <c r="A32" s="257"/>
      <c r="B32" s="257"/>
      <c r="C32" s="257"/>
      <c r="D32" s="257"/>
      <c r="E32" s="257"/>
      <c r="F32" s="240"/>
      <c r="G32" s="240"/>
      <c r="H32" s="240"/>
      <c r="I32" s="240"/>
      <c r="J32" s="240"/>
      <c r="K32" s="240"/>
      <c r="L32" s="240"/>
      <c r="M32" s="240"/>
      <c r="N32" s="240"/>
      <c r="O32" s="240"/>
      <c r="P32" s="240"/>
      <c r="Q32" s="240"/>
      <c r="R32" s="240"/>
      <c r="S32" s="240"/>
      <c r="T32" s="240"/>
      <c r="U32" s="240"/>
      <c r="V32" s="240"/>
      <c r="W32" s="240"/>
      <c r="X32" s="240"/>
      <c r="Y32" s="240"/>
      <c r="Z32" s="431"/>
    </row>
  </sheetData>
  <sortState xmlns:xlrd2="http://schemas.microsoft.com/office/spreadsheetml/2017/richdata2" ref="A3:AE28">
    <sortCondition ref="A3:A28"/>
    <sortCondition ref="D3:D28"/>
  </sortState>
  <conditionalFormatting sqref="F3:Y32">
    <cfRule type="cellIs" dxfId="109" priority="2" operator="equal">
      <formula>"x"</formula>
    </cfRule>
  </conditionalFormatting>
  <dataValidations count="1">
    <dataValidation type="textLength" allowBlank="1" showInputMessage="1" showErrorMessage="1" errorTitle="Invalid Length" error="Participant's Full Name must be between 1 and 256 characters in length" sqref="C3:C28" xr:uid="{B1DDCD78-411E-4D77-80D3-E6806483DD61}">
      <formula1>1</formula1>
      <formula2>256</formula2>
    </dataValidation>
  </dataValidations>
  <pageMargins left="0.70866141732283472" right="0.70866141732283472" top="0.74803149606299213" bottom="0.74803149606299213" header="0.31496062992125978" footer="0.31496062992125978"/>
  <pageSetup paperSize="9" scale="4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94562" r:id="rId3" name="Button 2">
              <controlPr defaultSize="0" print="0" autoFill="0" autoPict="0" macro="[0]!PopulateStaffFromGuide">
                <anchor moveWithCells="1" sizeWithCells="1">
                  <from>
                    <xdr:col>2</xdr:col>
                    <xdr:colOff>350520</xdr:colOff>
                    <xdr:row>38</xdr:row>
                    <xdr:rowOff>83820</xdr:rowOff>
                  </from>
                  <to>
                    <xdr:col>2</xdr:col>
                    <xdr:colOff>2346960</xdr:colOff>
                    <xdr:row>41</xdr:row>
                    <xdr:rowOff>121920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2">
    <pageSetUpPr fitToPage="1"/>
  </sheetPr>
  <dimension ref="A1:W15"/>
  <sheetViews>
    <sheetView workbookViewId="0">
      <selection activeCell="W8" sqref="W8"/>
    </sheetView>
  </sheetViews>
  <sheetFormatPr defaultColWidth="10.77734375" defaultRowHeight="15.6"/>
  <cols>
    <col min="1" max="1" width="32.44140625" style="58" customWidth="1"/>
    <col min="2" max="2" width="29.77734375" style="58" customWidth="1"/>
    <col min="3" max="22" width="6.44140625" style="59" customWidth="1"/>
    <col min="23" max="23" width="31" style="385" customWidth="1"/>
    <col min="24" max="29" width="10.77734375" style="58" customWidth="1"/>
    <col min="30" max="16384" width="10.77734375" style="58"/>
  </cols>
  <sheetData>
    <row r="1" spans="1:23" s="46" customFormat="1" ht="18" customHeight="1">
      <c r="A1" s="96" t="s">
        <v>532</v>
      </c>
      <c r="B1" s="98"/>
      <c r="C1" s="98"/>
      <c r="D1" s="98"/>
      <c r="E1" s="98"/>
      <c r="F1" s="98"/>
      <c r="G1" s="98"/>
      <c r="H1" s="98"/>
      <c r="I1" s="98"/>
      <c r="J1" s="98"/>
      <c r="K1" s="98"/>
      <c r="L1" s="98"/>
      <c r="M1" s="98"/>
      <c r="N1" s="98"/>
      <c r="O1" s="98"/>
      <c r="P1" s="98"/>
      <c r="Q1" s="98"/>
      <c r="R1" s="98"/>
      <c r="S1" s="98"/>
      <c r="T1" s="98"/>
      <c r="U1" s="98"/>
      <c r="V1" s="98"/>
      <c r="W1" s="45"/>
    </row>
    <row r="2" spans="1:23" s="56" customFormat="1">
      <c r="A2" s="54" t="s">
        <v>533</v>
      </c>
      <c r="B2" s="54" t="s">
        <v>534</v>
      </c>
      <c r="C2" s="55" t="s">
        <v>535</v>
      </c>
      <c r="D2" s="55" t="s">
        <v>536</v>
      </c>
      <c r="E2" s="55" t="s">
        <v>537</v>
      </c>
      <c r="F2" s="55" t="s">
        <v>538</v>
      </c>
      <c r="G2" s="55" t="s">
        <v>539</v>
      </c>
      <c r="H2" s="55" t="s">
        <v>540</v>
      </c>
      <c r="I2" s="55" t="s">
        <v>541</v>
      </c>
      <c r="J2" s="55" t="s">
        <v>542</v>
      </c>
      <c r="K2" s="55" t="s">
        <v>543</v>
      </c>
      <c r="L2" s="55" t="s">
        <v>426</v>
      </c>
      <c r="M2" s="55" t="s">
        <v>544</v>
      </c>
      <c r="N2" s="55" t="s">
        <v>545</v>
      </c>
      <c r="O2" s="55" t="s">
        <v>546</v>
      </c>
      <c r="P2" s="55" t="s">
        <v>547</v>
      </c>
      <c r="Q2" s="55" t="s">
        <v>548</v>
      </c>
      <c r="R2" s="55" t="s">
        <v>549</v>
      </c>
      <c r="S2" s="55" t="s">
        <v>550</v>
      </c>
      <c r="T2" s="55" t="s">
        <v>551</v>
      </c>
      <c r="U2" s="55" t="s">
        <v>552</v>
      </c>
      <c r="V2" s="55" t="s">
        <v>553</v>
      </c>
      <c r="W2" s="45"/>
    </row>
    <row r="3" spans="1:23">
      <c r="A3" s="58" t="s">
        <v>554</v>
      </c>
      <c r="B3" s="95" t="s">
        <v>555</v>
      </c>
      <c r="C3" s="57"/>
      <c r="D3" s="57"/>
      <c r="E3" s="57"/>
      <c r="F3" s="57"/>
      <c r="G3" s="57"/>
      <c r="H3" s="57"/>
      <c r="I3" s="57"/>
      <c r="J3" s="57"/>
      <c r="K3" s="57"/>
      <c r="L3" s="57" t="s">
        <v>243</v>
      </c>
      <c r="M3" s="57"/>
      <c r="N3" s="57"/>
      <c r="O3" s="57"/>
      <c r="P3" s="57"/>
      <c r="Q3" s="57"/>
      <c r="R3" s="57" t="s">
        <v>243</v>
      </c>
      <c r="S3" s="57"/>
      <c r="T3" s="57"/>
      <c r="U3" s="57"/>
      <c r="V3" s="57"/>
      <c r="W3" s="45" t="s">
        <v>554</v>
      </c>
    </row>
    <row r="4" spans="1:23">
      <c r="A4" s="58" t="s">
        <v>556</v>
      </c>
      <c r="B4" s="95" t="s">
        <v>557</v>
      </c>
      <c r="C4" s="57"/>
      <c r="D4" s="57" t="s">
        <v>243</v>
      </c>
      <c r="E4" s="57"/>
      <c r="F4" s="57"/>
      <c r="G4" s="57"/>
      <c r="H4" s="57"/>
      <c r="I4" s="57"/>
      <c r="J4" s="57"/>
      <c r="K4" s="57"/>
      <c r="L4" s="57"/>
      <c r="M4" s="57"/>
      <c r="N4" s="57"/>
      <c r="O4" s="57"/>
      <c r="P4" s="57"/>
      <c r="Q4" s="57"/>
      <c r="R4" s="57"/>
      <c r="S4" s="57"/>
      <c r="T4" s="57"/>
      <c r="U4" s="57"/>
      <c r="V4" s="57"/>
      <c r="W4" s="45" t="s">
        <v>556</v>
      </c>
    </row>
    <row r="5" spans="1:23">
      <c r="A5" s="58" t="s">
        <v>558</v>
      </c>
      <c r="B5" s="95" t="s">
        <v>555</v>
      </c>
      <c r="C5" s="57"/>
      <c r="D5" s="57"/>
      <c r="E5" s="57"/>
      <c r="F5" s="57"/>
      <c r="G5" s="57"/>
      <c r="H5" s="57"/>
      <c r="I5" s="57"/>
      <c r="J5" s="57"/>
      <c r="K5" s="57"/>
      <c r="L5" s="57" t="s">
        <v>243</v>
      </c>
      <c r="M5" s="57"/>
      <c r="N5" s="57"/>
      <c r="O5" s="57"/>
      <c r="P5" s="57"/>
      <c r="Q5" s="57"/>
      <c r="R5" s="57"/>
      <c r="S5" s="57"/>
      <c r="T5" s="57" t="s">
        <v>243</v>
      </c>
      <c r="U5" s="57"/>
      <c r="V5" s="57"/>
      <c r="W5" s="45" t="s">
        <v>558</v>
      </c>
    </row>
    <row r="6" spans="1:23">
      <c r="A6" s="58" t="s">
        <v>559</v>
      </c>
      <c r="B6" s="95" t="s">
        <v>555</v>
      </c>
      <c r="C6" s="57"/>
      <c r="D6" s="57"/>
      <c r="E6" s="57"/>
      <c r="F6" s="57"/>
      <c r="G6" s="57"/>
      <c r="H6" s="57"/>
      <c r="I6" s="57"/>
      <c r="J6" s="57"/>
      <c r="K6" s="57"/>
      <c r="L6" s="57" t="s">
        <v>243</v>
      </c>
      <c r="M6" s="57"/>
      <c r="N6" s="57"/>
      <c r="O6" s="57"/>
      <c r="P6" s="57"/>
      <c r="Q6" s="57" t="s">
        <v>243</v>
      </c>
      <c r="R6" s="57"/>
      <c r="S6" s="57"/>
      <c r="T6" s="57"/>
      <c r="U6" s="57"/>
      <c r="V6" s="57"/>
      <c r="W6" s="45" t="s">
        <v>559</v>
      </c>
    </row>
    <row r="7" spans="1:23">
      <c r="A7" s="58" t="s">
        <v>560</v>
      </c>
      <c r="B7" s="58" t="s">
        <v>561</v>
      </c>
      <c r="C7" s="57"/>
      <c r="D7" s="57"/>
      <c r="E7" s="57"/>
      <c r="F7" s="57"/>
      <c r="G7" s="57" t="s">
        <v>243</v>
      </c>
      <c r="H7" s="57" t="s">
        <v>243</v>
      </c>
      <c r="I7" s="57"/>
      <c r="J7" s="57"/>
      <c r="K7" s="57"/>
      <c r="L7" s="57"/>
      <c r="M7" s="57"/>
      <c r="N7" s="57"/>
      <c r="O7" s="57"/>
      <c r="P7" s="57"/>
      <c r="Q7" s="57"/>
      <c r="R7" s="57"/>
      <c r="S7" s="57"/>
      <c r="T7" s="57"/>
      <c r="U7" s="57"/>
      <c r="V7" s="57"/>
      <c r="W7" s="45" t="s">
        <v>560</v>
      </c>
    </row>
    <row r="8" spans="1:23">
      <c r="A8" s="58" t="s">
        <v>562</v>
      </c>
      <c r="B8" s="95" t="s">
        <v>563</v>
      </c>
      <c r="C8" s="57" t="s">
        <v>243</v>
      </c>
      <c r="D8" s="57"/>
      <c r="E8" s="57" t="s">
        <v>243</v>
      </c>
      <c r="F8" s="57"/>
      <c r="G8" s="57"/>
      <c r="H8" s="57"/>
      <c r="I8" s="57" t="s">
        <v>243</v>
      </c>
      <c r="J8" s="57"/>
      <c r="K8" s="57"/>
      <c r="L8" s="57"/>
      <c r="M8" s="57"/>
      <c r="N8" s="57"/>
      <c r="O8" s="57"/>
      <c r="P8" s="57"/>
      <c r="Q8" s="57"/>
      <c r="R8" s="57"/>
      <c r="S8" s="57"/>
      <c r="T8" s="57"/>
      <c r="U8" s="57"/>
      <c r="V8" s="57"/>
      <c r="W8" s="45" t="s">
        <v>562</v>
      </c>
    </row>
    <row r="9" spans="1:23">
      <c r="A9" s="58" t="s">
        <v>564</v>
      </c>
      <c r="B9" s="95" t="s">
        <v>565</v>
      </c>
      <c r="C9" s="57"/>
      <c r="D9" s="57"/>
      <c r="E9" s="57"/>
      <c r="F9" s="57"/>
      <c r="G9" s="57"/>
      <c r="H9" s="57"/>
      <c r="I9" s="57"/>
      <c r="J9" s="57"/>
      <c r="K9" s="57"/>
      <c r="L9" s="57"/>
      <c r="M9" s="57"/>
      <c r="N9" s="57"/>
      <c r="O9" s="57"/>
      <c r="P9" s="57" t="s">
        <v>243</v>
      </c>
      <c r="Q9" s="57"/>
      <c r="R9" s="57"/>
      <c r="S9" s="57"/>
      <c r="T9" s="57"/>
      <c r="U9" s="57"/>
      <c r="V9" s="57"/>
      <c r="W9" s="45" t="s">
        <v>564</v>
      </c>
    </row>
    <row r="10" spans="1:23">
      <c r="A10" s="58" t="s">
        <v>566</v>
      </c>
      <c r="B10" s="95" t="s">
        <v>563</v>
      </c>
      <c r="C10" s="57"/>
      <c r="D10" s="57"/>
      <c r="E10" s="57" t="s">
        <v>243</v>
      </c>
      <c r="F10" s="57"/>
      <c r="G10" s="57"/>
      <c r="H10" s="57"/>
      <c r="I10" s="57"/>
      <c r="J10" s="57"/>
      <c r="K10" s="57"/>
      <c r="L10" s="57"/>
      <c r="M10" s="57"/>
      <c r="N10" s="57" t="s">
        <v>243</v>
      </c>
      <c r="O10" s="57" t="s">
        <v>243</v>
      </c>
      <c r="P10" s="57"/>
      <c r="Q10" s="57"/>
      <c r="R10" s="57"/>
      <c r="S10" s="57"/>
      <c r="T10" s="57"/>
      <c r="U10" s="57"/>
      <c r="V10" s="57"/>
      <c r="W10" s="45" t="s">
        <v>566</v>
      </c>
    </row>
    <row r="11" spans="1:23">
      <c r="A11" s="58" t="s">
        <v>567</v>
      </c>
      <c r="B11" s="95" t="s">
        <v>568</v>
      </c>
      <c r="C11" s="57" t="s">
        <v>243</v>
      </c>
      <c r="D11" s="57"/>
      <c r="E11" s="57" t="s">
        <v>243</v>
      </c>
      <c r="F11" s="57" t="s">
        <v>243</v>
      </c>
      <c r="G11" s="57"/>
      <c r="H11" s="57"/>
      <c r="I11" s="57"/>
      <c r="J11" s="57" t="s">
        <v>243</v>
      </c>
      <c r="K11" s="57"/>
      <c r="L11" s="57" t="s">
        <v>243</v>
      </c>
      <c r="M11" s="57" t="s">
        <v>243</v>
      </c>
      <c r="N11" s="57"/>
      <c r="O11" s="57"/>
      <c r="P11" s="57"/>
      <c r="Q11" s="57"/>
      <c r="R11" s="57"/>
      <c r="S11" s="57" t="s">
        <v>243</v>
      </c>
      <c r="T11" s="57"/>
      <c r="U11" s="57"/>
      <c r="V11" s="57"/>
      <c r="W11" s="45" t="s">
        <v>567</v>
      </c>
    </row>
    <row r="12" spans="1:23">
      <c r="A12" s="58" t="s">
        <v>569</v>
      </c>
      <c r="B12" s="95" t="s">
        <v>555</v>
      </c>
      <c r="C12" s="57"/>
      <c r="D12" s="57"/>
      <c r="E12" s="57"/>
      <c r="F12" s="57"/>
      <c r="G12" s="57"/>
      <c r="H12" s="57"/>
      <c r="I12" s="57"/>
      <c r="J12" s="57"/>
      <c r="K12" s="57"/>
      <c r="L12" s="57" t="s">
        <v>243</v>
      </c>
      <c r="M12" s="57"/>
      <c r="N12" s="57"/>
      <c r="O12" s="57"/>
      <c r="P12" s="57"/>
      <c r="Q12" s="57"/>
      <c r="R12" s="57"/>
      <c r="S12" s="57"/>
      <c r="T12" s="57"/>
      <c r="U12" s="57" t="s">
        <v>243</v>
      </c>
      <c r="V12" s="57"/>
      <c r="W12" s="45" t="s">
        <v>569</v>
      </c>
    </row>
    <row r="13" spans="1:23">
      <c r="A13" s="58" t="s">
        <v>570</v>
      </c>
      <c r="B13" s="95" t="s">
        <v>571</v>
      </c>
      <c r="C13" s="57"/>
      <c r="D13" s="57"/>
      <c r="E13" s="57"/>
      <c r="F13" s="57"/>
      <c r="G13" s="57"/>
      <c r="H13" s="57"/>
      <c r="I13" s="57"/>
      <c r="J13" s="57"/>
      <c r="K13" s="57" t="s">
        <v>243</v>
      </c>
      <c r="L13" s="57"/>
      <c r="M13" s="57"/>
      <c r="N13" s="57"/>
      <c r="O13" s="57"/>
      <c r="P13" s="57"/>
      <c r="Q13" s="57"/>
      <c r="R13" s="57"/>
      <c r="S13" s="57"/>
      <c r="T13" s="57"/>
      <c r="U13" s="57"/>
      <c r="V13" s="57"/>
      <c r="W13" s="45" t="s">
        <v>570</v>
      </c>
    </row>
    <row r="15" spans="1:23">
      <c r="C15" s="59">
        <f t="shared" ref="C15:V15" si="0">COUNTA(C3:C14)</f>
        <v>2</v>
      </c>
      <c r="D15" s="59">
        <f t="shared" si="0"/>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78" footer="0.31496062992125978"/>
  <pageSetup paperSize="9" scale="68" fitToHeight="0" orientation="landscape"/>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3">
    <tabColor theme="9" tint="0.79998168889431442"/>
  </sheetPr>
  <dimension ref="A3:K14"/>
  <sheetViews>
    <sheetView workbookViewId="0"/>
  </sheetViews>
  <sheetFormatPr defaultRowHeight="14.4"/>
  <cols>
    <col min="1" max="1" width="18.77734375" bestFit="1" customWidth="1"/>
    <col min="2" max="2" width="15.77734375" bestFit="1" customWidth="1"/>
    <col min="3" max="5" width="3" bestFit="1" customWidth="1"/>
    <col min="6" max="9" width="2.77734375" bestFit="1" customWidth="1"/>
    <col min="10" max="10" width="6.77734375" bestFit="1" customWidth="1"/>
    <col min="11" max="14" width="10.77734375" bestFit="1" customWidth="1"/>
  </cols>
  <sheetData>
    <row r="3" spans="1:11">
      <c r="A3" s="251" t="s">
        <v>651</v>
      </c>
      <c r="B3" s="251" t="s">
        <v>652</v>
      </c>
    </row>
    <row r="4" spans="1:11">
      <c r="A4" s="251" t="s">
        <v>653</v>
      </c>
      <c r="B4" t="s">
        <v>590</v>
      </c>
      <c r="C4" t="s">
        <v>597</v>
      </c>
      <c r="D4" t="s">
        <v>601</v>
      </c>
      <c r="E4" t="s">
        <v>640</v>
      </c>
      <c r="F4" t="s">
        <v>610</v>
      </c>
      <c r="G4" t="s">
        <v>616</v>
      </c>
      <c r="H4" t="s">
        <v>619</v>
      </c>
      <c r="I4" t="s">
        <v>622</v>
      </c>
      <c r="J4" t="s">
        <v>654</v>
      </c>
      <c r="K4" t="s">
        <v>655</v>
      </c>
    </row>
    <row r="5" spans="1:11">
      <c r="A5" s="105" t="s">
        <v>654</v>
      </c>
    </row>
    <row r="6" spans="1:11">
      <c r="A6" s="105" t="s">
        <v>611</v>
      </c>
      <c r="F6">
        <v>1</v>
      </c>
      <c r="K6">
        <v>1</v>
      </c>
    </row>
    <row r="7" spans="1:11">
      <c r="A7" s="105" t="s">
        <v>656</v>
      </c>
      <c r="G7">
        <v>2</v>
      </c>
      <c r="K7">
        <v>2</v>
      </c>
    </row>
    <row r="8" spans="1:11">
      <c r="A8" s="105" t="s">
        <v>620</v>
      </c>
      <c r="H8">
        <v>1</v>
      </c>
      <c r="K8">
        <v>1</v>
      </c>
    </row>
    <row r="9" spans="1:11">
      <c r="A9" s="105" t="s">
        <v>657</v>
      </c>
      <c r="I9">
        <v>1</v>
      </c>
      <c r="K9">
        <v>1</v>
      </c>
    </row>
    <row r="10" spans="1:11">
      <c r="A10" s="105" t="s">
        <v>658</v>
      </c>
      <c r="B10">
        <v>5</v>
      </c>
      <c r="K10">
        <v>5</v>
      </c>
    </row>
    <row r="11" spans="1:11">
      <c r="A11" s="105" t="s">
        <v>659</v>
      </c>
      <c r="C11">
        <v>5</v>
      </c>
      <c r="K11">
        <v>5</v>
      </c>
    </row>
    <row r="12" spans="1:11">
      <c r="A12" s="105" t="s">
        <v>660</v>
      </c>
      <c r="D12">
        <v>5</v>
      </c>
      <c r="K12">
        <v>5</v>
      </c>
    </row>
    <row r="13" spans="1:11">
      <c r="A13" s="105" t="s">
        <v>661</v>
      </c>
      <c r="E13">
        <v>5</v>
      </c>
      <c r="K13">
        <v>5</v>
      </c>
    </row>
    <row r="14" spans="1:11">
      <c r="A14" s="105" t="s">
        <v>655</v>
      </c>
      <c r="B14">
        <v>5</v>
      </c>
      <c r="C14">
        <v>5</v>
      </c>
      <c r="D14">
        <v>5</v>
      </c>
      <c r="E14">
        <v>5</v>
      </c>
      <c r="F14">
        <v>1</v>
      </c>
      <c r="G14">
        <v>2</v>
      </c>
      <c r="H14">
        <v>1</v>
      </c>
      <c r="I14">
        <v>1</v>
      </c>
      <c r="K14">
        <v>25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theme="9" tint="0.79998168889431442"/>
  </sheetPr>
  <dimension ref="A1:N30"/>
  <sheetViews>
    <sheetView workbookViewId="0"/>
  </sheetViews>
  <sheetFormatPr defaultRowHeight="14.4"/>
  <cols>
    <col min="1" max="1" width="34.21875" bestFit="1" customWidth="1"/>
    <col min="2" max="2" width="15.21875" bestFit="1" customWidth="1"/>
    <col min="3" max="7" width="3" bestFit="1" customWidth="1"/>
    <col min="8" max="11" width="2.77734375" bestFit="1" customWidth="1"/>
    <col min="12" max="12" width="6.77734375" bestFit="1" customWidth="1"/>
    <col min="13" max="14" width="10.77734375" bestFit="1" customWidth="1"/>
  </cols>
  <sheetData>
    <row r="1" spans="1:14">
      <c r="A1" s="42" t="s">
        <v>662</v>
      </c>
    </row>
    <row r="2" spans="1:14">
      <c r="A2" s="90" t="s">
        <v>663</v>
      </c>
      <c r="B2" s="90"/>
      <c r="C2" s="90"/>
      <c r="D2" s="90"/>
      <c r="E2" s="90"/>
      <c r="F2" s="90"/>
      <c r="G2" s="90"/>
      <c r="H2" s="90"/>
      <c r="I2" s="90"/>
      <c r="J2" s="90"/>
      <c r="K2" s="90"/>
      <c r="L2" s="90"/>
      <c r="M2" s="90"/>
      <c r="N2" s="90"/>
    </row>
    <row r="3" spans="1:14" hidden="1">
      <c r="A3" s="251" t="s">
        <v>653</v>
      </c>
      <c r="B3" t="s">
        <v>664</v>
      </c>
    </row>
    <row r="4" spans="1:14" hidden="1">
      <c r="A4" s="105" t="s">
        <v>654</v>
      </c>
    </row>
    <row r="5" spans="1:14">
      <c r="A5" s="105" t="s">
        <v>665</v>
      </c>
      <c r="B5">
        <v>1</v>
      </c>
    </row>
    <row r="6" spans="1:14">
      <c r="A6" s="105" t="s">
        <v>666</v>
      </c>
      <c r="B6">
        <v>1</v>
      </c>
    </row>
    <row r="7" spans="1:14">
      <c r="A7" s="105" t="s">
        <v>667</v>
      </c>
      <c r="B7">
        <v>1</v>
      </c>
    </row>
    <row r="8" spans="1:14">
      <c r="A8" s="105" t="s">
        <v>668</v>
      </c>
      <c r="B8">
        <v>1</v>
      </c>
    </row>
    <row r="9" spans="1:14">
      <c r="A9" s="105" t="s">
        <v>669</v>
      </c>
      <c r="B9">
        <v>1</v>
      </c>
    </row>
    <row r="10" spans="1:14">
      <c r="A10" s="105" t="s">
        <v>670</v>
      </c>
      <c r="B10">
        <v>1</v>
      </c>
    </row>
    <row r="11" spans="1:14">
      <c r="A11" s="105" t="s">
        <v>671</v>
      </c>
      <c r="B11">
        <v>1</v>
      </c>
    </row>
    <row r="12" spans="1:14">
      <c r="A12" s="105" t="s">
        <v>672</v>
      </c>
      <c r="B12">
        <v>1</v>
      </c>
    </row>
    <row r="13" spans="1:14">
      <c r="A13" s="105" t="s">
        <v>673</v>
      </c>
      <c r="B13">
        <v>1</v>
      </c>
    </row>
    <row r="14" spans="1:14">
      <c r="A14" s="105" t="s">
        <v>674</v>
      </c>
      <c r="B14">
        <v>1</v>
      </c>
    </row>
    <row r="15" spans="1:14">
      <c r="A15" s="105" t="s">
        <v>675</v>
      </c>
      <c r="B15">
        <v>1</v>
      </c>
    </row>
    <row r="16" spans="1:14">
      <c r="A16" s="105" t="s">
        <v>676</v>
      </c>
      <c r="B16">
        <v>1</v>
      </c>
    </row>
    <row r="17" spans="1:2">
      <c r="A17" s="105" t="s">
        <v>677</v>
      </c>
      <c r="B17">
        <v>1</v>
      </c>
    </row>
    <row r="18" spans="1:2">
      <c r="A18" s="105" t="s">
        <v>678</v>
      </c>
      <c r="B18">
        <v>1</v>
      </c>
    </row>
    <row r="19" spans="1:2">
      <c r="A19" s="105" t="s">
        <v>679</v>
      </c>
      <c r="B19">
        <v>1</v>
      </c>
    </row>
    <row r="20" spans="1:2">
      <c r="A20" s="105" t="s">
        <v>680</v>
      </c>
      <c r="B20">
        <v>1</v>
      </c>
    </row>
    <row r="21" spans="1:2">
      <c r="A21" s="105" t="s">
        <v>681</v>
      </c>
      <c r="B21">
        <v>1</v>
      </c>
    </row>
    <row r="22" spans="1:2">
      <c r="A22" s="105" t="s">
        <v>682</v>
      </c>
      <c r="B22">
        <v>1</v>
      </c>
    </row>
    <row r="23" spans="1:2">
      <c r="A23" s="105" t="s">
        <v>683</v>
      </c>
      <c r="B23">
        <v>1</v>
      </c>
    </row>
    <row r="24" spans="1:2">
      <c r="A24" s="105" t="s">
        <v>684</v>
      </c>
      <c r="B24">
        <v>1</v>
      </c>
    </row>
    <row r="25" spans="1:2">
      <c r="A25" s="105" t="s">
        <v>685</v>
      </c>
      <c r="B25">
        <v>1</v>
      </c>
    </row>
    <row r="26" spans="1:2">
      <c r="A26" s="105" t="s">
        <v>686</v>
      </c>
      <c r="B26">
        <v>1</v>
      </c>
    </row>
    <row r="27" spans="1:2">
      <c r="A27" s="105" t="s">
        <v>687</v>
      </c>
      <c r="B27">
        <v>1</v>
      </c>
    </row>
    <row r="28" spans="1:2">
      <c r="A28" s="105" t="s">
        <v>688</v>
      </c>
      <c r="B28">
        <v>1</v>
      </c>
    </row>
    <row r="29" spans="1:2">
      <c r="A29" s="105" t="s">
        <v>689</v>
      </c>
      <c r="B29">
        <v>1</v>
      </c>
    </row>
    <row r="30" spans="1:2">
      <c r="A30" s="105" t="s">
        <v>655</v>
      </c>
      <c r="B30">
        <v>25</v>
      </c>
    </row>
  </sheetData>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9" tint="0.79998168889431442"/>
  </sheetPr>
  <dimension ref="A3:B29"/>
  <sheetViews>
    <sheetView workbookViewId="0"/>
  </sheetViews>
  <sheetFormatPr defaultRowHeight="14.4"/>
  <cols>
    <col min="1" max="1" width="12.77734375" bestFit="1" customWidth="1"/>
    <col min="2" max="2" width="10.77734375" bestFit="1" customWidth="1"/>
  </cols>
  <sheetData>
    <row r="3" spans="1:2">
      <c r="A3" s="251" t="s">
        <v>653</v>
      </c>
      <c r="B3" t="s">
        <v>690</v>
      </c>
    </row>
    <row r="4" spans="1:2">
      <c r="A4" s="105" t="s">
        <v>535</v>
      </c>
      <c r="B4">
        <v>1</v>
      </c>
    </row>
    <row r="5" spans="1:2">
      <c r="A5" s="105" t="s">
        <v>536</v>
      </c>
      <c r="B5">
        <v>1</v>
      </c>
    </row>
    <row r="6" spans="1:2">
      <c r="A6" s="105" t="s">
        <v>537</v>
      </c>
      <c r="B6">
        <v>1</v>
      </c>
    </row>
    <row r="7" spans="1:2">
      <c r="A7" s="105" t="s">
        <v>538</v>
      </c>
      <c r="B7">
        <v>1</v>
      </c>
    </row>
    <row r="8" spans="1:2">
      <c r="A8" s="105" t="s">
        <v>542</v>
      </c>
      <c r="B8">
        <v>1</v>
      </c>
    </row>
    <row r="9" spans="1:2">
      <c r="A9" s="105" t="s">
        <v>541</v>
      </c>
      <c r="B9">
        <v>1</v>
      </c>
    </row>
    <row r="10" spans="1:2">
      <c r="A10" s="105" t="s">
        <v>543</v>
      </c>
      <c r="B10">
        <v>1</v>
      </c>
    </row>
    <row r="11" spans="1:2">
      <c r="A11" s="105" t="s">
        <v>545</v>
      </c>
      <c r="B11">
        <v>1</v>
      </c>
    </row>
    <row r="12" spans="1:2">
      <c r="A12" s="105" t="s">
        <v>546</v>
      </c>
      <c r="B12">
        <v>1</v>
      </c>
    </row>
    <row r="13" spans="1:2">
      <c r="A13" s="105" t="s">
        <v>548</v>
      </c>
      <c r="B13">
        <v>1</v>
      </c>
    </row>
    <row r="14" spans="1:2">
      <c r="A14" s="105" t="s">
        <v>544</v>
      </c>
      <c r="B14">
        <v>1</v>
      </c>
    </row>
    <row r="15" spans="1:2">
      <c r="A15" s="105" t="s">
        <v>547</v>
      </c>
      <c r="B15">
        <v>1</v>
      </c>
    </row>
    <row r="16" spans="1:2">
      <c r="A16" s="105" t="s">
        <v>426</v>
      </c>
      <c r="B16">
        <v>1</v>
      </c>
    </row>
    <row r="17" spans="1:2">
      <c r="A17" s="105" t="s">
        <v>549</v>
      </c>
      <c r="B17">
        <v>1</v>
      </c>
    </row>
    <row r="18" spans="1:2">
      <c r="A18" s="105" t="s">
        <v>550</v>
      </c>
      <c r="B18">
        <v>1</v>
      </c>
    </row>
    <row r="19" spans="1:2">
      <c r="A19" s="105" t="s">
        <v>551</v>
      </c>
      <c r="B19">
        <v>1</v>
      </c>
    </row>
    <row r="20" spans="1:2">
      <c r="A20" s="105" t="s">
        <v>552</v>
      </c>
      <c r="B20">
        <v>1</v>
      </c>
    </row>
    <row r="21" spans="1:2">
      <c r="A21" s="105" t="s">
        <v>654</v>
      </c>
    </row>
    <row r="22" spans="1:2">
      <c r="A22" s="105" t="s">
        <v>655</v>
      </c>
      <c r="B22">
        <v>17</v>
      </c>
    </row>
    <row r="26" spans="1:2">
      <c r="A26" t="s">
        <v>691</v>
      </c>
    </row>
    <row r="27" spans="1:2">
      <c r="A27" t="s">
        <v>540</v>
      </c>
    </row>
    <row r="28" spans="1:2">
      <c r="A28" t="s">
        <v>539</v>
      </c>
    </row>
    <row r="29" spans="1:2">
      <c r="A29" t="s">
        <v>692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tabColor theme="8" tint="0.79998168889431442"/>
  </sheetPr>
  <dimension ref="A1:W184"/>
  <sheetViews>
    <sheetView topLeftCell="A63" workbookViewId="0">
      <selection activeCell="A11" sqref="A7:A11"/>
    </sheetView>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ustomWidth="1"/>
    <col min="13" max="13" width="14.77734375" style="16" customWidth="1"/>
    <col min="14" max="21" width="8.77734375" style="16" customWidth="1"/>
    <col min="22" max="23" width="12.21875" style="16" customWidth="1"/>
    <col min="24" max="24" width="20" style="11" customWidth="1"/>
    <col min="25" max="30" width="8.77734375" style="11" customWidth="1"/>
    <col min="31" max="16384" width="8.77734375" style="11"/>
  </cols>
  <sheetData>
    <row r="1" spans="1:3">
      <c r="A1" s="15" t="str">
        <f>_xlfn.CONCAT("Appraisal Setup for CASID-",'Agreement 3'!B5)</f>
        <v>Appraisal Setup for CASID-81846</v>
      </c>
      <c r="B1" s="17"/>
    </row>
    <row r="2" spans="1:3">
      <c r="A2" s="27" t="s">
        <v>726</v>
      </c>
      <c r="B2" s="28"/>
      <c r="C2" s="29" t="str">
        <f>HYPERLINK(_xlfn.CONCAT("https://cmmiinstitute.com/appraisals-sys/appraisals/",Planning!$B$33,"/name-and-type"))</f>
        <v>https://cmmiinstitute.com/appraisals-sys/appraisals/81846/name-and-type</v>
      </c>
    </row>
    <row r="3" spans="1:3">
      <c r="A3" s="11" t="s">
        <v>693</v>
      </c>
      <c r="B3" s="86" t="str">
        <f>Planning!B32</f>
        <v>D260324 (A5) Shenzhen Insigma - Shenzhen (Q2) 2026</v>
      </c>
      <c r="C3" s="16" t="s">
        <v>47</v>
      </c>
    </row>
    <row r="4" spans="1:3">
      <c r="A4" s="11" t="s">
        <v>54</v>
      </c>
      <c r="B4" s="86" t="str">
        <f>Planning!B9</f>
        <v>(UTC+08:00) Beijing, Chongqing, Hong Kong, Urumqi</v>
      </c>
      <c r="C4" s="16" t="s">
        <v>47</v>
      </c>
    </row>
    <row r="5" spans="1:3">
      <c r="A5" s="11" t="s">
        <v>694</v>
      </c>
      <c r="B5" s="20" t="str">
        <f>'Agreement 3'!B48</f>
        <v>Demix</v>
      </c>
      <c r="C5" s="16" t="s">
        <v>377</v>
      </c>
    </row>
    <row r="6" spans="1:3" ht="90.6" customHeight="1">
      <c r="A6" s="11" t="s">
        <v>695</v>
      </c>
      <c r="B6" s="85" t="str">
        <f>_xlfn.CONCAT(Planning!B60,CHAR(13),CHAR(10),Planning!B61)</f>
        <v>[BO1] Increase 6% productivity to support annual revenue growth.
[BO2] Reduce post-deployment defects by 5% to improve overall quality._x000D_
[A1] In support of the business objectives, understand the current strength and weaknesses of the CMMI  practices within the organisation [BO1 &amp; BO2].</v>
      </c>
      <c r="C6" s="16" t="s">
        <v>47</v>
      </c>
    </row>
    <row r="7" spans="1:3">
      <c r="A7" s="11" t="s">
        <v>697</v>
      </c>
      <c r="B7" s="11" t="s">
        <v>286</v>
      </c>
    </row>
    <row r="8" spans="1:3" ht="28.8">
      <c r="A8" s="11" t="s">
        <v>1982</v>
      </c>
      <c r="B8" s="11" t="s">
        <v>447</v>
      </c>
    </row>
    <row r="9" spans="1:3" ht="28.8" customHeight="1">
      <c r="A9" s="11" t="s">
        <v>1983</v>
      </c>
      <c r="B9" s="11" t="s">
        <v>447</v>
      </c>
    </row>
    <row r="10" spans="1:3" ht="28.8" customHeight="1">
      <c r="A10" s="11" t="s">
        <v>1984</v>
      </c>
      <c r="B10" s="11" t="s">
        <v>447</v>
      </c>
    </row>
    <row r="11" spans="1:3">
      <c r="A11" s="11" t="s">
        <v>1985</v>
      </c>
      <c r="B11" s="11" t="s">
        <v>447</v>
      </c>
    </row>
    <row r="12" spans="1:3" ht="28.8" customHeight="1"/>
    <row r="14" spans="1:3">
      <c r="A14" s="15" t="s">
        <v>98</v>
      </c>
      <c r="B14" s="17"/>
    </row>
    <row r="15" spans="1:3">
      <c r="A15" s="27" t="s">
        <v>727</v>
      </c>
      <c r="B15" s="28"/>
      <c r="C15" s="29" t="str">
        <f>HYPERLINK(_xlfn.CONCAT("https://cmmiinstitute.com/appraisals-sys/appraisals/",Planning!$B$33,"/organizations"))</f>
        <v>https://cmmiinstitute.com/appraisals-sys/appraisals/81846/organizations</v>
      </c>
    </row>
    <row r="16" spans="1:3">
      <c r="A16" s="11" t="s">
        <v>27</v>
      </c>
      <c r="B16" s="77" t="str">
        <f>'Agreement 3'!B16</f>
        <v>Shenzhen Insigma Innovation Software Co., Ltd.</v>
      </c>
      <c r="C16" s="16" t="s">
        <v>377</v>
      </c>
    </row>
    <row r="17" spans="1:4">
      <c r="A17" s="11" t="s">
        <v>728</v>
      </c>
      <c r="B17" s="77" t="str">
        <f>StartupInfo!B4</f>
        <v>深圳市网新新思软件有限公司</v>
      </c>
      <c r="C17" s="16" t="s">
        <v>96</v>
      </c>
    </row>
    <row r="18" spans="1:4">
      <c r="A18" s="11" t="s">
        <v>100</v>
      </c>
      <c r="B18" s="76" t="str">
        <f>StartupInfo!B5</f>
        <v>901-912, Sun Yat-sen University Shenzhen Industry-Research Base Building</v>
      </c>
      <c r="C18" s="16" t="s">
        <v>96</v>
      </c>
      <c r="D18" s="16" t="s">
        <v>729</v>
      </c>
    </row>
    <row r="19" spans="1:4">
      <c r="A19" s="11" t="s">
        <v>101</v>
      </c>
      <c r="B19" s="76" t="str">
        <f>StartupInfo!B6</f>
        <v>No. 1, Yuexing 4th Road, Keji South 10th Road, Nanshan District</v>
      </c>
      <c r="C19" s="16" t="s">
        <v>96</v>
      </c>
    </row>
    <row r="20" spans="1:4">
      <c r="A20" s="11" t="s">
        <v>102</v>
      </c>
      <c r="B20" s="76" t="str">
        <f>StartupInfo!B7</f>
        <v>Shenzhen</v>
      </c>
      <c r="C20" s="16" t="s">
        <v>96</v>
      </c>
    </row>
    <row r="21" spans="1:4">
      <c r="A21" s="11" t="s">
        <v>103</v>
      </c>
      <c r="B21" s="77" t="str">
        <f>StartupInfo!B8</f>
        <v>Guangdong</v>
      </c>
      <c r="C21" s="16" t="s">
        <v>96</v>
      </c>
    </row>
    <row r="22" spans="1:4">
      <c r="A22" s="11" t="s">
        <v>104</v>
      </c>
      <c r="B22" s="76">
        <f>StartupInfo!B9</f>
        <v>518057</v>
      </c>
      <c r="C22" s="16" t="s">
        <v>96</v>
      </c>
    </row>
    <row r="23" spans="1:4">
      <c r="A23" s="11" t="s">
        <v>31</v>
      </c>
      <c r="B23" s="76" t="str">
        <f>StartupInfo!B10</f>
        <v>China</v>
      </c>
      <c r="C23" s="16" t="s">
        <v>96</v>
      </c>
    </row>
    <row r="24" spans="1:4">
      <c r="A24" s="11" t="s">
        <v>698</v>
      </c>
      <c r="B24" s="9" t="str">
        <f>HYPERLINK(StartupInfo!B12)</f>
        <v>https://www.szis.com.cn</v>
      </c>
      <c r="C24" s="16" t="s">
        <v>96</v>
      </c>
    </row>
    <row r="25" spans="1:4">
      <c r="A25" s="11" t="s">
        <v>730</v>
      </c>
      <c r="B25" s="11" t="s">
        <v>731</v>
      </c>
    </row>
    <row r="26" spans="1:4" ht="28.8" customHeight="1">
      <c r="A26" s="11" t="s">
        <v>699</v>
      </c>
      <c r="B26" s="76" t="str">
        <f>StartupInfo!B22</f>
        <v>(J-62) Information and communication - Computer programming, consultancy and related activities</v>
      </c>
      <c r="C26" s="16" t="s">
        <v>96</v>
      </c>
    </row>
    <row r="27" spans="1:4">
      <c r="A27" s="11" t="s">
        <v>700</v>
      </c>
      <c r="B27" s="76" t="str">
        <f>StartupInfo!B25</f>
        <v>0-50</v>
      </c>
      <c r="C27" s="16" t="s">
        <v>96</v>
      </c>
    </row>
    <row r="28" spans="1:4">
      <c r="A28" s="11" t="s">
        <v>732</v>
      </c>
      <c r="B28" s="409">
        <f>StartupInfo!B24</f>
        <v>27</v>
      </c>
    </row>
    <row r="29" spans="1:4">
      <c r="B29" s="16"/>
    </row>
    <row r="30" spans="1:4">
      <c r="A30" s="18" t="s">
        <v>733</v>
      </c>
    </row>
    <row r="32" spans="1:4">
      <c r="A32" s="27" t="s">
        <v>734</v>
      </c>
      <c r="B32" s="28"/>
      <c r="C32" s="29" t="str">
        <f>HYPERLINK(_xlfn.CONCAT("https://cmmiinstitute.com/appraisals-sys/appraisals/",Planning!$B$33,"/org-units"))</f>
        <v>https://cmmiinstitute.com/appraisals-sys/appraisals/81846/org-units</v>
      </c>
    </row>
    <row r="33" spans="1:3">
      <c r="A33" s="11" t="s">
        <v>27</v>
      </c>
      <c r="B33" s="86" t="str">
        <f>IF(StartupInfo!B18="","",StartupInfo!B18)</f>
        <v>Technology Center of Excellence</v>
      </c>
      <c r="C33" s="16" t="s">
        <v>96</v>
      </c>
    </row>
    <row r="34" spans="1:3">
      <c r="A34" s="11" t="s">
        <v>728</v>
      </c>
      <c r="B34" s="86" t="str">
        <f>IF(StartupInfo!B19="","",StartupInfo!B19)</f>
        <v>卓越技术中心</v>
      </c>
      <c r="C34" s="16" t="s">
        <v>96</v>
      </c>
    </row>
    <row r="35" spans="1:3" ht="57.6" customHeight="1">
      <c r="A35" s="11" t="s">
        <v>152</v>
      </c>
      <c r="B35" s="86" t="str">
        <f>IF(StartupInfo!B20="","",StartupInfo!B20)</f>
        <v>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v>
      </c>
      <c r="C35" s="16" t="s">
        <v>96</v>
      </c>
    </row>
    <row r="36" spans="1:3" ht="72" customHeight="1">
      <c r="A36" s="11" t="s">
        <v>702</v>
      </c>
      <c r="B36" s="86" t="str">
        <f>IF(StartupInfo!B21="","",StartupInfo!B21)</f>
        <v>General Manager Office
1 Technology Center of Excellence
1.1 Project Manager
1.2 Requirements Analyst
1.3 Designer
1.4 Developer
1.5 Tester
1.6 EPG
1.7 QA
1.8 CM
2 HR Department
2.1 OT
3 Financial Control Service Center
4 Service and Outsourcing Division
5 Business Development Department</v>
      </c>
      <c r="C36" s="16" t="s">
        <v>96</v>
      </c>
    </row>
    <row r="37" spans="1:3" ht="28.8">
      <c r="A37" s="11" t="s">
        <v>735</v>
      </c>
      <c r="B37" s="86" t="str">
        <f>IF(StartupInfo!B4="",StartupInfo!B3,_xlfn.CONCAT(StartupInfo!B3,"(",StartupInfo!B4,")"))</f>
        <v>Shenzhen Insigma Innovation Software Co., Ltd.(深圳市网新新思软件有限公司)</v>
      </c>
      <c r="C37" s="16" t="s">
        <v>96</v>
      </c>
    </row>
    <row r="38" spans="1:3">
      <c r="A38" s="11" t="s">
        <v>703</v>
      </c>
      <c r="B38" s="11">
        <v>1</v>
      </c>
    </row>
    <row r="39" spans="1:3">
      <c r="A39" s="11" t="s">
        <v>704</v>
      </c>
      <c r="B39" s="11">
        <v>1</v>
      </c>
    </row>
    <row r="40" spans="1:3" ht="28.8" customHeight="1">
      <c r="A40" s="11" t="s">
        <v>736</v>
      </c>
      <c r="B40" s="86" t="str">
        <f>IF(StartupInfo!B27="","No","Yes")</f>
        <v>Yes</v>
      </c>
      <c r="C40" s="16" t="s">
        <v>96</v>
      </c>
    </row>
    <row r="41" spans="1:3">
      <c r="A41" s="11">
        <v>2</v>
      </c>
      <c r="B41" s="86">
        <f>StartupInfo!B27</f>
        <v>61240</v>
      </c>
      <c r="C41" s="16" t="s">
        <v>96</v>
      </c>
    </row>
    <row r="43" spans="1:3">
      <c r="A43" s="18" t="s">
        <v>733</v>
      </c>
    </row>
    <row r="45" spans="1:3">
      <c r="A45" s="15" t="s">
        <v>737</v>
      </c>
      <c r="B45" s="17"/>
    </row>
    <row r="46" spans="1:3">
      <c r="A46" s="27" t="s">
        <v>55</v>
      </c>
      <c r="B46" s="28"/>
      <c r="C46" s="29"/>
    </row>
    <row r="47" spans="1:3" s="46" customFormat="1" ht="15.6" customHeight="1">
      <c r="A47" s="387" t="s">
        <v>56</v>
      </c>
      <c r="B47" s="45"/>
      <c r="C47" s="45"/>
    </row>
    <row r="48" spans="1:3">
      <c r="A48" s="11" t="s">
        <v>56</v>
      </c>
      <c r="B48" s="13" t="str">
        <f>Planning!B14</f>
        <v>Maturity Level</v>
      </c>
    </row>
    <row r="49" spans="1:3">
      <c r="A49" s="11" t="s">
        <v>57</v>
      </c>
      <c r="B49" s="13" t="str">
        <f>Planning!B15</f>
        <v>Level 5</v>
      </c>
    </row>
    <row r="50" spans="1:3">
      <c r="A50" s="11" t="s">
        <v>58</v>
      </c>
      <c r="B50" s="80" t="str">
        <f>Planning!B16</f>
        <v>Maturity Level 5</v>
      </c>
    </row>
    <row r="52" spans="1:3">
      <c r="A52" s="387" t="s">
        <v>59</v>
      </c>
    </row>
    <row r="53" spans="1:3">
      <c r="A53" s="11" t="s">
        <v>60</v>
      </c>
      <c r="B53" s="403" t="str">
        <f>IF(Planning!B19&lt;&gt;"","x","")</f>
        <v/>
      </c>
    </row>
    <row r="54" spans="1:3">
      <c r="A54" s="11" t="s">
        <v>61</v>
      </c>
      <c r="B54" s="403" t="str">
        <f>IF(Planning!B20&lt;&gt;"","x","")</f>
        <v>x</v>
      </c>
    </row>
    <row r="55" spans="1:3">
      <c r="A55" s="11" t="s">
        <v>62</v>
      </c>
      <c r="B55" s="403" t="str">
        <f>IF(Planning!B21&lt;&gt;"","x","")</f>
        <v/>
      </c>
    </row>
    <row r="56" spans="1:3">
      <c r="A56" s="11" t="s">
        <v>63</v>
      </c>
      <c r="B56" s="403" t="str">
        <f>IF(Planning!B22&lt;&gt;"","x","")</f>
        <v/>
      </c>
    </row>
    <row r="57" spans="1:3">
      <c r="A57" s="11" t="s">
        <v>64</v>
      </c>
      <c r="B57" s="403" t="str">
        <f>IF(Planning!B23&lt;&gt;"","x","")</f>
        <v/>
      </c>
    </row>
    <row r="58" spans="1:3">
      <c r="A58" s="11" t="s">
        <v>65</v>
      </c>
      <c r="B58" s="403" t="str">
        <f>IF(Planning!B24&lt;&gt;"","x","")</f>
        <v/>
      </c>
    </row>
    <row r="59" spans="1:3">
      <c r="A59" s="11" t="s">
        <v>66</v>
      </c>
      <c r="B59" s="403" t="str">
        <f>IF(Planning!B25&lt;&gt;"","x","")</f>
        <v/>
      </c>
    </row>
    <row r="60" spans="1:3">
      <c r="A60" s="11" t="s">
        <v>67</v>
      </c>
      <c r="B60" s="403" t="str">
        <f>IF(Planning!B26&lt;&gt;"","x","")</f>
        <v/>
      </c>
    </row>
    <row r="62" spans="1:3">
      <c r="A62" s="27" t="s">
        <v>738</v>
      </c>
      <c r="B62" s="28"/>
      <c r="C62" s="29"/>
    </row>
    <row r="63" spans="1:3">
      <c r="A63" s="32" t="s">
        <v>739</v>
      </c>
      <c r="B63" s="31" t="s">
        <v>740</v>
      </c>
    </row>
    <row r="65" spans="1:4">
      <c r="A65" s="15" t="s">
        <v>741</v>
      </c>
      <c r="B65" s="17"/>
    </row>
    <row r="66" spans="1:4">
      <c r="A66" s="27" t="s">
        <v>742</v>
      </c>
      <c r="B66" s="28"/>
      <c r="C66" s="29" t="str">
        <f>HYPERLINK(_xlfn.CONCAT("https://cmmiinstitute.com/appraisals-sys/appraisals/",Planning!$B$33,"/timeline"))</f>
        <v>https://cmmiinstitute.com/appraisals-sys/appraisals/81846/timeline</v>
      </c>
    </row>
    <row r="68" spans="1:4">
      <c r="A68" s="14" t="s">
        <v>743</v>
      </c>
    </row>
    <row r="69" spans="1:4">
      <c r="A69" s="11" t="s">
        <v>705</v>
      </c>
      <c r="B69" s="34">
        <f>'Agreement 3'!B22</f>
        <v>46046</v>
      </c>
      <c r="C69" s="16" t="s">
        <v>377</v>
      </c>
    </row>
    <row r="70" spans="1:4">
      <c r="A70" s="11" t="s">
        <v>706</v>
      </c>
      <c r="B70" s="34">
        <f>B85-1</f>
        <v>46164</v>
      </c>
      <c r="C70" s="16" t="s">
        <v>380</v>
      </c>
    </row>
    <row r="72" spans="1:4">
      <c r="A72" s="14" t="s">
        <v>744</v>
      </c>
      <c r="D72" s="30" t="s">
        <v>745</v>
      </c>
    </row>
    <row r="73" spans="1:4">
      <c r="A73" s="11" t="s">
        <v>746</v>
      </c>
      <c r="B73" s="34" t="s">
        <v>747</v>
      </c>
    </row>
    <row r="74" spans="1:4">
      <c r="A74" s="11" t="s">
        <v>748</v>
      </c>
      <c r="B74" s="34">
        <f>Planning!B38</f>
        <v>46137</v>
      </c>
      <c r="C74" s="16" t="s">
        <v>47</v>
      </c>
    </row>
    <row r="75" spans="1:4">
      <c r="A75" s="11" t="s">
        <v>749</v>
      </c>
      <c r="B75" s="34">
        <f>B74</f>
        <v>46137</v>
      </c>
      <c r="C75" s="388" t="s">
        <v>380</v>
      </c>
    </row>
    <row r="76" spans="1:4">
      <c r="B76" s="388"/>
      <c r="C76" s="388"/>
    </row>
    <row r="77" spans="1:4">
      <c r="A77" s="14" t="s">
        <v>746</v>
      </c>
      <c r="B77" s="34" t="s">
        <v>750</v>
      </c>
      <c r="C77" s="388"/>
    </row>
    <row r="78" spans="1:4">
      <c r="A78" s="11" t="s">
        <v>748</v>
      </c>
      <c r="B78" s="34">
        <f>Planning!B41</f>
        <v>46155</v>
      </c>
      <c r="C78" s="16" t="s">
        <v>47</v>
      </c>
    </row>
    <row r="79" spans="1:4">
      <c r="A79" s="11" t="s">
        <v>749</v>
      </c>
      <c r="B79" s="34">
        <f>B78</f>
        <v>46155</v>
      </c>
      <c r="C79" s="16" t="s">
        <v>380</v>
      </c>
    </row>
    <row r="81" spans="1:4">
      <c r="A81" s="18" t="s">
        <v>733</v>
      </c>
    </row>
    <row r="84" spans="1:4">
      <c r="A84" s="14" t="s">
        <v>751</v>
      </c>
    </row>
    <row r="85" spans="1:4">
      <c r="A85" s="11" t="s">
        <v>707</v>
      </c>
      <c r="B85" s="34">
        <f>Planning!B44</f>
        <v>46165</v>
      </c>
      <c r="C85" s="16" t="s">
        <v>47</v>
      </c>
    </row>
    <row r="86" spans="1:4">
      <c r="A86" s="397" t="s">
        <v>752</v>
      </c>
      <c r="B86" s="398">
        <f>'Agreement 3'!B27</f>
        <v>46167</v>
      </c>
      <c r="C86" s="16" t="s">
        <v>377</v>
      </c>
    </row>
    <row r="87" spans="1:4">
      <c r="A87" s="11" t="s">
        <v>708</v>
      </c>
      <c r="B87" s="34">
        <f>Planning!B50</f>
        <v>46171</v>
      </c>
      <c r="C87" s="16" t="s">
        <v>47</v>
      </c>
    </row>
    <row r="88" spans="1:4">
      <c r="A88" s="11" t="s">
        <v>86</v>
      </c>
      <c r="B88" s="35">
        <f>Planning!B51</f>
        <v>7</v>
      </c>
      <c r="C88" s="16" t="s">
        <v>47</v>
      </c>
    </row>
    <row r="90" spans="1:4">
      <c r="A90" s="14" t="s">
        <v>753</v>
      </c>
    </row>
    <row r="91" spans="1:4">
      <c r="A91" s="11" t="s">
        <v>709</v>
      </c>
      <c r="B91" s="34">
        <f>Planning!B53</f>
        <v>46171</v>
      </c>
      <c r="C91" s="16" t="s">
        <v>47</v>
      </c>
    </row>
    <row r="92" spans="1:4">
      <c r="A92" s="11" t="s">
        <v>710</v>
      </c>
      <c r="B92" s="34">
        <f>Planning!B55</f>
        <v>46184</v>
      </c>
      <c r="C92" s="16" t="s">
        <v>47</v>
      </c>
    </row>
    <row r="94" spans="1:4">
      <c r="A94" s="27" t="s">
        <v>754</v>
      </c>
      <c r="B94" s="28"/>
      <c r="C94" s="29" t="str">
        <f>HYPERLINK(_xlfn.CONCAT("https://cmmiinstitute.com/appraisals-sys/appraisals/",Planning!$B$33,"/timeline"))</f>
        <v>https://cmmiinstitute.com/appraisals-sys/appraisals/81846/timeline</v>
      </c>
    </row>
    <row r="96" spans="1:4">
      <c r="A96" s="14" t="s">
        <v>744</v>
      </c>
      <c r="D96" s="30" t="s">
        <v>745</v>
      </c>
    </row>
    <row r="97" spans="1:3">
      <c r="A97" s="11" t="s">
        <v>746</v>
      </c>
      <c r="B97" s="34" t="str">
        <f>B73</f>
        <v>30% Readiness review</v>
      </c>
    </row>
    <row r="98" spans="1:3">
      <c r="A98" s="11" t="s">
        <v>748</v>
      </c>
      <c r="B98" s="34">
        <f>B74</f>
        <v>46137</v>
      </c>
      <c r="C98" s="16" t="s">
        <v>47</v>
      </c>
    </row>
    <row r="99" spans="1:3">
      <c r="A99" s="11" t="s">
        <v>749</v>
      </c>
      <c r="B99" s="34">
        <f>B75</f>
        <v>46137</v>
      </c>
      <c r="C99" s="388" t="s">
        <v>380</v>
      </c>
    </row>
    <row r="100" spans="1:3">
      <c r="B100" s="107"/>
      <c r="C100" s="388"/>
    </row>
    <row r="101" spans="1:3" ht="100.8" customHeight="1">
      <c r="A101" s="11" t="s">
        <v>696</v>
      </c>
      <c r="B101" s="21" t="s">
        <v>755</v>
      </c>
      <c r="C101" s="388"/>
    </row>
    <row r="102" spans="1:3" ht="86.4" customHeight="1">
      <c r="A102" s="11" t="s">
        <v>756</v>
      </c>
      <c r="B102" s="21" t="s">
        <v>757</v>
      </c>
      <c r="C102" s="388"/>
    </row>
    <row r="103" spans="1:3">
      <c r="A103" s="11" t="s">
        <v>758</v>
      </c>
      <c r="B103" s="86" t="str">
        <f>_xlfn.CONCAT('P1-Personnel'!B9," and ",'P1-Personnel'!B13)</f>
        <v>Dr Pieter van Zyl and ATM-1</v>
      </c>
      <c r="C103" s="388" t="s">
        <v>380</v>
      </c>
    </row>
    <row r="104" spans="1:3">
      <c r="A104" s="11" t="s">
        <v>711</v>
      </c>
      <c r="B104" s="11" t="s">
        <v>759</v>
      </c>
      <c r="C104" s="388"/>
    </row>
    <row r="105" spans="1:3">
      <c r="A105" s="11" t="s">
        <v>956</v>
      </c>
      <c r="B105" s="11" t="s">
        <v>760</v>
      </c>
      <c r="C105" s="388"/>
    </row>
    <row r="106" spans="1:3">
      <c r="A106" s="11" t="s">
        <v>957</v>
      </c>
      <c r="B106" s="107" t="s">
        <v>286</v>
      </c>
      <c r="C106" s="388"/>
    </row>
    <row r="107" spans="1:3">
      <c r="B107" s="388"/>
      <c r="C107" s="388"/>
    </row>
    <row r="108" spans="1:3">
      <c r="A108" s="14" t="s">
        <v>746</v>
      </c>
      <c r="B108" s="34" t="str">
        <f>B77</f>
        <v>90% Readiness review</v>
      </c>
      <c r="C108" s="388"/>
    </row>
    <row r="109" spans="1:3">
      <c r="A109" s="11" t="s">
        <v>748</v>
      </c>
      <c r="B109" s="34">
        <f>B78</f>
        <v>46155</v>
      </c>
      <c r="C109" s="16" t="s">
        <v>47</v>
      </c>
    </row>
    <row r="110" spans="1:3">
      <c r="A110" s="11" t="s">
        <v>749</v>
      </c>
      <c r="B110" s="34">
        <f>B79</f>
        <v>46155</v>
      </c>
      <c r="C110" s="16" t="s">
        <v>380</v>
      </c>
    </row>
    <row r="112" spans="1:3" ht="100.8" customHeight="1">
      <c r="A112" s="11" t="s">
        <v>696</v>
      </c>
      <c r="B112" s="389" t="s">
        <v>761</v>
      </c>
      <c r="C112" s="388"/>
    </row>
    <row r="113" spans="1:23" ht="86.4" customHeight="1">
      <c r="A113" s="11" t="s">
        <v>756</v>
      </c>
      <c r="B113" s="389" t="s">
        <v>762</v>
      </c>
      <c r="C113" s="388"/>
    </row>
    <row r="114" spans="1:23">
      <c r="A114" s="11" t="s">
        <v>758</v>
      </c>
      <c r="B114" s="390" t="str">
        <f>_xlfn.CONCAT('P1-Personnel'!B9," and ",'P1-Personnel'!B13)</f>
        <v>Dr Pieter van Zyl and ATM-1</v>
      </c>
      <c r="C114" s="388" t="s">
        <v>380</v>
      </c>
    </row>
    <row r="115" spans="1:23">
      <c r="A115" s="11" t="s">
        <v>711</v>
      </c>
      <c r="B115" s="107" t="s">
        <v>759</v>
      </c>
      <c r="C115" s="388"/>
    </row>
    <row r="116" spans="1:23">
      <c r="A116" s="11" t="s">
        <v>956</v>
      </c>
      <c r="B116" s="107" t="s">
        <v>760</v>
      </c>
      <c r="C116" s="388"/>
    </row>
    <row r="117" spans="1:23">
      <c r="A117" s="11" t="s">
        <v>957</v>
      </c>
      <c r="B117" s="107" t="s">
        <v>286</v>
      </c>
      <c r="C117" s="388"/>
    </row>
    <row r="118" spans="1:23">
      <c r="B118" s="388"/>
      <c r="C118" s="388"/>
    </row>
    <row r="119" spans="1:23">
      <c r="A119" s="15" t="s">
        <v>725</v>
      </c>
      <c r="B119" s="17"/>
    </row>
    <row r="120" spans="1:23">
      <c r="A120" s="27" t="s">
        <v>763</v>
      </c>
      <c r="B120" s="28"/>
      <c r="C120" s="29"/>
    </row>
    <row r="121" spans="1:23" s="100" customFormat="1">
      <c r="A121" s="101" t="s">
        <v>1981</v>
      </c>
      <c r="B121" s="99"/>
      <c r="C121" s="158" t="s">
        <v>764</v>
      </c>
      <c r="D121" s="107"/>
      <c r="E121" s="107"/>
      <c r="F121" s="107"/>
      <c r="G121" s="16"/>
      <c r="H121" s="107"/>
      <c r="I121" s="107"/>
      <c r="J121" s="107"/>
      <c r="K121" s="107"/>
      <c r="L121" s="107"/>
      <c r="M121" s="107"/>
      <c r="N121" s="107"/>
      <c r="O121" s="107"/>
      <c r="P121" s="107"/>
      <c r="Q121" s="107"/>
      <c r="R121" s="107"/>
      <c r="S121" s="107"/>
      <c r="T121" s="107"/>
      <c r="U121" s="107"/>
      <c r="V121" s="107"/>
      <c r="W121" s="107"/>
    </row>
    <row r="123" spans="1:23">
      <c r="A123" s="27" t="s">
        <v>765</v>
      </c>
      <c r="B123" s="28"/>
      <c r="C123" s="29"/>
    </row>
    <row r="124" spans="1:23">
      <c r="A124" s="439" t="s">
        <v>766</v>
      </c>
      <c r="B124" s="438"/>
    </row>
    <row r="126" spans="1:23">
      <c r="A126" s="27" t="s">
        <v>767</v>
      </c>
      <c r="B126" s="28"/>
      <c r="C126" s="29"/>
    </row>
    <row r="127" spans="1:23">
      <c r="A127" s="11" t="s">
        <v>712</v>
      </c>
      <c r="B127" s="13" t="s">
        <v>768</v>
      </c>
      <c r="C127" s="16" t="s">
        <v>384</v>
      </c>
    </row>
    <row r="128" spans="1:23">
      <c r="A128" s="11" t="s">
        <v>713</v>
      </c>
    </row>
    <row r="129" spans="1:3">
      <c r="A129" s="11" t="s">
        <v>714</v>
      </c>
      <c r="B129" s="11" t="s">
        <v>769</v>
      </c>
    </row>
    <row r="131" spans="1:3">
      <c r="A131" s="27" t="s">
        <v>770</v>
      </c>
      <c r="B131" s="28"/>
      <c r="C131" s="29"/>
    </row>
    <row r="132" spans="1:3">
      <c r="A132" s="11" t="s">
        <v>715</v>
      </c>
      <c r="B132" s="12" t="str">
        <f>B127</f>
        <v>Type of Work</v>
      </c>
    </row>
    <row r="133" spans="1:3">
      <c r="A133" s="11" t="s">
        <v>716</v>
      </c>
      <c r="B133" s="11" t="s">
        <v>771</v>
      </c>
    </row>
    <row r="134" spans="1:3">
      <c r="A134" s="11" t="s">
        <v>152</v>
      </c>
      <c r="B134" s="11" t="s">
        <v>769</v>
      </c>
    </row>
    <row r="136" spans="1:3">
      <c r="A136" s="27" t="s">
        <v>772</v>
      </c>
      <c r="B136" s="28"/>
      <c r="C136" s="29"/>
    </row>
    <row r="137" spans="1:3">
      <c r="A137" s="11" t="s">
        <v>27</v>
      </c>
      <c r="B137" s="11" t="s">
        <v>771</v>
      </c>
    </row>
    <row r="138" spans="1:3">
      <c r="A138" s="11" t="s">
        <v>717</v>
      </c>
      <c r="B138" s="11" t="s">
        <v>773</v>
      </c>
    </row>
    <row r="139" spans="1:3">
      <c r="A139" s="11" t="s">
        <v>774</v>
      </c>
      <c r="B139" s="11" t="s">
        <v>775</v>
      </c>
    </row>
    <row r="141" spans="1:3">
      <c r="A141" s="27" t="s">
        <v>776</v>
      </c>
      <c r="B141" s="28"/>
      <c r="C141" s="29"/>
    </row>
    <row r="142" spans="1:3">
      <c r="A142" s="437" t="s">
        <v>777</v>
      </c>
      <c r="B142" s="438"/>
    </row>
    <row r="143" spans="1:3">
      <c r="B143" s="388"/>
      <c r="C143" s="388"/>
    </row>
    <row r="144" spans="1:3">
      <c r="A144" s="208" t="s">
        <v>778</v>
      </c>
      <c r="B144" s="209"/>
      <c r="C144" s="210"/>
    </row>
    <row r="145" spans="1:3" ht="15" customHeight="1" thickBot="1">
      <c r="A145" s="435" t="s">
        <v>779</v>
      </c>
      <c r="B145" s="440"/>
      <c r="C145" s="211" t="s">
        <v>780</v>
      </c>
    </row>
    <row r="146" spans="1:3" ht="15" customHeight="1">
      <c r="A146" s="436"/>
      <c r="B146" s="436"/>
      <c r="C146" s="211" t="s">
        <v>781</v>
      </c>
    </row>
    <row r="147" spans="1:3">
      <c r="A147" s="426" t="s">
        <v>782</v>
      </c>
      <c r="B147" s="426" t="s">
        <v>611</v>
      </c>
      <c r="C147" s="210"/>
    </row>
    <row r="148" spans="1:3">
      <c r="A148" s="424" t="s">
        <v>783</v>
      </c>
      <c r="B148" s="422" t="s">
        <v>584</v>
      </c>
      <c r="C148" s="210"/>
    </row>
    <row r="149" spans="1:3">
      <c r="A149" s="11" t="s">
        <v>784</v>
      </c>
      <c r="B149" s="425" t="s">
        <v>785</v>
      </c>
      <c r="C149" s="210"/>
    </row>
    <row r="150" spans="1:3">
      <c r="A150" s="423" t="s">
        <v>786</v>
      </c>
      <c r="B150" s="423" t="s">
        <v>787</v>
      </c>
      <c r="C150" s="210"/>
    </row>
    <row r="151" spans="1:3">
      <c r="A151" s="425"/>
      <c r="B151" s="425"/>
      <c r="C151" s="210"/>
    </row>
    <row r="152" spans="1:3">
      <c r="A152" s="426" t="s">
        <v>782</v>
      </c>
      <c r="B152" s="426" t="s">
        <v>617</v>
      </c>
      <c r="C152" s="210"/>
    </row>
    <row r="153" spans="1:3">
      <c r="A153" s="424" t="s">
        <v>783</v>
      </c>
      <c r="B153" s="422" t="s">
        <v>788</v>
      </c>
      <c r="C153" s="210"/>
    </row>
    <row r="154" spans="1:3">
      <c r="A154" s="11" t="s">
        <v>784</v>
      </c>
      <c r="B154" s="425" t="s">
        <v>785</v>
      </c>
      <c r="C154" s="210"/>
    </row>
    <row r="155" spans="1:3">
      <c r="A155" s="423" t="s">
        <v>786</v>
      </c>
      <c r="B155" s="423" t="s">
        <v>787</v>
      </c>
      <c r="C155" s="210"/>
    </row>
    <row r="156" spans="1:3">
      <c r="A156" s="424" t="s">
        <v>783</v>
      </c>
      <c r="B156" s="422" t="s">
        <v>789</v>
      </c>
      <c r="C156" s="210"/>
    </row>
    <row r="157" spans="1:3">
      <c r="A157" s="11" t="s">
        <v>784</v>
      </c>
      <c r="B157" s="425" t="s">
        <v>790</v>
      </c>
      <c r="C157" s="210"/>
    </row>
    <row r="158" spans="1:3">
      <c r="A158" s="423" t="s">
        <v>786</v>
      </c>
      <c r="B158" s="423" t="s">
        <v>787</v>
      </c>
      <c r="C158" s="210"/>
    </row>
    <row r="159" spans="1:3">
      <c r="A159" s="424" t="s">
        <v>783</v>
      </c>
      <c r="B159" s="422" t="s">
        <v>585</v>
      </c>
      <c r="C159" s="210"/>
    </row>
    <row r="160" spans="1:3">
      <c r="A160" s="11" t="s">
        <v>784</v>
      </c>
      <c r="B160" s="425" t="s">
        <v>790</v>
      </c>
      <c r="C160" s="210"/>
    </row>
    <row r="161" spans="1:3">
      <c r="A161" s="423" t="s">
        <v>786</v>
      </c>
      <c r="B161" s="423" t="s">
        <v>787</v>
      </c>
      <c r="C161" s="210"/>
    </row>
    <row r="162" spans="1:3">
      <c r="A162" s="424" t="s">
        <v>783</v>
      </c>
      <c r="B162" s="422" t="s">
        <v>791</v>
      </c>
      <c r="C162" s="210"/>
    </row>
    <row r="163" spans="1:3">
      <c r="A163" s="11" t="s">
        <v>784</v>
      </c>
      <c r="B163" s="425" t="s">
        <v>785</v>
      </c>
      <c r="C163" s="210"/>
    </row>
    <row r="164" spans="1:3">
      <c r="A164" s="423" t="s">
        <v>786</v>
      </c>
      <c r="B164" s="423" t="s">
        <v>787</v>
      </c>
      <c r="C164" s="210"/>
    </row>
    <row r="165" spans="1:3">
      <c r="A165" s="424" t="s">
        <v>783</v>
      </c>
      <c r="B165" s="422" t="s">
        <v>792</v>
      </c>
      <c r="C165" s="210"/>
    </row>
    <row r="166" spans="1:3">
      <c r="A166" s="11" t="s">
        <v>784</v>
      </c>
      <c r="B166" s="425" t="s">
        <v>785</v>
      </c>
      <c r="C166" s="210"/>
    </row>
    <row r="167" spans="1:3">
      <c r="A167" s="423" t="s">
        <v>786</v>
      </c>
      <c r="B167" s="423" t="s">
        <v>787</v>
      </c>
      <c r="C167" s="210"/>
    </row>
    <row r="168" spans="1:3">
      <c r="A168" s="425"/>
      <c r="B168" s="425"/>
      <c r="C168" s="210"/>
    </row>
    <row r="169" spans="1:3">
      <c r="A169" s="426" t="s">
        <v>793</v>
      </c>
      <c r="B169" s="426" t="s">
        <v>620</v>
      </c>
      <c r="C169" s="210"/>
    </row>
    <row r="170" spans="1:3">
      <c r="A170" s="424" t="s">
        <v>783</v>
      </c>
      <c r="B170" s="422" t="s">
        <v>794</v>
      </c>
      <c r="C170" s="210"/>
    </row>
    <row r="171" spans="1:3">
      <c r="A171" s="11" t="s">
        <v>784</v>
      </c>
      <c r="B171" s="425" t="s">
        <v>790</v>
      </c>
      <c r="C171" s="210"/>
    </row>
    <row r="172" spans="1:3">
      <c r="A172" s="423" t="s">
        <v>786</v>
      </c>
      <c r="B172" s="423" t="s">
        <v>787</v>
      </c>
      <c r="C172" s="210"/>
    </row>
    <row r="173" spans="1:3">
      <c r="A173" s="425"/>
      <c r="B173" s="425"/>
      <c r="C173" s="210"/>
    </row>
    <row r="174" spans="1:3">
      <c r="A174" s="426" t="s">
        <v>793</v>
      </c>
      <c r="B174" s="426" t="s">
        <v>623</v>
      </c>
      <c r="C174" s="210"/>
    </row>
    <row r="175" spans="1:3">
      <c r="A175" s="424" t="s">
        <v>783</v>
      </c>
      <c r="B175" s="422" t="s">
        <v>588</v>
      </c>
      <c r="C175" s="210"/>
    </row>
    <row r="176" spans="1:3">
      <c r="A176" s="11" t="s">
        <v>784</v>
      </c>
      <c r="B176" s="425" t="s">
        <v>785</v>
      </c>
      <c r="C176" s="210"/>
    </row>
    <row r="177" spans="1:3" ht="15" customHeight="1">
      <c r="A177" s="423" t="s">
        <v>786</v>
      </c>
      <c r="B177" s="423" t="s">
        <v>787</v>
      </c>
      <c r="C177" s="210"/>
    </row>
    <row r="178" spans="1:3">
      <c r="C178" s="210"/>
    </row>
    <row r="179" spans="1:3">
      <c r="A179" s="27" t="s">
        <v>795</v>
      </c>
      <c r="B179" s="28"/>
      <c r="C179" s="210"/>
    </row>
    <row r="180" spans="1:3" ht="28.8" customHeight="1">
      <c r="A180" s="11" t="s">
        <v>796</v>
      </c>
      <c r="B180" s="11" t="s">
        <v>797</v>
      </c>
      <c r="C180" s="210"/>
    </row>
    <row r="181" spans="1:3">
      <c r="A181" s="38" t="s">
        <v>798</v>
      </c>
      <c r="B181" s="38" t="s">
        <v>787</v>
      </c>
      <c r="C181" s="210"/>
    </row>
    <row r="182" spans="1:3">
      <c r="C182" s="210"/>
    </row>
    <row r="183" spans="1:3">
      <c r="A183" s="27" t="s">
        <v>799</v>
      </c>
      <c r="B183" s="28"/>
      <c r="C183" s="29"/>
    </row>
    <row r="184" spans="1:3">
      <c r="A184" s="11" t="s">
        <v>800</v>
      </c>
      <c r="B184" s="11" t="s">
        <v>801</v>
      </c>
    </row>
  </sheetData>
  <mergeCells count="4">
    <mergeCell ref="A145:A146"/>
    <mergeCell ref="A142:B142"/>
    <mergeCell ref="A124:B124"/>
    <mergeCell ref="B145:B146"/>
  </mergeCells>
  <dataValidations count="4">
    <dataValidation type="list" allowBlank="1" showInputMessage="1" showErrorMessage="1" sqref="B7:B11" xr:uid="{00000000-0002-0000-1500-000000000000}">
      <formula1>"Yes, No"</formula1>
    </dataValidation>
    <dataValidation type="list" allowBlank="1" showInputMessage="1" showErrorMessage="1" sqref="B127" xr:uid="{00000000-0002-0000-1500-000001000000}">
      <formula1>tbl_sampling</formula1>
    </dataValidation>
    <dataValidation type="list" allowBlank="1" showInputMessage="1" showErrorMessage="1" sqref="B48" xr:uid="{00000000-0002-0000-1500-000002000000}">
      <formula1>tbl_LevelType</formula1>
    </dataValidation>
    <dataValidation type="list" allowBlank="1" showInputMessage="1" showErrorMessage="1" sqref="B49" xr:uid="{00000000-0002-0000-1500-000003000000}">
      <formula1>tbl_Level</formula1>
    </dataValidation>
  </dataValidations>
  <pageMargins left="0.7" right="0.7" top="0.75" bottom="0.75" header="0.3" footer="0.3"/>
  <pageSetup orientation="portrait"/>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8">
    <tabColor theme="8" tint="0.79998168889431442"/>
  </sheetPr>
  <dimension ref="A1:AJ40"/>
  <sheetViews>
    <sheetView workbookViewId="0"/>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ustomWidth="1"/>
    <col min="13" max="13" width="14.77734375" style="16" customWidth="1"/>
    <col min="14" max="21" width="8.77734375" style="16" customWidth="1"/>
    <col min="22" max="23" width="12.21875" style="16" customWidth="1"/>
    <col min="24" max="24" width="20" style="11" customWidth="1"/>
    <col min="25" max="30" width="8.77734375" style="11" customWidth="1"/>
    <col min="31" max="16384" width="8.77734375" style="11"/>
  </cols>
  <sheetData>
    <row r="1" spans="1:36">
      <c r="B1" s="388"/>
      <c r="C1" s="388"/>
    </row>
    <row r="3" spans="1:36">
      <c r="A3" s="15" t="s">
        <v>802</v>
      </c>
      <c r="B3" s="17"/>
    </row>
    <row r="4" spans="1:36">
      <c r="A4" s="27" t="s">
        <v>803</v>
      </c>
      <c r="B4" s="28"/>
      <c r="C4" s="29" t="str">
        <f>HYPERLINK(_xlfn.CONCAT("https://cmmiinstitute.com/appraisals-sys/appraisals/",Planning!$B$33,"/appraisal-sponsor"))</f>
        <v>https://cmmiinstitute.com/appraisals-sys/appraisals/81846/appraisal-sponsor</v>
      </c>
    </row>
    <row r="5" spans="1:36" s="16" customFormat="1">
      <c r="A5" s="157" t="s">
        <v>804</v>
      </c>
      <c r="B5" s="157" t="s">
        <v>805</v>
      </c>
      <c r="C5" s="157" t="s">
        <v>806</v>
      </c>
      <c r="D5" s="157" t="s">
        <v>131</v>
      </c>
      <c r="E5" s="157" t="s">
        <v>132</v>
      </c>
      <c r="F5" s="157" t="s">
        <v>807</v>
      </c>
      <c r="G5" s="157" t="s">
        <v>808</v>
      </c>
      <c r="H5" s="157" t="s">
        <v>809</v>
      </c>
      <c r="I5" s="157" t="s">
        <v>810</v>
      </c>
      <c r="J5" s="157" t="s">
        <v>811</v>
      </c>
      <c r="K5" s="157" t="s">
        <v>812</v>
      </c>
      <c r="L5" s="157" t="s">
        <v>813</v>
      </c>
      <c r="M5" s="157" t="s">
        <v>814</v>
      </c>
      <c r="N5" s="157"/>
      <c r="O5" s="157" t="s">
        <v>815</v>
      </c>
      <c r="P5" s="157" t="s">
        <v>816</v>
      </c>
      <c r="Q5" s="157" t="s">
        <v>817</v>
      </c>
      <c r="R5" s="157" t="s">
        <v>818</v>
      </c>
      <c r="S5" s="157" t="s">
        <v>819</v>
      </c>
      <c r="T5" s="157" t="s">
        <v>820</v>
      </c>
      <c r="U5" s="157" t="s">
        <v>821</v>
      </c>
      <c r="V5" s="157" t="s">
        <v>24</v>
      </c>
      <c r="W5" s="156"/>
      <c r="X5" s="206" t="s">
        <v>822</v>
      </c>
      <c r="AA5" s="154"/>
    </row>
    <row r="6" spans="1:36" s="16" customFormat="1">
      <c r="A6" s="16" t="s">
        <v>290</v>
      </c>
      <c r="B6" s="84" t="str">
        <f>IF('Agreement 3'!B30="","",'Agreement 3'!B30)</f>
        <v>Sheng Zhou</v>
      </c>
      <c r="C6" s="16" t="s">
        <v>823</v>
      </c>
      <c r="D6" s="78" t="str">
        <f>IF('Agreement 3'!B16="","",'Agreement 3'!B16)</f>
        <v>Shenzhen Insigma Innovation Software Co., Ltd.</v>
      </c>
      <c r="E6" s="84" t="s">
        <v>517</v>
      </c>
      <c r="G6" s="16" t="s">
        <v>824</v>
      </c>
      <c r="H6" s="16" t="s">
        <v>825</v>
      </c>
      <c r="I6" s="154" t="str">
        <f>'Agreement 3'!B32</f>
        <v>13510363575</v>
      </c>
      <c r="V6" s="83" t="str">
        <f>IF('Agreement 3'!B33="","",'Agreement 3'!B33)</f>
        <v>sam_zhou@bis.com.cn</v>
      </c>
      <c r="X6" s="49" t="s">
        <v>826</v>
      </c>
      <c r="Y6" s="207" t="str">
        <f>IF(TRIM(X6)&lt;&gt;TRIM(V6),"CAS email different","ok")</f>
        <v>CAS email different</v>
      </c>
      <c r="Z6" s="11"/>
      <c r="AA6" s="11"/>
      <c r="AB6" s="11"/>
      <c r="AC6" s="11"/>
      <c r="AD6" s="11"/>
      <c r="AE6" s="11"/>
      <c r="AF6" s="11"/>
      <c r="AG6" s="11"/>
      <c r="AH6" s="11"/>
      <c r="AI6" s="11"/>
      <c r="AJ6" s="11"/>
    </row>
    <row r="7" spans="1:36">
      <c r="A7" s="11" t="s">
        <v>126</v>
      </c>
      <c r="B7" s="85" t="str">
        <f>IF('Agreement 3'!B35="","",'Agreement 3'!B35)</f>
        <v>Yu Zhang</v>
      </c>
      <c r="C7" s="84" t="s">
        <v>823</v>
      </c>
      <c r="D7" s="78" t="str">
        <f>IF('Agreement 3'!B37="","",'Agreement 3'!B37)</f>
        <v>Shenzhen Insigma Innovation Software Co., Ltd.</v>
      </c>
      <c r="E7" s="155" t="s">
        <v>517</v>
      </c>
      <c r="F7" s="78"/>
      <c r="G7" s="78" t="s">
        <v>824</v>
      </c>
      <c r="H7" s="84" t="str">
        <f>'Agreement 3'!B36</f>
        <v>Administration and Training Manager</v>
      </c>
      <c r="I7" s="78"/>
      <c r="J7" s="78"/>
      <c r="K7" s="78"/>
      <c r="L7" s="78"/>
      <c r="M7" s="78"/>
      <c r="N7" s="78"/>
      <c r="O7" s="78"/>
      <c r="P7" s="78"/>
      <c r="Q7" s="78"/>
      <c r="R7" s="78"/>
      <c r="S7" s="78"/>
      <c r="T7" s="78"/>
      <c r="U7" s="78"/>
      <c r="V7" s="82" t="str">
        <f>IF('Agreement 3'!B39="","",'Agreement 3'!B39)</f>
        <v>zhangyu1@bis.com.cn</v>
      </c>
      <c r="W7" s="78"/>
    </row>
    <row r="8" spans="1:36">
      <c r="A8" s="11" t="s">
        <v>359</v>
      </c>
      <c r="B8" s="85" t="str">
        <f>StartupInfo!B55</f>
        <v>Lynn</v>
      </c>
      <c r="C8" s="84" t="s">
        <v>377</v>
      </c>
      <c r="D8" s="84" t="str">
        <f>StartupInfo!B56</f>
        <v>Freelance</v>
      </c>
      <c r="E8" s="84" t="str">
        <f>StartupInfo!B57</f>
        <v>External</v>
      </c>
      <c r="F8" s="78" t="str">
        <f>StartupInfo!B58</f>
        <v>Other</v>
      </c>
      <c r="G8" s="78" t="str">
        <f>StartupInfo!B59</f>
        <v>Reports directly to the ATL</v>
      </c>
      <c r="H8" s="16" t="s">
        <v>827</v>
      </c>
      <c r="I8" s="84" t="str">
        <f>StartupInfo!B60</f>
        <v>+1 202-358-0003</v>
      </c>
      <c r="J8" s="84"/>
      <c r="K8" s="84"/>
      <c r="L8" s="84"/>
      <c r="M8" s="84"/>
      <c r="N8" s="84"/>
      <c r="O8" s="84"/>
      <c r="P8" s="84"/>
      <c r="Q8" s="84"/>
      <c r="R8" s="84"/>
      <c r="S8" s="84"/>
      <c r="T8" s="84"/>
      <c r="U8" s="84"/>
      <c r="V8" s="83" t="str">
        <f>'Agreement 3'!B45</f>
        <v>lynn@tbd.com</v>
      </c>
      <c r="W8" s="11"/>
      <c r="X8" s="441"/>
      <c r="Y8" s="438"/>
      <c r="Z8" s="438"/>
      <c r="AA8" s="438"/>
    </row>
    <row r="9" spans="1:36">
      <c r="A9" s="11" t="str">
        <f>'Agreement 3'!A6</f>
        <v>Lead appraiser</v>
      </c>
      <c r="B9" s="84" t="str">
        <f>'Agreement 3'!B7</f>
        <v>Dr Pieter van Zyl</v>
      </c>
      <c r="C9" s="84"/>
      <c r="D9" s="84" t="str">
        <f>'Agreement 3'!B8</f>
        <v>Demix</v>
      </c>
      <c r="E9" s="84" t="s">
        <v>526</v>
      </c>
      <c r="H9" s="84" t="str">
        <f>'Agreement 3'!B9</f>
        <v>CMMI High Maturity Lead Appraiser</v>
      </c>
      <c r="I9" s="84" t="str">
        <f>'Agreement 3'!B12</f>
        <v>+27-82-900-0008</v>
      </c>
      <c r="J9" s="16" t="s">
        <v>828</v>
      </c>
      <c r="L9" s="16">
        <v>8</v>
      </c>
      <c r="M9" s="154">
        <v>44137</v>
      </c>
      <c r="O9" s="16">
        <v>35</v>
      </c>
      <c r="P9" s="16" t="s">
        <v>829</v>
      </c>
      <c r="Q9" s="16" t="s">
        <v>830</v>
      </c>
      <c r="R9" s="16">
        <v>30</v>
      </c>
      <c r="S9" s="16">
        <v>15</v>
      </c>
      <c r="T9" s="16" t="s">
        <v>284</v>
      </c>
      <c r="U9" s="16" t="s">
        <v>284</v>
      </c>
      <c r="V9" s="82" t="str">
        <f>'Agreement 3'!B13</f>
        <v>pieter.vanzyl@demix.org</v>
      </c>
      <c r="Y9" s="16"/>
    </row>
    <row r="10" spans="1:36">
      <c r="Y10" s="16"/>
    </row>
    <row r="11" spans="1:36">
      <c r="A11" s="27" t="s">
        <v>831</v>
      </c>
      <c r="B11" s="28"/>
      <c r="C11" s="29" t="str">
        <f>HYPERLINK(_xlfn.CONCAT("https://cmmiinstitute.com/appraisals-sys/appraisals/",Planning!$B$33,"/appraisal-sponsor"))</f>
        <v>https://cmmiinstitute.com/appraisals-sys/appraisals/81846/appraisal-sponsor</v>
      </c>
      <c r="Y11" s="16"/>
    </row>
    <row r="12" spans="1:36" s="16" customFormat="1">
      <c r="A12" s="157" t="s">
        <v>804</v>
      </c>
      <c r="B12" s="157" t="s">
        <v>805</v>
      </c>
      <c r="C12" s="157" t="s">
        <v>806</v>
      </c>
      <c r="D12" s="157" t="s">
        <v>131</v>
      </c>
      <c r="E12" s="157" t="s">
        <v>132</v>
      </c>
      <c r="F12" s="157" t="s">
        <v>807</v>
      </c>
      <c r="G12" s="157" t="s">
        <v>808</v>
      </c>
      <c r="H12" s="157" t="s">
        <v>809</v>
      </c>
      <c r="I12" s="157" t="s">
        <v>810</v>
      </c>
      <c r="J12" s="157" t="s">
        <v>811</v>
      </c>
      <c r="K12" s="157" t="s">
        <v>812</v>
      </c>
      <c r="L12" s="157" t="s">
        <v>813</v>
      </c>
      <c r="M12" s="157" t="s">
        <v>814</v>
      </c>
      <c r="N12" s="157"/>
      <c r="O12" s="157" t="s">
        <v>815</v>
      </c>
      <c r="P12" s="157" t="s">
        <v>816</v>
      </c>
      <c r="Q12" s="157" t="s">
        <v>817</v>
      </c>
      <c r="R12" s="157" t="s">
        <v>818</v>
      </c>
      <c r="S12" s="157" t="s">
        <v>819</v>
      </c>
      <c r="T12" s="157" t="s">
        <v>820</v>
      </c>
      <c r="U12" s="157" t="s">
        <v>821</v>
      </c>
      <c r="V12" s="157" t="s">
        <v>24</v>
      </c>
      <c r="W12" s="156"/>
      <c r="AA12" s="154"/>
    </row>
    <row r="13" spans="1:36">
      <c r="A13" s="11" t="s">
        <v>832</v>
      </c>
      <c r="B13" s="200" t="s">
        <v>833</v>
      </c>
      <c r="C13" s="16" t="s">
        <v>834</v>
      </c>
      <c r="D13" s="16" t="s">
        <v>368</v>
      </c>
      <c r="E13" s="16" t="s">
        <v>526</v>
      </c>
      <c r="F13" s="16" t="s">
        <v>835</v>
      </c>
      <c r="H13" s="16" t="s">
        <v>836</v>
      </c>
      <c r="I13" s="16" t="s">
        <v>837</v>
      </c>
      <c r="J13" s="16" t="s">
        <v>838</v>
      </c>
      <c r="L13" s="16">
        <v>8</v>
      </c>
      <c r="M13" s="154">
        <v>44186</v>
      </c>
      <c r="O13" s="16">
        <v>7</v>
      </c>
      <c r="P13" s="16" t="s">
        <v>829</v>
      </c>
      <c r="Q13" s="16" t="s">
        <v>830</v>
      </c>
      <c r="R13" s="16">
        <v>3</v>
      </c>
      <c r="S13" s="16">
        <v>0</v>
      </c>
      <c r="T13" s="16" t="s">
        <v>839</v>
      </c>
      <c r="U13" s="16" t="s">
        <v>840</v>
      </c>
      <c r="V13" s="29" t="s">
        <v>841</v>
      </c>
      <c r="AA13" s="241"/>
    </row>
    <row r="14" spans="1:36">
      <c r="A14" s="11" t="s">
        <v>832</v>
      </c>
      <c r="B14" s="200" t="s">
        <v>842</v>
      </c>
      <c r="C14" s="16" t="s">
        <v>834</v>
      </c>
      <c r="D14" s="16" t="s">
        <v>368</v>
      </c>
      <c r="E14" s="16" t="s">
        <v>526</v>
      </c>
      <c r="F14" s="16" t="s">
        <v>835</v>
      </c>
      <c r="H14" s="16" t="s">
        <v>836</v>
      </c>
      <c r="I14" s="16" t="s">
        <v>843</v>
      </c>
      <c r="J14" s="16" t="s">
        <v>838</v>
      </c>
      <c r="L14" s="16">
        <v>8</v>
      </c>
      <c r="M14" s="154">
        <v>44186</v>
      </c>
      <c r="O14" s="16">
        <v>18</v>
      </c>
      <c r="P14" s="16" t="s">
        <v>829</v>
      </c>
      <c r="Q14" s="16" t="s">
        <v>830</v>
      </c>
      <c r="R14" s="16">
        <v>14</v>
      </c>
      <c r="S14" s="16">
        <v>0</v>
      </c>
      <c r="T14" s="16" t="s">
        <v>839</v>
      </c>
      <c r="U14" s="16" t="s">
        <v>840</v>
      </c>
      <c r="V14" s="29" t="s">
        <v>844</v>
      </c>
      <c r="AA14" s="241"/>
    </row>
    <row r="15" spans="1:36">
      <c r="A15" s="11" t="s">
        <v>832</v>
      </c>
      <c r="B15" s="200" t="s">
        <v>845</v>
      </c>
      <c r="C15" s="16" t="s">
        <v>834</v>
      </c>
      <c r="D15" s="16" t="s">
        <v>368</v>
      </c>
      <c r="E15" s="16" t="s">
        <v>526</v>
      </c>
      <c r="F15" s="16" t="s">
        <v>835</v>
      </c>
      <c r="H15" s="16" t="s">
        <v>836</v>
      </c>
      <c r="I15" s="16" t="s">
        <v>846</v>
      </c>
      <c r="J15" s="16" t="s">
        <v>828</v>
      </c>
      <c r="L15" s="16">
        <v>8</v>
      </c>
      <c r="M15" s="154">
        <v>44186</v>
      </c>
      <c r="O15" s="16">
        <v>20</v>
      </c>
      <c r="P15" s="16" t="s">
        <v>829</v>
      </c>
      <c r="Q15" s="16" t="s">
        <v>830</v>
      </c>
      <c r="R15" s="16">
        <v>30</v>
      </c>
      <c r="S15" s="16">
        <v>5</v>
      </c>
      <c r="T15" s="16" t="s">
        <v>839</v>
      </c>
      <c r="U15" s="16" t="s">
        <v>840</v>
      </c>
      <c r="V15" s="29" t="s">
        <v>847</v>
      </c>
      <c r="AA15" s="241"/>
    </row>
    <row r="16" spans="1:36">
      <c r="A16" s="11" t="s">
        <v>832</v>
      </c>
      <c r="B16" s="200" t="s">
        <v>848</v>
      </c>
      <c r="C16" s="16" t="s">
        <v>834</v>
      </c>
      <c r="D16" s="16" t="s">
        <v>368</v>
      </c>
      <c r="E16" s="16" t="s">
        <v>526</v>
      </c>
      <c r="F16" s="16" t="s">
        <v>835</v>
      </c>
      <c r="H16" s="16" t="s">
        <v>836</v>
      </c>
      <c r="I16" s="16" t="s">
        <v>849</v>
      </c>
      <c r="J16" s="16" t="s">
        <v>838</v>
      </c>
      <c r="L16" s="16">
        <v>8</v>
      </c>
      <c r="M16" s="154">
        <v>44186</v>
      </c>
      <c r="O16" s="16">
        <v>12</v>
      </c>
      <c r="P16" s="16" t="s">
        <v>829</v>
      </c>
      <c r="Q16" s="16" t="s">
        <v>830</v>
      </c>
      <c r="R16" s="16">
        <v>10</v>
      </c>
      <c r="S16" s="16">
        <v>9</v>
      </c>
      <c r="T16" s="16" t="s">
        <v>839</v>
      </c>
      <c r="U16" s="16" t="s">
        <v>840</v>
      </c>
      <c r="V16" s="29" t="s">
        <v>850</v>
      </c>
      <c r="AA16" s="241"/>
    </row>
    <row r="17" spans="1:27">
      <c r="A17" s="11" t="s">
        <v>832</v>
      </c>
      <c r="B17" s="200" t="s">
        <v>851</v>
      </c>
      <c r="C17" s="16" t="s">
        <v>834</v>
      </c>
      <c r="D17" s="16" t="s">
        <v>368</v>
      </c>
      <c r="E17" s="16" t="s">
        <v>526</v>
      </c>
      <c r="F17" s="16" t="s">
        <v>835</v>
      </c>
      <c r="H17" s="16" t="s">
        <v>836</v>
      </c>
      <c r="I17" s="16" t="s">
        <v>852</v>
      </c>
      <c r="J17" s="16" t="s">
        <v>838</v>
      </c>
      <c r="K17" s="16" t="s">
        <v>853</v>
      </c>
      <c r="L17" s="16">
        <v>8</v>
      </c>
      <c r="M17" s="154">
        <v>44137</v>
      </c>
      <c r="O17" s="16">
        <v>16</v>
      </c>
      <c r="P17" s="16" t="s">
        <v>829</v>
      </c>
      <c r="Q17" s="16" t="s">
        <v>830</v>
      </c>
      <c r="R17" s="16">
        <v>17</v>
      </c>
      <c r="S17" s="16">
        <v>2</v>
      </c>
      <c r="T17" s="16" t="s">
        <v>839</v>
      </c>
      <c r="U17" s="16" t="s">
        <v>840</v>
      </c>
      <c r="V17" s="29" t="s">
        <v>854</v>
      </c>
      <c r="AA17" s="241"/>
    </row>
    <row r="18" spans="1:27">
      <c r="A18" s="11" t="s">
        <v>832</v>
      </c>
      <c r="B18" s="200" t="s">
        <v>855</v>
      </c>
      <c r="C18" s="16" t="s">
        <v>834</v>
      </c>
      <c r="D18" s="16" t="s">
        <v>368</v>
      </c>
      <c r="E18" s="16" t="s">
        <v>526</v>
      </c>
      <c r="F18" s="16" t="s">
        <v>835</v>
      </c>
      <c r="H18" s="16" t="s">
        <v>836</v>
      </c>
      <c r="I18" s="16" t="s">
        <v>856</v>
      </c>
      <c r="J18" s="16" t="s">
        <v>838</v>
      </c>
      <c r="L18" s="16">
        <v>8</v>
      </c>
      <c r="M18" s="154">
        <v>44202</v>
      </c>
      <c r="O18" s="16">
        <v>18</v>
      </c>
      <c r="P18" s="16" t="s">
        <v>829</v>
      </c>
      <c r="Q18" s="16" t="s">
        <v>830</v>
      </c>
      <c r="R18" s="16">
        <v>15</v>
      </c>
      <c r="S18" s="16">
        <v>1</v>
      </c>
      <c r="T18" s="16" t="s">
        <v>839</v>
      </c>
      <c r="U18" s="16" t="s">
        <v>840</v>
      </c>
      <c r="V18" s="29" t="s">
        <v>857</v>
      </c>
      <c r="AA18" s="241"/>
    </row>
    <row r="19" spans="1:27">
      <c r="A19" s="11" t="s">
        <v>832</v>
      </c>
      <c r="B19" s="200" t="s">
        <v>858</v>
      </c>
      <c r="C19" s="16" t="s">
        <v>834</v>
      </c>
      <c r="D19" s="16" t="s">
        <v>368</v>
      </c>
      <c r="E19" s="16" t="s">
        <v>517</v>
      </c>
      <c r="F19" s="16" t="s">
        <v>824</v>
      </c>
      <c r="H19" s="16" t="s">
        <v>859</v>
      </c>
      <c r="I19" s="16" t="s">
        <v>860</v>
      </c>
      <c r="J19" s="16" t="s">
        <v>828</v>
      </c>
      <c r="K19" s="16" t="s">
        <v>853</v>
      </c>
      <c r="L19" s="16">
        <v>8</v>
      </c>
      <c r="M19" s="154">
        <v>44144</v>
      </c>
      <c r="O19" s="16">
        <v>20</v>
      </c>
      <c r="P19" s="16" t="s">
        <v>829</v>
      </c>
      <c r="Q19" s="16" t="s">
        <v>830</v>
      </c>
      <c r="R19" s="16">
        <v>14</v>
      </c>
      <c r="S19" s="16">
        <v>2</v>
      </c>
      <c r="T19" s="16" t="s">
        <v>839</v>
      </c>
      <c r="U19" s="16" t="s">
        <v>840</v>
      </c>
      <c r="V19" s="29" t="s">
        <v>861</v>
      </c>
      <c r="AA19" s="241"/>
    </row>
    <row r="20" spans="1:27">
      <c r="A20" s="11" t="s">
        <v>832</v>
      </c>
      <c r="B20" s="200" t="s">
        <v>862</v>
      </c>
      <c r="C20" s="16" t="s">
        <v>834</v>
      </c>
      <c r="D20" s="16" t="s">
        <v>368</v>
      </c>
      <c r="E20" s="16" t="s">
        <v>517</v>
      </c>
      <c r="F20" s="16" t="s">
        <v>824</v>
      </c>
      <c r="H20" s="16" t="s">
        <v>859</v>
      </c>
      <c r="I20" s="16" t="s">
        <v>863</v>
      </c>
      <c r="J20" s="16" t="s">
        <v>838</v>
      </c>
      <c r="K20" s="16" t="s">
        <v>853</v>
      </c>
      <c r="L20" s="16">
        <v>8</v>
      </c>
      <c r="M20" s="154">
        <v>44144</v>
      </c>
      <c r="O20" s="16">
        <v>5</v>
      </c>
      <c r="P20" s="16" t="s">
        <v>829</v>
      </c>
      <c r="Q20" s="16" t="s">
        <v>830</v>
      </c>
      <c r="R20" s="16">
        <v>14</v>
      </c>
      <c r="S20" s="16">
        <v>3</v>
      </c>
      <c r="T20" s="16" t="s">
        <v>839</v>
      </c>
      <c r="U20" s="16" t="s">
        <v>840</v>
      </c>
      <c r="V20" s="29" t="s">
        <v>864</v>
      </c>
      <c r="AA20" s="241"/>
    </row>
    <row r="21" spans="1:27">
      <c r="A21" s="11" t="s">
        <v>832</v>
      </c>
      <c r="B21" s="200" t="s">
        <v>865</v>
      </c>
      <c r="C21" s="16" t="s">
        <v>834</v>
      </c>
      <c r="D21" s="16" t="s">
        <v>368</v>
      </c>
      <c r="E21" s="16" t="s">
        <v>526</v>
      </c>
      <c r="F21" s="16" t="s">
        <v>835</v>
      </c>
      <c r="H21" s="16" t="s">
        <v>836</v>
      </c>
      <c r="I21" s="16" t="s">
        <v>866</v>
      </c>
      <c r="J21" s="16" t="s">
        <v>838</v>
      </c>
      <c r="K21" s="16" t="s">
        <v>853</v>
      </c>
      <c r="L21" s="16">
        <v>8</v>
      </c>
      <c r="M21" s="154">
        <v>44202</v>
      </c>
      <c r="O21" s="16">
        <v>17</v>
      </c>
      <c r="P21" s="16" t="s">
        <v>829</v>
      </c>
      <c r="Q21" s="16" t="s">
        <v>830</v>
      </c>
      <c r="R21" s="16">
        <v>17</v>
      </c>
      <c r="S21" s="16">
        <v>1</v>
      </c>
      <c r="T21" s="16" t="s">
        <v>839</v>
      </c>
      <c r="U21" s="16" t="s">
        <v>840</v>
      </c>
      <c r="V21" s="29" t="s">
        <v>867</v>
      </c>
      <c r="AA21" s="241"/>
    </row>
    <row r="22" spans="1:27">
      <c r="B22" s="200"/>
      <c r="V22" s="29"/>
      <c r="AA22" s="241"/>
    </row>
    <row r="23" spans="1:27">
      <c r="A23" s="200" t="s">
        <v>868</v>
      </c>
      <c r="B23" s="200" t="s">
        <v>869</v>
      </c>
      <c r="C23" s="16" t="s">
        <v>834</v>
      </c>
      <c r="V23" s="29" t="s">
        <v>870</v>
      </c>
      <c r="AA23" s="241"/>
    </row>
    <row r="24" spans="1:27">
      <c r="A24" s="11" t="s">
        <v>836</v>
      </c>
      <c r="B24" s="200"/>
      <c r="C24" s="16" t="s">
        <v>834</v>
      </c>
      <c r="V24" s="29"/>
      <c r="AA24" s="241"/>
    </row>
    <row r="25" spans="1:27">
      <c r="A25" s="11" t="s">
        <v>832</v>
      </c>
      <c r="B25" s="200" t="s">
        <v>833</v>
      </c>
      <c r="C25" s="16" t="s">
        <v>834</v>
      </c>
      <c r="D25" s="16" t="s">
        <v>368</v>
      </c>
      <c r="E25" s="16" t="s">
        <v>526</v>
      </c>
      <c r="F25" s="16" t="s">
        <v>835</v>
      </c>
      <c r="H25" s="16" t="s">
        <v>836</v>
      </c>
      <c r="I25" s="16" t="s">
        <v>837</v>
      </c>
      <c r="J25" s="16" t="s">
        <v>838</v>
      </c>
      <c r="L25" s="16">
        <v>8</v>
      </c>
      <c r="M25" s="154">
        <v>44186</v>
      </c>
      <c r="O25" s="16">
        <v>7</v>
      </c>
      <c r="P25" s="16" t="s">
        <v>829</v>
      </c>
      <c r="Q25" s="16" t="s">
        <v>830</v>
      </c>
      <c r="R25" s="16">
        <v>3</v>
      </c>
      <c r="S25" s="16">
        <v>0</v>
      </c>
      <c r="T25" s="16" t="s">
        <v>839</v>
      </c>
      <c r="U25" s="16" t="s">
        <v>840</v>
      </c>
      <c r="V25" s="29" t="s">
        <v>841</v>
      </c>
      <c r="AA25" s="241"/>
    </row>
    <row r="27" spans="1:27">
      <c r="A27" s="27" t="s">
        <v>871</v>
      </c>
      <c r="B27" s="28"/>
      <c r="C27" s="29" t="str">
        <f>HYPERLINK(_xlfn.CONCAT("https://cmmiinstitute.com/appraisals-sys/appraisals/",Planning!$B$33,"/training-schedule"))</f>
        <v>https://cmmiinstitute.com/appraisals-sys/appraisals/81846/training-schedule</v>
      </c>
    </row>
    <row r="28" spans="1:27">
      <c r="A28" s="36" t="s">
        <v>872</v>
      </c>
      <c r="B28" s="37"/>
    </row>
    <row r="30" spans="1:27">
      <c r="A30" s="27" t="s">
        <v>873</v>
      </c>
      <c r="B30" s="28"/>
      <c r="C30" s="29" t="str">
        <f>HYPERLINK(_xlfn.CONCAT("https://cmmiinstitute.com/appraisals-sys/appraisals/",Planning!$B$33,"/team-member-experience"))</f>
        <v>https://cmmiinstitute.com/appraisals-sys/appraisals/81846/team-member-experience</v>
      </c>
    </row>
    <row r="31" spans="1:27">
      <c r="A31" s="36" t="s">
        <v>872</v>
      </c>
      <c r="B31" s="37"/>
    </row>
    <row r="33" spans="1:23">
      <c r="A33" s="27" t="s">
        <v>874</v>
      </c>
      <c r="B33" s="28"/>
      <c r="C33" s="29" t="str">
        <f>HYPERLINK(_xlfn.CONCAT("https://cmmiinstitute.com/appraisals-sys/appraisals/",Planning!$B$33,"/roles-responsibilities"))</f>
        <v>https://cmmiinstitute.com/appraisals-sys/appraisals/81846/roles-responsibilities</v>
      </c>
    </row>
    <row r="34" spans="1:23">
      <c r="A34" s="36" t="s">
        <v>875</v>
      </c>
      <c r="B34" s="37"/>
    </row>
    <row r="36" spans="1:23">
      <c r="A36" s="27" t="s">
        <v>876</v>
      </c>
      <c r="B36" s="28"/>
      <c r="C36" s="29" t="str">
        <f>HYPERLINK(_xlfn.CONCAT("https://cmmiinstitute.com/appraisals-sys/appraisals/",Planning!$B$33,"/appraisal-participants"))</f>
        <v>https://cmmiinstitute.com/appraisals-sys/appraisals/81846/appraisal-participants</v>
      </c>
    </row>
    <row r="37" spans="1:23" s="100" customFormat="1">
      <c r="A37" s="101" t="s">
        <v>877</v>
      </c>
      <c r="B37" s="99"/>
      <c r="C37" s="158" t="s">
        <v>878</v>
      </c>
      <c r="D37" s="107"/>
      <c r="E37" s="107"/>
      <c r="F37" s="107"/>
      <c r="G37" s="16"/>
      <c r="H37" s="107"/>
      <c r="I37" s="107"/>
      <c r="J37" s="107"/>
      <c r="K37" s="107"/>
      <c r="L37" s="107"/>
      <c r="M37" s="107"/>
      <c r="N37" s="107"/>
      <c r="O37" s="107"/>
      <c r="P37" s="107"/>
      <c r="Q37" s="107"/>
      <c r="R37" s="107"/>
      <c r="S37" s="107"/>
      <c r="T37" s="107"/>
      <c r="U37" s="107"/>
      <c r="V37" s="107"/>
      <c r="W37" s="107"/>
    </row>
    <row r="39" spans="1:23">
      <c r="A39" s="27" t="s">
        <v>879</v>
      </c>
      <c r="B39" s="28"/>
      <c r="C39" s="29" t="str">
        <f>HYPERLINK(_xlfn.CONCAT("https://cmmiinstitute.com/appraisals-sys/appraisals/",Planning!$B$33,"/participants-responsibilities"))</f>
        <v>https://cmmiinstitute.com/appraisals-sys/appraisals/81846/participants-responsibilities</v>
      </c>
    </row>
    <row r="40" spans="1:23" s="100" customFormat="1">
      <c r="A40" s="101" t="s">
        <v>880</v>
      </c>
      <c r="B40" s="99"/>
      <c r="C40" s="107"/>
      <c r="D40" s="107"/>
      <c r="E40" s="107"/>
      <c r="F40" s="107"/>
      <c r="G40" s="16"/>
      <c r="H40" s="107"/>
      <c r="I40" s="107"/>
      <c r="J40" s="107"/>
      <c r="K40" s="107"/>
      <c r="L40" s="107"/>
      <c r="M40" s="107"/>
      <c r="N40" s="107"/>
      <c r="O40" s="107"/>
      <c r="P40" s="107"/>
      <c r="Q40" s="107"/>
      <c r="R40" s="107"/>
      <c r="S40" s="107"/>
      <c r="T40" s="107"/>
      <c r="U40" s="107"/>
      <c r="V40" s="107"/>
      <c r="W40" s="107"/>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00000000-0002-0000-1600-000000000000}">
      <formula1>tbl_reportingRelationship</formula1>
    </dataValidation>
  </dataValidations>
  <hyperlinks>
    <hyperlink ref="V6" r:id="rId1" display="xiongguohui@gktel.com.cn" xr:uid="{00000000-0004-0000-1600-000000000000}"/>
    <hyperlink ref="X6" r:id="rId2" xr:uid="{00000000-0004-0000-1600-000001000000}"/>
    <hyperlink ref="V7" r:id="rId3" display="qianjiedi@gktel.com.cn" xr:uid="{00000000-0004-0000-1600-000002000000}"/>
    <hyperlink ref="V8" r:id="rId4" display="fengxiaoling@aski.cc" xr:uid="{00000000-0004-0000-1600-000003000000}"/>
    <hyperlink ref="V13" r:id="rId5" xr:uid="{00000000-0004-0000-1600-000004000000}"/>
    <hyperlink ref="V14" r:id="rId6" display="atm1.email@gmail.com" xr:uid="{00000000-0004-0000-1600-000005000000}"/>
    <hyperlink ref="V15" r:id="rId7" xr:uid="{00000000-0004-0000-1600-000006000000}"/>
    <hyperlink ref="V16" r:id="rId8" xr:uid="{00000000-0004-0000-1600-000007000000}"/>
    <hyperlink ref="V17" r:id="rId9" display="atm1.email@gmail.com" xr:uid="{00000000-0004-0000-1600-000008000000}"/>
    <hyperlink ref="V18" r:id="rId10" display="atm1.email@gmail.com" xr:uid="{00000000-0004-0000-1600-000009000000}"/>
    <hyperlink ref="V19" r:id="rId11" display="atm1.email@gmail.com" xr:uid="{00000000-0004-0000-1600-00000A000000}"/>
    <hyperlink ref="V20" r:id="rId12" display="atm1.email@gmail.com" xr:uid="{00000000-0004-0000-1600-00000B000000}"/>
    <hyperlink ref="V21" r:id="rId13" display="atm1.email@gmail.com" xr:uid="{00000000-0004-0000-1600-00000C000000}"/>
    <hyperlink ref="V23" r:id="rId14" xr:uid="{00000000-0004-0000-1600-00000D000000}"/>
    <hyperlink ref="V25" r:id="rId15" xr:uid="{00000000-0004-0000-1600-00000E000000}"/>
  </hyperlinks>
  <pageMargins left="0.7" right="0.7" top="0.75" bottom="0.75" header="0.3" footer="0.3"/>
  <pageSetup orientation="portrait"/>
  <legacyDrawing r:id="rId16"/>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
    <tabColor theme="8" tint="0.79998168889431442"/>
  </sheetPr>
  <dimension ref="A1:C19"/>
  <sheetViews>
    <sheetView workbookViewId="0"/>
  </sheetViews>
  <sheetFormatPr defaultColWidth="8.77734375" defaultRowHeight="14.4"/>
  <cols>
    <col min="1" max="1" width="34.5546875" style="16" customWidth="1"/>
    <col min="2" max="2" width="40.77734375" style="16" customWidth="1"/>
    <col min="3" max="8" width="8.77734375" style="16" customWidth="1"/>
    <col min="9" max="16384" width="8.77734375" style="16"/>
  </cols>
  <sheetData>
    <row r="1" spans="1:3" s="11" customFormat="1">
      <c r="A1" s="15" t="s">
        <v>881</v>
      </c>
      <c r="B1" s="17"/>
    </row>
    <row r="2" spans="1:3" s="11" customFormat="1">
      <c r="A2" s="28" t="s">
        <v>882</v>
      </c>
      <c r="B2" s="28"/>
      <c r="C2" s="49"/>
    </row>
    <row r="3" spans="1:3" s="11" customFormat="1">
      <c r="A3" s="11" t="s">
        <v>883</v>
      </c>
    </row>
    <row r="4" spans="1:3" s="11" customFormat="1"/>
    <row r="5" spans="1:3" s="11" customFormat="1">
      <c r="A5" s="28" t="s">
        <v>884</v>
      </c>
      <c r="B5" s="28"/>
      <c r="C5" s="49"/>
    </row>
    <row r="6" spans="1:3" s="11" customFormat="1">
      <c r="A6" s="11" t="s">
        <v>883</v>
      </c>
    </row>
    <row r="7" spans="1:3" s="11" customFormat="1"/>
    <row r="8" spans="1:3" s="11" customFormat="1" ht="28.8" customHeight="1">
      <c r="A8" s="28" t="s">
        <v>885</v>
      </c>
      <c r="B8" s="28"/>
      <c r="C8" s="49"/>
    </row>
    <row r="9" spans="1:3" s="11" customFormat="1">
      <c r="A9" s="11" t="s">
        <v>883</v>
      </c>
      <c r="B9" s="11" t="s">
        <v>886</v>
      </c>
    </row>
    <row r="10" spans="1:3" s="11" customFormat="1"/>
    <row r="11" spans="1:3" s="11" customFormat="1">
      <c r="A11" s="28" t="s">
        <v>887</v>
      </c>
      <c r="B11" s="28"/>
      <c r="C11" s="49"/>
    </row>
    <row r="12" spans="1:3" s="11" customFormat="1"/>
    <row r="13" spans="1:3" s="11" customFormat="1"/>
    <row r="14" spans="1:3" s="11" customFormat="1">
      <c r="A14" s="28" t="s">
        <v>888</v>
      </c>
      <c r="B14" s="28"/>
      <c r="C14" s="49"/>
    </row>
    <row r="15" spans="1:3" s="11" customFormat="1" ht="28.8" customHeight="1">
      <c r="A15" s="11" t="s">
        <v>883</v>
      </c>
      <c r="B15" s="11" t="s">
        <v>889</v>
      </c>
    </row>
    <row r="16" spans="1:3" s="11" customFormat="1"/>
    <row r="17" spans="1:3" s="11" customFormat="1">
      <c r="A17" s="28" t="s">
        <v>890</v>
      </c>
      <c r="B17" s="28"/>
      <c r="C17" s="49"/>
    </row>
    <row r="18" spans="1:3" s="11" customFormat="1"/>
    <row r="19" spans="1:3" s="11" customFormat="1"/>
  </sheetData>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
    <tabColor theme="8" tint="0.79998168889431442"/>
  </sheetPr>
  <dimension ref="A1:W311"/>
  <sheetViews>
    <sheetView topLeftCell="A5" workbookViewId="0">
      <selection activeCell="E78" sqref="E78"/>
    </sheetView>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891</v>
      </c>
      <c r="B1" s="17"/>
    </row>
    <row r="2" spans="1:3">
      <c r="A2" s="27" t="s">
        <v>892</v>
      </c>
      <c r="B2" s="28"/>
      <c r="C2" s="29"/>
    </row>
    <row r="3" spans="1:3" s="16" customFormat="1">
      <c r="A3" s="24" t="s">
        <v>893</v>
      </c>
      <c r="B3" s="11"/>
    </row>
    <row r="4" spans="1:3" s="16" customFormat="1" ht="43.2" customHeight="1">
      <c r="A4" s="16" t="s">
        <v>894</v>
      </c>
      <c r="B4" s="11" t="s">
        <v>895</v>
      </c>
    </row>
    <row r="5" spans="1:3" s="16" customFormat="1">
      <c r="A5" s="16" t="s">
        <v>896</v>
      </c>
      <c r="B5" s="11" t="s">
        <v>897</v>
      </c>
    </row>
    <row r="6" spans="1:3" s="16" customFormat="1">
      <c r="A6" s="16" t="s">
        <v>898</v>
      </c>
      <c r="B6" s="11" t="s">
        <v>897</v>
      </c>
    </row>
    <row r="7" spans="1:3" s="16" customFormat="1">
      <c r="B7" s="11"/>
    </row>
    <row r="8" spans="1:3" s="16" customFormat="1">
      <c r="A8" s="24" t="s">
        <v>899</v>
      </c>
      <c r="B8" s="11"/>
    </row>
    <row r="9" spans="1:3" s="16" customFormat="1" ht="28.8" customHeight="1">
      <c r="A9" s="16" t="s">
        <v>894</v>
      </c>
      <c r="B9" s="11" t="s">
        <v>900</v>
      </c>
    </row>
    <row r="10" spans="1:3" s="16" customFormat="1" ht="28.8" customHeight="1">
      <c r="A10" s="16" t="s">
        <v>896</v>
      </c>
      <c r="B10" s="11" t="s">
        <v>901</v>
      </c>
    </row>
    <row r="11" spans="1:3" s="16" customFormat="1">
      <c r="A11" s="16" t="s">
        <v>898</v>
      </c>
      <c r="B11" s="11" t="s">
        <v>902</v>
      </c>
    </row>
    <row r="12" spans="1:3" s="16" customFormat="1">
      <c r="B12" s="11"/>
    </row>
    <row r="13" spans="1:3" s="16" customFormat="1">
      <c r="A13" s="24" t="s">
        <v>903</v>
      </c>
      <c r="B13" s="11"/>
    </row>
    <row r="14" spans="1:3" s="16" customFormat="1" ht="28.8" customHeight="1">
      <c r="A14" s="16" t="s">
        <v>894</v>
      </c>
      <c r="B14" s="11" t="s">
        <v>904</v>
      </c>
    </row>
    <row r="15" spans="1:3" s="16" customFormat="1">
      <c r="A15" s="16" t="s">
        <v>896</v>
      </c>
      <c r="B15" s="11" t="s">
        <v>905</v>
      </c>
    </row>
    <row r="16" spans="1:3" s="16" customFormat="1">
      <c r="A16" s="16" t="s">
        <v>898</v>
      </c>
      <c r="B16" s="11" t="s">
        <v>902</v>
      </c>
    </row>
    <row r="17" spans="1:3" s="16" customFormat="1">
      <c r="B17" s="11"/>
    </row>
    <row r="18" spans="1:3" s="16" customFormat="1">
      <c r="A18" s="24" t="s">
        <v>218</v>
      </c>
      <c r="B18" s="11"/>
    </row>
    <row r="19" spans="1:3" s="16" customFormat="1" ht="43.2" customHeight="1">
      <c r="A19" s="16" t="s">
        <v>894</v>
      </c>
      <c r="B19" s="11" t="s">
        <v>906</v>
      </c>
    </row>
    <row r="20" spans="1:3" s="16" customFormat="1">
      <c r="A20" s="16" t="s">
        <v>896</v>
      </c>
      <c r="B20" s="11" t="s">
        <v>290</v>
      </c>
    </row>
    <row r="21" spans="1:3" s="16" customFormat="1">
      <c r="A21" s="16" t="s">
        <v>898</v>
      </c>
      <c r="B21" s="11" t="s">
        <v>907</v>
      </c>
    </row>
    <row r="22" spans="1:3" s="16" customFormat="1">
      <c r="B22" s="11"/>
    </row>
    <row r="23" spans="1:3">
      <c r="A23" s="27" t="s">
        <v>908</v>
      </c>
      <c r="B23" s="28"/>
      <c r="C23" s="16"/>
    </row>
    <row r="24" spans="1:3" s="16" customFormat="1" ht="28.8" customHeight="1">
      <c r="A24" s="16" t="s">
        <v>894</v>
      </c>
      <c r="B24" s="11" t="s">
        <v>909</v>
      </c>
    </row>
    <row r="25" spans="1:3" s="16" customFormat="1">
      <c r="B25" s="11"/>
    </row>
    <row r="26" spans="1:3">
      <c r="A26" s="27" t="s">
        <v>910</v>
      </c>
      <c r="B26" s="28"/>
      <c r="C26" s="29"/>
    </row>
    <row r="27" spans="1:3" s="16" customFormat="1">
      <c r="A27" s="16" t="s">
        <v>911</v>
      </c>
      <c r="B27" s="13" t="s">
        <v>528</v>
      </c>
      <c r="C27" s="16" t="s">
        <v>384</v>
      </c>
    </row>
    <row r="28" spans="1:3" s="16" customFormat="1">
      <c r="A28" s="16" t="s">
        <v>912</v>
      </c>
      <c r="B28" s="11" t="s">
        <v>913</v>
      </c>
    </row>
    <row r="29" spans="1:3" s="16" customFormat="1">
      <c r="A29" s="16" t="s">
        <v>894</v>
      </c>
      <c r="B29" s="11" t="s">
        <v>914</v>
      </c>
    </row>
    <row r="30" spans="1:3" s="16" customFormat="1">
      <c r="A30" s="16" t="s">
        <v>896</v>
      </c>
      <c r="B30" s="11" t="s">
        <v>290</v>
      </c>
    </row>
    <row r="31" spans="1:3" s="16" customFormat="1">
      <c r="A31" s="16" t="s">
        <v>898</v>
      </c>
      <c r="B31" s="11" t="s">
        <v>902</v>
      </c>
    </row>
    <row r="32" spans="1:3" s="16" customFormat="1">
      <c r="B32" s="11"/>
    </row>
    <row r="33" spans="1:3" s="16" customFormat="1">
      <c r="A33" s="16" t="s">
        <v>911</v>
      </c>
      <c r="B33" s="13" t="s">
        <v>528</v>
      </c>
      <c r="C33" s="16" t="s">
        <v>384</v>
      </c>
    </row>
    <row r="34" spans="1:3" s="16" customFormat="1">
      <c r="A34" s="16" t="s">
        <v>912</v>
      </c>
      <c r="B34" s="11" t="s">
        <v>915</v>
      </c>
    </row>
    <row r="35" spans="1:3" s="16" customFormat="1" ht="28.8" customHeight="1">
      <c r="A35" s="16" t="s">
        <v>894</v>
      </c>
      <c r="B35" s="11" t="s">
        <v>916</v>
      </c>
    </row>
    <row r="36" spans="1:3" s="16" customFormat="1">
      <c r="A36" s="16" t="s">
        <v>896</v>
      </c>
      <c r="B36" s="11" t="s">
        <v>290</v>
      </c>
    </row>
    <row r="37" spans="1:3" s="16" customFormat="1">
      <c r="A37" s="16" t="s">
        <v>898</v>
      </c>
      <c r="B37" s="11" t="s">
        <v>902</v>
      </c>
    </row>
    <row r="38" spans="1:3" s="16" customFormat="1">
      <c r="B38" s="11"/>
    </row>
    <row r="39" spans="1:3" s="16" customFormat="1">
      <c r="A39" s="16" t="s">
        <v>911</v>
      </c>
      <c r="B39" s="13" t="s">
        <v>528</v>
      </c>
      <c r="C39" s="16" t="s">
        <v>384</v>
      </c>
    </row>
    <row r="40" spans="1:3" s="16" customFormat="1">
      <c r="A40" s="16" t="s">
        <v>912</v>
      </c>
      <c r="B40" s="11" t="s">
        <v>917</v>
      </c>
    </row>
    <row r="41" spans="1:3" s="16" customFormat="1" ht="28.8" customHeight="1">
      <c r="A41" s="16" t="s">
        <v>894</v>
      </c>
      <c r="B41" s="11" t="s">
        <v>918</v>
      </c>
    </row>
    <row r="42" spans="1:3" s="16" customFormat="1">
      <c r="A42" s="16" t="s">
        <v>896</v>
      </c>
      <c r="B42" s="11" t="s">
        <v>290</v>
      </c>
    </row>
    <row r="43" spans="1:3" s="16" customFormat="1">
      <c r="A43" s="16" t="s">
        <v>898</v>
      </c>
      <c r="B43" s="11" t="s">
        <v>902</v>
      </c>
    </row>
    <row r="44" spans="1:3" s="16" customFormat="1">
      <c r="B44" s="11"/>
    </row>
    <row r="45" spans="1:3" s="16" customFormat="1">
      <c r="B45" s="11"/>
    </row>
    <row r="46" spans="1:3" s="16" customFormat="1">
      <c r="A46" s="102" t="s">
        <v>733</v>
      </c>
      <c r="B46" s="11"/>
    </row>
    <row r="47" spans="1:3">
      <c r="A47" s="14"/>
    </row>
    <row r="48" spans="1:3">
      <c r="A48" s="15" t="s">
        <v>919</v>
      </c>
      <c r="B48" s="17"/>
    </row>
    <row r="49" spans="1:3">
      <c r="A49" s="27" t="s">
        <v>920</v>
      </c>
      <c r="B49" s="28"/>
      <c r="C49" s="29"/>
    </row>
    <row r="50" spans="1:3">
      <c r="A50" s="11" t="s">
        <v>921</v>
      </c>
      <c r="B50" s="13" t="s">
        <v>922</v>
      </c>
      <c r="C50" s="11" t="s">
        <v>384</v>
      </c>
    </row>
    <row r="51" spans="1:3" ht="43.2" customHeight="1">
      <c r="A51" s="11" t="s">
        <v>152</v>
      </c>
      <c r="B51" s="11" t="s">
        <v>923</v>
      </c>
    </row>
    <row r="53" spans="1:3">
      <c r="A53" s="27" t="s">
        <v>924</v>
      </c>
      <c r="B53" s="28"/>
      <c r="C53" s="29"/>
    </row>
    <row r="54" spans="1:3">
      <c r="A54" s="11" t="s">
        <v>925</v>
      </c>
      <c r="B54" s="13" t="s">
        <v>926</v>
      </c>
      <c r="C54" s="11" t="s">
        <v>384</v>
      </c>
    </row>
    <row r="55" spans="1:3">
      <c r="A55" s="11" t="s">
        <v>927</v>
      </c>
    </row>
    <row r="56" spans="1:3">
      <c r="A56" s="11" t="s">
        <v>928</v>
      </c>
      <c r="B56" s="11" t="s">
        <v>929</v>
      </c>
    </row>
    <row r="57" spans="1:3" ht="43.2" customHeight="1">
      <c r="A57" s="11" t="s">
        <v>152</v>
      </c>
      <c r="B57" s="11" t="s">
        <v>930</v>
      </c>
    </row>
    <row r="59" spans="1:3" s="16" customFormat="1">
      <c r="A59" s="102" t="s">
        <v>733</v>
      </c>
      <c r="B59" s="11"/>
    </row>
    <row r="61" spans="1:3">
      <c r="A61" s="27" t="s">
        <v>931</v>
      </c>
      <c r="B61" s="28"/>
      <c r="C61" s="29"/>
    </row>
    <row r="62" spans="1:3">
      <c r="A62" s="11" t="s">
        <v>932</v>
      </c>
      <c r="B62" s="13" t="s">
        <v>528</v>
      </c>
      <c r="C62" s="11" t="s">
        <v>384</v>
      </c>
    </row>
    <row r="63" spans="1:3">
      <c r="A63" s="11" t="s">
        <v>933</v>
      </c>
      <c r="B63" s="11" t="s">
        <v>934</v>
      </c>
    </row>
    <row r="64" spans="1:3">
      <c r="A64" s="11" t="s">
        <v>152</v>
      </c>
      <c r="B64" s="11" t="s">
        <v>935</v>
      </c>
    </row>
    <row r="66" spans="1:3">
      <c r="A66" s="27" t="s">
        <v>936</v>
      </c>
      <c r="B66" s="28"/>
    </row>
    <row r="67" spans="1:3">
      <c r="A67" s="11" t="s">
        <v>921</v>
      </c>
      <c r="B67" s="13" t="s">
        <v>284</v>
      </c>
      <c r="C67" s="11" t="s">
        <v>384</v>
      </c>
    </row>
    <row r="68" spans="1:3">
      <c r="A68" s="11" t="s">
        <v>937</v>
      </c>
      <c r="B68" s="11" t="s">
        <v>829</v>
      </c>
    </row>
    <row r="69" spans="1:3">
      <c r="A69" s="11" t="s">
        <v>152</v>
      </c>
      <c r="B69" s="11" t="s">
        <v>938</v>
      </c>
    </row>
    <row r="71" spans="1:3">
      <c r="A71" s="27" t="s">
        <v>939</v>
      </c>
      <c r="B71" s="28"/>
      <c r="C71" s="29"/>
    </row>
    <row r="72" spans="1:3">
      <c r="A72" s="11" t="s">
        <v>940</v>
      </c>
      <c r="B72" s="11" t="s">
        <v>760</v>
      </c>
    </row>
    <row r="74" spans="1:3">
      <c r="A74" s="27" t="s">
        <v>941</v>
      </c>
      <c r="B74" s="28"/>
      <c r="C74" s="29"/>
    </row>
    <row r="75" spans="1:3">
      <c r="A75" s="11" t="s">
        <v>942</v>
      </c>
      <c r="B75" s="11" t="s">
        <v>943</v>
      </c>
    </row>
    <row r="76" spans="1:3">
      <c r="A76" s="11" t="s">
        <v>944</v>
      </c>
      <c r="B76" s="33">
        <f>Planning!B37</f>
        <v>46137</v>
      </c>
      <c r="C76" s="11" t="s">
        <v>47</v>
      </c>
    </row>
    <row r="77" spans="1:3">
      <c r="A77" s="11" t="s">
        <v>945</v>
      </c>
      <c r="B77" s="11" t="s">
        <v>946</v>
      </c>
    </row>
    <row r="79" spans="1:3">
      <c r="A79" s="11" t="s">
        <v>942</v>
      </c>
      <c r="B79" s="11" t="s">
        <v>947</v>
      </c>
    </row>
    <row r="80" spans="1:3">
      <c r="A80" s="11" t="s">
        <v>944</v>
      </c>
      <c r="B80" s="33">
        <f>Planning!B40</f>
        <v>46155</v>
      </c>
      <c r="C80" s="11" t="s">
        <v>47</v>
      </c>
    </row>
    <row r="81" spans="1:3" ht="28.8" customHeight="1">
      <c r="A81" s="11" t="s">
        <v>945</v>
      </c>
      <c r="B81" s="11" t="s">
        <v>948</v>
      </c>
    </row>
    <row r="83" spans="1:3" s="16" customFormat="1">
      <c r="A83" s="102" t="s">
        <v>733</v>
      </c>
      <c r="B83" s="11"/>
    </row>
    <row r="85" spans="1:3">
      <c r="A85" s="27" t="s">
        <v>949</v>
      </c>
      <c r="B85" s="28"/>
      <c r="C85" s="29"/>
    </row>
    <row r="86" spans="1:3">
      <c r="A86" s="11" t="s">
        <v>949</v>
      </c>
      <c r="B86" s="11" t="s">
        <v>950</v>
      </c>
    </row>
    <row r="88" spans="1:3">
      <c r="A88" s="17" t="s">
        <v>951</v>
      </c>
      <c r="B88" s="17"/>
    </row>
    <row r="89" spans="1:3">
      <c r="A89" s="27" t="s">
        <v>951</v>
      </c>
      <c r="B89" s="28"/>
      <c r="C89" s="29"/>
    </row>
    <row r="90" spans="1:3">
      <c r="A90" s="11" t="s">
        <v>746</v>
      </c>
      <c r="B90" s="86" t="str">
        <f>_xlfn.CONCAT("Readiness review for ",B75)</f>
        <v>Readiness review for Version 1 of OE database</v>
      </c>
      <c r="C90" s="11" t="s">
        <v>380</v>
      </c>
    </row>
    <row r="91" spans="1:3">
      <c r="A91" s="11" t="s">
        <v>748</v>
      </c>
      <c r="B91" s="33">
        <f>Planning!B38</f>
        <v>46137</v>
      </c>
      <c r="C91" s="11" t="s">
        <v>47</v>
      </c>
    </row>
    <row r="92" spans="1:3">
      <c r="A92" s="11" t="s">
        <v>749</v>
      </c>
      <c r="B92" s="33">
        <f>B91</f>
        <v>46137</v>
      </c>
      <c r="C92" s="11" t="s">
        <v>380</v>
      </c>
    </row>
    <row r="93" spans="1:3" ht="43.2" customHeight="1">
      <c r="A93" s="11" t="s">
        <v>696</v>
      </c>
      <c r="B93" s="11" t="s">
        <v>952</v>
      </c>
    </row>
    <row r="94" spans="1:3" ht="43.2" customHeight="1">
      <c r="A94" s="11" t="s">
        <v>756</v>
      </c>
      <c r="B94" s="11" t="s">
        <v>953</v>
      </c>
    </row>
    <row r="95" spans="1:3">
      <c r="A95" s="11" t="s">
        <v>758</v>
      </c>
      <c r="B95" s="11" t="s">
        <v>954</v>
      </c>
    </row>
    <row r="96" spans="1:3">
      <c r="A96" s="11" t="s">
        <v>711</v>
      </c>
      <c r="B96" s="11" t="s">
        <v>955</v>
      </c>
    </row>
    <row r="97" spans="1:3">
      <c r="A97" s="11" t="s">
        <v>956</v>
      </c>
      <c r="B97" s="11" t="s">
        <v>950</v>
      </c>
    </row>
    <row r="98" spans="1:3">
      <c r="A98" s="11" t="s">
        <v>957</v>
      </c>
      <c r="B98" s="11" t="s">
        <v>286</v>
      </c>
    </row>
    <row r="100" spans="1:3">
      <c r="A100" s="11" t="s">
        <v>746</v>
      </c>
      <c r="B100" s="86" t="str">
        <f>_xlfn.CONCAT("Readiness review for ",B79)</f>
        <v>Readiness review for Version 2 of OE database</v>
      </c>
      <c r="C100" s="11" t="s">
        <v>380</v>
      </c>
    </row>
    <row r="101" spans="1:3">
      <c r="A101" s="11" t="s">
        <v>748</v>
      </c>
      <c r="B101" s="33">
        <f>Planning!B41</f>
        <v>46155</v>
      </c>
      <c r="C101" s="11" t="s">
        <v>47</v>
      </c>
    </row>
    <row r="102" spans="1:3">
      <c r="A102" s="11" t="s">
        <v>749</v>
      </c>
      <c r="B102" s="33">
        <f>B101</f>
        <v>46155</v>
      </c>
      <c r="C102" s="11" t="s">
        <v>380</v>
      </c>
    </row>
    <row r="103" spans="1:3" ht="43.2" customHeight="1">
      <c r="A103" s="11" t="s">
        <v>696</v>
      </c>
      <c r="B103" s="11" t="s">
        <v>952</v>
      </c>
    </row>
    <row r="104" spans="1:3" ht="57.6" customHeight="1">
      <c r="A104" s="11" t="s">
        <v>756</v>
      </c>
      <c r="B104" s="21" t="s">
        <v>958</v>
      </c>
    </row>
    <row r="105" spans="1:3">
      <c r="A105" s="11" t="s">
        <v>758</v>
      </c>
      <c r="B105" s="11" t="s">
        <v>954</v>
      </c>
    </row>
    <row r="106" spans="1:3" ht="86.4" customHeight="1">
      <c r="A106" s="11" t="s">
        <v>711</v>
      </c>
      <c r="B106" s="11" t="s">
        <v>959</v>
      </c>
    </row>
    <row r="107" spans="1:3">
      <c r="A107" s="11" t="s">
        <v>956</v>
      </c>
      <c r="B107" s="11" t="s">
        <v>950</v>
      </c>
    </row>
    <row r="108" spans="1:3">
      <c r="A108" s="11" t="s">
        <v>957</v>
      </c>
      <c r="B108" s="11" t="s">
        <v>286</v>
      </c>
    </row>
    <row r="110" spans="1:3" s="16" customFormat="1">
      <c r="A110" s="102" t="s">
        <v>733</v>
      </c>
      <c r="B110" s="11"/>
    </row>
    <row r="112" spans="1:3">
      <c r="A112" s="17" t="s">
        <v>960</v>
      </c>
      <c r="B112" s="17"/>
    </row>
    <row r="113" spans="1:23">
      <c r="A113" s="27" t="s">
        <v>961</v>
      </c>
      <c r="B113" s="28"/>
      <c r="C113" s="29"/>
    </row>
    <row r="114" spans="1:23" ht="36.450000000000003" customHeight="1">
      <c r="A114" s="439" t="s">
        <v>962</v>
      </c>
      <c r="B114" s="438"/>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963</v>
      </c>
      <c r="B116" s="28"/>
      <c r="C116" s="29"/>
    </row>
    <row r="117" spans="1:23" ht="28.8" customHeight="1">
      <c r="A117" s="11" t="s">
        <v>964</v>
      </c>
      <c r="B117" s="13" t="s">
        <v>965</v>
      </c>
      <c r="C117" s="11" t="s">
        <v>384</v>
      </c>
    </row>
    <row r="118" spans="1:23" ht="28.8" customHeight="1">
      <c r="A118" s="11" t="s">
        <v>966</v>
      </c>
      <c r="B118" s="13" t="s">
        <v>967</v>
      </c>
      <c r="C118" s="11" t="s">
        <v>384</v>
      </c>
    </row>
    <row r="119" spans="1:23">
      <c r="A119" s="11" t="s">
        <v>968</v>
      </c>
    </row>
    <row r="120" spans="1:23" ht="43.2" customHeight="1">
      <c r="A120" s="11" t="s">
        <v>969</v>
      </c>
      <c r="B120" s="11" t="s">
        <v>970</v>
      </c>
    </row>
    <row r="121" spans="1:23">
      <c r="A121" s="11" t="s">
        <v>971</v>
      </c>
      <c r="B121" s="11" t="s">
        <v>972</v>
      </c>
    </row>
    <row r="123" spans="1:23">
      <c r="A123" s="11" t="s">
        <v>964</v>
      </c>
      <c r="B123" s="13" t="s">
        <v>973</v>
      </c>
      <c r="C123" s="11" t="s">
        <v>384</v>
      </c>
    </row>
    <row r="124" spans="1:23">
      <c r="A124" s="11" t="s">
        <v>966</v>
      </c>
      <c r="B124" s="13"/>
      <c r="C124" s="11" t="s">
        <v>384</v>
      </c>
    </row>
    <row r="125" spans="1:23">
      <c r="A125" s="11" t="s">
        <v>968</v>
      </c>
    </row>
    <row r="126" spans="1:23">
      <c r="A126" s="11" t="s">
        <v>969</v>
      </c>
      <c r="B126" s="11" t="s">
        <v>974</v>
      </c>
    </row>
    <row r="127" spans="1:23">
      <c r="A127" s="11" t="s">
        <v>971</v>
      </c>
      <c r="B127" s="11" t="s">
        <v>972</v>
      </c>
    </row>
    <row r="129" spans="1:3">
      <c r="A129" s="11" t="s">
        <v>964</v>
      </c>
      <c r="B129" s="13" t="s">
        <v>975</v>
      </c>
      <c r="C129" s="11" t="s">
        <v>384</v>
      </c>
    </row>
    <row r="130" spans="1:3">
      <c r="A130" s="11" t="s">
        <v>966</v>
      </c>
      <c r="B130" s="13"/>
      <c r="C130" s="11" t="s">
        <v>384</v>
      </c>
    </row>
    <row r="131" spans="1:3">
      <c r="A131" s="11" t="s">
        <v>968</v>
      </c>
    </row>
    <row r="132" spans="1:3" ht="28.8" customHeight="1">
      <c r="A132" s="11" t="s">
        <v>969</v>
      </c>
      <c r="B132" s="11" t="s">
        <v>976</v>
      </c>
    </row>
    <row r="133" spans="1:3">
      <c r="A133" s="11" t="s">
        <v>971</v>
      </c>
      <c r="B133" s="11" t="s">
        <v>972</v>
      </c>
    </row>
    <row r="135" spans="1:3">
      <c r="A135" s="11" t="s">
        <v>964</v>
      </c>
      <c r="B135" s="13" t="s">
        <v>977</v>
      </c>
      <c r="C135" s="11" t="s">
        <v>384</v>
      </c>
    </row>
    <row r="136" spans="1:3" ht="28.8" customHeight="1">
      <c r="A136" s="11" t="s">
        <v>966</v>
      </c>
      <c r="B136" s="13" t="s">
        <v>978</v>
      </c>
      <c r="C136" s="11" t="s">
        <v>384</v>
      </c>
    </row>
    <row r="137" spans="1:3">
      <c r="A137" s="11" t="s">
        <v>968</v>
      </c>
    </row>
    <row r="138" spans="1:3">
      <c r="A138" s="11" t="s">
        <v>969</v>
      </c>
      <c r="B138" s="11" t="s">
        <v>979</v>
      </c>
    </row>
    <row r="139" spans="1:3">
      <c r="A139" s="11" t="s">
        <v>971</v>
      </c>
      <c r="B139" s="11" t="s">
        <v>980</v>
      </c>
    </row>
    <row r="141" spans="1:3">
      <c r="A141" s="11" t="s">
        <v>964</v>
      </c>
      <c r="B141" s="13" t="s">
        <v>528</v>
      </c>
      <c r="C141" s="11" t="s">
        <v>384</v>
      </c>
    </row>
    <row r="142" spans="1:3" ht="28.8" customHeight="1">
      <c r="A142" s="11" t="s">
        <v>966</v>
      </c>
      <c r="B142" s="13" t="s">
        <v>981</v>
      </c>
      <c r="C142" s="11" t="s">
        <v>384</v>
      </c>
    </row>
    <row r="143" spans="1:3">
      <c r="A143" s="11" t="s">
        <v>968</v>
      </c>
      <c r="B143" s="11" t="s">
        <v>982</v>
      </c>
    </row>
    <row r="144" spans="1:3" ht="100.8" customHeight="1">
      <c r="A144" s="11" t="s">
        <v>969</v>
      </c>
      <c r="B144" s="11" t="s">
        <v>983</v>
      </c>
    </row>
    <row r="145" spans="1:3">
      <c r="A145" s="11" t="s">
        <v>971</v>
      </c>
      <c r="B145" s="11" t="s">
        <v>984</v>
      </c>
    </row>
    <row r="147" spans="1:3">
      <c r="A147" s="19" t="s">
        <v>733</v>
      </c>
    </row>
    <row r="149" spans="1:3">
      <c r="A149" s="27" t="s">
        <v>985</v>
      </c>
      <c r="B149" s="28"/>
      <c r="C149" s="29"/>
    </row>
    <row r="150" spans="1:3">
      <c r="A150" s="11" t="s">
        <v>986</v>
      </c>
      <c r="B150" s="13" t="s">
        <v>987</v>
      </c>
      <c r="C150" s="11" t="s">
        <v>384</v>
      </c>
    </row>
    <row r="151" spans="1:3">
      <c r="A151" s="11" t="s">
        <v>988</v>
      </c>
      <c r="B151" s="13"/>
      <c r="C151" s="11" t="s">
        <v>384</v>
      </c>
    </row>
    <row r="152" spans="1:3">
      <c r="A152" s="11" t="s">
        <v>989</v>
      </c>
      <c r="B152" s="11" t="str">
        <f>IF('Agreement 3'!B23="","PLEASE SPECIFY",'Agreement 3'!B23)</f>
        <v>Conduct Maturity Level 5 appraisal in  2025</v>
      </c>
    </row>
    <row r="154" spans="1:3">
      <c r="A154" s="19" t="s">
        <v>733</v>
      </c>
    </row>
    <row r="156" spans="1:3">
      <c r="A156" s="27" t="s">
        <v>990</v>
      </c>
      <c r="B156" s="28"/>
      <c r="C156" s="29"/>
    </row>
    <row r="157" spans="1:3">
      <c r="A157" s="14" t="s">
        <v>991</v>
      </c>
      <c r="B157" s="14" t="s">
        <v>992</v>
      </c>
    </row>
    <row r="158" spans="1:3">
      <c r="A158" s="11" t="s">
        <v>993</v>
      </c>
      <c r="B158" s="13" t="s">
        <v>805</v>
      </c>
      <c r="C158" s="11" t="s">
        <v>384</v>
      </c>
    </row>
    <row r="159" spans="1:3">
      <c r="A159" s="11" t="s">
        <v>994</v>
      </c>
    </row>
    <row r="160" spans="1:3" ht="28.8" customHeight="1">
      <c r="A160" s="11" t="s">
        <v>995</v>
      </c>
      <c r="B160" s="11" t="s">
        <v>996</v>
      </c>
    </row>
    <row r="161" spans="1:3">
      <c r="A161" s="11" t="s">
        <v>997</v>
      </c>
      <c r="B161" s="13" t="s">
        <v>998</v>
      </c>
      <c r="C161" s="11" t="s">
        <v>384</v>
      </c>
    </row>
    <row r="162" spans="1:3" ht="57.6" customHeight="1">
      <c r="A162" s="11" t="s">
        <v>999</v>
      </c>
      <c r="B162" s="11" t="s">
        <v>1000</v>
      </c>
    </row>
    <row r="163" spans="1:3">
      <c r="A163" s="11" t="s">
        <v>1001</v>
      </c>
      <c r="B163" s="13" t="s">
        <v>1002</v>
      </c>
      <c r="C163" s="11" t="s">
        <v>384</v>
      </c>
    </row>
    <row r="165" spans="1:3">
      <c r="A165" s="14" t="s">
        <v>1003</v>
      </c>
      <c r="B165" s="14" t="s">
        <v>1004</v>
      </c>
    </row>
    <row r="166" spans="1:3">
      <c r="A166" s="11" t="s">
        <v>993</v>
      </c>
      <c r="B166" s="13" t="s">
        <v>528</v>
      </c>
      <c r="C166" s="11" t="s">
        <v>384</v>
      </c>
    </row>
    <row r="167" spans="1:3">
      <c r="A167" s="11" t="s">
        <v>994</v>
      </c>
      <c r="B167" s="11" t="s">
        <v>1005</v>
      </c>
    </row>
    <row r="168" spans="1:3" ht="28.8" customHeight="1">
      <c r="A168" s="11" t="s">
        <v>995</v>
      </c>
      <c r="B168" s="11" t="s">
        <v>1006</v>
      </c>
    </row>
    <row r="169" spans="1:3">
      <c r="A169" s="11" t="s">
        <v>997</v>
      </c>
      <c r="B169" s="13" t="s">
        <v>1007</v>
      </c>
      <c r="C169" s="11" t="s">
        <v>384</v>
      </c>
    </row>
    <row r="170" spans="1:3" ht="100.8" customHeight="1">
      <c r="A170" s="11" t="s">
        <v>999</v>
      </c>
      <c r="B170" s="11" t="s">
        <v>1008</v>
      </c>
    </row>
    <row r="171" spans="1:3">
      <c r="A171" s="11" t="s">
        <v>1001</v>
      </c>
      <c r="B171" s="13" t="s">
        <v>1002</v>
      </c>
      <c r="C171" s="11" t="s">
        <v>384</v>
      </c>
    </row>
    <row r="173" spans="1:3">
      <c r="A173" s="14" t="s">
        <v>1009</v>
      </c>
      <c r="B173" s="14" t="s">
        <v>1010</v>
      </c>
    </row>
    <row r="174" spans="1:3">
      <c r="A174" s="11" t="s">
        <v>993</v>
      </c>
      <c r="B174" s="13" t="s">
        <v>528</v>
      </c>
      <c r="C174" s="11" t="s">
        <v>384</v>
      </c>
    </row>
    <row r="175" spans="1:3">
      <c r="A175" s="11" t="s">
        <v>994</v>
      </c>
      <c r="B175" s="11" t="s">
        <v>1011</v>
      </c>
    </row>
    <row r="176" spans="1:3" ht="43.2" customHeight="1">
      <c r="A176" s="11" t="s">
        <v>995</v>
      </c>
      <c r="B176" s="11" t="s">
        <v>1012</v>
      </c>
    </row>
    <row r="177" spans="1:3">
      <c r="A177" s="11" t="s">
        <v>997</v>
      </c>
      <c r="B177" s="13" t="s">
        <v>1007</v>
      </c>
      <c r="C177" s="11" t="s">
        <v>384</v>
      </c>
    </row>
    <row r="178" spans="1:3" ht="100.8" customHeight="1">
      <c r="A178" s="11" t="s">
        <v>999</v>
      </c>
      <c r="B178" s="11" t="s">
        <v>1013</v>
      </c>
    </row>
    <row r="179" spans="1:3">
      <c r="A179" s="11" t="s">
        <v>1001</v>
      </c>
      <c r="B179" s="13" t="s">
        <v>1014</v>
      </c>
      <c r="C179" s="11" t="s">
        <v>384</v>
      </c>
    </row>
    <row r="181" spans="1:3">
      <c r="A181" s="14" t="s">
        <v>1015</v>
      </c>
      <c r="B181" s="14" t="s">
        <v>1016</v>
      </c>
    </row>
    <row r="182" spans="1:3">
      <c r="A182" s="11" t="s">
        <v>993</v>
      </c>
      <c r="B182" s="13" t="s">
        <v>528</v>
      </c>
      <c r="C182" s="11" t="s">
        <v>384</v>
      </c>
    </row>
    <row r="183" spans="1:3">
      <c r="A183" s="11" t="s">
        <v>994</v>
      </c>
      <c r="B183" s="11" t="s">
        <v>1011</v>
      </c>
    </row>
    <row r="184" spans="1:3" ht="28.8" customHeight="1">
      <c r="A184" s="11" t="s">
        <v>995</v>
      </c>
      <c r="B184" s="11" t="s">
        <v>1017</v>
      </c>
    </row>
    <row r="185" spans="1:3">
      <c r="A185" s="11" t="s">
        <v>997</v>
      </c>
      <c r="B185" s="13" t="s">
        <v>1018</v>
      </c>
      <c r="C185" s="11" t="s">
        <v>384</v>
      </c>
    </row>
    <row r="186" spans="1:3" ht="135.6" customHeight="1">
      <c r="A186" s="11" t="s">
        <v>999</v>
      </c>
      <c r="B186" s="11" t="s">
        <v>1019</v>
      </c>
    </row>
    <row r="187" spans="1:3">
      <c r="A187" s="11" t="s">
        <v>1001</v>
      </c>
      <c r="B187" s="13" t="s">
        <v>1014</v>
      </c>
      <c r="C187" s="11" t="s">
        <v>384</v>
      </c>
    </row>
    <row r="189" spans="1:3">
      <c r="A189" s="14" t="s">
        <v>1020</v>
      </c>
      <c r="B189" s="14" t="s">
        <v>1021</v>
      </c>
    </row>
    <row r="190" spans="1:3">
      <c r="A190" s="11" t="s">
        <v>993</v>
      </c>
      <c r="B190" s="13" t="s">
        <v>218</v>
      </c>
      <c r="C190" s="11" t="s">
        <v>384</v>
      </c>
    </row>
    <row r="191" spans="1:3">
      <c r="A191" s="11" t="s">
        <v>994</v>
      </c>
    </row>
    <row r="192" spans="1:3" ht="43.2" customHeight="1">
      <c r="A192" s="11" t="s">
        <v>995</v>
      </c>
      <c r="B192" s="11" t="s">
        <v>1022</v>
      </c>
    </row>
    <row r="193" spans="1:3">
      <c r="A193" s="11" t="s">
        <v>997</v>
      </c>
      <c r="B193" s="13" t="s">
        <v>1018</v>
      </c>
      <c r="C193" s="11" t="s">
        <v>384</v>
      </c>
    </row>
    <row r="194" spans="1:3" ht="144" customHeight="1">
      <c r="A194" s="11" t="s">
        <v>999</v>
      </c>
      <c r="B194" s="11" t="s">
        <v>1023</v>
      </c>
    </row>
    <row r="195" spans="1:3">
      <c r="A195" s="11" t="s">
        <v>1001</v>
      </c>
      <c r="B195" s="13" t="s">
        <v>1014</v>
      </c>
      <c r="C195" s="11" t="s">
        <v>384</v>
      </c>
    </row>
    <row r="197" spans="1:3" ht="28.8" customHeight="1">
      <c r="A197" s="14" t="s">
        <v>1024</v>
      </c>
      <c r="B197" s="14" t="s">
        <v>1025</v>
      </c>
    </row>
    <row r="198" spans="1:3">
      <c r="A198" s="11" t="s">
        <v>993</v>
      </c>
      <c r="B198" s="13" t="s">
        <v>528</v>
      </c>
      <c r="C198" s="11" t="s">
        <v>384</v>
      </c>
    </row>
    <row r="199" spans="1:3">
      <c r="A199" s="11" t="s">
        <v>994</v>
      </c>
      <c r="B199" s="11" t="s">
        <v>1005</v>
      </c>
    </row>
    <row r="200" spans="1:3" ht="43.2" customHeight="1">
      <c r="A200" s="11" t="s">
        <v>995</v>
      </c>
      <c r="B200" s="11" t="s">
        <v>1026</v>
      </c>
    </row>
    <row r="201" spans="1:3">
      <c r="A201" s="11" t="s">
        <v>997</v>
      </c>
      <c r="B201" s="13" t="s">
        <v>1007</v>
      </c>
      <c r="C201" s="11" t="s">
        <v>384</v>
      </c>
    </row>
    <row r="202" spans="1:3" ht="115.2" customHeight="1">
      <c r="A202" s="11" t="s">
        <v>999</v>
      </c>
      <c r="B202" s="11" t="s">
        <v>1027</v>
      </c>
    </row>
    <row r="203" spans="1:3">
      <c r="A203" s="11" t="s">
        <v>1001</v>
      </c>
      <c r="B203" s="13" t="s">
        <v>1014</v>
      </c>
      <c r="C203" s="11" t="s">
        <v>384</v>
      </c>
    </row>
    <row r="206" spans="1:3">
      <c r="A206" s="14" t="s">
        <v>1028</v>
      </c>
      <c r="B206" s="14" t="s">
        <v>1029</v>
      </c>
    </row>
    <row r="207" spans="1:3">
      <c r="A207" s="11" t="s">
        <v>993</v>
      </c>
      <c r="B207" s="13" t="s">
        <v>528</v>
      </c>
      <c r="C207" s="11" t="s">
        <v>384</v>
      </c>
    </row>
    <row r="208" spans="1:3">
      <c r="A208" s="11" t="s">
        <v>994</v>
      </c>
      <c r="B208" s="11" t="s">
        <v>1005</v>
      </c>
    </row>
    <row r="209" spans="1:3" ht="28.8" customHeight="1">
      <c r="A209" s="11" t="s">
        <v>995</v>
      </c>
      <c r="B209" s="11" t="s">
        <v>1030</v>
      </c>
    </row>
    <row r="210" spans="1:3">
      <c r="A210" s="11" t="s">
        <v>997</v>
      </c>
      <c r="B210" s="13" t="s">
        <v>1018</v>
      </c>
      <c r="C210" s="11" t="s">
        <v>384</v>
      </c>
    </row>
    <row r="211" spans="1:3" ht="43.2" customHeight="1">
      <c r="A211" s="11" t="s">
        <v>999</v>
      </c>
      <c r="B211" s="11" t="s">
        <v>1031</v>
      </c>
    </row>
    <row r="212" spans="1:3">
      <c r="A212" s="11" t="s">
        <v>1001</v>
      </c>
      <c r="B212" s="13" t="s">
        <v>1014</v>
      </c>
      <c r="C212" s="11" t="s">
        <v>384</v>
      </c>
    </row>
    <row r="214" spans="1:3">
      <c r="A214" s="14" t="s">
        <v>1032</v>
      </c>
      <c r="B214" s="14" t="s">
        <v>1033</v>
      </c>
    </row>
    <row r="215" spans="1:3">
      <c r="A215" s="11" t="s">
        <v>993</v>
      </c>
      <c r="B215" s="13" t="s">
        <v>528</v>
      </c>
      <c r="C215" s="11" t="s">
        <v>384</v>
      </c>
    </row>
    <row r="216" spans="1:3">
      <c r="A216" s="11" t="s">
        <v>994</v>
      </c>
      <c r="B216" s="11" t="s">
        <v>1005</v>
      </c>
    </row>
    <row r="217" spans="1:3" ht="28.8" customHeight="1">
      <c r="A217" s="11" t="s">
        <v>995</v>
      </c>
      <c r="B217" s="11" t="s">
        <v>1034</v>
      </c>
    </row>
    <row r="218" spans="1:3">
      <c r="A218" s="11" t="s">
        <v>997</v>
      </c>
      <c r="B218" s="13" t="s">
        <v>1007</v>
      </c>
      <c r="C218" s="11" t="s">
        <v>384</v>
      </c>
    </row>
    <row r="219" spans="1:3" ht="57.6" customHeight="1">
      <c r="A219" s="11" t="s">
        <v>999</v>
      </c>
      <c r="B219" s="11" t="s">
        <v>1035</v>
      </c>
    </row>
    <row r="220" spans="1:3">
      <c r="A220" s="11" t="s">
        <v>1001</v>
      </c>
      <c r="B220" s="13" t="s">
        <v>1014</v>
      </c>
      <c r="C220" s="11" t="s">
        <v>384</v>
      </c>
    </row>
    <row r="222" spans="1:3">
      <c r="A222" s="14" t="s">
        <v>1036</v>
      </c>
      <c r="B222" s="14" t="s">
        <v>1037</v>
      </c>
    </row>
    <row r="223" spans="1:3">
      <c r="A223" s="11" t="s">
        <v>993</v>
      </c>
      <c r="B223" s="13" t="s">
        <v>528</v>
      </c>
      <c r="C223" s="11" t="s">
        <v>384</v>
      </c>
    </row>
    <row r="224" spans="1:3">
      <c r="A224" s="11" t="s">
        <v>994</v>
      </c>
      <c r="B224" s="11" t="s">
        <v>1005</v>
      </c>
    </row>
    <row r="225" spans="1:3" ht="28.8" customHeight="1">
      <c r="A225" s="11" t="s">
        <v>995</v>
      </c>
      <c r="B225" s="11" t="s">
        <v>1038</v>
      </c>
    </row>
    <row r="226" spans="1:3">
      <c r="A226" s="11" t="s">
        <v>997</v>
      </c>
      <c r="B226" s="13" t="s">
        <v>1007</v>
      </c>
      <c r="C226" s="11" t="s">
        <v>384</v>
      </c>
    </row>
    <row r="227" spans="1:3" ht="129.6" customHeight="1">
      <c r="A227" s="11" t="s">
        <v>999</v>
      </c>
      <c r="B227" s="11" t="s">
        <v>1039</v>
      </c>
    </row>
    <row r="228" spans="1:3">
      <c r="A228" s="11" t="s">
        <v>1001</v>
      </c>
      <c r="B228" s="13" t="s">
        <v>1014</v>
      </c>
      <c r="C228" s="11" t="s">
        <v>384</v>
      </c>
    </row>
    <row r="230" spans="1:3">
      <c r="A230" s="14" t="s">
        <v>1040</v>
      </c>
      <c r="B230" s="14" t="s">
        <v>1041</v>
      </c>
    </row>
    <row r="231" spans="1:3">
      <c r="A231" s="11" t="s">
        <v>993</v>
      </c>
      <c r="B231" s="13" t="s">
        <v>528</v>
      </c>
      <c r="C231" s="11" t="s">
        <v>384</v>
      </c>
    </row>
    <row r="232" spans="1:3">
      <c r="A232" s="11" t="s">
        <v>994</v>
      </c>
      <c r="B232" s="11" t="s">
        <v>1005</v>
      </c>
    </row>
    <row r="233" spans="1:3">
      <c r="A233" s="11" t="s">
        <v>995</v>
      </c>
      <c r="B233" s="11" t="s">
        <v>1042</v>
      </c>
    </row>
    <row r="234" spans="1:3">
      <c r="A234" s="11" t="s">
        <v>997</v>
      </c>
      <c r="B234" s="13" t="s">
        <v>1007</v>
      </c>
      <c r="C234" s="11" t="s">
        <v>384</v>
      </c>
    </row>
    <row r="235" spans="1:3" ht="43.2" customHeight="1">
      <c r="A235" s="11" t="s">
        <v>999</v>
      </c>
      <c r="B235" s="11" t="s">
        <v>1043</v>
      </c>
    </row>
    <row r="236" spans="1:3">
      <c r="A236" s="11" t="s">
        <v>1001</v>
      </c>
      <c r="B236" s="13" t="s">
        <v>1002</v>
      </c>
      <c r="C236" s="11" t="s">
        <v>384</v>
      </c>
    </row>
    <row r="238" spans="1:3">
      <c r="A238" s="14" t="s">
        <v>1044</v>
      </c>
      <c r="B238" s="14" t="s">
        <v>1045</v>
      </c>
    </row>
    <row r="239" spans="1:3">
      <c r="A239" s="11" t="s">
        <v>993</v>
      </c>
      <c r="B239" s="13" t="s">
        <v>528</v>
      </c>
      <c r="C239" s="11" t="s">
        <v>384</v>
      </c>
    </row>
    <row r="240" spans="1:3">
      <c r="A240" s="11" t="s">
        <v>994</v>
      </c>
      <c r="B240" s="11" t="s">
        <v>1005</v>
      </c>
    </row>
    <row r="241" spans="1:3">
      <c r="A241" s="11" t="s">
        <v>995</v>
      </c>
      <c r="B241" s="11" t="s">
        <v>1046</v>
      </c>
    </row>
    <row r="242" spans="1:3">
      <c r="A242" s="11" t="s">
        <v>997</v>
      </c>
      <c r="B242" s="13" t="s">
        <v>1007</v>
      </c>
      <c r="C242" s="11" t="s">
        <v>384</v>
      </c>
    </row>
    <row r="243" spans="1:3" ht="72" customHeight="1">
      <c r="A243" s="11" t="s">
        <v>999</v>
      </c>
      <c r="B243" s="11" t="s">
        <v>1047</v>
      </c>
    </row>
    <row r="244" spans="1:3">
      <c r="A244" s="11" t="s">
        <v>1001</v>
      </c>
      <c r="B244" s="13" t="s">
        <v>1014</v>
      </c>
      <c r="C244" s="11" t="s">
        <v>384</v>
      </c>
    </row>
    <row r="246" spans="1:3">
      <c r="A246" s="14" t="s">
        <v>1048</v>
      </c>
      <c r="B246" s="14" t="s">
        <v>1049</v>
      </c>
    </row>
    <row r="247" spans="1:3">
      <c r="A247" s="11" t="s">
        <v>993</v>
      </c>
      <c r="B247" s="13" t="s">
        <v>528</v>
      </c>
      <c r="C247" s="11" t="s">
        <v>384</v>
      </c>
    </row>
    <row r="248" spans="1:3">
      <c r="A248" s="11" t="s">
        <v>994</v>
      </c>
      <c r="B248" s="11" t="s">
        <v>1005</v>
      </c>
    </row>
    <row r="249" spans="1:3">
      <c r="A249" s="11" t="s">
        <v>995</v>
      </c>
      <c r="B249" s="11" t="s">
        <v>1050</v>
      </c>
    </row>
    <row r="250" spans="1:3">
      <c r="A250" s="11" t="s">
        <v>997</v>
      </c>
      <c r="B250" s="13" t="s">
        <v>1007</v>
      </c>
      <c r="C250" s="11" t="s">
        <v>384</v>
      </c>
    </row>
    <row r="251" spans="1:3" ht="43.2" customHeight="1">
      <c r="A251" s="11" t="s">
        <v>999</v>
      </c>
      <c r="B251" s="11" t="s">
        <v>1051</v>
      </c>
    </row>
    <row r="252" spans="1:3">
      <c r="A252" s="11" t="s">
        <v>1001</v>
      </c>
      <c r="B252" s="13" t="s">
        <v>1014</v>
      </c>
      <c r="C252" s="11" t="s">
        <v>384</v>
      </c>
    </row>
    <row r="254" spans="1:3">
      <c r="A254" s="19" t="s">
        <v>733</v>
      </c>
    </row>
    <row r="256" spans="1:3">
      <c r="A256" s="27" t="s">
        <v>1052</v>
      </c>
      <c r="B256" s="28"/>
      <c r="C256" s="29"/>
    </row>
    <row r="257" spans="1:3" ht="28.8" customHeight="1">
      <c r="A257" s="14" t="s">
        <v>1053</v>
      </c>
      <c r="B257" s="13" t="s">
        <v>1054</v>
      </c>
      <c r="C257" s="11" t="s">
        <v>384</v>
      </c>
    </row>
    <row r="258" spans="1:3">
      <c r="A258" s="11" t="s">
        <v>718</v>
      </c>
      <c r="B258" s="11" t="s">
        <v>760</v>
      </c>
    </row>
    <row r="259" spans="1:3" ht="43.2" customHeight="1">
      <c r="A259" s="11" t="s">
        <v>152</v>
      </c>
      <c r="B259" s="11" t="s">
        <v>1055</v>
      </c>
    </row>
    <row r="260" spans="1:3">
      <c r="A260" s="11" t="s">
        <v>719</v>
      </c>
      <c r="B260" s="13" t="s">
        <v>998</v>
      </c>
      <c r="C260" s="11" t="s">
        <v>384</v>
      </c>
    </row>
    <row r="261" spans="1:3" ht="100.8" customHeight="1">
      <c r="A261" s="11" t="s">
        <v>720</v>
      </c>
      <c r="B261" s="11" t="s">
        <v>1056</v>
      </c>
    </row>
    <row r="262" spans="1:3">
      <c r="A262" s="11" t="s">
        <v>721</v>
      </c>
      <c r="B262" s="13" t="s">
        <v>1002</v>
      </c>
      <c r="C262" s="11" t="s">
        <v>384</v>
      </c>
    </row>
    <row r="264" spans="1:3">
      <c r="A264" s="14" t="s">
        <v>1053</v>
      </c>
      <c r="B264" s="13" t="s">
        <v>528</v>
      </c>
      <c r="C264" s="11" t="s">
        <v>384</v>
      </c>
    </row>
    <row r="265" spans="1:3" ht="43.2" customHeight="1">
      <c r="A265" s="11" t="s">
        <v>718</v>
      </c>
      <c r="B265" s="11" t="s">
        <v>1057</v>
      </c>
    </row>
    <row r="266" spans="1:3" ht="28.8" customHeight="1">
      <c r="A266" s="11" t="s">
        <v>152</v>
      </c>
      <c r="B266" s="11" t="s">
        <v>1058</v>
      </c>
    </row>
    <row r="267" spans="1:3">
      <c r="A267" s="11" t="s">
        <v>719</v>
      </c>
      <c r="B267" s="13" t="s">
        <v>998</v>
      </c>
      <c r="C267" s="11" t="s">
        <v>384</v>
      </c>
    </row>
    <row r="268" spans="1:3" ht="28.8" customHeight="1">
      <c r="A268" s="11" t="s">
        <v>720</v>
      </c>
      <c r="B268" s="11" t="s">
        <v>1059</v>
      </c>
    </row>
    <row r="269" spans="1:3">
      <c r="A269" s="11" t="s">
        <v>721</v>
      </c>
      <c r="B269" s="13" t="s">
        <v>1002</v>
      </c>
      <c r="C269" s="11" t="s">
        <v>384</v>
      </c>
    </row>
    <row r="272" spans="1:3">
      <c r="A272" s="14" t="s">
        <v>1053</v>
      </c>
      <c r="B272" s="13" t="s">
        <v>528</v>
      </c>
      <c r="C272" s="11" t="s">
        <v>384</v>
      </c>
    </row>
    <row r="273" spans="1:3" ht="28.8" customHeight="1">
      <c r="A273" s="11" t="s">
        <v>718</v>
      </c>
      <c r="B273" s="11" t="s">
        <v>1060</v>
      </c>
    </row>
    <row r="274" spans="1:3">
      <c r="A274" s="11" t="s">
        <v>152</v>
      </c>
      <c r="B274" s="11" t="s">
        <v>1061</v>
      </c>
    </row>
    <row r="275" spans="1:3">
      <c r="A275" s="11" t="s">
        <v>719</v>
      </c>
      <c r="B275" s="13" t="s">
        <v>998</v>
      </c>
      <c r="C275" s="11" t="s">
        <v>384</v>
      </c>
    </row>
    <row r="276" spans="1:3">
      <c r="A276" s="11" t="s">
        <v>720</v>
      </c>
      <c r="B276" s="11" t="s">
        <v>1062</v>
      </c>
    </row>
    <row r="277" spans="1:3">
      <c r="A277" s="11" t="s">
        <v>721</v>
      </c>
      <c r="B277" s="13" t="s">
        <v>1002</v>
      </c>
      <c r="C277" s="11" t="s">
        <v>384</v>
      </c>
    </row>
    <row r="279" spans="1:3">
      <c r="A279" s="14" t="s">
        <v>1053</v>
      </c>
      <c r="B279" s="13" t="s">
        <v>528</v>
      </c>
      <c r="C279" s="11" t="s">
        <v>384</v>
      </c>
    </row>
    <row r="280" spans="1:3">
      <c r="A280" s="11" t="s">
        <v>718</v>
      </c>
      <c r="B280" s="11" t="s">
        <v>1063</v>
      </c>
    </row>
    <row r="281" spans="1:3">
      <c r="A281" s="11" t="s">
        <v>152</v>
      </c>
      <c r="B281" s="11" t="s">
        <v>1064</v>
      </c>
    </row>
    <row r="282" spans="1:3">
      <c r="A282" s="11" t="s">
        <v>719</v>
      </c>
      <c r="B282" s="13" t="s">
        <v>998</v>
      </c>
      <c r="C282" s="11" t="s">
        <v>384</v>
      </c>
    </row>
    <row r="283" spans="1:3">
      <c r="A283" s="11" t="s">
        <v>720</v>
      </c>
      <c r="B283" s="11" t="s">
        <v>1065</v>
      </c>
    </row>
    <row r="284" spans="1:3">
      <c r="A284" s="11" t="s">
        <v>721</v>
      </c>
      <c r="B284" s="13" t="s">
        <v>1002</v>
      </c>
      <c r="C284" s="11" t="s">
        <v>384</v>
      </c>
    </row>
    <row r="286" spans="1:3">
      <c r="A286" s="14" t="s">
        <v>1053</v>
      </c>
      <c r="B286" s="13" t="s">
        <v>528</v>
      </c>
      <c r="C286" s="11" t="s">
        <v>384</v>
      </c>
    </row>
    <row r="287" spans="1:3" ht="43.2" customHeight="1">
      <c r="A287" s="11" t="s">
        <v>718</v>
      </c>
      <c r="B287" s="11" t="s">
        <v>1066</v>
      </c>
    </row>
    <row r="288" spans="1:3">
      <c r="A288" s="11" t="s">
        <v>152</v>
      </c>
      <c r="B288" s="11" t="s">
        <v>1067</v>
      </c>
    </row>
    <row r="289" spans="1:3">
      <c r="A289" s="11" t="s">
        <v>719</v>
      </c>
      <c r="B289" s="13" t="s">
        <v>998</v>
      </c>
      <c r="C289" s="11" t="s">
        <v>384</v>
      </c>
    </row>
    <row r="290" spans="1:3" ht="28.8" customHeight="1">
      <c r="A290" s="11" t="s">
        <v>720</v>
      </c>
      <c r="B290" s="11" t="s">
        <v>1068</v>
      </c>
    </row>
    <row r="291" spans="1:3">
      <c r="A291" s="11" t="s">
        <v>721</v>
      </c>
      <c r="B291" s="13" t="s">
        <v>1002</v>
      </c>
      <c r="C291" s="11" t="s">
        <v>384</v>
      </c>
    </row>
    <row r="294" spans="1:3">
      <c r="A294" s="19" t="s">
        <v>733</v>
      </c>
    </row>
    <row r="296" spans="1:3">
      <c r="A296" s="27" t="s">
        <v>1069</v>
      </c>
      <c r="B296" s="28"/>
      <c r="C296" s="29"/>
    </row>
    <row r="297" spans="1:3">
      <c r="A297" s="11" t="s">
        <v>722</v>
      </c>
      <c r="B297" s="13" t="s">
        <v>1070</v>
      </c>
      <c r="C297" s="11" t="s">
        <v>384</v>
      </c>
    </row>
    <row r="298" spans="1:3">
      <c r="A298" s="11" t="s">
        <v>723</v>
      </c>
    </row>
    <row r="299" spans="1:3" ht="28.8" customHeight="1">
      <c r="A299" s="11" t="s">
        <v>724</v>
      </c>
      <c r="B299" s="11" t="s">
        <v>1071</v>
      </c>
    </row>
    <row r="301" spans="1:3">
      <c r="A301" s="19" t="s">
        <v>733</v>
      </c>
    </row>
    <row r="303" spans="1:3">
      <c r="A303" s="27" t="s">
        <v>1072</v>
      </c>
      <c r="B303" s="28"/>
      <c r="C303" s="29"/>
    </row>
    <row r="304" spans="1:3" ht="72" customHeight="1">
      <c r="A304" s="212" t="s">
        <v>1073</v>
      </c>
      <c r="B304" s="13" t="s">
        <v>1074</v>
      </c>
      <c r="C304" s="11" t="s">
        <v>384</v>
      </c>
    </row>
    <row r="306" spans="1:3">
      <c r="A306" s="17" t="s">
        <v>1075</v>
      </c>
      <c r="B306" s="17"/>
    </row>
    <row r="307" spans="1:3">
      <c r="A307" s="27" t="s">
        <v>1076</v>
      </c>
      <c r="B307" s="28"/>
      <c r="C307" s="29"/>
    </row>
    <row r="308" spans="1:3" ht="72" customHeight="1">
      <c r="A308" s="212" t="s">
        <v>1077</v>
      </c>
      <c r="B308" s="13" t="s">
        <v>1074</v>
      </c>
      <c r="C308" s="11" t="s">
        <v>384</v>
      </c>
    </row>
    <row r="311" spans="1:3">
      <c r="A311" s="27" t="s">
        <v>1078</v>
      </c>
      <c r="B311" s="28"/>
      <c r="C311" s="29"/>
    </row>
  </sheetData>
  <mergeCells count="1">
    <mergeCell ref="A114:B114"/>
  </mergeCells>
  <dataValidations count="16">
    <dataValidation type="list" allowBlank="1" showInputMessage="1" showErrorMessage="1" sqref="B50" xr:uid="{00000000-0002-0000-1800-000000000000}">
      <formula1>tbl_CollectionApproach</formula1>
    </dataValidation>
    <dataValidation type="list" allowBlank="1" showInputMessage="1" showErrorMessage="1" sqref="B54" xr:uid="{00000000-0002-0000-1800-000001000000}">
      <formula1>tbl_collectiontechnique</formula1>
    </dataValidation>
    <dataValidation type="list" allowBlank="1" showInputMessage="1" showErrorMessage="1" sqref="B56" xr:uid="{00000000-0002-0000-1800-000002000000}">
      <formula1>"Artifacts, Affirmations, Artifacts and Affirmations"</formula1>
    </dataValidation>
    <dataValidation type="list" allowBlank="1" showInputMessage="1" showErrorMessage="1" sqref="B98 B108" xr:uid="{00000000-0002-0000-1800-000003000000}">
      <formula1>"Yes, No"</formula1>
    </dataValidation>
    <dataValidation type="list" allowBlank="1" showInputMessage="1" showErrorMessage="1" sqref="B62" xr:uid="{00000000-0002-0000-1800-000004000000}">
      <formula1>tbl_responsibleEntity</formula1>
    </dataValidation>
    <dataValidation type="list" allowBlank="1" showInputMessage="1" showErrorMessage="1" sqref="B67" xr:uid="{00000000-0002-0000-1800-000005000000}">
      <formula1>"ATL, Mini-team (subset of the full appraisal team), Appraisal Full Team, Other"</formula1>
    </dataValidation>
    <dataValidation type="list" allowBlank="1" showInputMessage="1" showErrorMessage="1" sqref="B304 B308" xr:uid="{00000000-0002-0000-1800-000006000000}">
      <formula1>"Still to be done, Done"</formula1>
    </dataValidation>
    <dataValidation type="list" allowBlank="1" showInputMessage="1" showErrorMessage="1" sqref="B297" xr:uid="{00000000-0002-0000-1800-000007000000}">
      <formula1>tbl_followon</formula1>
    </dataValidation>
    <dataValidation type="list" allowBlank="1" showInputMessage="1" showErrorMessage="1" sqref="B257 B264 B272 B279 B286" xr:uid="{00000000-0002-0000-1800-000008000000}">
      <formula1>tbl_COI</formula1>
    </dataValidation>
    <dataValidation type="list" allowBlank="1" showInputMessage="1" showErrorMessage="1" sqref="B163 B171 B179 B187 B195 B203 B212 B220 B228 B236 B244 B252 B262 B269 B277 B284 B291" xr:uid="{00000000-0002-0000-1800-000009000000}">
      <formula1>"Open, Closed, Realized"</formula1>
    </dataValidation>
    <dataValidation type="list" allowBlank="1" showInputMessage="1" showErrorMessage="1" sqref="B161 B169 B177 B185 B193 B201 B210 B218 B226 B234 B242 B250 B260 B267 B275 B282 B289" xr:uid="{00000000-0002-0000-1800-00000A000000}">
      <formula1>"High, Medium, Low"</formula1>
    </dataValidation>
    <dataValidation type="list" allowBlank="1" showInputMessage="1" showErrorMessage="1" sqref="B158 B166 B174 B182 B190 B198 B207 B215 B223 B231 B239 B247" xr:uid="{00000000-0002-0000-1800-00000B000000}">
      <formula1>tbl_riskCategory</formula1>
    </dataValidation>
    <dataValidation type="list" allowBlank="1" showInputMessage="1" showErrorMessage="1" sqref="B150" xr:uid="{00000000-0002-0000-1800-00000C000000}">
      <formula1>tbl_constraints</formula1>
    </dataValidation>
    <dataValidation type="list" allowBlank="1" showInputMessage="1" showErrorMessage="1" sqref="B118 B124 B130 B136 B142 B151" xr:uid="{00000000-0002-0000-1800-00000D000000}">
      <formula1>tbl_equipment</formula1>
    </dataValidation>
    <dataValidation type="list" allowBlank="1" showInputMessage="1" showErrorMessage="1" sqref="B117 B123 B129 B135 B141" xr:uid="{00000000-0002-0000-1800-00000E000000}">
      <formula1>tbl_logisticalRequirement</formula1>
    </dataValidation>
    <dataValidation type="list" allowBlank="1" showInputMessage="1" showErrorMessage="1" sqref="B27 B33 B39" xr:uid="{00000000-0002-0000-1800-00000F000000}">
      <formula1>"Executive summary, Other"</formula1>
    </dataValidation>
  </dataValidations>
  <pageMargins left="0.7" right="0.7" top="0.75" bottom="0.75" header="0.3" footer="0.3"/>
  <pageSetup orientation="portrait"/>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tabColor theme="5" tint="0.79998168889431442"/>
    <pageSetUpPr fitToPage="1"/>
  </sheetPr>
  <dimension ref="A1:T37"/>
  <sheetViews>
    <sheetView topLeftCell="A16" workbookViewId="0">
      <selection activeCell="A30" sqref="A1:R30"/>
    </sheetView>
  </sheetViews>
  <sheetFormatPr defaultColWidth="8.77734375" defaultRowHeight="16.2" customHeight="1"/>
  <cols>
    <col min="1" max="6" width="10.77734375" style="355" customWidth="1"/>
    <col min="7" max="16" width="16.77734375" style="355" customWidth="1"/>
    <col min="17" max="18" width="10.77734375" style="355" customWidth="1"/>
    <col min="19" max="19" width="14.77734375" style="355" customWidth="1"/>
    <col min="20" max="20" width="30.21875" style="355" customWidth="1"/>
    <col min="21" max="26" width="8.77734375" style="355" customWidth="1"/>
    <col min="27" max="16384" width="8.77734375" style="355"/>
  </cols>
  <sheetData>
    <row r="1" spans="1:20" ht="16.2" customHeight="1">
      <c r="A1" s="354" t="str">
        <f>_xlfn.CONCAT(StartupInfo!B3," planned and actual onsite schedule")</f>
        <v>Shenzhen Insigma Innovation Software Co., Ltd. planned and actual onsite schedule</v>
      </c>
      <c r="Q1" s="354"/>
    </row>
    <row r="3" spans="1:20" ht="19.95" customHeight="1">
      <c r="A3" s="448" t="str">
        <f>_xlfn.CONCAT("Week ",T8)</f>
        <v>Week 21</v>
      </c>
      <c r="B3" s="449"/>
      <c r="C3" s="356" t="s">
        <v>1079</v>
      </c>
      <c r="D3" s="357" t="s">
        <v>1080</v>
      </c>
      <c r="E3" s="356" t="s">
        <v>1079</v>
      </c>
      <c r="F3" s="357" t="s">
        <v>1080</v>
      </c>
      <c r="G3" s="356" t="s">
        <v>1079</v>
      </c>
      <c r="H3" s="357" t="s">
        <v>1080</v>
      </c>
      <c r="I3" s="356" t="s">
        <v>1079</v>
      </c>
      <c r="J3" s="357" t="s">
        <v>1080</v>
      </c>
      <c r="K3" s="356" t="s">
        <v>1079</v>
      </c>
      <c r="L3" s="357" t="s">
        <v>1080</v>
      </c>
      <c r="M3" s="356" t="s">
        <v>1079</v>
      </c>
      <c r="N3" s="357" t="s">
        <v>1080</v>
      </c>
      <c r="O3" s="356" t="s">
        <v>1079</v>
      </c>
      <c r="P3" s="357" t="s">
        <v>1080</v>
      </c>
      <c r="Q3" s="448" t="str">
        <f>_xlfn.CONCAT("Week ",AJ8)</f>
        <v xml:space="preserve">Week </v>
      </c>
      <c r="R3" s="449"/>
    </row>
    <row r="4" spans="1:20" ht="19.95" customHeight="1">
      <c r="A4" s="450"/>
      <c r="B4" s="451"/>
      <c r="C4" s="358">
        <f t="shared" ref="C4:P4" si="0">C5</f>
        <v>46165</v>
      </c>
      <c r="D4" s="359">
        <f t="shared" si="0"/>
        <v>46165</v>
      </c>
      <c r="E4" s="358">
        <f t="shared" si="0"/>
        <v>46166</v>
      </c>
      <c r="F4" s="359">
        <f t="shared" si="0"/>
        <v>46166</v>
      </c>
      <c r="G4" s="358">
        <f t="shared" si="0"/>
        <v>46167</v>
      </c>
      <c r="H4" s="359">
        <f t="shared" si="0"/>
        <v>46167</v>
      </c>
      <c r="I4" s="358">
        <f t="shared" si="0"/>
        <v>46168</v>
      </c>
      <c r="J4" s="359">
        <f t="shared" si="0"/>
        <v>46168</v>
      </c>
      <c r="K4" s="358">
        <f t="shared" si="0"/>
        <v>46169</v>
      </c>
      <c r="L4" s="359">
        <f t="shared" si="0"/>
        <v>46169</v>
      </c>
      <c r="M4" s="358">
        <f t="shared" si="0"/>
        <v>46170</v>
      </c>
      <c r="N4" s="359">
        <f t="shared" si="0"/>
        <v>46170</v>
      </c>
      <c r="O4" s="358">
        <f t="shared" si="0"/>
        <v>46171</v>
      </c>
      <c r="P4" s="359">
        <f t="shared" si="0"/>
        <v>46171</v>
      </c>
      <c r="Q4" s="450"/>
      <c r="R4" s="451"/>
      <c r="T4" s="355">
        <f>C5</f>
        <v>46165</v>
      </c>
    </row>
    <row r="5" spans="1:20" ht="19.95" customHeight="1">
      <c r="A5" s="360" t="s">
        <v>1081</v>
      </c>
      <c r="B5" s="360" t="s">
        <v>1082</v>
      </c>
      <c r="C5" s="361">
        <f>Planning!B44</f>
        <v>46165</v>
      </c>
      <c r="D5" s="362">
        <f>C5</f>
        <v>46165</v>
      </c>
      <c r="E5" s="361">
        <f t="shared" ref="E5:P5" si="1">C5+1</f>
        <v>46166</v>
      </c>
      <c r="F5" s="362">
        <f t="shared" si="1"/>
        <v>46166</v>
      </c>
      <c r="G5" s="361">
        <f t="shared" si="1"/>
        <v>46167</v>
      </c>
      <c r="H5" s="362">
        <f t="shared" si="1"/>
        <v>46167</v>
      </c>
      <c r="I5" s="361">
        <f t="shared" si="1"/>
        <v>46168</v>
      </c>
      <c r="J5" s="362">
        <f t="shared" si="1"/>
        <v>46168</v>
      </c>
      <c r="K5" s="361">
        <f t="shared" si="1"/>
        <v>46169</v>
      </c>
      <c r="L5" s="362">
        <f t="shared" si="1"/>
        <v>46169</v>
      </c>
      <c r="M5" s="361">
        <f t="shared" si="1"/>
        <v>46170</v>
      </c>
      <c r="N5" s="362">
        <f t="shared" si="1"/>
        <v>46170</v>
      </c>
      <c r="O5" s="361">
        <f t="shared" si="1"/>
        <v>46171</v>
      </c>
      <c r="P5" s="362">
        <f t="shared" si="1"/>
        <v>46171</v>
      </c>
      <c r="Q5" s="360" t="s">
        <v>1081</v>
      </c>
      <c r="R5" s="360" t="s">
        <v>1082</v>
      </c>
      <c r="T5" s="355">
        <f>YEAR(T4)-1</f>
        <v>2025</v>
      </c>
    </row>
    <row r="6" spans="1:20" ht="19.95" customHeight="1">
      <c r="A6" s="363">
        <v>0.5</v>
      </c>
      <c r="B6" s="363">
        <v>0.25</v>
      </c>
      <c r="C6" s="453"/>
      <c r="D6" s="374"/>
      <c r="E6" s="453"/>
      <c r="F6" s="374"/>
      <c r="G6" s="364" t="s">
        <v>1083</v>
      </c>
      <c r="H6" s="374"/>
      <c r="I6" s="364" t="s">
        <v>1083</v>
      </c>
      <c r="J6" s="374"/>
      <c r="K6" s="364" t="s">
        <v>1083</v>
      </c>
      <c r="L6" s="374"/>
      <c r="M6" s="364" t="s">
        <v>1083</v>
      </c>
      <c r="N6" s="374"/>
      <c r="O6" s="444" t="s">
        <v>1083</v>
      </c>
      <c r="P6" s="374"/>
      <c r="Q6" s="363">
        <v>0.5</v>
      </c>
      <c r="R6" s="363">
        <v>0.25</v>
      </c>
      <c r="T6" s="355">
        <f>DATE(T5,12,31)</f>
        <v>46022</v>
      </c>
    </row>
    <row r="7" spans="1:20" ht="19.95" customHeight="1">
      <c r="A7" s="363">
        <v>0.52083333333333337</v>
      </c>
      <c r="B7" s="363">
        <v>0.27083333333333331</v>
      </c>
      <c r="C7" s="443"/>
      <c r="D7" s="375"/>
      <c r="E7" s="443"/>
      <c r="F7" s="375"/>
      <c r="G7" s="365" t="s">
        <v>1084</v>
      </c>
      <c r="H7" s="375"/>
      <c r="I7" s="461" t="s">
        <v>555</v>
      </c>
      <c r="J7" s="375"/>
      <c r="K7" s="452" t="s">
        <v>1085</v>
      </c>
      <c r="L7" s="375"/>
      <c r="M7" s="446" t="s">
        <v>1086</v>
      </c>
      <c r="N7" s="375"/>
      <c r="O7" s="447"/>
      <c r="P7" s="375"/>
      <c r="Q7" s="363">
        <v>0.52083333333333337</v>
      </c>
      <c r="R7" s="363">
        <v>0.27083333333333331</v>
      </c>
      <c r="T7" s="355">
        <f>T4-T6</f>
        <v>143</v>
      </c>
    </row>
    <row r="8" spans="1:20" ht="19.95" customHeight="1">
      <c r="A8" s="363">
        <v>0.54166666666666663</v>
      </c>
      <c r="B8" s="363">
        <v>0.29166666666666669</v>
      </c>
      <c r="C8" s="452" t="s">
        <v>1087</v>
      </c>
      <c r="D8" s="375"/>
      <c r="E8" s="452" t="s">
        <v>1087</v>
      </c>
      <c r="F8" s="375"/>
      <c r="G8" s="459" t="s">
        <v>1088</v>
      </c>
      <c r="H8" s="375"/>
      <c r="I8" s="447"/>
      <c r="J8" s="375"/>
      <c r="K8" s="445"/>
      <c r="L8" s="375"/>
      <c r="M8" s="443"/>
      <c r="N8" s="375"/>
      <c r="O8" s="445"/>
      <c r="P8" s="375"/>
      <c r="Q8" s="363">
        <v>0.54166666666666663</v>
      </c>
      <c r="R8" s="363">
        <v>0.29166666666666669</v>
      </c>
      <c r="T8" s="355">
        <f>ROUNDUP(T7/7,0)</f>
        <v>21</v>
      </c>
    </row>
    <row r="9" spans="1:20" ht="19.95" customHeight="1">
      <c r="A9" s="363">
        <v>0.5625</v>
      </c>
      <c r="B9" s="363">
        <v>0.3125</v>
      </c>
      <c r="C9" s="447"/>
      <c r="D9" s="375"/>
      <c r="E9" s="447"/>
      <c r="F9" s="375"/>
      <c r="G9" s="443"/>
      <c r="H9" s="375"/>
      <c r="I9" s="443"/>
      <c r="J9" s="375"/>
      <c r="K9" s="365" t="s">
        <v>1089</v>
      </c>
      <c r="L9" s="375"/>
      <c r="M9" s="364" t="s">
        <v>1090</v>
      </c>
      <c r="N9" s="375"/>
      <c r="O9" s="457" t="s">
        <v>1091</v>
      </c>
      <c r="P9" s="375"/>
      <c r="Q9" s="363">
        <v>0.5625</v>
      </c>
      <c r="R9" s="363">
        <v>0.3125</v>
      </c>
    </row>
    <row r="10" spans="1:20" ht="19.95" customHeight="1">
      <c r="A10" s="363">
        <v>0.58333333333333337</v>
      </c>
      <c r="B10" s="363">
        <v>0.33333333333333331</v>
      </c>
      <c r="C10" s="447"/>
      <c r="D10" s="375"/>
      <c r="E10" s="447"/>
      <c r="F10" s="375"/>
      <c r="G10" s="460" t="s">
        <v>1091</v>
      </c>
      <c r="H10" s="375"/>
      <c r="I10" s="457" t="s">
        <v>1091</v>
      </c>
      <c r="J10" s="375"/>
      <c r="K10" s="457" t="s">
        <v>1091</v>
      </c>
      <c r="L10" s="375"/>
      <c r="M10" s="457" t="s">
        <v>1091</v>
      </c>
      <c r="N10" s="375"/>
      <c r="O10" s="443"/>
      <c r="P10" s="375"/>
      <c r="Q10" s="363">
        <v>0.58333333333333337</v>
      </c>
      <c r="R10" s="363">
        <v>0.33333333333333331</v>
      </c>
    </row>
    <row r="11" spans="1:20" ht="19.95" customHeight="1">
      <c r="A11" s="363">
        <v>0.60416666666666663</v>
      </c>
      <c r="B11" s="363">
        <v>0.35416666666666669</v>
      </c>
      <c r="C11" s="447"/>
      <c r="D11" s="375"/>
      <c r="E11" s="447"/>
      <c r="F11" s="375"/>
      <c r="G11" s="445"/>
      <c r="H11" s="375"/>
      <c r="I11" s="443"/>
      <c r="J11" s="375"/>
      <c r="K11" s="443"/>
      <c r="L11" s="375"/>
      <c r="M11" s="443"/>
      <c r="N11" s="375"/>
      <c r="O11" s="472" t="s">
        <v>1092</v>
      </c>
      <c r="P11" s="375"/>
      <c r="Q11" s="363">
        <v>0.60416666666666663</v>
      </c>
      <c r="R11" s="363">
        <v>0.35416666666666669</v>
      </c>
    </row>
    <row r="12" spans="1:20" ht="19.95" customHeight="1">
      <c r="A12" s="363">
        <v>0.625</v>
      </c>
      <c r="B12" s="363">
        <v>0.375</v>
      </c>
      <c r="C12" s="447"/>
      <c r="D12" s="375"/>
      <c r="E12" s="447"/>
      <c r="F12" s="375"/>
      <c r="G12" s="452" t="s">
        <v>1093</v>
      </c>
      <c r="H12" s="375"/>
      <c r="I12" s="446" t="s">
        <v>555</v>
      </c>
      <c r="J12" s="375"/>
      <c r="K12" s="452" t="s">
        <v>1089</v>
      </c>
      <c r="L12" s="375"/>
      <c r="M12" s="444" t="s">
        <v>1094</v>
      </c>
      <c r="N12" s="375"/>
      <c r="O12" s="443"/>
      <c r="P12" s="375"/>
      <c r="Q12" s="363">
        <v>0.625</v>
      </c>
      <c r="R12" s="363">
        <v>0.375</v>
      </c>
    </row>
    <row r="13" spans="1:20" ht="19.95" customHeight="1">
      <c r="A13" s="363">
        <v>0.64583333333333337</v>
      </c>
      <c r="B13" s="363">
        <v>0.39583333333333331</v>
      </c>
      <c r="C13" s="447"/>
      <c r="D13" s="375"/>
      <c r="E13" s="447"/>
      <c r="F13" s="375"/>
      <c r="G13" s="447"/>
      <c r="H13" s="375"/>
      <c r="I13" s="447"/>
      <c r="J13" s="375"/>
      <c r="K13" s="447"/>
      <c r="L13" s="375"/>
      <c r="M13" s="447"/>
      <c r="N13" s="375"/>
      <c r="O13" s="444" t="s">
        <v>1095</v>
      </c>
      <c r="P13" s="375"/>
      <c r="Q13" s="363">
        <v>0.64583333333333337</v>
      </c>
      <c r="R13" s="363">
        <v>0.39583333333333331</v>
      </c>
    </row>
    <row r="14" spans="1:20" ht="19.95" customHeight="1">
      <c r="A14" s="363">
        <v>0.66666666666666663</v>
      </c>
      <c r="B14" s="363">
        <v>0.41666666666666669</v>
      </c>
      <c r="C14" s="447"/>
      <c r="D14" s="375"/>
      <c r="E14" s="447"/>
      <c r="F14" s="375"/>
      <c r="G14" s="447"/>
      <c r="H14" s="375"/>
      <c r="I14" s="447"/>
      <c r="J14" s="375"/>
      <c r="K14" s="447"/>
      <c r="L14" s="375"/>
      <c r="M14" s="445"/>
      <c r="N14" s="375"/>
      <c r="O14" s="447"/>
      <c r="P14" s="375"/>
      <c r="Q14" s="363">
        <v>0.66666666666666663</v>
      </c>
      <c r="R14" s="363">
        <v>0.41666666666666669</v>
      </c>
    </row>
    <row r="15" spans="1:20" ht="19.95" customHeight="1">
      <c r="A15" s="363">
        <v>0.6875</v>
      </c>
      <c r="B15" s="363">
        <v>0.4375</v>
      </c>
      <c r="C15" s="447"/>
      <c r="D15" s="375"/>
      <c r="E15" s="447"/>
      <c r="F15" s="375"/>
      <c r="G15" s="447"/>
      <c r="H15" s="375"/>
      <c r="I15" s="447"/>
      <c r="J15" s="375"/>
      <c r="K15" s="447"/>
      <c r="L15" s="375"/>
      <c r="M15" s="469" t="s">
        <v>1096</v>
      </c>
      <c r="N15" s="375"/>
      <c r="O15" s="447"/>
      <c r="P15" s="375"/>
      <c r="Q15" s="363">
        <v>0.6875</v>
      </c>
      <c r="R15" s="363">
        <v>0.4375</v>
      </c>
    </row>
    <row r="16" spans="1:20" ht="19.95" customHeight="1">
      <c r="A16" s="363">
        <v>0.70833333333333337</v>
      </c>
      <c r="B16" s="363">
        <v>0.45833333333333331</v>
      </c>
      <c r="C16" s="447"/>
      <c r="D16" s="375"/>
      <c r="E16" s="447"/>
      <c r="F16" s="375"/>
      <c r="G16" s="447"/>
      <c r="H16" s="375"/>
      <c r="I16" s="443"/>
      <c r="J16" s="375"/>
      <c r="K16" s="447"/>
      <c r="L16" s="375"/>
      <c r="M16" s="445"/>
      <c r="N16" s="375"/>
      <c r="O16" s="447"/>
      <c r="P16" s="375"/>
      <c r="Q16" s="363">
        <v>0.70833333333333337</v>
      </c>
      <c r="R16" s="363">
        <v>0.45833333333333331</v>
      </c>
    </row>
    <row r="17" spans="1:18" ht="19.95" customHeight="1">
      <c r="A17" s="363">
        <v>0.72916666666666663</v>
      </c>
      <c r="B17" s="363">
        <v>0.47916666666666669</v>
      </c>
      <c r="C17" s="447"/>
      <c r="D17" s="375"/>
      <c r="E17" s="447"/>
      <c r="F17" s="375"/>
      <c r="G17" s="445"/>
      <c r="H17" s="375"/>
      <c r="I17" s="444" t="s">
        <v>1090</v>
      </c>
      <c r="J17" s="375"/>
      <c r="K17" s="447"/>
      <c r="L17" s="375"/>
      <c r="M17" s="471" t="s">
        <v>1097</v>
      </c>
      <c r="N17" s="375"/>
      <c r="O17" s="447"/>
      <c r="P17" s="375"/>
      <c r="Q17" s="363">
        <v>0.72916666666666663</v>
      </c>
      <c r="R17" s="363">
        <v>0.47916666666666669</v>
      </c>
    </row>
    <row r="18" spans="1:18" ht="19.95" customHeight="1">
      <c r="A18" s="363">
        <v>0.75</v>
      </c>
      <c r="B18" s="363">
        <v>0.5</v>
      </c>
      <c r="C18" s="447"/>
      <c r="D18" s="375"/>
      <c r="E18" s="447"/>
      <c r="F18" s="375"/>
      <c r="G18" s="364" t="s">
        <v>1090</v>
      </c>
      <c r="H18" s="375"/>
      <c r="I18" s="445"/>
      <c r="J18" s="375"/>
      <c r="K18" s="447"/>
      <c r="L18" s="375"/>
      <c r="M18" s="445"/>
      <c r="N18" s="375"/>
      <c r="O18" s="447"/>
      <c r="P18" s="375"/>
      <c r="Q18" s="363">
        <v>0.75</v>
      </c>
      <c r="R18" s="363">
        <v>0.5</v>
      </c>
    </row>
    <row r="19" spans="1:18" ht="19.95" customHeight="1">
      <c r="A19" s="363">
        <v>0.77083333333333337</v>
      </c>
      <c r="B19" s="363">
        <v>0.52083333333333337</v>
      </c>
      <c r="C19" s="447"/>
      <c r="D19" s="375"/>
      <c r="E19" s="447"/>
      <c r="F19" s="375"/>
      <c r="G19" s="446" t="s">
        <v>1098</v>
      </c>
      <c r="H19" s="375"/>
      <c r="I19" s="446" t="s">
        <v>571</v>
      </c>
      <c r="J19" s="375"/>
      <c r="K19" s="447"/>
      <c r="L19" s="375"/>
      <c r="M19" s="444" t="s">
        <v>1099</v>
      </c>
      <c r="N19" s="375"/>
      <c r="O19" s="447"/>
      <c r="P19" s="375"/>
      <c r="Q19" s="363">
        <v>0.77083333333333337</v>
      </c>
      <c r="R19" s="363">
        <v>0.52083333333333337</v>
      </c>
    </row>
    <row r="20" spans="1:18" ht="19.95" customHeight="1">
      <c r="A20" s="366">
        <v>0.79166666666666663</v>
      </c>
      <c r="B20" s="366">
        <v>0.54166666666666663</v>
      </c>
      <c r="C20" s="447"/>
      <c r="D20" s="375"/>
      <c r="E20" s="447"/>
      <c r="F20" s="375"/>
      <c r="G20" s="443"/>
      <c r="H20" s="375"/>
      <c r="I20" s="443"/>
      <c r="J20" s="375"/>
      <c r="K20" s="445"/>
      <c r="L20" s="375"/>
      <c r="M20" s="447"/>
      <c r="N20" s="375"/>
      <c r="O20" s="447"/>
      <c r="P20" s="375"/>
      <c r="Q20" s="366">
        <v>0.79166666666666663</v>
      </c>
      <c r="R20" s="366">
        <v>0.54166666666666663</v>
      </c>
    </row>
    <row r="21" spans="1:18" ht="19.95" customHeight="1">
      <c r="A21" s="366">
        <v>0.8125</v>
      </c>
      <c r="B21" s="366">
        <v>0.5625</v>
      </c>
      <c r="C21" s="445"/>
      <c r="D21" s="375"/>
      <c r="E21" s="445"/>
      <c r="F21" s="375"/>
      <c r="G21" s="444" t="s">
        <v>1100</v>
      </c>
      <c r="H21" s="375"/>
      <c r="I21" s="458" t="s">
        <v>1100</v>
      </c>
      <c r="J21" s="375"/>
      <c r="K21" s="458" t="s">
        <v>1100</v>
      </c>
      <c r="L21" s="375"/>
      <c r="M21" s="447"/>
      <c r="N21" s="375"/>
      <c r="O21" s="445"/>
      <c r="P21" s="375"/>
      <c r="Q21" s="366">
        <v>0.8125</v>
      </c>
      <c r="R21" s="366">
        <v>0.5625</v>
      </c>
    </row>
    <row r="22" spans="1:18" ht="19.95" customHeight="1">
      <c r="A22" s="366">
        <v>0.83333333333333337</v>
      </c>
      <c r="B22" s="366">
        <v>0.58333333333333337</v>
      </c>
      <c r="C22" s="444" t="s">
        <v>1101</v>
      </c>
      <c r="D22" s="375"/>
      <c r="E22" s="444" t="s">
        <v>1101</v>
      </c>
      <c r="F22" s="375"/>
      <c r="G22" s="445"/>
      <c r="H22" s="375"/>
      <c r="I22" s="443"/>
      <c r="J22" s="375"/>
      <c r="K22" s="443"/>
      <c r="L22" s="375"/>
      <c r="M22" s="445"/>
      <c r="N22" s="375"/>
      <c r="O22" s="442" t="s">
        <v>1102</v>
      </c>
      <c r="P22" s="375"/>
      <c r="Q22" s="366">
        <v>0.83333333333333337</v>
      </c>
      <c r="R22" s="366">
        <v>0.58333333333333337</v>
      </c>
    </row>
    <row r="23" spans="1:18" ht="19.95" customHeight="1">
      <c r="A23" s="366">
        <v>0.85416666666666663</v>
      </c>
      <c r="B23" s="366">
        <v>0.60416666666666663</v>
      </c>
      <c r="C23" s="445"/>
      <c r="D23" s="375"/>
      <c r="E23" s="445"/>
      <c r="F23" s="375"/>
      <c r="G23" s="473" t="s">
        <v>1102</v>
      </c>
      <c r="H23" s="375"/>
      <c r="I23" s="453" t="s">
        <v>1102</v>
      </c>
      <c r="J23" s="375"/>
      <c r="K23" s="453" t="s">
        <v>1102</v>
      </c>
      <c r="L23" s="375"/>
      <c r="M23" s="453" t="s">
        <v>1102</v>
      </c>
      <c r="N23" s="375"/>
      <c r="O23" s="447"/>
      <c r="P23" s="375"/>
      <c r="Q23" s="366">
        <v>0.85416666666666663</v>
      </c>
      <c r="R23" s="366">
        <v>0.60416666666666663</v>
      </c>
    </row>
    <row r="24" spans="1:18" ht="19.95" customHeight="1">
      <c r="A24" s="366">
        <v>0.875</v>
      </c>
      <c r="B24" s="366">
        <v>0.625</v>
      </c>
      <c r="C24" s="442" t="s">
        <v>1102</v>
      </c>
      <c r="D24" s="375"/>
      <c r="E24" s="442" t="s">
        <v>1102</v>
      </c>
      <c r="F24" s="375"/>
      <c r="G24" s="447"/>
      <c r="H24" s="375"/>
      <c r="I24" s="447"/>
      <c r="J24" s="375"/>
      <c r="K24" s="447"/>
      <c r="L24" s="375"/>
      <c r="M24" s="447"/>
      <c r="N24" s="375"/>
      <c r="O24" s="447"/>
      <c r="P24" s="375"/>
      <c r="Q24" s="366">
        <v>0.875</v>
      </c>
      <c r="R24" s="366">
        <v>0.625</v>
      </c>
    </row>
    <row r="25" spans="1:18" ht="19.95" customHeight="1">
      <c r="A25" s="366">
        <v>0.89583333333333337</v>
      </c>
      <c r="B25" s="366">
        <v>0.64583333333333337</v>
      </c>
      <c r="C25" s="443"/>
      <c r="D25" s="376"/>
      <c r="E25" s="443"/>
      <c r="F25" s="376"/>
      <c r="G25" s="445"/>
      <c r="H25" s="376"/>
      <c r="I25" s="443"/>
      <c r="J25" s="376"/>
      <c r="K25" s="443"/>
      <c r="L25" s="376"/>
      <c r="M25" s="443"/>
      <c r="N25" s="376"/>
      <c r="O25" s="443"/>
      <c r="P25" s="376"/>
      <c r="Q25" s="366">
        <v>0.89583333333333337</v>
      </c>
      <c r="R25" s="366">
        <v>0.64583333333333337</v>
      </c>
    </row>
    <row r="27" spans="1:18" s="432" customFormat="1" ht="16.2" customHeight="1">
      <c r="C27" s="432" t="s">
        <v>2089</v>
      </c>
      <c r="H27" s="432" t="s">
        <v>2090</v>
      </c>
      <c r="L27" s="432" t="s">
        <v>2091</v>
      </c>
    </row>
    <row r="28" spans="1:18" s="432" customFormat="1" ht="16.2" customHeight="1">
      <c r="C28" s="432" t="s">
        <v>2092</v>
      </c>
      <c r="H28" s="432" t="s">
        <v>2093</v>
      </c>
    </row>
    <row r="29" spans="1:18" s="432" customFormat="1" ht="16.2" customHeight="1">
      <c r="C29" s="432" t="s">
        <v>2094</v>
      </c>
      <c r="H29" s="432" t="s">
        <v>2095</v>
      </c>
    </row>
    <row r="33" spans="2:15" ht="16.2" customHeight="1">
      <c r="B33" s="367" t="s">
        <v>149</v>
      </c>
      <c r="C33" s="367" t="s">
        <v>150</v>
      </c>
      <c r="D33" s="466" t="s">
        <v>1103</v>
      </c>
      <c r="E33" s="467"/>
      <c r="F33" s="467"/>
      <c r="G33" s="468"/>
      <c r="H33" s="367" t="s">
        <v>1104</v>
      </c>
      <c r="L33" s="474" t="s">
        <v>1105</v>
      </c>
      <c r="M33" s="455"/>
      <c r="N33" s="455"/>
      <c r="O33" s="456"/>
    </row>
    <row r="34" spans="2:15" ht="16.2" customHeight="1">
      <c r="B34" s="368">
        <v>1</v>
      </c>
      <c r="C34" s="369">
        <f>Planning!B41</f>
        <v>46155</v>
      </c>
      <c r="D34" s="462" t="s">
        <v>1106</v>
      </c>
      <c r="E34" s="463"/>
      <c r="F34" s="463"/>
      <c r="G34" s="464"/>
      <c r="H34" s="370" t="s">
        <v>290</v>
      </c>
      <c r="L34" s="465" t="s">
        <v>1107</v>
      </c>
      <c r="M34" s="455"/>
      <c r="N34" s="455"/>
      <c r="O34" s="456"/>
    </row>
    <row r="35" spans="2:15" ht="16.2" customHeight="1">
      <c r="B35" s="368" t="s">
        <v>1108</v>
      </c>
      <c r="C35" s="369">
        <f>G5</f>
        <v>46167</v>
      </c>
      <c r="D35" s="462" t="s">
        <v>1109</v>
      </c>
      <c r="E35" s="463"/>
      <c r="F35" s="463"/>
      <c r="G35" s="464"/>
      <c r="H35" s="370" t="s">
        <v>284</v>
      </c>
      <c r="L35" s="454" t="s">
        <v>1110</v>
      </c>
      <c r="M35" s="455"/>
      <c r="N35" s="455"/>
      <c r="O35" s="456"/>
    </row>
    <row r="36" spans="2:15" ht="16.2" customHeight="1">
      <c r="B36" s="368"/>
      <c r="C36" s="369"/>
      <c r="D36" s="462"/>
      <c r="E36" s="463"/>
      <c r="F36" s="463"/>
      <c r="G36" s="464"/>
      <c r="H36" s="370"/>
      <c r="L36" s="475" t="s">
        <v>1111</v>
      </c>
      <c r="M36" s="455"/>
      <c r="N36" s="455"/>
      <c r="O36" s="456"/>
    </row>
    <row r="37" spans="2:15" ht="16.2" customHeight="1">
      <c r="B37" s="368"/>
      <c r="C37" s="369"/>
      <c r="D37" s="462"/>
      <c r="E37" s="463"/>
      <c r="F37" s="463"/>
      <c r="G37" s="464"/>
      <c r="H37" s="370"/>
      <c r="L37" s="470" t="s">
        <v>1091</v>
      </c>
      <c r="M37" s="455"/>
      <c r="N37" s="455"/>
      <c r="O37" s="456"/>
    </row>
  </sheetData>
  <mergeCells count="50">
    <mergeCell ref="L37:O37"/>
    <mergeCell ref="Q3:R4"/>
    <mergeCell ref="D36:G36"/>
    <mergeCell ref="M17:M18"/>
    <mergeCell ref="O13:O21"/>
    <mergeCell ref="E8:E21"/>
    <mergeCell ref="O11:O12"/>
    <mergeCell ref="K7:K8"/>
    <mergeCell ref="I19:I20"/>
    <mergeCell ref="G23:G25"/>
    <mergeCell ref="D37:G37"/>
    <mergeCell ref="I10:I11"/>
    <mergeCell ref="L33:O33"/>
    <mergeCell ref="K10:K11"/>
    <mergeCell ref="L36:O36"/>
    <mergeCell ref="D35:G35"/>
    <mergeCell ref="D34:G34"/>
    <mergeCell ref="L34:O34"/>
    <mergeCell ref="K12:K20"/>
    <mergeCell ref="D33:G33"/>
    <mergeCell ref="I23:I25"/>
    <mergeCell ref="G19:G20"/>
    <mergeCell ref="K23:K25"/>
    <mergeCell ref="M19:M22"/>
    <mergeCell ref="E24:E25"/>
    <mergeCell ref="M15:M16"/>
    <mergeCell ref="L35:O35"/>
    <mergeCell ref="O9:O10"/>
    <mergeCell ref="E22:E23"/>
    <mergeCell ref="M12:M14"/>
    <mergeCell ref="K21:K22"/>
    <mergeCell ref="G8:G9"/>
    <mergeCell ref="G12:G17"/>
    <mergeCell ref="M7:M8"/>
    <mergeCell ref="G10:G11"/>
    <mergeCell ref="M10:M11"/>
    <mergeCell ref="E6:E7"/>
    <mergeCell ref="M23:M25"/>
    <mergeCell ref="O6:O8"/>
    <mergeCell ref="O22:O25"/>
    <mergeCell ref="I7:I9"/>
    <mergeCell ref="I21:I22"/>
    <mergeCell ref="C24:C25"/>
    <mergeCell ref="G21:G22"/>
    <mergeCell ref="I12:I16"/>
    <mergeCell ref="A3:B4"/>
    <mergeCell ref="C8:C21"/>
    <mergeCell ref="C22:C23"/>
    <mergeCell ref="C6:C7"/>
    <mergeCell ref="I17:I18"/>
  </mergeCells>
  <pageMargins left="0.7" right="0.7" top="0.75" bottom="0.75" header="0.3" footer="0.3"/>
  <pageSetup paperSize="9" scale="51"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8">
    <tabColor theme="8" tint="0.79998168889431442"/>
  </sheetPr>
  <dimension ref="A1:C7"/>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1112</v>
      </c>
      <c r="B1" s="17"/>
    </row>
    <row r="2" spans="1:3">
      <c r="A2" s="27" t="s">
        <v>1113</v>
      </c>
      <c r="B2" s="28"/>
      <c r="C2" s="29"/>
    </row>
    <row r="3" spans="1:3" s="16" customFormat="1">
      <c r="A3" s="102" t="s">
        <v>1114</v>
      </c>
      <c r="B3" s="11"/>
    </row>
    <row r="4" spans="1:3" s="16" customFormat="1">
      <c r="B4" s="11"/>
    </row>
    <row r="5" spans="1:3">
      <c r="A5" s="27" t="s">
        <v>1115</v>
      </c>
      <c r="B5" s="28"/>
      <c r="C5" s="29"/>
    </row>
    <row r="6" spans="1:3" s="16" customFormat="1">
      <c r="A6" s="102" t="s">
        <v>1116</v>
      </c>
      <c r="B6" s="11"/>
    </row>
    <row r="7" spans="1:3" s="16" customFormat="1">
      <c r="B7" s="11"/>
    </row>
  </sheetData>
  <dataValidations count="1">
    <dataValidation type="list" allowBlank="1" showInputMessage="1" showErrorMessage="1" sqref="B6" xr:uid="{00000000-0002-0000-1A00-000000000000}">
      <formula1>tbl_AppraisalArtifacts</formula1>
    </dataValidation>
  </dataValidations>
  <pageMargins left="0.7" right="0.7" top="0.75" bottom="0.75" header="0.3" footer="0.3"/>
  <pageSetup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tabColor theme="8" tint="0.79998168889431442"/>
  </sheetPr>
  <dimension ref="A1:C6"/>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35" width="8.77734375" style="11" customWidth="1"/>
    <col min="36" max="16384" width="8.77734375" style="11"/>
  </cols>
  <sheetData>
    <row r="1" spans="1:3">
      <c r="A1" s="15" t="s">
        <v>1117</v>
      </c>
      <c r="B1" s="17"/>
    </row>
    <row r="2" spans="1:3">
      <c r="A2" s="27" t="s">
        <v>1118</v>
      </c>
      <c r="B2" s="28"/>
      <c r="C2" s="29"/>
    </row>
    <row r="3" spans="1:3" s="16" customFormat="1">
      <c r="A3" s="102" t="s">
        <v>1119</v>
      </c>
      <c r="B3" s="11"/>
    </row>
    <row r="4" spans="1:3" s="16" customFormat="1">
      <c r="B4" s="11"/>
    </row>
    <row r="5" spans="1:3">
      <c r="A5" s="27" t="s">
        <v>1120</v>
      </c>
      <c r="B5" s="28"/>
      <c r="C5" s="29"/>
    </row>
    <row r="6" spans="1:3">
      <c r="A6" s="11" t="s">
        <v>1121</v>
      </c>
    </row>
  </sheetData>
  <pageMargins left="0.7" right="0.7" top="0.75" bottom="0.75" header="0.3" footer="0.3"/>
  <pageSetup orientation="portrait"/>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G23"/>
  <sheetViews>
    <sheetView workbookViewId="0">
      <selection activeCell="G18" sqref="A2:G18"/>
    </sheetView>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575</v>
      </c>
      <c r="B1" t="s">
        <v>631</v>
      </c>
      <c r="C1" t="s">
        <v>1122</v>
      </c>
      <c r="D1" t="s">
        <v>1123</v>
      </c>
      <c r="E1" t="s">
        <v>533</v>
      </c>
      <c r="F1" t="s">
        <v>1124</v>
      </c>
      <c r="G1" t="s">
        <v>1125</v>
      </c>
    </row>
    <row r="2" spans="1:7">
      <c r="A2" t="s">
        <v>590</v>
      </c>
      <c r="B2" t="s">
        <v>591</v>
      </c>
      <c r="C2" t="s">
        <v>550</v>
      </c>
      <c r="D2" t="s">
        <v>633</v>
      </c>
      <c r="E2" t="s">
        <v>634</v>
      </c>
      <c r="F2" t="s">
        <v>590</v>
      </c>
      <c r="G2" t="s">
        <v>243</v>
      </c>
    </row>
    <row r="3" spans="1:7">
      <c r="A3" t="s">
        <v>601</v>
      </c>
      <c r="B3" t="s">
        <v>602</v>
      </c>
      <c r="C3" t="s">
        <v>548</v>
      </c>
      <c r="D3" t="s">
        <v>638</v>
      </c>
      <c r="E3" t="s">
        <v>559</v>
      </c>
      <c r="F3" t="s">
        <v>601</v>
      </c>
      <c r="G3" t="s">
        <v>243</v>
      </c>
    </row>
    <row r="4" spans="1:7">
      <c r="A4" t="s">
        <v>601</v>
      </c>
      <c r="B4" t="s">
        <v>602</v>
      </c>
      <c r="C4" t="s">
        <v>551</v>
      </c>
      <c r="D4" t="s">
        <v>637</v>
      </c>
      <c r="E4" t="s">
        <v>558</v>
      </c>
      <c r="F4" t="s">
        <v>601</v>
      </c>
      <c r="G4" t="s">
        <v>243</v>
      </c>
    </row>
    <row r="5" spans="1:7">
      <c r="A5" t="s">
        <v>604</v>
      </c>
      <c r="B5" t="s">
        <v>605</v>
      </c>
      <c r="C5" t="s">
        <v>426</v>
      </c>
      <c r="D5" t="s">
        <v>641</v>
      </c>
      <c r="E5" t="s">
        <v>554</v>
      </c>
      <c r="F5" t="s">
        <v>604</v>
      </c>
      <c r="G5" t="s">
        <v>243</v>
      </c>
    </row>
    <row r="6" spans="1:7">
      <c r="A6" t="s">
        <v>604</v>
      </c>
      <c r="B6" t="s">
        <v>605</v>
      </c>
      <c r="C6" t="s">
        <v>549</v>
      </c>
      <c r="D6" t="s">
        <v>641</v>
      </c>
      <c r="E6" t="s">
        <v>554</v>
      </c>
      <c r="F6" t="s">
        <v>604</v>
      </c>
      <c r="G6" t="s">
        <v>243</v>
      </c>
    </row>
    <row r="7" spans="1:7">
      <c r="A7" t="s">
        <v>604</v>
      </c>
      <c r="B7" t="s">
        <v>605</v>
      </c>
      <c r="C7" t="s">
        <v>552</v>
      </c>
      <c r="D7" t="s">
        <v>635</v>
      </c>
      <c r="E7" t="s">
        <v>569</v>
      </c>
      <c r="F7" t="s">
        <v>604</v>
      </c>
      <c r="G7" t="s">
        <v>243</v>
      </c>
    </row>
    <row r="8" spans="1:7">
      <c r="A8" t="s">
        <v>607</v>
      </c>
      <c r="B8" t="s">
        <v>608</v>
      </c>
      <c r="C8" t="s">
        <v>538</v>
      </c>
      <c r="D8" t="s">
        <v>633</v>
      </c>
      <c r="E8" t="s">
        <v>634</v>
      </c>
      <c r="F8" t="s">
        <v>607</v>
      </c>
      <c r="G8" t="s">
        <v>243</v>
      </c>
    </row>
    <row r="9" spans="1:7">
      <c r="A9" t="s">
        <v>607</v>
      </c>
      <c r="B9" t="s">
        <v>608</v>
      </c>
      <c r="C9" t="s">
        <v>542</v>
      </c>
      <c r="D9" t="s">
        <v>633</v>
      </c>
      <c r="E9" t="s">
        <v>634</v>
      </c>
      <c r="F9" t="s">
        <v>607</v>
      </c>
      <c r="G9" t="s">
        <v>243</v>
      </c>
    </row>
    <row r="10" spans="1:7">
      <c r="A10" t="s">
        <v>607</v>
      </c>
      <c r="B10" t="s">
        <v>608</v>
      </c>
      <c r="C10" t="s">
        <v>544</v>
      </c>
      <c r="D10" t="s">
        <v>633</v>
      </c>
      <c r="E10" t="s">
        <v>634</v>
      </c>
      <c r="F10" t="s">
        <v>607</v>
      </c>
      <c r="G10" t="s">
        <v>243</v>
      </c>
    </row>
    <row r="11" spans="1:7">
      <c r="A11" t="s">
        <v>610</v>
      </c>
      <c r="B11" t="s">
        <v>611</v>
      </c>
      <c r="C11" t="s">
        <v>536</v>
      </c>
      <c r="D11" t="s">
        <v>644</v>
      </c>
      <c r="E11" t="s">
        <v>645</v>
      </c>
      <c r="F11" t="s">
        <v>610</v>
      </c>
      <c r="G11" t="s">
        <v>243</v>
      </c>
    </row>
    <row r="12" spans="1:7">
      <c r="A12" t="s">
        <v>616</v>
      </c>
      <c r="B12" t="s">
        <v>617</v>
      </c>
      <c r="C12" t="s">
        <v>541</v>
      </c>
      <c r="D12" t="s">
        <v>646</v>
      </c>
      <c r="E12" t="s">
        <v>562</v>
      </c>
      <c r="F12" t="s">
        <v>616</v>
      </c>
      <c r="G12" t="s">
        <v>243</v>
      </c>
    </row>
    <row r="13" spans="1:7">
      <c r="A13" t="s">
        <v>616</v>
      </c>
      <c r="B13" t="s">
        <v>617</v>
      </c>
      <c r="C13" t="s">
        <v>545</v>
      </c>
      <c r="D13" t="s">
        <v>647</v>
      </c>
      <c r="E13" t="s">
        <v>566</v>
      </c>
      <c r="F13" t="s">
        <v>616</v>
      </c>
      <c r="G13" t="s">
        <v>243</v>
      </c>
    </row>
    <row r="14" spans="1:7">
      <c r="A14" t="s">
        <v>616</v>
      </c>
      <c r="B14" t="s">
        <v>617</v>
      </c>
      <c r="C14" t="s">
        <v>546</v>
      </c>
      <c r="D14" t="s">
        <v>647</v>
      </c>
      <c r="E14" t="s">
        <v>566</v>
      </c>
      <c r="F14" t="s">
        <v>616</v>
      </c>
      <c r="G14" t="s">
        <v>243</v>
      </c>
    </row>
    <row r="15" spans="1:7">
      <c r="A15" t="s">
        <v>616</v>
      </c>
      <c r="B15" t="s">
        <v>617</v>
      </c>
      <c r="C15" t="s">
        <v>535</v>
      </c>
      <c r="D15" t="s">
        <v>646</v>
      </c>
      <c r="E15" t="s">
        <v>562</v>
      </c>
      <c r="F15" t="s">
        <v>616</v>
      </c>
      <c r="G15" t="s">
        <v>243</v>
      </c>
    </row>
    <row r="16" spans="1:7">
      <c r="A16" t="s">
        <v>616</v>
      </c>
      <c r="B16" t="s">
        <v>617</v>
      </c>
      <c r="C16" t="s">
        <v>537</v>
      </c>
      <c r="D16" t="s">
        <v>646</v>
      </c>
      <c r="E16" t="s">
        <v>562</v>
      </c>
      <c r="F16" t="s">
        <v>616</v>
      </c>
      <c r="G16" t="s">
        <v>243</v>
      </c>
    </row>
    <row r="17" spans="1:7">
      <c r="A17" t="s">
        <v>619</v>
      </c>
      <c r="B17" t="s">
        <v>620</v>
      </c>
      <c r="C17" t="s">
        <v>543</v>
      </c>
      <c r="D17" t="s">
        <v>648</v>
      </c>
      <c r="E17" t="s">
        <v>649</v>
      </c>
      <c r="F17" t="s">
        <v>619</v>
      </c>
      <c r="G17" t="s">
        <v>243</v>
      </c>
    </row>
    <row r="18" spans="1:7">
      <c r="A18" t="s">
        <v>622</v>
      </c>
      <c r="B18" t="s">
        <v>623</v>
      </c>
      <c r="C18" t="s">
        <v>547</v>
      </c>
      <c r="D18" t="s">
        <v>650</v>
      </c>
      <c r="E18" t="s">
        <v>564</v>
      </c>
      <c r="F18" t="s">
        <v>622</v>
      </c>
      <c r="G18" t="s">
        <v>243</v>
      </c>
    </row>
    <row r="19" spans="1:7">
      <c r="A19" t="s">
        <v>604</v>
      </c>
      <c r="B19" t="s">
        <v>605</v>
      </c>
      <c r="C19" t="s">
        <v>426</v>
      </c>
      <c r="D19" t="s">
        <v>642</v>
      </c>
      <c r="E19" t="s">
        <v>558</v>
      </c>
      <c r="F19" t="s">
        <v>604</v>
      </c>
    </row>
    <row r="20" spans="1:7">
      <c r="A20" t="s">
        <v>604</v>
      </c>
      <c r="B20" t="s">
        <v>605</v>
      </c>
      <c r="C20" t="s">
        <v>426</v>
      </c>
      <c r="D20" t="s">
        <v>643</v>
      </c>
      <c r="E20" t="s">
        <v>559</v>
      </c>
      <c r="F20" t="s">
        <v>604</v>
      </c>
    </row>
    <row r="21" spans="1:7">
      <c r="A21" t="s">
        <v>604</v>
      </c>
      <c r="B21" t="s">
        <v>605</v>
      </c>
      <c r="C21" t="s">
        <v>426</v>
      </c>
      <c r="D21" t="s">
        <v>636</v>
      </c>
      <c r="E21" t="s">
        <v>634</v>
      </c>
      <c r="F21" t="s">
        <v>604</v>
      </c>
    </row>
    <row r="22" spans="1:7">
      <c r="A22" t="s">
        <v>604</v>
      </c>
      <c r="B22" t="s">
        <v>605</v>
      </c>
      <c r="C22" t="s">
        <v>426</v>
      </c>
      <c r="D22" t="s">
        <v>635</v>
      </c>
      <c r="E22" t="s">
        <v>569</v>
      </c>
      <c r="F22" t="s">
        <v>604</v>
      </c>
    </row>
    <row r="23" spans="1:7">
      <c r="A23" t="s">
        <v>616</v>
      </c>
      <c r="B23" t="s">
        <v>617</v>
      </c>
      <c r="C23" t="s">
        <v>537</v>
      </c>
      <c r="D23" t="s">
        <v>647</v>
      </c>
      <c r="E23" t="s">
        <v>566</v>
      </c>
      <c r="F23" t="s">
        <v>616</v>
      </c>
    </row>
  </sheetData>
  <sortState xmlns:xlrd2="http://schemas.microsoft.com/office/spreadsheetml/2017/richdata2" ref="A2:G25">
    <sortCondition ref="G2:G25"/>
  </sortState>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tabColor theme="9" tint="0.79998168889431442"/>
  </sheetPr>
  <dimension ref="A3:M23"/>
  <sheetViews>
    <sheetView workbookViewId="0"/>
  </sheetViews>
  <sheetFormatPr defaultRowHeight="14.4"/>
  <cols>
    <col min="1" max="1" width="15.21875" bestFit="1" customWidth="1"/>
    <col min="2" max="2" width="15.77734375" bestFit="1" customWidth="1"/>
    <col min="3" max="4" width="3" bestFit="1" customWidth="1"/>
    <col min="5" max="6" width="2.77734375" bestFit="1" customWidth="1"/>
    <col min="7" max="7" width="6.77734375" bestFit="1" customWidth="1"/>
    <col min="8" max="8" width="3" bestFit="1" customWidth="1"/>
    <col min="9" max="10" width="2.77734375" bestFit="1" customWidth="1"/>
    <col min="11" max="11" width="10.77734375" bestFit="1" customWidth="1"/>
  </cols>
  <sheetData>
    <row r="3" spans="1:13">
      <c r="A3" s="251" t="s">
        <v>664</v>
      </c>
      <c r="B3" s="251" t="s">
        <v>652</v>
      </c>
    </row>
    <row r="4" spans="1:13">
      <c r="A4" s="251" t="s">
        <v>653</v>
      </c>
      <c r="B4" t="s">
        <v>590</v>
      </c>
      <c r="C4" t="s">
        <v>597</v>
      </c>
      <c r="D4" t="s">
        <v>604</v>
      </c>
      <c r="E4" t="s">
        <v>610</v>
      </c>
      <c r="F4" t="s">
        <v>616</v>
      </c>
      <c r="G4" t="s">
        <v>654</v>
      </c>
      <c r="H4" t="s">
        <v>601</v>
      </c>
      <c r="I4" t="s">
        <v>619</v>
      </c>
      <c r="J4" t="s">
        <v>622</v>
      </c>
      <c r="K4" t="s">
        <v>655</v>
      </c>
    </row>
    <row r="5" spans="1:13">
      <c r="A5" s="105" t="s">
        <v>535</v>
      </c>
      <c r="F5">
        <v>1</v>
      </c>
      <c r="K5">
        <v>1</v>
      </c>
      <c r="M5" t="s">
        <v>535</v>
      </c>
    </row>
    <row r="6" spans="1:13">
      <c r="A6" s="105" t="s">
        <v>536</v>
      </c>
      <c r="E6">
        <v>1</v>
      </c>
      <c r="K6">
        <v>1</v>
      </c>
      <c r="M6" t="s">
        <v>536</v>
      </c>
    </row>
    <row r="7" spans="1:13">
      <c r="A7" s="105" t="s">
        <v>538</v>
      </c>
      <c r="H7">
        <v>1</v>
      </c>
      <c r="K7">
        <v>1</v>
      </c>
      <c r="M7" t="s">
        <v>538</v>
      </c>
    </row>
    <row r="8" spans="1:13">
      <c r="A8" s="105" t="s">
        <v>542</v>
      </c>
      <c r="H8">
        <v>1</v>
      </c>
      <c r="K8">
        <v>1</v>
      </c>
      <c r="M8" t="s">
        <v>542</v>
      </c>
    </row>
    <row r="9" spans="1:13">
      <c r="A9" s="105" t="s">
        <v>548</v>
      </c>
      <c r="B9">
        <v>1</v>
      </c>
      <c r="K9">
        <v>1</v>
      </c>
      <c r="M9" t="s">
        <v>548</v>
      </c>
    </row>
    <row r="10" spans="1:13">
      <c r="A10" s="105" t="s">
        <v>544</v>
      </c>
      <c r="H10">
        <v>1</v>
      </c>
      <c r="K10">
        <v>1</v>
      </c>
      <c r="M10" t="s">
        <v>544</v>
      </c>
    </row>
    <row r="11" spans="1:13">
      <c r="A11" s="105" t="s">
        <v>426</v>
      </c>
      <c r="C11">
        <v>5</v>
      </c>
      <c r="K11">
        <v>5</v>
      </c>
      <c r="M11" t="s">
        <v>426</v>
      </c>
    </row>
    <row r="12" spans="1:13">
      <c r="A12" s="105" t="s">
        <v>549</v>
      </c>
      <c r="C12">
        <v>1</v>
      </c>
      <c r="K12">
        <v>1</v>
      </c>
      <c r="M12" t="s">
        <v>549</v>
      </c>
    </row>
    <row r="13" spans="1:13">
      <c r="A13" s="105" t="s">
        <v>550</v>
      </c>
      <c r="D13">
        <v>1</v>
      </c>
      <c r="K13">
        <v>1</v>
      </c>
      <c r="M13" t="s">
        <v>550</v>
      </c>
    </row>
    <row r="14" spans="1:13">
      <c r="A14" s="105" t="s">
        <v>551</v>
      </c>
      <c r="B14">
        <v>2</v>
      </c>
      <c r="K14">
        <v>2</v>
      </c>
      <c r="M14" t="s">
        <v>551</v>
      </c>
    </row>
    <row r="15" spans="1:13">
      <c r="A15" s="105" t="s">
        <v>552</v>
      </c>
      <c r="C15">
        <v>2</v>
      </c>
      <c r="K15">
        <v>2</v>
      </c>
      <c r="M15" t="s">
        <v>552</v>
      </c>
    </row>
    <row r="16" spans="1:13">
      <c r="A16" s="105" t="s">
        <v>654</v>
      </c>
    </row>
    <row r="17" spans="1:13">
      <c r="A17" s="105" t="s">
        <v>541</v>
      </c>
      <c r="F17">
        <v>1</v>
      </c>
      <c r="K17">
        <v>1</v>
      </c>
      <c r="M17" t="s">
        <v>541</v>
      </c>
    </row>
    <row r="18" spans="1:13">
      <c r="A18" s="105" t="s">
        <v>545</v>
      </c>
      <c r="F18">
        <v>1</v>
      </c>
      <c r="K18">
        <v>1</v>
      </c>
      <c r="M18" t="s">
        <v>545</v>
      </c>
    </row>
    <row r="19" spans="1:13">
      <c r="A19" s="105" t="s">
        <v>546</v>
      </c>
      <c r="F19">
        <v>1</v>
      </c>
      <c r="K19">
        <v>1</v>
      </c>
      <c r="M19" t="s">
        <v>546</v>
      </c>
    </row>
    <row r="20" spans="1:13">
      <c r="A20" s="105" t="s">
        <v>543</v>
      </c>
      <c r="I20">
        <v>1</v>
      </c>
      <c r="K20">
        <v>1</v>
      </c>
      <c r="M20" t="s">
        <v>543</v>
      </c>
    </row>
    <row r="21" spans="1:13">
      <c r="A21" s="105" t="s">
        <v>547</v>
      </c>
      <c r="J21">
        <v>1</v>
      </c>
      <c r="K21">
        <v>1</v>
      </c>
      <c r="M21" t="s">
        <v>547</v>
      </c>
    </row>
    <row r="22" spans="1:13">
      <c r="A22" s="105" t="s">
        <v>537</v>
      </c>
      <c r="F22">
        <v>2</v>
      </c>
      <c r="K22">
        <v>2</v>
      </c>
      <c r="M22" t="s">
        <v>537</v>
      </c>
    </row>
    <row r="23" spans="1:13">
      <c r="A23" s="105" t="s">
        <v>655</v>
      </c>
      <c r="B23">
        <v>3</v>
      </c>
      <c r="C23">
        <v>8</v>
      </c>
      <c r="D23">
        <v>1</v>
      </c>
      <c r="E23">
        <v>1</v>
      </c>
      <c r="F23">
        <v>6</v>
      </c>
      <c r="H23">
        <v>3</v>
      </c>
      <c r="I23">
        <v>1</v>
      </c>
      <c r="J23">
        <v>1</v>
      </c>
      <c r="K23">
        <v>24</v>
      </c>
      <c r="M23" t="s">
        <v>553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9">
    <tabColor theme="0" tint="-4.9989318521683403E-2"/>
    <pageSetUpPr fitToPage="1"/>
  </sheetPr>
  <dimension ref="A1:M18"/>
  <sheetViews>
    <sheetView workbookViewId="0">
      <selection activeCell="B11" sqref="B11"/>
    </sheetView>
  </sheetViews>
  <sheetFormatPr defaultColWidth="8.77734375" defaultRowHeight="14.4"/>
  <cols>
    <col min="1" max="1" width="7.21875" style="16" customWidth="1"/>
    <col min="2" max="2" width="37" style="16" customWidth="1"/>
    <col min="3" max="3" width="5.44140625" style="53" bestFit="1" customWidth="1"/>
    <col min="4" max="4" width="30.44140625" style="16" customWidth="1"/>
    <col min="5" max="5" width="27.21875" style="16" customWidth="1"/>
    <col min="6" max="6" width="8.77734375" style="53" customWidth="1"/>
    <col min="7" max="7" width="8.21875" style="60" bestFit="1" customWidth="1"/>
    <col min="8" max="8" width="34.21875" style="16" bestFit="1" customWidth="1"/>
    <col min="9" max="9" width="8.44140625" style="16" bestFit="1" customWidth="1"/>
    <col min="10" max="16" width="9.44140625" style="16" customWidth="1"/>
    <col min="17" max="22" width="8.77734375" style="16" customWidth="1"/>
    <col min="23" max="16384" width="8.77734375" style="16"/>
  </cols>
  <sheetData>
    <row r="1" spans="1:13" s="11" customFormat="1">
      <c r="A1" s="93" t="s">
        <v>575</v>
      </c>
      <c r="B1" s="117" t="s">
        <v>631</v>
      </c>
      <c r="C1" s="94" t="s">
        <v>1122</v>
      </c>
      <c r="D1" s="93" t="s">
        <v>1123</v>
      </c>
      <c r="E1" s="93" t="s">
        <v>533</v>
      </c>
      <c r="F1" s="94" t="s">
        <v>1124</v>
      </c>
      <c r="G1" s="92" t="s">
        <v>1125</v>
      </c>
      <c r="H1" s="93" t="s">
        <v>1126</v>
      </c>
      <c r="I1" s="93" t="s">
        <v>1127</v>
      </c>
      <c r="K1" s="254" t="s">
        <v>57</v>
      </c>
      <c r="L1" s="254">
        <f>VALUE(RIGHT(Planning!B16,1))</f>
        <v>5</v>
      </c>
      <c r="M1" s="16" t="s">
        <v>1128</v>
      </c>
    </row>
    <row r="2" spans="1:13">
      <c r="A2" t="s">
        <v>590</v>
      </c>
      <c r="B2" t="s">
        <v>591</v>
      </c>
      <c r="C2" t="s">
        <v>550</v>
      </c>
      <c r="D2" t="s">
        <v>633</v>
      </c>
      <c r="E2" t="s">
        <v>634</v>
      </c>
      <c r="F2" t="s">
        <v>590</v>
      </c>
      <c r="G2" t="s">
        <v>243</v>
      </c>
      <c r="H2" s="255" t="str">
        <f t="shared" ref="H2:H18" si="0">VLOOKUP(E2,tbl_RolePAlookup,2,FALSE)</f>
        <v>[3] Project Management</v>
      </c>
      <c r="I2" s="349">
        <f t="shared" ref="I2:I18" si="1">VLOOKUP(C2,tbl_PAcount,L$1+1,FALSE)</f>
        <v>8</v>
      </c>
    </row>
    <row r="3" spans="1:13">
      <c r="A3" t="s">
        <v>601</v>
      </c>
      <c r="B3" t="s">
        <v>602</v>
      </c>
      <c r="C3" t="s">
        <v>548</v>
      </c>
      <c r="D3" t="s">
        <v>638</v>
      </c>
      <c r="E3" t="s">
        <v>559</v>
      </c>
      <c r="F3" t="s">
        <v>601</v>
      </c>
      <c r="G3" t="s">
        <v>243</v>
      </c>
      <c r="H3" s="255" t="str">
        <f t="shared" si="0"/>
        <v>[4] Engineering</v>
      </c>
      <c r="I3" s="349">
        <f t="shared" si="1"/>
        <v>10</v>
      </c>
    </row>
    <row r="4" spans="1:13">
      <c r="A4" t="s">
        <v>601</v>
      </c>
      <c r="B4" t="s">
        <v>602</v>
      </c>
      <c r="C4" t="s">
        <v>551</v>
      </c>
      <c r="D4" t="s">
        <v>637</v>
      </c>
      <c r="E4" t="s">
        <v>558</v>
      </c>
      <c r="F4" t="s">
        <v>601</v>
      </c>
      <c r="G4" t="s">
        <v>243</v>
      </c>
      <c r="H4" s="255" t="str">
        <f t="shared" si="0"/>
        <v>[4] Engineering</v>
      </c>
      <c r="I4" s="349">
        <f t="shared" si="1"/>
        <v>10</v>
      </c>
    </row>
    <row r="5" spans="1:13">
      <c r="A5" t="s">
        <v>604</v>
      </c>
      <c r="B5" t="s">
        <v>605</v>
      </c>
      <c r="C5" t="s">
        <v>426</v>
      </c>
      <c r="D5" t="s">
        <v>641</v>
      </c>
      <c r="E5" t="s">
        <v>554</v>
      </c>
      <c r="F5" t="s">
        <v>604</v>
      </c>
      <c r="G5" t="s">
        <v>243</v>
      </c>
      <c r="H5" s="255" t="str">
        <f t="shared" si="0"/>
        <v>[4] Engineering</v>
      </c>
      <c r="I5" s="349">
        <f t="shared" si="1"/>
        <v>6</v>
      </c>
    </row>
    <row r="6" spans="1:13">
      <c r="A6" t="s">
        <v>604</v>
      </c>
      <c r="B6" t="s">
        <v>605</v>
      </c>
      <c r="C6" t="s">
        <v>549</v>
      </c>
      <c r="D6" t="s">
        <v>641</v>
      </c>
      <c r="E6" t="s">
        <v>554</v>
      </c>
      <c r="F6" t="s">
        <v>604</v>
      </c>
      <c r="G6" t="s">
        <v>243</v>
      </c>
      <c r="H6" s="255" t="str">
        <f t="shared" si="0"/>
        <v>[4] Engineering</v>
      </c>
      <c r="I6" s="349">
        <f t="shared" si="1"/>
        <v>14</v>
      </c>
    </row>
    <row r="7" spans="1:13">
      <c r="A7" t="s">
        <v>604</v>
      </c>
      <c r="B7" t="s">
        <v>605</v>
      </c>
      <c r="C7" t="s">
        <v>552</v>
      </c>
      <c r="D7" t="s">
        <v>635</v>
      </c>
      <c r="E7" t="s">
        <v>569</v>
      </c>
      <c r="F7" t="s">
        <v>604</v>
      </c>
      <c r="G7" t="s">
        <v>243</v>
      </c>
      <c r="H7" s="255" t="str">
        <f t="shared" si="0"/>
        <v>[4] Engineering</v>
      </c>
      <c r="I7" s="349">
        <f t="shared" si="1"/>
        <v>7</v>
      </c>
    </row>
    <row r="8" spans="1:13">
      <c r="A8" t="s">
        <v>607</v>
      </c>
      <c r="B8" t="s">
        <v>608</v>
      </c>
      <c r="C8" t="s">
        <v>538</v>
      </c>
      <c r="D8" t="s">
        <v>633</v>
      </c>
      <c r="E8" t="s">
        <v>634</v>
      </c>
      <c r="F8" t="s">
        <v>607</v>
      </c>
      <c r="G8" t="s">
        <v>243</v>
      </c>
      <c r="H8" s="255" t="str">
        <f t="shared" si="0"/>
        <v>[3] Project Management</v>
      </c>
      <c r="I8" s="349">
        <f t="shared" si="1"/>
        <v>6</v>
      </c>
    </row>
    <row r="9" spans="1:13">
      <c r="A9" t="s">
        <v>607</v>
      </c>
      <c r="B9" t="s">
        <v>608</v>
      </c>
      <c r="C9" t="s">
        <v>542</v>
      </c>
      <c r="D9" t="s">
        <v>633</v>
      </c>
      <c r="E9" t="s">
        <v>634</v>
      </c>
      <c r="F9" t="s">
        <v>607</v>
      </c>
      <c r="G9" t="s">
        <v>243</v>
      </c>
      <c r="H9" s="255" t="str">
        <f t="shared" si="0"/>
        <v>[3] Project Management</v>
      </c>
      <c r="I9" s="349">
        <f t="shared" si="1"/>
        <v>10</v>
      </c>
    </row>
    <row r="10" spans="1:13">
      <c r="A10" t="s">
        <v>607</v>
      </c>
      <c r="B10" t="s">
        <v>608</v>
      </c>
      <c r="C10" t="s">
        <v>544</v>
      </c>
      <c r="D10" t="s">
        <v>633</v>
      </c>
      <c r="E10" t="s">
        <v>634</v>
      </c>
      <c r="F10" t="s">
        <v>607</v>
      </c>
      <c r="G10" t="s">
        <v>243</v>
      </c>
      <c r="H10" s="255" t="str">
        <f t="shared" si="0"/>
        <v>[3] Project Management</v>
      </c>
      <c r="I10" s="349">
        <f t="shared" si="1"/>
        <v>15</v>
      </c>
    </row>
    <row r="11" spans="1:13">
      <c r="A11" t="s">
        <v>610</v>
      </c>
      <c r="B11" t="s">
        <v>611</v>
      </c>
      <c r="C11" t="s">
        <v>536</v>
      </c>
      <c r="D11" t="s">
        <v>644</v>
      </c>
      <c r="E11" t="s">
        <v>645</v>
      </c>
      <c r="F11" t="s">
        <v>610</v>
      </c>
      <c r="G11" t="s">
        <v>243</v>
      </c>
      <c r="H11" s="255" t="str">
        <f t="shared" si="0"/>
        <v>[5] Configuration Management</v>
      </c>
      <c r="I11" s="349">
        <f t="shared" si="1"/>
        <v>7</v>
      </c>
    </row>
    <row r="12" spans="1:13">
      <c r="A12" t="s">
        <v>616</v>
      </c>
      <c r="B12" t="s">
        <v>617</v>
      </c>
      <c r="C12" t="s">
        <v>541</v>
      </c>
      <c r="D12" t="s">
        <v>646</v>
      </c>
      <c r="E12" t="s">
        <v>562</v>
      </c>
      <c r="F12" t="s">
        <v>616</v>
      </c>
      <c r="G12" t="s">
        <v>243</v>
      </c>
      <c r="H12" s="255" t="str">
        <f t="shared" si="0"/>
        <v>[6] Process Management</v>
      </c>
      <c r="I12" s="349">
        <f t="shared" si="1"/>
        <v>22</v>
      </c>
    </row>
    <row r="13" spans="1:13">
      <c r="A13" t="s">
        <v>616</v>
      </c>
      <c r="B13" t="s">
        <v>617</v>
      </c>
      <c r="C13" t="s">
        <v>545</v>
      </c>
      <c r="D13" t="s">
        <v>647</v>
      </c>
      <c r="E13" t="s">
        <v>566</v>
      </c>
      <c r="F13" t="s">
        <v>616</v>
      </c>
      <c r="G13" t="s">
        <v>243</v>
      </c>
      <c r="H13" s="255" t="str">
        <f t="shared" si="0"/>
        <v>[6] Process Management</v>
      </c>
      <c r="I13" s="349">
        <f t="shared" si="1"/>
        <v>11</v>
      </c>
    </row>
    <row r="14" spans="1:13">
      <c r="A14" t="s">
        <v>616</v>
      </c>
      <c r="B14" t="s">
        <v>617</v>
      </c>
      <c r="C14" t="s">
        <v>546</v>
      </c>
      <c r="D14" t="s">
        <v>647</v>
      </c>
      <c r="E14" t="s">
        <v>566</v>
      </c>
      <c r="F14" t="s">
        <v>616</v>
      </c>
      <c r="G14" t="s">
        <v>243</v>
      </c>
      <c r="H14" s="255" t="str">
        <f t="shared" si="0"/>
        <v>[6] Process Management</v>
      </c>
      <c r="I14" s="349">
        <f t="shared" si="1"/>
        <v>11</v>
      </c>
    </row>
    <row r="15" spans="1:13">
      <c r="A15" t="s">
        <v>616</v>
      </c>
      <c r="B15" t="s">
        <v>617</v>
      </c>
      <c r="C15" t="s">
        <v>535</v>
      </c>
      <c r="D15" t="s">
        <v>646</v>
      </c>
      <c r="E15" t="s">
        <v>562</v>
      </c>
      <c r="F15" t="s">
        <v>616</v>
      </c>
      <c r="G15" t="s">
        <v>243</v>
      </c>
      <c r="H15" s="255" t="str">
        <f t="shared" si="0"/>
        <v>[6] Process Management</v>
      </c>
      <c r="I15" s="349">
        <f t="shared" si="1"/>
        <v>11</v>
      </c>
    </row>
    <row r="16" spans="1:13">
      <c r="A16" t="s">
        <v>616</v>
      </c>
      <c r="B16" t="s">
        <v>617</v>
      </c>
      <c r="C16" t="s">
        <v>537</v>
      </c>
      <c r="D16" t="s">
        <v>646</v>
      </c>
      <c r="E16" t="s">
        <v>562</v>
      </c>
      <c r="F16" t="s">
        <v>616</v>
      </c>
      <c r="G16" t="s">
        <v>243</v>
      </c>
      <c r="H16" s="255" t="str">
        <f t="shared" si="0"/>
        <v>[6] Process Management</v>
      </c>
      <c r="I16" s="349">
        <f t="shared" si="1"/>
        <v>8</v>
      </c>
    </row>
    <row r="17" spans="1:9">
      <c r="A17" t="s">
        <v>619</v>
      </c>
      <c r="B17" t="s">
        <v>620</v>
      </c>
      <c r="C17" t="s">
        <v>543</v>
      </c>
      <c r="D17" t="s">
        <v>648</v>
      </c>
      <c r="E17" t="s">
        <v>649</v>
      </c>
      <c r="F17" t="s">
        <v>619</v>
      </c>
      <c r="G17" t="s">
        <v>243</v>
      </c>
      <c r="H17" s="255" t="str">
        <f t="shared" si="0"/>
        <v>[7] Organisational Training</v>
      </c>
      <c r="I17" s="349">
        <f t="shared" si="1"/>
        <v>9</v>
      </c>
    </row>
    <row r="18" spans="1:9">
      <c r="A18" t="s">
        <v>622</v>
      </c>
      <c r="B18" t="s">
        <v>623</v>
      </c>
      <c r="C18" t="s">
        <v>547</v>
      </c>
      <c r="D18" t="s">
        <v>650</v>
      </c>
      <c r="E18" t="s">
        <v>564</v>
      </c>
      <c r="F18" t="s">
        <v>622</v>
      </c>
      <c r="G18" t="s">
        <v>243</v>
      </c>
      <c r="H18" s="255" t="str">
        <f t="shared" si="0"/>
        <v>[8] Process Quality Assurance</v>
      </c>
      <c r="I18" s="349">
        <f t="shared" si="1"/>
        <v>6</v>
      </c>
    </row>
  </sheetData>
  <pageMargins left="0.7" right="0.7" top="0.75" bottom="0.75" header="0.3" footer="0.3"/>
  <pageSetup paperSize="9" scale="87" fitToHeight="0" orientation="landscape"/>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tabColor theme="9" tint="0.79998168889431442"/>
  </sheetPr>
  <dimension ref="A1:J11"/>
  <sheetViews>
    <sheetView workbookViewId="0"/>
  </sheetViews>
  <sheetFormatPr defaultRowHeight="14.4"/>
  <cols>
    <col min="1" max="1" width="27.21875" bestFit="1" customWidth="1"/>
    <col min="2" max="2" width="14.77734375" bestFit="1" customWidth="1"/>
    <col min="4" max="4" width="29.77734375" customWidth="1"/>
  </cols>
  <sheetData>
    <row r="1" spans="1:10">
      <c r="D1" s="254" t="s">
        <v>57</v>
      </c>
      <c r="E1" s="254">
        <f>VALUE(RIGHT(Planning!B16,1))</f>
        <v>5</v>
      </c>
      <c r="F1" s="16" t="s">
        <v>1128</v>
      </c>
    </row>
    <row r="3" spans="1:10" ht="28.8" customHeight="1">
      <c r="A3" s="251" t="s">
        <v>653</v>
      </c>
      <c r="B3" t="s">
        <v>1129</v>
      </c>
      <c r="D3" s="339" t="s">
        <v>1130</v>
      </c>
      <c r="E3" s="339" t="s">
        <v>1127</v>
      </c>
      <c r="F3" s="340" t="s">
        <v>540</v>
      </c>
      <c r="G3" s="339" t="s">
        <v>1131</v>
      </c>
      <c r="H3" s="339" t="s">
        <v>1132</v>
      </c>
      <c r="I3" s="339" t="s">
        <v>1133</v>
      </c>
      <c r="J3" s="339" t="s">
        <v>1134</v>
      </c>
    </row>
    <row r="4" spans="1:10">
      <c r="A4" s="105" t="s">
        <v>568</v>
      </c>
      <c r="B4">
        <v>39</v>
      </c>
      <c r="D4" t="s">
        <v>568</v>
      </c>
      <c r="E4">
        <v>45</v>
      </c>
      <c r="F4">
        <f t="shared" ref="F4:F9" si="0">VLOOKUP($F$3,tbl_PAcount,$E$1+1,FALSE)</f>
        <v>6</v>
      </c>
      <c r="G4" s="256">
        <f t="shared" ref="G4:G9" si="1">F4+E4</f>
        <v>51</v>
      </c>
      <c r="H4">
        <v>3</v>
      </c>
      <c r="I4" s="256">
        <f t="shared" ref="I4:I9" si="2">H4*G4</f>
        <v>153</v>
      </c>
      <c r="J4" s="256">
        <f t="shared" ref="J4:J9" si="3">I4/60</f>
        <v>2.5499999999999998</v>
      </c>
    </row>
    <row r="5" spans="1:10">
      <c r="A5" s="105" t="s">
        <v>555</v>
      </c>
      <c r="B5">
        <v>47</v>
      </c>
      <c r="D5" t="s">
        <v>555</v>
      </c>
      <c r="E5">
        <v>41</v>
      </c>
      <c r="F5">
        <f t="shared" si="0"/>
        <v>6</v>
      </c>
      <c r="G5" s="256">
        <f t="shared" si="1"/>
        <v>47</v>
      </c>
      <c r="H5">
        <v>3</v>
      </c>
      <c r="I5" s="256">
        <f t="shared" si="2"/>
        <v>141</v>
      </c>
      <c r="J5" s="256">
        <f t="shared" si="3"/>
        <v>2.35</v>
      </c>
    </row>
    <row r="6" spans="1:10">
      <c r="A6" s="105" t="s">
        <v>557</v>
      </c>
      <c r="B6">
        <v>7</v>
      </c>
      <c r="D6" t="s">
        <v>557</v>
      </c>
      <c r="E6">
        <v>7</v>
      </c>
      <c r="F6">
        <f t="shared" si="0"/>
        <v>6</v>
      </c>
      <c r="G6" s="256">
        <f t="shared" si="1"/>
        <v>13</v>
      </c>
      <c r="H6">
        <v>3</v>
      </c>
      <c r="I6" s="256">
        <f t="shared" si="2"/>
        <v>39</v>
      </c>
      <c r="J6" s="256">
        <f t="shared" si="3"/>
        <v>0.65</v>
      </c>
    </row>
    <row r="7" spans="1:10">
      <c r="A7" s="105" t="s">
        <v>563</v>
      </c>
      <c r="B7">
        <v>63</v>
      </c>
      <c r="D7" t="s">
        <v>563</v>
      </c>
      <c r="E7">
        <v>63</v>
      </c>
      <c r="F7">
        <f t="shared" si="0"/>
        <v>6</v>
      </c>
      <c r="G7" s="256">
        <f t="shared" si="1"/>
        <v>69</v>
      </c>
      <c r="H7">
        <v>3</v>
      </c>
      <c r="I7" s="256">
        <f t="shared" si="2"/>
        <v>207</v>
      </c>
      <c r="J7" s="256">
        <f t="shared" si="3"/>
        <v>3.45</v>
      </c>
    </row>
    <row r="8" spans="1:10">
      <c r="A8" s="105" t="s">
        <v>571</v>
      </c>
      <c r="B8">
        <v>9</v>
      </c>
      <c r="D8" t="s">
        <v>571</v>
      </c>
      <c r="E8">
        <v>9</v>
      </c>
      <c r="F8">
        <f t="shared" si="0"/>
        <v>6</v>
      </c>
      <c r="G8" s="256">
        <f t="shared" si="1"/>
        <v>15</v>
      </c>
      <c r="H8">
        <v>3</v>
      </c>
      <c r="I8" s="256">
        <f t="shared" si="2"/>
        <v>45</v>
      </c>
      <c r="J8" s="256">
        <f t="shared" si="3"/>
        <v>0.75</v>
      </c>
    </row>
    <row r="9" spans="1:10">
      <c r="A9" s="105" t="s">
        <v>565</v>
      </c>
      <c r="B9">
        <v>6</v>
      </c>
      <c r="D9" t="s">
        <v>565</v>
      </c>
      <c r="E9">
        <v>6</v>
      </c>
      <c r="F9">
        <f t="shared" si="0"/>
        <v>6</v>
      </c>
      <c r="G9" s="256">
        <f t="shared" si="1"/>
        <v>12</v>
      </c>
      <c r="H9">
        <v>3</v>
      </c>
      <c r="I9" s="256">
        <f t="shared" si="2"/>
        <v>36</v>
      </c>
      <c r="J9" s="256">
        <f t="shared" si="3"/>
        <v>0.6</v>
      </c>
    </row>
    <row r="10" spans="1:10">
      <c r="A10" s="105" t="s">
        <v>654</v>
      </c>
    </row>
    <row r="11" spans="1:10">
      <c r="A11" s="105" t="s">
        <v>655</v>
      </c>
      <c r="B11">
        <v>171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2">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6.21875" style="8" hidden="1" customWidth="1"/>
    <col min="4" max="4" width="47.21875" style="8" customWidth="1"/>
    <col min="5" max="5" width="26.44140625" style="8" customWidth="1"/>
    <col min="6" max="7" width="10.44140625" style="8" customWidth="1"/>
    <col min="8" max="8" width="8.77734375" style="71" customWidth="1"/>
    <col min="9" max="13" width="37.77734375" style="8" customWidth="1"/>
    <col min="14" max="19" width="8.77734375" style="8" customWidth="1"/>
    <col min="20" max="16384" width="8.77734375" style="8"/>
  </cols>
  <sheetData>
    <row r="1" spans="1:16" ht="14.7" customHeight="1">
      <c r="A1" s="497" t="s">
        <v>1135</v>
      </c>
      <c r="B1" s="477"/>
      <c r="C1" s="477"/>
      <c r="D1" s="477"/>
      <c r="E1" s="477"/>
      <c r="F1" s="477"/>
      <c r="G1" s="478"/>
      <c r="H1" s="61"/>
      <c r="I1" s="111" t="s">
        <v>1136</v>
      </c>
      <c r="J1" s="112" t="s">
        <v>1137</v>
      </c>
      <c r="K1" s="108" t="s">
        <v>1138</v>
      </c>
      <c r="L1" s="108" t="s">
        <v>1139</v>
      </c>
      <c r="M1" s="63"/>
      <c r="N1" s="63"/>
      <c r="O1" s="63"/>
      <c r="P1" s="63"/>
    </row>
    <row r="2" spans="1:16" ht="14.7" customHeight="1">
      <c r="A2" s="485" t="str">
        <f>CONCATENATE(TEXT(Planning!B43,"[$-x-sysdate]dddd, mmmm dd, yyyy")," (Technology test)")</f>
        <v>Thursday, 21 May 2026 (Technology test)</v>
      </c>
      <c r="B2" s="477"/>
      <c r="C2" s="477"/>
      <c r="D2" s="477"/>
      <c r="E2" s="477"/>
      <c r="F2" s="477"/>
      <c r="G2" s="478"/>
      <c r="H2" s="61"/>
      <c r="I2" s="108"/>
      <c r="J2" s="108"/>
      <c r="K2" s="108"/>
      <c r="L2" s="63"/>
      <c r="M2" s="63"/>
      <c r="N2" s="63"/>
      <c r="O2" s="63"/>
      <c r="P2" s="63"/>
    </row>
    <row r="3" spans="1:16">
      <c r="A3" s="490" t="str">
        <f>J3</f>
        <v>Day 1-2</v>
      </c>
      <c r="B3" s="478"/>
      <c r="C3" s="476" t="str">
        <f>CONCATENATE(TEXT(I3,"[$-x-sysdate]dddd, mmmm dd, yyyy")," to ",TEXT(K3,"[$-x-sysdate]dddd, mmmm dd, yyyy"))</f>
        <v>Saturday, 23 May 2026 to Sunday, 24 May 2026</v>
      </c>
      <c r="D3" s="477"/>
      <c r="E3" s="478"/>
      <c r="F3" s="490" t="str">
        <f>A3</f>
        <v>Day 1-2</v>
      </c>
      <c r="G3" s="478"/>
      <c r="H3" s="61"/>
      <c r="I3" s="113">
        <f>Planning!B44</f>
        <v>46165</v>
      </c>
      <c r="J3" s="114" t="str">
        <f>_xlfn.CONCAT("Day 1-",L3)</f>
        <v>Day 1-2</v>
      </c>
      <c r="K3" s="115">
        <f>Planning!B44+Planning!B46-1</f>
        <v>46166</v>
      </c>
      <c r="L3" s="108">
        <f>K3-I3+1</f>
        <v>2</v>
      </c>
      <c r="M3" s="63"/>
      <c r="N3" s="63"/>
      <c r="O3" s="63"/>
      <c r="P3" s="63"/>
    </row>
    <row r="4" spans="1:16" ht="28.8" customHeight="1">
      <c r="A4" s="490" t="s">
        <v>1140</v>
      </c>
      <c r="B4" s="478"/>
      <c r="C4" s="64" t="e">
        <f>J11</f>
        <v>#REF!</v>
      </c>
      <c r="D4" s="64" t="e">
        <f>M11</f>
        <v>#REF!</v>
      </c>
      <c r="E4" s="64" t="str">
        <f>CONCATENATE("LA team: ",'Agreement 3'!B7," and ATMs if applicable")</f>
        <v>LA team: Dr Pieter van Zyl and ATMs if applicable</v>
      </c>
      <c r="F4" s="490" t="s">
        <v>1141</v>
      </c>
      <c r="G4" s="478"/>
      <c r="H4" s="61"/>
      <c r="I4" s="113">
        <f>Planning!B47</f>
        <v>46167</v>
      </c>
      <c r="J4" s="114" t="str">
        <f t="shared" ref="J4:J9" si="0">_xlfn.CONCAT("Day ",L4)</f>
        <v>Day 3</v>
      </c>
      <c r="K4" s="63"/>
      <c r="L4" s="116">
        <f t="shared" ref="L4:L9" si="1">L3+1</f>
        <v>3</v>
      </c>
      <c r="M4" s="116"/>
      <c r="N4" s="65"/>
      <c r="O4" s="65"/>
      <c r="P4" s="65"/>
    </row>
    <row r="5" spans="1:16" ht="18" customHeight="1">
      <c r="A5" s="66">
        <v>0.41666666666666669</v>
      </c>
      <c r="B5" s="66">
        <v>0.45833333333333331</v>
      </c>
      <c r="C5" s="479" t="s">
        <v>1142</v>
      </c>
      <c r="D5" s="479" t="s">
        <v>1142</v>
      </c>
      <c r="E5" s="479" t="s">
        <v>1143</v>
      </c>
      <c r="F5" s="66">
        <v>0.16666666666666671</v>
      </c>
      <c r="G5" s="66">
        <v>0.20833333333333329</v>
      </c>
      <c r="H5" s="61"/>
      <c r="I5" s="113">
        <f>I4+1</f>
        <v>46168</v>
      </c>
      <c r="J5" s="114" t="str">
        <f t="shared" si="0"/>
        <v>Day 4</v>
      </c>
      <c r="K5" s="63"/>
      <c r="L5" s="116">
        <f t="shared" si="1"/>
        <v>4</v>
      </c>
      <c r="M5" s="116"/>
      <c r="N5" s="63"/>
      <c r="O5" s="63"/>
      <c r="P5" s="63"/>
    </row>
    <row r="6" spans="1:16" ht="18" customHeight="1">
      <c r="A6" s="66">
        <v>0.45833333333333331</v>
      </c>
      <c r="B6" s="66">
        <v>0.5</v>
      </c>
      <c r="C6" s="495"/>
      <c r="D6" s="495"/>
      <c r="E6" s="495"/>
      <c r="F6" s="66">
        <v>0.20833333333333329</v>
      </c>
      <c r="G6" s="66">
        <v>0.25</v>
      </c>
      <c r="H6" s="61"/>
      <c r="I6" s="113">
        <f>I5+1</f>
        <v>46169</v>
      </c>
      <c r="J6" s="114" t="str">
        <f t="shared" si="0"/>
        <v>Day 5</v>
      </c>
      <c r="K6" s="63"/>
      <c r="L6" s="116">
        <f t="shared" si="1"/>
        <v>5</v>
      </c>
      <c r="M6" s="63"/>
      <c r="N6" s="63"/>
      <c r="O6" s="63"/>
      <c r="P6" s="63"/>
    </row>
    <row r="7" spans="1:16" ht="18" customHeight="1">
      <c r="A7" s="66">
        <v>0.5</v>
      </c>
      <c r="B7" s="66">
        <v>0.54166666666666663</v>
      </c>
      <c r="C7" s="495"/>
      <c r="D7" s="495"/>
      <c r="E7" s="495"/>
      <c r="F7" s="66">
        <v>0.25</v>
      </c>
      <c r="G7" s="66">
        <v>0.29166666666666669</v>
      </c>
      <c r="H7" s="61"/>
      <c r="I7" s="113">
        <f>I6+1</f>
        <v>46170</v>
      </c>
      <c r="J7" s="114" t="str">
        <f t="shared" si="0"/>
        <v>Day 6</v>
      </c>
      <c r="K7" s="63"/>
      <c r="L7" s="116">
        <f t="shared" si="1"/>
        <v>6</v>
      </c>
      <c r="M7" s="63"/>
      <c r="N7" s="63"/>
      <c r="O7" s="63"/>
      <c r="P7" s="63"/>
    </row>
    <row r="8" spans="1:16" ht="18" customHeight="1">
      <c r="A8" s="66">
        <v>0.54166666666666663</v>
      </c>
      <c r="B8" s="66">
        <v>0.58333333333333337</v>
      </c>
      <c r="C8" s="495"/>
      <c r="D8" s="495"/>
      <c r="E8" s="495"/>
      <c r="F8" s="66">
        <v>0.29166666666666669</v>
      </c>
      <c r="G8" s="66">
        <v>0.33333333333333331</v>
      </c>
      <c r="H8" s="61"/>
      <c r="I8" s="113">
        <f>I7+1</f>
        <v>46171</v>
      </c>
      <c r="J8" s="114" t="str">
        <f t="shared" si="0"/>
        <v>Day 7</v>
      </c>
      <c r="K8" s="63"/>
      <c r="L8" s="116">
        <f t="shared" si="1"/>
        <v>7</v>
      </c>
      <c r="M8" s="63"/>
      <c r="N8" s="63"/>
      <c r="O8" s="63"/>
      <c r="P8" s="63"/>
    </row>
    <row r="9" spans="1:16" ht="18" customHeight="1">
      <c r="A9" s="66">
        <v>0.58333333333333337</v>
      </c>
      <c r="B9" s="66">
        <v>0.625</v>
      </c>
      <c r="C9" s="495"/>
      <c r="D9" s="495"/>
      <c r="E9" s="495"/>
      <c r="F9" s="66">
        <v>0.33333333333333331</v>
      </c>
      <c r="G9" s="66">
        <v>0.375</v>
      </c>
      <c r="H9" s="61"/>
      <c r="I9" s="113">
        <f>I8+1</f>
        <v>46172</v>
      </c>
      <c r="J9" s="114" t="str">
        <f t="shared" si="0"/>
        <v>Day 8</v>
      </c>
      <c r="K9" s="63"/>
      <c r="L9" s="116">
        <f t="shared" si="1"/>
        <v>8</v>
      </c>
      <c r="M9" s="63"/>
      <c r="N9" s="63"/>
      <c r="O9" s="63"/>
      <c r="P9" s="63"/>
    </row>
    <row r="10" spans="1:16" ht="18" customHeight="1">
      <c r="A10" s="66">
        <v>0.625</v>
      </c>
      <c r="B10" s="66">
        <v>0.66666666666666663</v>
      </c>
      <c r="C10" s="495"/>
      <c r="D10" s="495"/>
      <c r="E10" s="495"/>
      <c r="F10" s="66">
        <v>0.375</v>
      </c>
      <c r="G10" s="66">
        <v>0.41666666666666669</v>
      </c>
      <c r="H10" s="61"/>
      <c r="I10" s="115"/>
      <c r="J10" s="63"/>
      <c r="K10" s="63"/>
      <c r="L10" s="63"/>
      <c r="M10" s="63"/>
      <c r="N10" s="63"/>
      <c r="O10" s="63"/>
      <c r="P10" s="63"/>
    </row>
    <row r="11" spans="1:16" ht="18" customHeight="1">
      <c r="A11" s="66">
        <v>0.66666666666666663</v>
      </c>
      <c r="B11" s="66">
        <v>0.70833333333333337</v>
      </c>
      <c r="C11" s="495"/>
      <c r="D11" s="495"/>
      <c r="E11" s="495"/>
      <c r="F11" s="66">
        <v>0.41666666666666669</v>
      </c>
      <c r="G11" s="66">
        <v>0.45833333333333331</v>
      </c>
      <c r="H11" s="61"/>
      <c r="I11" s="108" t="s">
        <v>1144</v>
      </c>
      <c r="J11" s="109" t="e">
        <f>_xlfn.CONCAT("Mini team 1:",I12," / ",I13," / ",I14)</f>
        <v>#REF!</v>
      </c>
      <c r="K11" s="110"/>
      <c r="L11" s="108" t="e">
        <f>'P1-OrgScope'!#REF!</f>
        <v>#REF!</v>
      </c>
      <c r="M11" s="109" t="e">
        <f>_xlfn.CONCAT("Full team: ",L11," / ",L12, " / ",L13," / ",L14," /",L15," / ",L16, " / ",L17," / ",L18)</f>
        <v>#REF!</v>
      </c>
      <c r="N11" s="63"/>
      <c r="O11" s="63"/>
      <c r="P11" s="63"/>
    </row>
    <row r="12" spans="1:16" ht="18" customHeight="1">
      <c r="A12" s="66">
        <v>0.70833333333333337</v>
      </c>
      <c r="B12" s="66">
        <v>0.75</v>
      </c>
      <c r="C12" s="495"/>
      <c r="D12" s="495"/>
      <c r="E12" s="495"/>
      <c r="F12" s="66">
        <v>0.45833333333333331</v>
      </c>
      <c r="G12" s="66">
        <v>0.5</v>
      </c>
      <c r="H12" s="61"/>
      <c r="I12" s="108" t="e">
        <f>'P1-OrgScope'!#REF!</f>
        <v>#REF!</v>
      </c>
      <c r="J12" s="110"/>
      <c r="K12" s="110"/>
      <c r="L12" s="108" t="e">
        <f>'P1-OrgScope'!#REF!</f>
        <v>#REF!</v>
      </c>
      <c r="M12" s="110"/>
      <c r="N12" s="63"/>
      <c r="O12" s="63"/>
      <c r="P12" s="63"/>
    </row>
    <row r="13" spans="1:16" ht="18" customHeight="1">
      <c r="A13" s="66">
        <v>0.75</v>
      </c>
      <c r="B13" s="66">
        <v>0.79166666666666663</v>
      </c>
      <c r="C13" s="496"/>
      <c r="D13" s="496"/>
      <c r="E13" s="496"/>
      <c r="F13" s="66">
        <v>0.5</v>
      </c>
      <c r="G13" s="66">
        <v>0.54166666666666663</v>
      </c>
      <c r="H13" s="61"/>
      <c r="I13" s="108" t="e">
        <f>'P1-OrgScope'!#REF!</f>
        <v>#REF!</v>
      </c>
      <c r="K13" s="109"/>
      <c r="L13" s="108" t="e">
        <f>'P1-OrgScope'!#REF!</f>
        <v>#REF!</v>
      </c>
      <c r="M13" s="110"/>
      <c r="N13" s="63"/>
      <c r="O13" s="63"/>
      <c r="P13" s="63"/>
    </row>
    <row r="14" spans="1:16">
      <c r="I14" s="108" t="e">
        <f>'P1-OrgScope'!#REF!</f>
        <v>#REF!</v>
      </c>
      <c r="K14" s="39"/>
      <c r="L14" s="108" t="e">
        <f>'P1-OrgScope'!#REF!</f>
        <v>#REF!</v>
      </c>
      <c r="M14" s="110"/>
    </row>
    <row r="15" spans="1:16">
      <c r="A15" s="493" t="str">
        <f>CONCATENATE("Schedule above includes ",Planning!B45," non-working day(s).")</f>
        <v>Schedule above includes 0 non-working day(s).</v>
      </c>
      <c r="B15" s="477"/>
      <c r="C15" s="477"/>
      <c r="D15" s="477"/>
      <c r="E15" s="477"/>
      <c r="F15" s="477"/>
      <c r="G15" s="478"/>
      <c r="H15" s="61"/>
      <c r="I15" s="108"/>
      <c r="K15" s="110"/>
      <c r="L15" s="108" t="e">
        <f>'P1-OrgScope'!#REF!</f>
        <v>#REF!</v>
      </c>
      <c r="M15" s="63"/>
      <c r="N15" s="63"/>
      <c r="O15" s="63"/>
      <c r="P15" s="63"/>
    </row>
    <row r="16" spans="1:16">
      <c r="A16" s="492" t="str">
        <f>J4</f>
        <v>Day 3</v>
      </c>
      <c r="B16" s="478"/>
      <c r="C16" s="498">
        <f>I4</f>
        <v>46167</v>
      </c>
      <c r="D16" s="477"/>
      <c r="E16" s="478"/>
      <c r="F16" s="492" t="str">
        <f>A16</f>
        <v>Day 3</v>
      </c>
      <c r="G16" s="478"/>
      <c r="H16" s="61"/>
      <c r="I16" s="108"/>
      <c r="K16" s="110"/>
      <c r="L16" s="108" t="e">
        <f>'P1-OrgScope'!#REF!</f>
        <v>#REF!</v>
      </c>
      <c r="M16" s="63"/>
      <c r="N16" s="63"/>
      <c r="O16" s="63"/>
      <c r="P16" s="63"/>
    </row>
    <row r="17" spans="1:18" ht="28.8" customHeight="1">
      <c r="A17" s="492" t="s">
        <v>1140</v>
      </c>
      <c r="B17" s="478"/>
      <c r="C17" s="67" t="e">
        <f>C4</f>
        <v>#REF!</v>
      </c>
      <c r="D17" s="67" t="e">
        <f>D4</f>
        <v>#REF!</v>
      </c>
      <c r="E17" s="67" t="str">
        <f>E4</f>
        <v>LA team: Dr Pieter van Zyl and ATMs if applicable</v>
      </c>
      <c r="F17" s="492" t="s">
        <v>1141</v>
      </c>
      <c r="G17" s="478"/>
      <c r="H17" s="61"/>
      <c r="K17" s="110"/>
      <c r="L17" s="108" t="e">
        <f>'P1-OrgScope'!#REF!</f>
        <v>#REF!</v>
      </c>
      <c r="M17" s="108"/>
      <c r="N17" s="63"/>
      <c r="O17" s="62"/>
      <c r="P17" s="63"/>
    </row>
    <row r="18" spans="1:18" ht="18.600000000000001" customHeight="1">
      <c r="A18" s="66">
        <v>0.41666666666666669</v>
      </c>
      <c r="B18" s="66">
        <v>0.4375</v>
      </c>
      <c r="C18" s="68" t="s">
        <v>1145</v>
      </c>
      <c r="D18" s="68" t="s">
        <v>1145</v>
      </c>
      <c r="E18" s="68" t="s">
        <v>1146</v>
      </c>
      <c r="F18" s="66">
        <v>0.16666666666666671</v>
      </c>
      <c r="G18" s="66">
        <v>0.1875</v>
      </c>
      <c r="H18" s="61"/>
      <c r="I18" s="108"/>
      <c r="J18" s="63"/>
      <c r="K18" s="63"/>
      <c r="L18" s="108" t="e">
        <f>'P1-OrgScope'!#REF!</f>
        <v>#REF!</v>
      </c>
      <c r="M18" s="63"/>
      <c r="N18" s="63"/>
      <c r="O18" s="63"/>
      <c r="P18" s="63"/>
    </row>
    <row r="19" spans="1:18" ht="18.600000000000001" customHeight="1">
      <c r="A19" s="66">
        <v>0.4375</v>
      </c>
      <c r="B19" s="66">
        <v>0.45833333333333331</v>
      </c>
      <c r="C19" s="491" t="s">
        <v>1147</v>
      </c>
      <c r="D19" s="477"/>
      <c r="E19" s="478"/>
      <c r="F19" s="66">
        <v>0.1875</v>
      </c>
      <c r="G19" s="66">
        <v>0.20833333333333329</v>
      </c>
      <c r="H19" s="61"/>
      <c r="I19" s="108"/>
      <c r="J19" s="63"/>
      <c r="K19" s="63"/>
      <c r="L19" s="63"/>
      <c r="M19" s="63"/>
      <c r="N19" s="63"/>
      <c r="O19" s="63"/>
      <c r="P19" s="63"/>
    </row>
    <row r="20" spans="1:18" ht="18.600000000000001" customHeight="1">
      <c r="A20" s="66">
        <v>0.45833333333333331</v>
      </c>
      <c r="B20" s="66">
        <v>0.47916666666666669</v>
      </c>
      <c r="C20" s="494" t="s">
        <v>1148</v>
      </c>
      <c r="D20" s="480"/>
      <c r="E20" s="481"/>
      <c r="F20" s="66">
        <v>0.20833333333333329</v>
      </c>
      <c r="G20" s="66">
        <v>0.22916666666666671</v>
      </c>
      <c r="H20" s="61"/>
      <c r="I20" s="108"/>
      <c r="J20" s="63"/>
      <c r="K20" s="63"/>
      <c r="L20" s="63"/>
      <c r="M20" s="63"/>
      <c r="N20" s="63"/>
      <c r="O20" s="63"/>
      <c r="P20" s="63"/>
    </row>
    <row r="21" spans="1:18" ht="18.600000000000001" customHeight="1">
      <c r="A21" s="66">
        <v>0.47916666666666669</v>
      </c>
      <c r="B21" s="66">
        <v>0.5</v>
      </c>
      <c r="C21" s="482"/>
      <c r="D21" s="483"/>
      <c r="E21" s="484"/>
      <c r="F21" s="66">
        <v>0.22916666666666671</v>
      </c>
      <c r="G21" s="66">
        <v>0.25</v>
      </c>
      <c r="H21" s="61"/>
      <c r="I21" s="63"/>
      <c r="J21" s="63"/>
      <c r="K21" s="63"/>
      <c r="L21" s="63"/>
      <c r="M21" s="63"/>
      <c r="N21" s="63"/>
      <c r="O21" s="63"/>
      <c r="P21" s="63"/>
    </row>
    <row r="22" spans="1:18" ht="18.600000000000001" customHeight="1">
      <c r="A22" s="66">
        <v>0.5</v>
      </c>
      <c r="B22" s="66">
        <v>0.52083333333333337</v>
      </c>
      <c r="C22" s="479" t="s">
        <v>1149</v>
      </c>
      <c r="D22" s="480"/>
      <c r="E22" s="48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2"/>
      <c r="D23" s="483"/>
      <c r="E23" s="484"/>
      <c r="F23" s="66">
        <v>0.27083333333333331</v>
      </c>
      <c r="G23" s="66">
        <v>0.29166666666666669</v>
      </c>
      <c r="H23" s="61"/>
      <c r="I23" s="63"/>
      <c r="J23" s="63"/>
      <c r="K23" s="116"/>
      <c r="L23" s="116"/>
      <c r="M23" s="116"/>
      <c r="N23" s="65"/>
      <c r="O23" s="65"/>
      <c r="P23" s="65"/>
    </row>
    <row r="24" spans="1:18" ht="18.600000000000001" customHeight="1">
      <c r="A24" s="66">
        <v>0.54166666666666663</v>
      </c>
      <c r="B24" s="66">
        <v>0.5625</v>
      </c>
      <c r="C24" s="491" t="s">
        <v>568</v>
      </c>
      <c r="D24" s="480"/>
      <c r="E24" s="481"/>
      <c r="F24" s="66">
        <v>0.29166666666666669</v>
      </c>
      <c r="G24" s="66">
        <v>0.3125</v>
      </c>
      <c r="H24" s="61"/>
      <c r="I24" s="63"/>
      <c r="J24" s="63"/>
      <c r="K24" s="116"/>
      <c r="L24" s="116"/>
      <c r="M24" s="116"/>
      <c r="N24" s="63"/>
      <c r="O24" s="63"/>
      <c r="P24" s="63"/>
    </row>
    <row r="25" spans="1:18" ht="18.600000000000001" customHeight="1">
      <c r="A25" s="66">
        <v>0.5625</v>
      </c>
      <c r="B25" s="66">
        <v>0.58333333333333337</v>
      </c>
      <c r="C25" s="487"/>
      <c r="D25" s="488"/>
      <c r="E25" s="489"/>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7"/>
      <c r="D26" s="488"/>
      <c r="E26" s="489"/>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2"/>
      <c r="D27" s="483"/>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79" t="s">
        <v>1150</v>
      </c>
      <c r="D28" s="477"/>
      <c r="E28" s="478"/>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1" t="s">
        <v>1151</v>
      </c>
      <c r="D29" s="480"/>
      <c r="E29" s="481"/>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7"/>
      <c r="D30" s="488"/>
      <c r="E30" s="489"/>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7"/>
      <c r="D31" s="488"/>
      <c r="E31" s="489"/>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2"/>
      <c r="D32" s="483"/>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1150</v>
      </c>
      <c r="D33" s="477"/>
      <c r="E33" s="478"/>
      <c r="F33" s="66">
        <v>0.47916666666666669</v>
      </c>
      <c r="G33" s="66">
        <v>0.5</v>
      </c>
      <c r="H33" s="61"/>
      <c r="I33" s="63"/>
      <c r="J33" s="63"/>
      <c r="K33" s="63"/>
      <c r="L33" s="63"/>
      <c r="M33" s="63"/>
      <c r="N33" s="63"/>
      <c r="O33" s="63"/>
      <c r="P33" s="63"/>
    </row>
    <row r="34" spans="1:16" ht="18.600000000000001" customHeight="1">
      <c r="A34" s="66">
        <v>0.75</v>
      </c>
      <c r="B34" s="66">
        <v>0.83333333333333337</v>
      </c>
      <c r="C34" s="479" t="s">
        <v>1152</v>
      </c>
      <c r="D34" s="477"/>
      <c r="E34" s="478"/>
      <c r="F34" s="66">
        <v>0.5</v>
      </c>
      <c r="G34" s="66">
        <v>0.58333333333333337</v>
      </c>
      <c r="H34" s="61"/>
      <c r="I34" s="63"/>
      <c r="J34" s="63"/>
      <c r="K34" s="63"/>
      <c r="L34" s="63"/>
      <c r="M34" s="63"/>
      <c r="N34" s="63"/>
      <c r="O34" s="63"/>
      <c r="P34" s="63"/>
    </row>
    <row r="35" spans="1:16">
      <c r="A35" s="492" t="str">
        <f>J5</f>
        <v>Day 4</v>
      </c>
      <c r="B35" s="478"/>
      <c r="C35" s="498">
        <f>I5</f>
        <v>46168</v>
      </c>
      <c r="D35" s="477"/>
      <c r="E35" s="478"/>
      <c r="F35" s="492" t="str">
        <f>A35</f>
        <v>Day 4</v>
      </c>
      <c r="G35" s="478"/>
      <c r="H35" s="70"/>
    </row>
    <row r="36" spans="1:16" ht="28.8" customHeight="1">
      <c r="A36" s="492" t="s">
        <v>1140</v>
      </c>
      <c r="B36" s="478"/>
      <c r="C36" s="67" t="e">
        <f>C17</f>
        <v>#REF!</v>
      </c>
      <c r="D36" s="67" t="e">
        <f>D17</f>
        <v>#REF!</v>
      </c>
      <c r="E36" s="67" t="str">
        <f>E17</f>
        <v>LA team: Dr Pieter van Zyl and ATMs if applicable</v>
      </c>
      <c r="F36" s="492" t="s">
        <v>1141</v>
      </c>
      <c r="G36" s="478"/>
      <c r="H36" s="70"/>
    </row>
    <row r="37" spans="1:16" ht="18" customHeight="1">
      <c r="A37" s="66">
        <v>0.41666666666666669</v>
      </c>
      <c r="B37" s="66">
        <v>0.4375</v>
      </c>
      <c r="C37" s="479" t="s">
        <v>1150</v>
      </c>
      <c r="D37" s="478"/>
      <c r="E37" s="68" t="s">
        <v>1146</v>
      </c>
      <c r="F37" s="66">
        <v>0.16666666666666671</v>
      </c>
      <c r="G37" s="66">
        <v>0.1875</v>
      </c>
      <c r="H37" s="70"/>
    </row>
    <row r="38" spans="1:16" ht="18" customHeight="1">
      <c r="A38" s="66">
        <v>0.4375</v>
      </c>
      <c r="B38" s="66">
        <v>0.45833333333333331</v>
      </c>
      <c r="C38" s="491" t="s">
        <v>555</v>
      </c>
      <c r="D38" s="480"/>
      <c r="E38" s="481"/>
      <c r="F38" s="66">
        <v>0.1875</v>
      </c>
      <c r="G38" s="66">
        <v>0.20833333333333329</v>
      </c>
      <c r="H38" s="70"/>
    </row>
    <row r="39" spans="1:16" ht="18" customHeight="1">
      <c r="A39" s="66">
        <v>0.45833333333333331</v>
      </c>
      <c r="B39" s="66">
        <v>0.47916666666666669</v>
      </c>
      <c r="C39" s="487"/>
      <c r="D39" s="488"/>
      <c r="E39" s="489"/>
      <c r="F39" s="66">
        <v>0.20833333333333329</v>
      </c>
      <c r="G39" s="66">
        <v>0.22916666666666671</v>
      </c>
      <c r="H39" s="70"/>
    </row>
    <row r="40" spans="1:16" ht="18" customHeight="1">
      <c r="A40" s="66">
        <v>0.47916666666666669</v>
      </c>
      <c r="B40" s="66">
        <v>0.5</v>
      </c>
      <c r="C40" s="482"/>
      <c r="D40" s="483"/>
      <c r="E40" s="484"/>
      <c r="F40" s="66">
        <v>0.22916666666666671</v>
      </c>
      <c r="G40" s="66">
        <v>0.25</v>
      </c>
      <c r="H40" s="70"/>
    </row>
    <row r="41" spans="1:16" ht="18" customHeight="1">
      <c r="A41" s="66">
        <v>0.5</v>
      </c>
      <c r="B41" s="66">
        <v>0.52083333333333337</v>
      </c>
      <c r="C41" s="479" t="s">
        <v>1149</v>
      </c>
      <c r="D41" s="480"/>
      <c r="E41" s="481"/>
      <c r="F41" s="66">
        <v>0.25</v>
      </c>
      <c r="G41" s="66">
        <v>0.27083333333333331</v>
      </c>
      <c r="H41" s="70"/>
    </row>
    <row r="42" spans="1:16" ht="18" customHeight="1">
      <c r="A42" s="66">
        <v>0.52083333333333337</v>
      </c>
      <c r="B42" s="66">
        <v>0.54166666666666663</v>
      </c>
      <c r="C42" s="482"/>
      <c r="D42" s="483"/>
      <c r="E42" s="484"/>
      <c r="F42" s="66">
        <v>0.27083333333333331</v>
      </c>
      <c r="G42" s="66">
        <v>0.29166666666666669</v>
      </c>
      <c r="H42" s="70"/>
    </row>
    <row r="43" spans="1:16" ht="18" customHeight="1">
      <c r="A43" s="66">
        <v>0.54166666666666663</v>
      </c>
      <c r="B43" s="66">
        <v>0.5625</v>
      </c>
      <c r="C43" s="491" t="s">
        <v>1153</v>
      </c>
      <c r="D43" s="480"/>
      <c r="E43" s="481"/>
      <c r="F43" s="66">
        <v>0.29166666666666669</v>
      </c>
      <c r="G43" s="66">
        <v>0.3125</v>
      </c>
      <c r="H43" s="70"/>
    </row>
    <row r="44" spans="1:16" ht="18" customHeight="1">
      <c r="A44" s="66">
        <v>0.5625</v>
      </c>
      <c r="B44" s="66">
        <v>0.58333333333333337</v>
      </c>
      <c r="C44" s="487"/>
      <c r="D44" s="488"/>
      <c r="E44" s="489"/>
      <c r="F44" s="66">
        <v>0.3125</v>
      </c>
      <c r="G44" s="66">
        <v>0.33333333333333331</v>
      </c>
      <c r="H44" s="70"/>
    </row>
    <row r="45" spans="1:16" ht="18" customHeight="1">
      <c r="A45" s="66">
        <v>0.58333333333333337</v>
      </c>
      <c r="B45" s="66">
        <v>0.60416666666666663</v>
      </c>
      <c r="C45" s="487"/>
      <c r="D45" s="488"/>
      <c r="E45" s="489"/>
      <c r="F45" s="66">
        <v>0.33333333333333331</v>
      </c>
      <c r="G45" s="66">
        <v>0.35416666666666669</v>
      </c>
      <c r="H45" s="70"/>
    </row>
    <row r="46" spans="1:16" ht="18" customHeight="1">
      <c r="A46" s="66">
        <v>0.60416666666666663</v>
      </c>
      <c r="B46" s="66">
        <v>0.625</v>
      </c>
      <c r="C46" s="487"/>
      <c r="D46" s="488"/>
      <c r="E46" s="489"/>
      <c r="F46" s="66">
        <v>0.35416666666666669</v>
      </c>
      <c r="G46" s="66">
        <v>0.375</v>
      </c>
      <c r="H46" s="70"/>
    </row>
    <row r="47" spans="1:16" ht="18" customHeight="1">
      <c r="A47" s="66">
        <v>0.625</v>
      </c>
      <c r="B47" s="66">
        <v>0.64583333333333337</v>
      </c>
      <c r="C47" s="482"/>
      <c r="D47" s="483"/>
      <c r="E47" s="484"/>
      <c r="F47" s="66">
        <v>0.375</v>
      </c>
      <c r="G47" s="66">
        <v>0.39583333333333331</v>
      </c>
      <c r="H47" s="70"/>
    </row>
    <row r="48" spans="1:16" ht="18" customHeight="1">
      <c r="A48" s="66">
        <v>0.64583333333333337</v>
      </c>
      <c r="B48" s="66">
        <v>0.66666666666666663</v>
      </c>
      <c r="C48" s="479" t="s">
        <v>1150</v>
      </c>
      <c r="D48" s="481"/>
      <c r="E48" s="479" t="s">
        <v>1146</v>
      </c>
      <c r="F48" s="66">
        <v>0.39583333333333331</v>
      </c>
      <c r="G48" s="66">
        <v>0.41666666666666669</v>
      </c>
      <c r="H48" s="70"/>
    </row>
    <row r="49" spans="1:8" ht="18" customHeight="1">
      <c r="A49" s="66">
        <v>0.66666666666666663</v>
      </c>
      <c r="B49" s="66">
        <v>0.6875</v>
      </c>
      <c r="C49" s="482"/>
      <c r="D49" s="484"/>
      <c r="E49" s="496"/>
      <c r="F49" s="66">
        <v>0.41666666666666669</v>
      </c>
      <c r="G49" s="66">
        <v>0.4375</v>
      </c>
      <c r="H49" s="70"/>
    </row>
    <row r="50" spans="1:8" ht="18" customHeight="1">
      <c r="A50" s="66">
        <v>0.6875</v>
      </c>
      <c r="B50" s="66">
        <v>0.70833333333333337</v>
      </c>
      <c r="C50" s="491" t="s">
        <v>557</v>
      </c>
      <c r="D50" s="480"/>
      <c r="E50" s="481"/>
      <c r="F50" s="66">
        <v>0.4375</v>
      </c>
      <c r="G50" s="66">
        <v>0.45833333333333331</v>
      </c>
      <c r="H50" s="70"/>
    </row>
    <row r="51" spans="1:8" ht="18" customHeight="1">
      <c r="A51" s="66">
        <v>0.70833333333333337</v>
      </c>
      <c r="B51" s="66">
        <v>0.72916666666666663</v>
      </c>
      <c r="C51" s="482"/>
      <c r="D51" s="483"/>
      <c r="E51" s="484"/>
      <c r="F51" s="66">
        <v>0.45833333333333331</v>
      </c>
      <c r="G51" s="66">
        <v>0.47916666666666669</v>
      </c>
      <c r="H51" s="70"/>
    </row>
    <row r="52" spans="1:8" ht="18" customHeight="1">
      <c r="A52" s="66">
        <v>0.72916666666666663</v>
      </c>
      <c r="B52" s="66">
        <v>0.75</v>
      </c>
      <c r="C52" s="479" t="s">
        <v>1150</v>
      </c>
      <c r="D52" s="477"/>
      <c r="E52" s="478"/>
      <c r="F52" s="66">
        <v>0.47916666666666669</v>
      </c>
      <c r="G52" s="66">
        <v>0.5</v>
      </c>
      <c r="H52" s="70"/>
    </row>
    <row r="53" spans="1:8" ht="18" customHeight="1">
      <c r="A53" s="66">
        <v>0.75</v>
      </c>
      <c r="B53" s="66">
        <v>0.83333333333333337</v>
      </c>
      <c r="C53" s="479" t="s">
        <v>1152</v>
      </c>
      <c r="D53" s="477"/>
      <c r="E53" s="478"/>
      <c r="F53" s="66">
        <v>0.5</v>
      </c>
      <c r="G53" s="66">
        <v>0.58333333333333337</v>
      </c>
      <c r="H53" s="70"/>
    </row>
    <row r="54" spans="1:8">
      <c r="A54" s="490" t="str">
        <f>J6</f>
        <v>Day 5</v>
      </c>
      <c r="B54" s="478"/>
      <c r="C54" s="476">
        <f>I6</f>
        <v>46169</v>
      </c>
      <c r="D54" s="477"/>
      <c r="E54" s="478"/>
      <c r="F54" s="490" t="str">
        <f>A54</f>
        <v>Day 5</v>
      </c>
      <c r="G54" s="478"/>
      <c r="H54" s="70"/>
    </row>
    <row r="55" spans="1:8" ht="28.8" customHeight="1">
      <c r="A55" s="490" t="s">
        <v>1140</v>
      </c>
      <c r="B55" s="478"/>
      <c r="C55" s="64" t="e">
        <f>C36</f>
        <v>#REF!</v>
      </c>
      <c r="D55" s="64" t="e">
        <f>D36</f>
        <v>#REF!</v>
      </c>
      <c r="E55" s="64" t="str">
        <f>E36</f>
        <v>LA team: Dr Pieter van Zyl and ATMs if applicable</v>
      </c>
      <c r="F55" s="490" t="s">
        <v>1141</v>
      </c>
      <c r="G55" s="478"/>
      <c r="H55" s="70"/>
    </row>
    <row r="56" spans="1:8" ht="18" customHeight="1">
      <c r="A56" s="66">
        <v>0.41666666666666669</v>
      </c>
      <c r="B56" s="66">
        <v>0.4375</v>
      </c>
      <c r="C56" s="479" t="s">
        <v>1154</v>
      </c>
      <c r="D56" s="478"/>
      <c r="E56" s="68" t="s">
        <v>1146</v>
      </c>
      <c r="F56" s="66">
        <v>0.16666666666666671</v>
      </c>
      <c r="G56" s="66">
        <v>0.1875</v>
      </c>
      <c r="H56" s="70"/>
    </row>
    <row r="57" spans="1:8" ht="18" customHeight="1">
      <c r="A57" s="66">
        <v>0.4375</v>
      </c>
      <c r="B57" s="66">
        <v>0.45833333333333331</v>
      </c>
      <c r="C57" s="491" t="s">
        <v>563</v>
      </c>
      <c r="D57" s="480"/>
      <c r="E57" s="481"/>
      <c r="F57" s="66">
        <v>0.1875</v>
      </c>
      <c r="G57" s="66">
        <v>0.20833333333333329</v>
      </c>
      <c r="H57" s="70"/>
    </row>
    <row r="58" spans="1:8" ht="18" customHeight="1">
      <c r="A58" s="66">
        <v>0.45833333333333331</v>
      </c>
      <c r="B58" s="66">
        <v>0.47916666666666669</v>
      </c>
      <c r="C58" s="487"/>
      <c r="D58" s="488"/>
      <c r="E58" s="489"/>
      <c r="F58" s="66">
        <v>0.20833333333333329</v>
      </c>
      <c r="G58" s="66">
        <v>0.22916666666666671</v>
      </c>
      <c r="H58" s="70"/>
    </row>
    <row r="59" spans="1:8" ht="18" customHeight="1">
      <c r="A59" s="66">
        <v>0.47916666666666669</v>
      </c>
      <c r="B59" s="66">
        <v>0.5</v>
      </c>
      <c r="C59" s="482"/>
      <c r="D59" s="483"/>
      <c r="E59" s="484"/>
      <c r="F59" s="66">
        <v>0.22916666666666671</v>
      </c>
      <c r="G59" s="66">
        <v>0.25</v>
      </c>
      <c r="H59" s="70"/>
    </row>
    <row r="60" spans="1:8" ht="18" customHeight="1">
      <c r="A60" s="66">
        <v>0.5</v>
      </c>
      <c r="B60" s="66">
        <v>0.52083333333333337</v>
      </c>
      <c r="C60" s="479" t="s">
        <v>1149</v>
      </c>
      <c r="D60" s="480"/>
      <c r="E60" s="481"/>
      <c r="F60" s="66">
        <v>0.25</v>
      </c>
      <c r="G60" s="66">
        <v>0.27083333333333331</v>
      </c>
      <c r="H60" s="70"/>
    </row>
    <row r="61" spans="1:8" ht="18" customHeight="1">
      <c r="A61" s="66">
        <v>0.52083333333333337</v>
      </c>
      <c r="B61" s="66">
        <v>0.54166666666666663</v>
      </c>
      <c r="C61" s="482"/>
      <c r="D61" s="483"/>
      <c r="E61" s="484"/>
      <c r="F61" s="66">
        <v>0.27083333333333331</v>
      </c>
      <c r="G61" s="66">
        <v>0.29166666666666669</v>
      </c>
      <c r="H61" s="70"/>
    </row>
    <row r="62" spans="1:8" ht="18" customHeight="1">
      <c r="A62" s="66">
        <v>0.54166666666666663</v>
      </c>
      <c r="B62" s="66">
        <v>0.5625</v>
      </c>
      <c r="C62" s="491" t="s">
        <v>1155</v>
      </c>
      <c r="D62" s="480"/>
      <c r="E62" s="481"/>
      <c r="F62" s="66">
        <v>0.29166666666666669</v>
      </c>
      <c r="G62" s="66">
        <v>0.3125</v>
      </c>
      <c r="H62" s="70"/>
    </row>
    <row r="63" spans="1:8" ht="18" customHeight="1">
      <c r="A63" s="66">
        <v>0.5625</v>
      </c>
      <c r="B63" s="66">
        <v>0.58333333333333337</v>
      </c>
      <c r="C63" s="487"/>
      <c r="D63" s="488"/>
      <c r="E63" s="489"/>
      <c r="F63" s="66">
        <v>0.3125</v>
      </c>
      <c r="G63" s="66">
        <v>0.33333333333333331</v>
      </c>
      <c r="H63" s="70"/>
    </row>
    <row r="64" spans="1:8" ht="18" customHeight="1">
      <c r="A64" s="66">
        <v>0.58333333333333337</v>
      </c>
      <c r="B64" s="66">
        <v>0.60416666666666663</v>
      </c>
      <c r="C64" s="487"/>
      <c r="D64" s="488"/>
      <c r="E64" s="489"/>
      <c r="F64" s="66">
        <v>0.33333333333333331</v>
      </c>
      <c r="G64" s="66">
        <v>0.35416666666666669</v>
      </c>
      <c r="H64" s="70"/>
    </row>
    <row r="65" spans="1:8" ht="18" customHeight="1">
      <c r="A65" s="66">
        <v>0.60416666666666663</v>
      </c>
      <c r="B65" s="66">
        <v>0.625</v>
      </c>
      <c r="C65" s="487"/>
      <c r="D65" s="488"/>
      <c r="E65" s="489"/>
      <c r="F65" s="66">
        <v>0.35416666666666669</v>
      </c>
      <c r="G65" s="66">
        <v>0.375</v>
      </c>
      <c r="H65" s="70"/>
    </row>
    <row r="66" spans="1:8" ht="18" customHeight="1">
      <c r="A66" s="66">
        <v>0.625</v>
      </c>
      <c r="B66" s="66">
        <v>0.64583333333333337</v>
      </c>
      <c r="C66" s="487"/>
      <c r="D66" s="488"/>
      <c r="E66" s="489"/>
      <c r="F66" s="66">
        <v>0.375</v>
      </c>
      <c r="G66" s="66">
        <v>0.39583333333333331</v>
      </c>
      <c r="H66" s="70"/>
    </row>
    <row r="67" spans="1:8" ht="18" customHeight="1">
      <c r="A67" s="66">
        <v>0.64583333333333337</v>
      </c>
      <c r="B67" s="66">
        <v>0.66666666666666663</v>
      </c>
      <c r="C67" s="482"/>
      <c r="D67" s="483"/>
      <c r="E67" s="484"/>
      <c r="F67" s="66">
        <v>0.39583333333333331</v>
      </c>
      <c r="G67" s="66">
        <v>0.41666666666666669</v>
      </c>
      <c r="H67" s="70"/>
    </row>
    <row r="68" spans="1:8" ht="18" customHeight="1">
      <c r="A68" s="66">
        <v>0.66666666666666663</v>
      </c>
      <c r="B68" s="66">
        <v>0.6875</v>
      </c>
      <c r="C68" s="479" t="s">
        <v>1150</v>
      </c>
      <c r="D68" s="477"/>
      <c r="E68" s="478"/>
      <c r="F68" s="66">
        <v>0.41666666666666669</v>
      </c>
      <c r="G68" s="66">
        <v>0.4375</v>
      </c>
      <c r="H68" s="70"/>
    </row>
    <row r="69" spans="1:8" ht="18" customHeight="1">
      <c r="A69" s="66">
        <v>0.6875</v>
      </c>
      <c r="B69" s="66">
        <v>0.70833333333333337</v>
      </c>
      <c r="C69" s="491" t="s">
        <v>571</v>
      </c>
      <c r="D69" s="480"/>
      <c r="E69" s="481"/>
      <c r="F69" s="66">
        <v>0.4375</v>
      </c>
      <c r="G69" s="66">
        <v>0.45833333333333331</v>
      </c>
      <c r="H69" s="70"/>
    </row>
    <row r="70" spans="1:8" ht="18" customHeight="1">
      <c r="A70" s="66">
        <v>0.70833333333333337</v>
      </c>
      <c r="B70" s="66">
        <v>0.72916666666666663</v>
      </c>
      <c r="C70" s="482"/>
      <c r="D70" s="483"/>
      <c r="E70" s="484"/>
      <c r="F70" s="66">
        <v>0.45833333333333331</v>
      </c>
      <c r="G70" s="66">
        <v>0.47916666666666669</v>
      </c>
      <c r="H70" s="70"/>
    </row>
    <row r="71" spans="1:8" ht="18" customHeight="1">
      <c r="A71" s="66">
        <v>0.72916666666666663</v>
      </c>
      <c r="B71" s="66">
        <v>0.75</v>
      </c>
      <c r="C71" s="479" t="s">
        <v>1150</v>
      </c>
      <c r="D71" s="477"/>
      <c r="E71" s="478"/>
      <c r="F71" s="66">
        <v>0.47916666666666669</v>
      </c>
      <c r="G71" s="66">
        <v>0.5</v>
      </c>
      <c r="H71" s="70"/>
    </row>
    <row r="72" spans="1:8" ht="18" customHeight="1">
      <c r="A72" s="66">
        <v>0.75</v>
      </c>
      <c r="B72" s="66">
        <v>0.83333333333333337</v>
      </c>
      <c r="C72" s="479" t="s">
        <v>1152</v>
      </c>
      <c r="D72" s="477"/>
      <c r="E72" s="478"/>
      <c r="F72" s="66">
        <v>0.5</v>
      </c>
      <c r="G72" s="66">
        <v>0.58333333333333337</v>
      </c>
      <c r="H72" s="70"/>
    </row>
    <row r="73" spans="1:8">
      <c r="A73" s="490" t="str">
        <f>J7</f>
        <v>Day 6</v>
      </c>
      <c r="B73" s="478"/>
      <c r="C73" s="476">
        <f>I7</f>
        <v>46170</v>
      </c>
      <c r="D73" s="477"/>
      <c r="E73" s="478"/>
      <c r="F73" s="490" t="str">
        <f>A73</f>
        <v>Day 6</v>
      </c>
      <c r="G73" s="478"/>
      <c r="H73" s="70"/>
    </row>
    <row r="74" spans="1:8" ht="28.8" customHeight="1">
      <c r="A74" s="490" t="s">
        <v>1140</v>
      </c>
      <c r="B74" s="478"/>
      <c r="C74" s="64" t="e">
        <f>C55</f>
        <v>#REF!</v>
      </c>
      <c r="D74" s="64" t="e">
        <f>D55</f>
        <v>#REF!</v>
      </c>
      <c r="E74" s="64" t="str">
        <f>E55</f>
        <v>LA team: Dr Pieter van Zyl and ATMs if applicable</v>
      </c>
      <c r="F74" s="490" t="s">
        <v>1141</v>
      </c>
      <c r="G74" s="478"/>
      <c r="H74" s="70"/>
    </row>
    <row r="75" spans="1:8" ht="18" customHeight="1">
      <c r="A75" s="66">
        <v>0.41666666666666669</v>
      </c>
      <c r="B75" s="66">
        <v>0.4375</v>
      </c>
      <c r="C75" s="479" t="s">
        <v>1150</v>
      </c>
      <c r="D75" s="477"/>
      <c r="E75" s="478"/>
      <c r="F75" s="66">
        <v>0.16666666666666671</v>
      </c>
      <c r="G75" s="66">
        <v>0.1875</v>
      </c>
      <c r="H75" s="70"/>
    </row>
    <row r="76" spans="1:8" ht="18" customHeight="1">
      <c r="A76" s="66">
        <v>0.4375</v>
      </c>
      <c r="B76" s="66">
        <v>0.45833333333333331</v>
      </c>
      <c r="C76" s="491" t="s">
        <v>1085</v>
      </c>
      <c r="D76" s="480"/>
      <c r="E76" s="481"/>
      <c r="F76" s="66">
        <v>0.1875</v>
      </c>
      <c r="G76" s="66">
        <v>0.20833333333333329</v>
      </c>
      <c r="H76" s="70"/>
    </row>
    <row r="77" spans="1:8" ht="18" customHeight="1">
      <c r="A77" s="66">
        <v>0.45833333333333331</v>
      </c>
      <c r="B77" s="66">
        <v>0.47916666666666669</v>
      </c>
      <c r="C77" s="482"/>
      <c r="D77" s="483"/>
      <c r="E77" s="484"/>
      <c r="F77" s="66">
        <v>0.20833333333333329</v>
      </c>
      <c r="G77" s="66">
        <v>0.22916666666666671</v>
      </c>
      <c r="H77" s="70"/>
    </row>
    <row r="78" spans="1:8" ht="18" customHeight="1">
      <c r="A78" s="66">
        <v>0.47916666666666669</v>
      </c>
      <c r="B78" s="66">
        <v>0.5</v>
      </c>
      <c r="C78" s="479" t="s">
        <v>1150</v>
      </c>
      <c r="D78" s="477"/>
      <c r="E78" s="478"/>
      <c r="F78" s="66">
        <v>0.22916666666666671</v>
      </c>
      <c r="G78" s="66">
        <v>0.25</v>
      </c>
      <c r="H78" s="70"/>
    </row>
    <row r="79" spans="1:8" ht="18" customHeight="1">
      <c r="A79" s="66">
        <v>0.5</v>
      </c>
      <c r="B79" s="66">
        <v>0.52083333333333337</v>
      </c>
      <c r="C79" s="479" t="s">
        <v>1149</v>
      </c>
      <c r="D79" s="480"/>
      <c r="E79" s="481"/>
      <c r="F79" s="66">
        <v>0.25</v>
      </c>
      <c r="G79" s="66">
        <v>0.27083333333333331</v>
      </c>
      <c r="H79" s="70"/>
    </row>
    <row r="80" spans="1:8" ht="18" customHeight="1">
      <c r="A80" s="66">
        <v>0.52083333333333337</v>
      </c>
      <c r="B80" s="66">
        <v>0.54166666666666663</v>
      </c>
      <c r="C80" s="482"/>
      <c r="D80" s="483"/>
      <c r="E80" s="484"/>
      <c r="F80" s="66">
        <v>0.27083333333333331</v>
      </c>
      <c r="G80" s="66">
        <v>0.29166666666666669</v>
      </c>
      <c r="H80" s="70"/>
    </row>
    <row r="81" spans="1:8" ht="18" customHeight="1">
      <c r="A81" s="66">
        <v>0.54166666666666663</v>
      </c>
      <c r="B81" s="66">
        <v>0.5625</v>
      </c>
      <c r="C81" s="486" t="s">
        <v>1156</v>
      </c>
      <c r="D81" s="480"/>
      <c r="E81" s="481"/>
      <c r="F81" s="66">
        <v>0.29166666666666669</v>
      </c>
      <c r="G81" s="66">
        <v>0.3125</v>
      </c>
      <c r="H81" s="70"/>
    </row>
    <row r="82" spans="1:8" ht="18" customHeight="1">
      <c r="A82" s="66">
        <v>0.5625</v>
      </c>
      <c r="B82" s="66">
        <v>0.58333333333333337</v>
      </c>
      <c r="C82" s="487"/>
      <c r="D82" s="488"/>
      <c r="E82" s="489"/>
      <c r="F82" s="66">
        <v>0.3125</v>
      </c>
      <c r="G82" s="66">
        <v>0.33333333333333331</v>
      </c>
      <c r="H82" s="70"/>
    </row>
    <row r="83" spans="1:8" ht="18" customHeight="1">
      <c r="A83" s="66">
        <v>0.58333333333333337</v>
      </c>
      <c r="B83" s="66">
        <v>0.60416666666666663</v>
      </c>
      <c r="C83" s="487"/>
      <c r="D83" s="488"/>
      <c r="E83" s="489"/>
      <c r="F83" s="66">
        <v>0.33333333333333331</v>
      </c>
      <c r="G83" s="66">
        <v>0.35416666666666669</v>
      </c>
      <c r="H83" s="70"/>
    </row>
    <row r="84" spans="1:8" ht="18" customHeight="1">
      <c r="A84" s="66">
        <v>0.60416666666666663</v>
      </c>
      <c r="B84" s="66">
        <v>0.625</v>
      </c>
      <c r="C84" s="482"/>
      <c r="D84" s="483"/>
      <c r="E84" s="484"/>
      <c r="F84" s="66">
        <v>0.35416666666666669</v>
      </c>
      <c r="G84" s="66">
        <v>0.375</v>
      </c>
      <c r="H84" s="70"/>
    </row>
    <row r="85" spans="1:8" ht="18" customHeight="1">
      <c r="A85" s="66">
        <v>0.625</v>
      </c>
      <c r="B85" s="66">
        <v>0.64583333333333337</v>
      </c>
      <c r="C85" s="491" t="s">
        <v>561</v>
      </c>
      <c r="D85" s="480"/>
      <c r="E85" s="481"/>
      <c r="F85" s="66">
        <v>0.375</v>
      </c>
      <c r="G85" s="66">
        <v>0.39583333333333331</v>
      </c>
      <c r="H85" s="70"/>
    </row>
    <row r="86" spans="1:8" ht="18" customHeight="1">
      <c r="A86" s="66">
        <v>0.64583333333333337</v>
      </c>
      <c r="B86" s="66">
        <v>0.66666666666666663</v>
      </c>
      <c r="C86" s="482"/>
      <c r="D86" s="483"/>
      <c r="E86" s="484"/>
      <c r="F86" s="66">
        <v>0.39583333333333331</v>
      </c>
      <c r="G86" s="66">
        <v>0.41666666666666669</v>
      </c>
      <c r="H86" s="70"/>
    </row>
    <row r="87" spans="1:8" ht="18" customHeight="1">
      <c r="A87" s="66">
        <v>0.66666666666666663</v>
      </c>
      <c r="B87" s="66">
        <v>0.6875</v>
      </c>
      <c r="C87" s="479" t="s">
        <v>1150</v>
      </c>
      <c r="D87" s="480"/>
      <c r="E87" s="481"/>
      <c r="F87" s="66">
        <v>0.41666666666666669</v>
      </c>
      <c r="G87" s="66">
        <v>0.4375</v>
      </c>
      <c r="H87" s="70"/>
    </row>
    <row r="88" spans="1:8" ht="18" customHeight="1">
      <c r="A88" s="66">
        <v>0.6875</v>
      </c>
      <c r="B88" s="66">
        <v>0.70833333333333337</v>
      </c>
      <c r="C88" s="487"/>
      <c r="D88" s="488"/>
      <c r="E88" s="489"/>
      <c r="F88" s="66">
        <v>0.4375</v>
      </c>
      <c r="G88" s="66">
        <v>0.45833333333333331</v>
      </c>
      <c r="H88" s="70"/>
    </row>
    <row r="89" spans="1:8" ht="18" customHeight="1">
      <c r="A89" s="66">
        <v>0.70833333333333337</v>
      </c>
      <c r="B89" s="66">
        <v>0.72916666666666663</v>
      </c>
      <c r="C89" s="487"/>
      <c r="D89" s="488"/>
      <c r="E89" s="489"/>
      <c r="F89" s="66">
        <v>0.45833333333333331</v>
      </c>
      <c r="G89" s="66">
        <v>0.47916666666666669</v>
      </c>
      <c r="H89" s="70"/>
    </row>
    <row r="90" spans="1:8" ht="18" customHeight="1">
      <c r="A90" s="66">
        <v>0.72916666666666663</v>
      </c>
      <c r="B90" s="66">
        <v>0.75</v>
      </c>
      <c r="C90" s="482"/>
      <c r="D90" s="483"/>
      <c r="E90" s="484"/>
      <c r="F90" s="66">
        <v>0.47916666666666669</v>
      </c>
      <c r="G90" s="66">
        <v>0.5</v>
      </c>
      <c r="H90" s="70"/>
    </row>
    <row r="91" spans="1:8" ht="18" customHeight="1">
      <c r="A91" s="66">
        <v>0.75</v>
      </c>
      <c r="B91" s="66">
        <v>0.83333333333333337</v>
      </c>
      <c r="C91" s="479" t="s">
        <v>1152</v>
      </c>
      <c r="D91" s="477"/>
      <c r="E91" s="478"/>
      <c r="F91" s="66">
        <v>0.5</v>
      </c>
      <c r="G91" s="66">
        <v>0.58333333333333337</v>
      </c>
      <c r="H91" s="70"/>
    </row>
    <row r="92" spans="1:8">
      <c r="A92" s="490" t="str">
        <f>J8</f>
        <v>Day 7</v>
      </c>
      <c r="B92" s="478"/>
      <c r="C92" s="476">
        <f>I8</f>
        <v>46171</v>
      </c>
      <c r="D92" s="477"/>
      <c r="E92" s="478"/>
      <c r="F92" s="490" t="str">
        <f>A92</f>
        <v>Day 7</v>
      </c>
      <c r="G92" s="478"/>
      <c r="H92" s="70"/>
    </row>
    <row r="93" spans="1:8" ht="28.8" customHeight="1">
      <c r="A93" s="490" t="s">
        <v>1140</v>
      </c>
      <c r="B93" s="478"/>
      <c r="C93" s="64" t="e">
        <f>C74</f>
        <v>#REF!</v>
      </c>
      <c r="D93" s="64" t="e">
        <f>D74</f>
        <v>#REF!</v>
      </c>
      <c r="E93" s="64" t="str">
        <f>E74</f>
        <v>LA team: Dr Pieter van Zyl and ATMs if applicable</v>
      </c>
      <c r="F93" s="490" t="s">
        <v>1141</v>
      </c>
      <c r="G93" s="478"/>
      <c r="H93" s="70"/>
    </row>
    <row r="94" spans="1:8" ht="18" customHeight="1">
      <c r="A94" s="66">
        <v>0.41666666666666669</v>
      </c>
      <c r="B94" s="66">
        <v>0.4375</v>
      </c>
      <c r="C94" s="479" t="s">
        <v>1150</v>
      </c>
      <c r="D94" s="477"/>
      <c r="E94" s="478"/>
      <c r="F94" s="66">
        <v>0.16666666666666671</v>
      </c>
      <c r="G94" s="66">
        <v>0.1875</v>
      </c>
      <c r="H94" s="70"/>
    </row>
    <row r="95" spans="1:8" ht="18" customHeight="1">
      <c r="A95" s="66">
        <v>0.4375</v>
      </c>
      <c r="B95" s="66">
        <v>0.45833333333333331</v>
      </c>
      <c r="C95" s="494" t="s">
        <v>1157</v>
      </c>
      <c r="D95" s="480"/>
      <c r="E95" s="481"/>
      <c r="F95" s="66">
        <v>0.1875</v>
      </c>
      <c r="G95" s="66">
        <v>0.20833333333333329</v>
      </c>
      <c r="H95" s="70"/>
    </row>
    <row r="96" spans="1:8" ht="18" customHeight="1">
      <c r="A96" s="66">
        <v>0.45833333333333331</v>
      </c>
      <c r="B96" s="66">
        <v>0.47916666666666669</v>
      </c>
      <c r="C96" s="482"/>
      <c r="D96" s="483"/>
      <c r="E96" s="484"/>
      <c r="F96" s="66">
        <v>0.20833333333333329</v>
      </c>
      <c r="G96" s="66">
        <v>0.22916666666666671</v>
      </c>
      <c r="H96" s="70"/>
    </row>
    <row r="97" spans="1:8" ht="18" customHeight="1">
      <c r="A97" s="66">
        <v>0.47916666666666669</v>
      </c>
      <c r="B97" s="66">
        <v>0.5</v>
      </c>
      <c r="C97" s="494" t="s">
        <v>1158</v>
      </c>
      <c r="D97" s="480"/>
      <c r="E97" s="481"/>
      <c r="F97" s="66">
        <v>0.22916666666666671</v>
      </c>
      <c r="G97" s="66">
        <v>0.25</v>
      </c>
      <c r="H97" s="70"/>
    </row>
    <row r="98" spans="1:8" ht="18" customHeight="1">
      <c r="A98" s="66">
        <v>0.5</v>
      </c>
      <c r="B98" s="66">
        <v>0.52083333333333337</v>
      </c>
      <c r="C98" s="482"/>
      <c r="D98" s="483"/>
      <c r="E98" s="484"/>
      <c r="F98" s="66">
        <v>0.25</v>
      </c>
      <c r="G98" s="66">
        <v>0.27083333333333331</v>
      </c>
      <c r="H98" s="70"/>
    </row>
    <row r="99" spans="1:8" ht="18" customHeight="1">
      <c r="A99" s="66">
        <v>0.52083333333333337</v>
      </c>
      <c r="B99" s="66">
        <v>0.54166666666666663</v>
      </c>
      <c r="C99" s="479" t="s">
        <v>1149</v>
      </c>
      <c r="D99" s="480"/>
      <c r="E99" s="481"/>
      <c r="F99" s="66">
        <v>0.27083333333333331</v>
      </c>
      <c r="G99" s="66">
        <v>0.29166666666666669</v>
      </c>
      <c r="H99" s="70"/>
    </row>
    <row r="100" spans="1:8" ht="18" customHeight="1">
      <c r="A100" s="66">
        <v>0.54166666666666663</v>
      </c>
      <c r="B100" s="66">
        <v>0.5625</v>
      </c>
      <c r="C100" s="482"/>
      <c r="D100" s="483"/>
      <c r="E100" s="484"/>
      <c r="F100" s="66">
        <v>0.29166666666666669</v>
      </c>
      <c r="G100" s="66">
        <v>0.3125</v>
      </c>
      <c r="H100" s="70"/>
    </row>
    <row r="101" spans="1:8" ht="18" customHeight="1">
      <c r="A101" s="66">
        <v>0.5625</v>
      </c>
      <c r="B101" s="66">
        <v>0.58333333333333337</v>
      </c>
      <c r="C101" s="479" t="s">
        <v>1159</v>
      </c>
      <c r="D101" s="480"/>
      <c r="E101" s="481"/>
      <c r="F101" s="66">
        <v>0.3125</v>
      </c>
      <c r="G101" s="66">
        <v>0.33333333333333331</v>
      </c>
      <c r="H101" s="70"/>
    </row>
    <row r="102" spans="1:8" ht="18" customHeight="1">
      <c r="A102" s="66">
        <v>0.58333333333333337</v>
      </c>
      <c r="B102" s="66">
        <v>0.60416666666666663</v>
      </c>
      <c r="C102" s="487"/>
      <c r="D102" s="488"/>
      <c r="E102" s="489"/>
      <c r="F102" s="66">
        <v>0.33333333333333331</v>
      </c>
      <c r="G102" s="66">
        <v>0.35416666666666669</v>
      </c>
      <c r="H102" s="70"/>
    </row>
    <row r="103" spans="1:8" ht="18" customHeight="1">
      <c r="A103" s="66">
        <v>0.60416666666666663</v>
      </c>
      <c r="B103" s="66">
        <v>0.625</v>
      </c>
      <c r="C103" s="482"/>
      <c r="D103" s="483"/>
      <c r="E103" s="484"/>
      <c r="F103" s="66">
        <v>0.35416666666666669</v>
      </c>
      <c r="G103" s="66">
        <v>0.375</v>
      </c>
      <c r="H103" s="70"/>
    </row>
    <row r="104" spans="1:8" ht="18" customHeight="1">
      <c r="A104" s="66">
        <v>0.625</v>
      </c>
      <c r="B104" s="66">
        <v>0.64583333333333337</v>
      </c>
      <c r="C104" s="494" t="s">
        <v>1160</v>
      </c>
      <c r="D104" s="480"/>
      <c r="E104" s="481"/>
      <c r="F104" s="66">
        <v>0.375</v>
      </c>
      <c r="G104" s="66">
        <v>0.39583333333333331</v>
      </c>
      <c r="H104" s="70"/>
    </row>
    <row r="105" spans="1:8" ht="18" customHeight="1">
      <c r="A105" s="66">
        <v>0.64583333333333337</v>
      </c>
      <c r="B105" s="66">
        <v>0.66666666666666663</v>
      </c>
      <c r="C105" s="482"/>
      <c r="D105" s="483"/>
      <c r="E105" s="484"/>
      <c r="F105" s="66">
        <v>0.39583333333333331</v>
      </c>
      <c r="G105" s="66">
        <v>0.41666666666666669</v>
      </c>
      <c r="H105" s="70"/>
    </row>
    <row r="106" spans="1:8" ht="18" customHeight="1">
      <c r="A106" s="66">
        <v>0.66666666666666663</v>
      </c>
      <c r="B106" s="66">
        <v>0.6875</v>
      </c>
      <c r="C106" s="479" t="s">
        <v>1161</v>
      </c>
      <c r="D106" s="480"/>
      <c r="E106" s="481"/>
      <c r="F106" s="66">
        <v>0.41666666666666669</v>
      </c>
      <c r="G106" s="66">
        <v>0.4375</v>
      </c>
      <c r="H106" s="70"/>
    </row>
    <row r="107" spans="1:8" ht="18" customHeight="1">
      <c r="A107" s="66">
        <v>0.6875</v>
      </c>
      <c r="B107" s="66">
        <v>0.70833333333333337</v>
      </c>
      <c r="C107" s="482"/>
      <c r="D107" s="483"/>
      <c r="E107" s="484"/>
      <c r="F107" s="66">
        <v>0.4375</v>
      </c>
      <c r="G107" s="66">
        <v>0.45833333333333331</v>
      </c>
      <c r="H107" s="70"/>
    </row>
    <row r="108" spans="1:8" ht="18" customHeight="1">
      <c r="A108" s="66">
        <v>0.70833333333333337</v>
      </c>
      <c r="B108" s="66">
        <v>0.72916666666666663</v>
      </c>
      <c r="C108" s="479" t="s">
        <v>1162</v>
      </c>
      <c r="D108" s="480"/>
      <c r="E108" s="481"/>
      <c r="F108" s="66">
        <v>0.45833333333333331</v>
      </c>
      <c r="G108" s="66">
        <v>0.47916666666666669</v>
      </c>
      <c r="H108" s="70"/>
    </row>
    <row r="109" spans="1:8" ht="18" customHeight="1">
      <c r="A109" s="66">
        <v>0.72916666666666663</v>
      </c>
      <c r="B109" s="66">
        <v>0.75</v>
      </c>
      <c r="C109" s="487"/>
      <c r="D109" s="488"/>
      <c r="E109" s="489"/>
      <c r="F109" s="66">
        <v>0.47916666666666669</v>
      </c>
      <c r="G109" s="66">
        <v>0.5</v>
      </c>
      <c r="H109" s="70"/>
    </row>
    <row r="110" spans="1:8" ht="18" customHeight="1">
      <c r="A110" s="66">
        <v>0.75</v>
      </c>
      <c r="B110" s="66">
        <v>0.83333333333333337</v>
      </c>
      <c r="C110" s="482"/>
      <c r="D110" s="483"/>
      <c r="E110" s="484"/>
      <c r="F110" s="66">
        <v>0.5</v>
      </c>
      <c r="G110" s="66">
        <v>0.58333333333333337</v>
      </c>
      <c r="H110" s="70"/>
    </row>
  </sheetData>
  <mergeCells count="77">
    <mergeCell ref="C50:E51"/>
    <mergeCell ref="E48:E49"/>
    <mergeCell ref="F16:G16"/>
    <mergeCell ref="A73:B73"/>
    <mergeCell ref="A54:B54"/>
    <mergeCell ref="C71:E71"/>
    <mergeCell ref="C48:D49"/>
    <mergeCell ref="A17:B17"/>
    <mergeCell ref="C34:E34"/>
    <mergeCell ref="A35:B35"/>
    <mergeCell ref="F17:G17"/>
    <mergeCell ref="C29:E32"/>
    <mergeCell ref="C28:E28"/>
    <mergeCell ref="A1:G1"/>
    <mergeCell ref="C33:E33"/>
    <mergeCell ref="C76:E77"/>
    <mergeCell ref="C73:E73"/>
    <mergeCell ref="C95:E96"/>
    <mergeCell ref="A93:B93"/>
    <mergeCell ref="C60:E61"/>
    <mergeCell ref="C35:E35"/>
    <mergeCell ref="C16:E16"/>
    <mergeCell ref="F4:G4"/>
    <mergeCell ref="F73:G73"/>
    <mergeCell ref="A92:B92"/>
    <mergeCell ref="A36:B36"/>
    <mergeCell ref="F36:G36"/>
    <mergeCell ref="C43:E47"/>
    <mergeCell ref="A3:B3"/>
    <mergeCell ref="C108:E110"/>
    <mergeCell ref="C5:C13"/>
    <mergeCell ref="E5:E13"/>
    <mergeCell ref="F92:G92"/>
    <mergeCell ref="C19:E19"/>
    <mergeCell ref="C53:E53"/>
    <mergeCell ref="C22:E23"/>
    <mergeCell ref="C101:E103"/>
    <mergeCell ref="C94:E94"/>
    <mergeCell ref="F54:G54"/>
    <mergeCell ref="C75:E75"/>
    <mergeCell ref="C69:E70"/>
    <mergeCell ref="F74:G74"/>
    <mergeCell ref="C85:E86"/>
    <mergeCell ref="C97:E98"/>
    <mergeCell ref="C72:E72"/>
    <mergeCell ref="C106:E107"/>
    <mergeCell ref="C87:E90"/>
    <mergeCell ref="F3:G3"/>
    <mergeCell ref="F55:G55"/>
    <mergeCell ref="A16:B16"/>
    <mergeCell ref="C24:E27"/>
    <mergeCell ref="C62:E67"/>
    <mergeCell ref="C57:E59"/>
    <mergeCell ref="A15:G15"/>
    <mergeCell ref="C104:E105"/>
    <mergeCell ref="D5:D13"/>
    <mergeCell ref="F35:G35"/>
    <mergeCell ref="C20:E21"/>
    <mergeCell ref="A4:B4"/>
    <mergeCell ref="C78:E78"/>
    <mergeCell ref="F93:G93"/>
    <mergeCell ref="C3:E3"/>
    <mergeCell ref="C68:E68"/>
    <mergeCell ref="C99:E100"/>
    <mergeCell ref="C37:D37"/>
    <mergeCell ref="A2:G2"/>
    <mergeCell ref="C54:E54"/>
    <mergeCell ref="C81:E84"/>
    <mergeCell ref="C92:E92"/>
    <mergeCell ref="C79:E80"/>
    <mergeCell ref="A74:B74"/>
    <mergeCell ref="C91:E91"/>
    <mergeCell ref="C56:D56"/>
    <mergeCell ref="C38:E40"/>
    <mergeCell ref="C41:E42"/>
    <mergeCell ref="C52:E52"/>
    <mergeCell ref="A55:B55"/>
  </mergeCells>
  <pageMargins left="0.7" right="0.7" top="0.75" bottom="0.75" header="0.3" footer="0.3"/>
  <pageSetup paperSize="9" scale="62" fitToHeight="0" orientation="portrait"/>
  <rowBreaks count="5" manualBreakCount="5">
    <brk id="15" max="16383" man="1"/>
    <brk id="34" max="16383" man="1"/>
    <brk id="53" max="16383" man="1"/>
    <brk id="72" max="16383" man="1"/>
    <brk id="91"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0">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2.44140625" style="8" hidden="1" customWidth="1"/>
    <col min="4" max="4" width="47.21875" style="8" customWidth="1"/>
    <col min="5" max="5" width="26.44140625" style="8" customWidth="1"/>
    <col min="6" max="7" width="10.44140625" style="8" customWidth="1"/>
    <col min="8" max="8" width="8.77734375" style="71" customWidth="1"/>
    <col min="9" max="13" width="37.77734375" style="8" customWidth="1"/>
    <col min="14" max="19" width="8.77734375" style="8" customWidth="1"/>
    <col min="20" max="16384" width="8.77734375" style="8"/>
  </cols>
  <sheetData>
    <row r="1" spans="1:16" ht="14.7" customHeight="1">
      <c r="A1" s="497" t="s">
        <v>1163</v>
      </c>
      <c r="B1" s="477"/>
      <c r="C1" s="477"/>
      <c r="D1" s="477"/>
      <c r="E1" s="477"/>
      <c r="F1" s="477"/>
      <c r="G1" s="478"/>
      <c r="H1" s="61"/>
      <c r="I1" s="111" t="s">
        <v>1136</v>
      </c>
      <c r="J1" s="112" t="s">
        <v>1137</v>
      </c>
      <c r="K1" s="108" t="s">
        <v>1138</v>
      </c>
      <c r="L1" s="108" t="s">
        <v>1139</v>
      </c>
      <c r="M1" s="63"/>
      <c r="N1" s="63"/>
      <c r="O1" s="63"/>
      <c r="P1" s="63"/>
    </row>
    <row r="2" spans="1:16" ht="14.7" customHeight="1">
      <c r="A2" s="485" t="str">
        <f>CONCATENATE(TEXT(Planning!B43,"[$-x-sysdate]dddd, mmmm dd, yyyy")," (Technology test)")</f>
        <v>Thursday, 21 May 2026 (Technology test)</v>
      </c>
      <c r="B2" s="477"/>
      <c r="C2" s="477"/>
      <c r="D2" s="477"/>
      <c r="E2" s="477"/>
      <c r="F2" s="477"/>
      <c r="G2" s="478"/>
      <c r="H2" s="61"/>
      <c r="I2" s="108"/>
      <c r="J2" s="108"/>
      <c r="K2" s="108"/>
      <c r="L2" s="63"/>
      <c r="M2" s="63"/>
      <c r="N2" s="63"/>
      <c r="O2" s="63"/>
      <c r="P2" s="63"/>
    </row>
    <row r="3" spans="1:16">
      <c r="A3" s="490" t="str">
        <f>J3</f>
        <v>Day 1-2</v>
      </c>
      <c r="B3" s="478"/>
      <c r="C3" s="476" t="str">
        <f>CONCATENATE(TEXT(I3,"[$-x-sysdate]dddd, mmmm dd, yyyy")," to ",TEXT(K3,"[$-x-sysdate]dddd, mmmm dd, yyyy"))</f>
        <v>Saturday, 23 May 2026 to Sunday, 24 May 2026</v>
      </c>
      <c r="D3" s="477"/>
      <c r="E3" s="478"/>
      <c r="F3" s="490" t="str">
        <f>A3</f>
        <v>Day 1-2</v>
      </c>
      <c r="G3" s="478"/>
      <c r="H3" s="61"/>
      <c r="I3" s="113">
        <f>Planning!B44</f>
        <v>46165</v>
      </c>
      <c r="J3" s="114" t="str">
        <f>_xlfn.CONCAT("Day 1-",L3)</f>
        <v>Day 1-2</v>
      </c>
      <c r="K3" s="115">
        <f>Planning!B44+Planning!B46-1</f>
        <v>46166</v>
      </c>
      <c r="L3" s="108">
        <f>K3-I3+1</f>
        <v>2</v>
      </c>
      <c r="M3" s="63"/>
      <c r="N3" s="63"/>
      <c r="O3" s="63"/>
      <c r="P3" s="63"/>
    </row>
    <row r="4" spans="1:16" ht="49.5" customHeight="1">
      <c r="A4" s="490" t="s">
        <v>1140</v>
      </c>
      <c r="B4" s="478"/>
      <c r="C4" s="64" t="e">
        <f>'Schedule4-1P'!C4</f>
        <v>#REF!</v>
      </c>
      <c r="D4" s="64" t="e">
        <f>'Schedule4-1P'!D4</f>
        <v>#REF!</v>
      </c>
      <c r="E4" s="64" t="str">
        <f>'Schedule4-1P'!E4</f>
        <v>LA team: Dr Pieter van Zyl and ATMs if applicable</v>
      </c>
      <c r="F4" s="490" t="s">
        <v>1141</v>
      </c>
      <c r="G4" s="478"/>
      <c r="H4" s="61"/>
      <c r="I4" s="113">
        <f>Planning!B47</f>
        <v>46167</v>
      </c>
      <c r="J4" s="114" t="str">
        <f t="shared" ref="J4:J9" si="0">_xlfn.CONCAT("Day ",L4)</f>
        <v>Day 3</v>
      </c>
      <c r="K4" s="63"/>
      <c r="L4" s="116">
        <f t="shared" ref="L4:L9" si="1">L3+1</f>
        <v>3</v>
      </c>
      <c r="M4" s="116"/>
      <c r="N4" s="65"/>
      <c r="O4" s="65"/>
      <c r="P4" s="65"/>
    </row>
    <row r="5" spans="1:16" ht="18" customHeight="1">
      <c r="A5" s="66">
        <v>0.41666666666666669</v>
      </c>
      <c r="B5" s="66">
        <v>0.45833333333333331</v>
      </c>
      <c r="C5" s="479" t="s">
        <v>1142</v>
      </c>
      <c r="D5" s="479" t="s">
        <v>1142</v>
      </c>
      <c r="E5" s="479" t="s">
        <v>1143</v>
      </c>
      <c r="F5" s="66">
        <v>0.16666666666666671</v>
      </c>
      <c r="G5" s="66">
        <v>0.20833333333333329</v>
      </c>
      <c r="H5" s="61"/>
      <c r="I5" s="113">
        <f>I4+1</f>
        <v>46168</v>
      </c>
      <c r="J5" s="114" t="str">
        <f t="shared" si="0"/>
        <v>Day 4</v>
      </c>
      <c r="K5" s="63"/>
      <c r="L5" s="116">
        <f t="shared" si="1"/>
        <v>4</v>
      </c>
      <c r="M5" s="116"/>
      <c r="N5" s="63"/>
      <c r="O5" s="63"/>
      <c r="P5" s="63"/>
    </row>
    <row r="6" spans="1:16" ht="18" customHeight="1">
      <c r="A6" s="66">
        <v>0.45833333333333331</v>
      </c>
      <c r="B6" s="66">
        <v>0.5</v>
      </c>
      <c r="C6" s="495"/>
      <c r="D6" s="495"/>
      <c r="E6" s="495"/>
      <c r="F6" s="66">
        <v>0.20833333333333329</v>
      </c>
      <c r="G6" s="66">
        <v>0.25</v>
      </c>
      <c r="H6" s="61"/>
      <c r="I6" s="113">
        <f>I5+1</f>
        <v>46169</v>
      </c>
      <c r="J6" s="114" t="str">
        <f t="shared" si="0"/>
        <v>Day 5</v>
      </c>
      <c r="K6" s="63"/>
      <c r="L6" s="116">
        <f t="shared" si="1"/>
        <v>5</v>
      </c>
      <c r="M6" s="63"/>
      <c r="N6" s="63"/>
      <c r="O6" s="63"/>
      <c r="P6" s="63"/>
    </row>
    <row r="7" spans="1:16" ht="18" customHeight="1">
      <c r="A7" s="66">
        <v>0.5</v>
      </c>
      <c r="B7" s="66">
        <v>0.54166666666666663</v>
      </c>
      <c r="C7" s="495"/>
      <c r="D7" s="495"/>
      <c r="E7" s="495"/>
      <c r="F7" s="66">
        <v>0.25</v>
      </c>
      <c r="G7" s="66">
        <v>0.29166666666666669</v>
      </c>
      <c r="H7" s="61"/>
      <c r="I7" s="113">
        <f>I6+1</f>
        <v>46170</v>
      </c>
      <c r="J7" s="114" t="str">
        <f t="shared" si="0"/>
        <v>Day 6</v>
      </c>
      <c r="K7" s="63"/>
      <c r="L7" s="116">
        <f t="shared" si="1"/>
        <v>6</v>
      </c>
      <c r="M7" s="63"/>
      <c r="N7" s="63"/>
      <c r="O7" s="63"/>
      <c r="P7" s="63"/>
    </row>
    <row r="8" spans="1:16" ht="18" customHeight="1">
      <c r="A8" s="66">
        <v>0.54166666666666663</v>
      </c>
      <c r="B8" s="66">
        <v>0.58333333333333337</v>
      </c>
      <c r="C8" s="495"/>
      <c r="D8" s="495"/>
      <c r="E8" s="495"/>
      <c r="F8" s="66">
        <v>0.29166666666666669</v>
      </c>
      <c r="G8" s="66">
        <v>0.33333333333333331</v>
      </c>
      <c r="H8" s="61"/>
      <c r="I8" s="113">
        <f>I7+1</f>
        <v>46171</v>
      </c>
      <c r="J8" s="114" t="str">
        <f t="shared" si="0"/>
        <v>Day 7</v>
      </c>
      <c r="K8" s="63"/>
      <c r="L8" s="116">
        <f t="shared" si="1"/>
        <v>7</v>
      </c>
      <c r="M8" s="63"/>
      <c r="N8" s="63"/>
      <c r="O8" s="63"/>
      <c r="P8" s="63"/>
    </row>
    <row r="9" spans="1:16" ht="18" customHeight="1">
      <c r="A9" s="66">
        <v>0.58333333333333337</v>
      </c>
      <c r="B9" s="66">
        <v>0.625</v>
      </c>
      <c r="C9" s="495"/>
      <c r="D9" s="495"/>
      <c r="E9" s="495"/>
      <c r="F9" s="66">
        <v>0.33333333333333331</v>
      </c>
      <c r="G9" s="66">
        <v>0.375</v>
      </c>
      <c r="H9" s="61"/>
      <c r="I9" s="113">
        <f>I8+1</f>
        <v>46172</v>
      </c>
      <c r="J9" s="114" t="str">
        <f t="shared" si="0"/>
        <v>Day 8</v>
      </c>
      <c r="K9" s="63"/>
      <c r="L9" s="116">
        <f t="shared" si="1"/>
        <v>8</v>
      </c>
      <c r="M9" s="63"/>
      <c r="N9" s="63"/>
      <c r="O9" s="63"/>
      <c r="P9" s="63"/>
    </row>
    <row r="10" spans="1:16" ht="18" customHeight="1">
      <c r="A10" s="66">
        <v>0.625</v>
      </c>
      <c r="B10" s="66">
        <v>0.66666666666666663</v>
      </c>
      <c r="C10" s="495"/>
      <c r="D10" s="495"/>
      <c r="E10" s="495"/>
      <c r="F10" s="66">
        <v>0.375</v>
      </c>
      <c r="G10" s="66">
        <v>0.41666666666666669</v>
      </c>
      <c r="H10" s="61"/>
      <c r="I10" s="115"/>
      <c r="J10" s="63"/>
      <c r="K10" s="63"/>
      <c r="L10" s="63"/>
      <c r="M10" s="63"/>
      <c r="N10" s="63"/>
      <c r="O10" s="63"/>
      <c r="P10" s="63"/>
    </row>
    <row r="11" spans="1:16" ht="18" customHeight="1">
      <c r="A11" s="66">
        <v>0.66666666666666663</v>
      </c>
      <c r="B11" s="66">
        <v>0.70833333333333337</v>
      </c>
      <c r="C11" s="495"/>
      <c r="D11" s="495"/>
      <c r="E11" s="495"/>
      <c r="F11" s="66">
        <v>0.41666666666666669</v>
      </c>
      <c r="G11" s="66">
        <v>0.45833333333333331</v>
      </c>
      <c r="H11" s="61"/>
      <c r="I11" s="108" t="s">
        <v>1144</v>
      </c>
      <c r="J11" s="109" t="e">
        <f>_xlfn.CONCAT("Mini team 1:",I12," / ",I13," / ",I14)</f>
        <v>#REF!</v>
      </c>
      <c r="K11" s="110"/>
      <c r="L11" s="108" t="e">
        <f>'P1-OrgScope'!#REF!</f>
        <v>#REF!</v>
      </c>
      <c r="M11" s="109" t="e">
        <f>_xlfn.CONCAT("Full team: ",L11," / ",L12, " / ",L13," / ",L14," /",L15," / ",L16, " / ",L17," / ",L18)</f>
        <v>#REF!</v>
      </c>
      <c r="N11" s="63"/>
      <c r="O11" s="63"/>
      <c r="P11" s="63"/>
    </row>
    <row r="12" spans="1:16" ht="18" customHeight="1">
      <c r="A12" s="66">
        <v>0.70833333333333337</v>
      </c>
      <c r="B12" s="66">
        <v>0.75</v>
      </c>
      <c r="C12" s="495"/>
      <c r="D12" s="495"/>
      <c r="E12" s="495"/>
      <c r="F12" s="66">
        <v>0.45833333333333331</v>
      </c>
      <c r="G12" s="66">
        <v>0.5</v>
      </c>
      <c r="H12" s="61"/>
      <c r="I12" s="108" t="e">
        <f>'P1-OrgScope'!#REF!</f>
        <v>#REF!</v>
      </c>
      <c r="J12" s="110"/>
      <c r="K12" s="110"/>
      <c r="L12" s="108" t="e">
        <f>'P1-OrgScope'!#REF!</f>
        <v>#REF!</v>
      </c>
      <c r="M12" s="110"/>
      <c r="N12" s="63"/>
      <c r="O12" s="63"/>
      <c r="P12" s="63"/>
    </row>
    <row r="13" spans="1:16" ht="18" customHeight="1">
      <c r="A13" s="66">
        <v>0.75</v>
      </c>
      <c r="B13" s="66">
        <v>0.79166666666666663</v>
      </c>
      <c r="C13" s="496"/>
      <c r="D13" s="496"/>
      <c r="E13" s="496"/>
      <c r="F13" s="66">
        <v>0.5</v>
      </c>
      <c r="G13" s="66">
        <v>0.54166666666666663</v>
      </c>
      <c r="H13" s="61"/>
      <c r="I13" s="108" t="e">
        <f>'P1-OrgScope'!#REF!</f>
        <v>#REF!</v>
      </c>
      <c r="K13" s="109"/>
      <c r="L13" s="108" t="e">
        <f>'P1-OrgScope'!#REF!</f>
        <v>#REF!</v>
      </c>
      <c r="M13" s="110"/>
      <c r="N13" s="63"/>
      <c r="O13" s="63"/>
      <c r="P13" s="63"/>
    </row>
    <row r="14" spans="1:16">
      <c r="I14" s="108"/>
      <c r="K14" s="39"/>
      <c r="L14" s="108" t="e">
        <f>'P1-OrgScope'!#REF!</f>
        <v>#REF!</v>
      </c>
      <c r="M14" s="110"/>
    </row>
    <row r="15" spans="1:16">
      <c r="A15" s="493" t="str">
        <f>CONCATENATE("Schedule above includes ",Planning!B45," non-working day(s).")</f>
        <v>Schedule above includes 0 non-working day(s).</v>
      </c>
      <c r="B15" s="477"/>
      <c r="C15" s="477"/>
      <c r="D15" s="477"/>
      <c r="E15" s="477"/>
      <c r="F15" s="477"/>
      <c r="G15" s="478"/>
      <c r="H15" s="61"/>
      <c r="K15" s="110"/>
      <c r="L15" s="108" t="e">
        <f>'P1-OrgScope'!#REF!</f>
        <v>#REF!</v>
      </c>
      <c r="M15" s="63"/>
      <c r="N15" s="63"/>
      <c r="O15" s="63"/>
      <c r="P15" s="63"/>
    </row>
    <row r="16" spans="1:16">
      <c r="A16" s="492" t="str">
        <f>J4</f>
        <v>Day 3</v>
      </c>
      <c r="B16" s="478"/>
      <c r="C16" s="498">
        <f>I4</f>
        <v>46167</v>
      </c>
      <c r="D16" s="477"/>
      <c r="E16" s="478"/>
      <c r="F16" s="492" t="str">
        <f>A16</f>
        <v>Day 3</v>
      </c>
      <c r="G16" s="478"/>
      <c r="H16" s="61"/>
      <c r="K16" s="110"/>
      <c r="L16" s="108" t="e">
        <f>'P1-OrgScope'!#REF!</f>
        <v>#REF!</v>
      </c>
      <c r="M16" s="63"/>
      <c r="N16" s="63"/>
      <c r="O16" s="63"/>
      <c r="P16" s="63"/>
    </row>
    <row r="17" spans="1:18" ht="28.8" customHeight="1">
      <c r="A17" s="492" t="s">
        <v>1140</v>
      </c>
      <c r="B17" s="478"/>
      <c r="C17" s="67" t="e">
        <f>C4</f>
        <v>#REF!</v>
      </c>
      <c r="D17" s="67" t="e">
        <f>D4</f>
        <v>#REF!</v>
      </c>
      <c r="E17" s="67" t="str">
        <f>E4</f>
        <v>LA team: Dr Pieter van Zyl and ATMs if applicable</v>
      </c>
      <c r="F17" s="492" t="s">
        <v>1141</v>
      </c>
      <c r="G17" s="478"/>
      <c r="H17" s="61"/>
      <c r="K17" s="110"/>
      <c r="L17" s="108" t="e">
        <f>'P1-OrgScope'!#REF!</f>
        <v>#REF!</v>
      </c>
      <c r="M17" s="108"/>
      <c r="N17" s="63"/>
      <c r="O17" s="62"/>
      <c r="P17" s="63"/>
    </row>
    <row r="18" spans="1:18" ht="18.600000000000001" customHeight="1">
      <c r="A18" s="66">
        <v>0.41666666666666669</v>
      </c>
      <c r="B18" s="66">
        <v>0.4375</v>
      </c>
      <c r="C18" s="68" t="s">
        <v>1145</v>
      </c>
      <c r="D18" s="68" t="s">
        <v>1145</v>
      </c>
      <c r="E18" s="68" t="s">
        <v>1146</v>
      </c>
      <c r="F18" s="66">
        <v>0.16666666666666671</v>
      </c>
      <c r="G18" s="66">
        <v>0.1875</v>
      </c>
      <c r="H18" s="61"/>
      <c r="I18" s="108"/>
      <c r="J18" s="63"/>
      <c r="K18" s="63"/>
      <c r="L18" s="108" t="e">
        <f>'P1-OrgScope'!#REF!</f>
        <v>#REF!</v>
      </c>
      <c r="M18" s="63"/>
      <c r="N18" s="63"/>
      <c r="O18" s="63"/>
      <c r="P18" s="63"/>
    </row>
    <row r="19" spans="1:18" ht="18.600000000000001" customHeight="1">
      <c r="A19" s="66">
        <v>0.4375</v>
      </c>
      <c r="B19" s="66">
        <v>0.45833333333333331</v>
      </c>
      <c r="C19" s="491" t="s">
        <v>1147</v>
      </c>
      <c r="D19" s="477"/>
      <c r="E19" s="478"/>
      <c r="F19" s="66">
        <v>0.1875</v>
      </c>
      <c r="G19" s="66">
        <v>0.20833333333333329</v>
      </c>
      <c r="H19" s="61"/>
      <c r="I19" s="108"/>
      <c r="J19" s="63"/>
      <c r="K19" s="63"/>
      <c r="L19" s="63"/>
      <c r="M19" s="63"/>
      <c r="N19" s="63"/>
      <c r="O19" s="63"/>
      <c r="P19" s="63"/>
    </row>
    <row r="20" spans="1:18" ht="18.600000000000001" customHeight="1">
      <c r="A20" s="66">
        <v>0.45833333333333331</v>
      </c>
      <c r="B20" s="66">
        <v>0.47916666666666669</v>
      </c>
      <c r="C20" s="494" t="s">
        <v>1148</v>
      </c>
      <c r="D20" s="480"/>
      <c r="E20" s="481"/>
      <c r="F20" s="66">
        <v>0.20833333333333329</v>
      </c>
      <c r="G20" s="66">
        <v>0.22916666666666671</v>
      </c>
      <c r="H20" s="61"/>
      <c r="I20" s="108"/>
      <c r="J20" s="63"/>
      <c r="K20" s="63"/>
      <c r="L20" s="63"/>
      <c r="M20" s="63"/>
      <c r="N20" s="63"/>
      <c r="O20" s="63"/>
      <c r="P20" s="63"/>
    </row>
    <row r="21" spans="1:18" ht="18.600000000000001" customHeight="1">
      <c r="A21" s="66">
        <v>0.47916666666666669</v>
      </c>
      <c r="B21" s="66">
        <v>0.5</v>
      </c>
      <c r="C21" s="482"/>
      <c r="D21" s="483"/>
      <c r="E21" s="484"/>
      <c r="F21" s="66">
        <v>0.22916666666666671</v>
      </c>
      <c r="G21" s="66">
        <v>0.25</v>
      </c>
      <c r="H21" s="61"/>
      <c r="I21" s="63"/>
      <c r="J21" s="63"/>
      <c r="K21" s="63"/>
      <c r="L21" s="63"/>
      <c r="M21" s="63"/>
      <c r="N21" s="63"/>
      <c r="O21" s="63"/>
      <c r="P21" s="63"/>
    </row>
    <row r="22" spans="1:18" ht="18.600000000000001" customHeight="1">
      <c r="A22" s="66">
        <v>0.5</v>
      </c>
      <c r="B22" s="66">
        <v>0.52083333333333337</v>
      </c>
      <c r="C22" s="479" t="s">
        <v>1149</v>
      </c>
      <c r="D22" s="480"/>
      <c r="E22" s="481"/>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2"/>
      <c r="D23" s="483"/>
      <c r="E23" s="484"/>
      <c r="F23" s="66">
        <v>0.27083333333333331</v>
      </c>
      <c r="G23" s="66">
        <v>0.29166666666666669</v>
      </c>
      <c r="H23" s="61"/>
      <c r="I23" s="63"/>
      <c r="J23" s="63"/>
      <c r="K23" s="116"/>
      <c r="L23" s="116"/>
      <c r="M23" s="116"/>
      <c r="N23" s="65"/>
      <c r="O23" s="65"/>
      <c r="P23" s="65"/>
    </row>
    <row r="24" spans="1:18" ht="18.600000000000001" customHeight="1">
      <c r="A24" s="66">
        <v>0.54166666666666663</v>
      </c>
      <c r="B24" s="66">
        <v>0.5625</v>
      </c>
      <c r="C24" s="491" t="s">
        <v>568</v>
      </c>
      <c r="D24" s="480"/>
      <c r="E24" s="481"/>
      <c r="F24" s="66">
        <v>0.29166666666666669</v>
      </c>
      <c r="G24" s="66">
        <v>0.3125</v>
      </c>
      <c r="H24" s="61"/>
      <c r="I24" s="63"/>
      <c r="J24" s="63"/>
      <c r="K24" s="116"/>
      <c r="L24" s="116"/>
      <c r="M24" s="116"/>
      <c r="N24" s="63"/>
      <c r="O24" s="63"/>
      <c r="P24" s="63"/>
    </row>
    <row r="25" spans="1:18" ht="18.600000000000001" customHeight="1">
      <c r="A25" s="66">
        <v>0.5625</v>
      </c>
      <c r="B25" s="66">
        <v>0.58333333333333337</v>
      </c>
      <c r="C25" s="487"/>
      <c r="D25" s="488"/>
      <c r="E25" s="489"/>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7"/>
      <c r="D26" s="488"/>
      <c r="E26" s="489"/>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2"/>
      <c r="D27" s="483"/>
      <c r="E27" s="484"/>
      <c r="F27" s="66">
        <v>0.35416666666666669</v>
      </c>
      <c r="G27" s="66">
        <v>0.375</v>
      </c>
      <c r="H27" s="61"/>
      <c r="I27" s="63"/>
      <c r="J27" s="63"/>
      <c r="K27" s="63"/>
      <c r="L27" s="63"/>
      <c r="M27" s="63"/>
      <c r="N27" s="63"/>
      <c r="O27" s="63"/>
      <c r="P27" s="63"/>
    </row>
    <row r="28" spans="1:18" ht="18.600000000000001" customHeight="1">
      <c r="A28" s="66">
        <v>0.625</v>
      </c>
      <c r="B28" s="66">
        <v>0.64583333333333337</v>
      </c>
      <c r="C28" s="479" t="s">
        <v>1150</v>
      </c>
      <c r="D28" s="477"/>
      <c r="E28" s="478"/>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91" t="s">
        <v>568</v>
      </c>
      <c r="D29" s="480"/>
      <c r="E29" s="481"/>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7"/>
      <c r="D30" s="488"/>
      <c r="E30" s="489"/>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7"/>
      <c r="D31" s="488"/>
      <c r="E31" s="489"/>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2"/>
      <c r="D32" s="483"/>
      <c r="E32" s="484"/>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9" t="s">
        <v>1164</v>
      </c>
      <c r="D33" s="477"/>
      <c r="E33" s="478"/>
      <c r="F33" s="66">
        <v>0.47916666666666669</v>
      </c>
      <c r="G33" s="66">
        <v>0.5</v>
      </c>
      <c r="H33" s="61"/>
      <c r="I33" s="63"/>
      <c r="J33" s="63"/>
      <c r="K33" s="63"/>
      <c r="L33" s="63"/>
      <c r="M33" s="63"/>
      <c r="N33" s="63"/>
      <c r="O33" s="63"/>
      <c r="P33" s="63"/>
    </row>
    <row r="34" spans="1:16" ht="18.600000000000001" customHeight="1">
      <c r="A34" s="66">
        <v>0.75</v>
      </c>
      <c r="B34" s="66">
        <v>0.83333333333333337</v>
      </c>
      <c r="C34" s="479" t="s">
        <v>1152</v>
      </c>
      <c r="D34" s="477"/>
      <c r="E34" s="478"/>
      <c r="F34" s="66">
        <v>0.5</v>
      </c>
      <c r="G34" s="66">
        <v>0.58333333333333337</v>
      </c>
      <c r="H34" s="61"/>
      <c r="I34" s="63"/>
      <c r="J34" s="63"/>
      <c r="K34" s="63"/>
      <c r="L34" s="63"/>
      <c r="M34" s="63"/>
      <c r="N34" s="63"/>
      <c r="O34" s="63"/>
      <c r="P34" s="63"/>
    </row>
    <row r="35" spans="1:16">
      <c r="A35" s="492" t="str">
        <f>J5</f>
        <v>Day 4</v>
      </c>
      <c r="B35" s="478"/>
      <c r="C35" s="498">
        <f>I5</f>
        <v>46168</v>
      </c>
      <c r="D35" s="477"/>
      <c r="E35" s="478"/>
      <c r="F35" s="492" t="str">
        <f>A35</f>
        <v>Day 4</v>
      </c>
      <c r="G35" s="478"/>
      <c r="H35" s="70"/>
    </row>
    <row r="36" spans="1:16" ht="28.8" customHeight="1">
      <c r="A36" s="492" t="s">
        <v>1140</v>
      </c>
      <c r="B36" s="478"/>
      <c r="C36" s="67" t="e">
        <f>C17</f>
        <v>#REF!</v>
      </c>
      <c r="D36" s="67" t="e">
        <f>D17</f>
        <v>#REF!</v>
      </c>
      <c r="E36" s="67" t="str">
        <f>E17</f>
        <v>LA team: Dr Pieter van Zyl and ATMs if applicable</v>
      </c>
      <c r="F36" s="492" t="s">
        <v>1141</v>
      </c>
      <c r="G36" s="478"/>
      <c r="H36" s="70"/>
    </row>
    <row r="37" spans="1:16" ht="18" customHeight="1">
      <c r="A37" s="66">
        <v>0.41666666666666669</v>
      </c>
      <c r="B37" s="66">
        <v>0.4375</v>
      </c>
      <c r="C37" s="479" t="s">
        <v>1150</v>
      </c>
      <c r="D37" s="478"/>
      <c r="E37" s="68" t="s">
        <v>1146</v>
      </c>
      <c r="F37" s="66">
        <v>0.16666666666666671</v>
      </c>
      <c r="G37" s="66">
        <v>0.1875</v>
      </c>
      <c r="H37" s="70"/>
    </row>
    <row r="38" spans="1:16" ht="18" customHeight="1">
      <c r="A38" s="66">
        <v>0.4375</v>
      </c>
      <c r="B38" s="66">
        <v>0.45833333333333331</v>
      </c>
      <c r="C38" s="491" t="s">
        <v>555</v>
      </c>
      <c r="D38" s="480"/>
      <c r="E38" s="481"/>
      <c r="F38" s="66">
        <v>0.1875</v>
      </c>
      <c r="G38" s="66">
        <v>0.20833333333333329</v>
      </c>
      <c r="H38" s="70"/>
    </row>
    <row r="39" spans="1:16" ht="18" customHeight="1">
      <c r="A39" s="66">
        <v>0.45833333333333331</v>
      </c>
      <c r="B39" s="66">
        <v>0.47916666666666669</v>
      </c>
      <c r="C39" s="487"/>
      <c r="D39" s="488"/>
      <c r="E39" s="489"/>
      <c r="F39" s="66">
        <v>0.20833333333333329</v>
      </c>
      <c r="G39" s="66">
        <v>0.22916666666666671</v>
      </c>
      <c r="H39" s="70"/>
    </row>
    <row r="40" spans="1:16" ht="18" customHeight="1">
      <c r="A40" s="66">
        <v>0.47916666666666669</v>
      </c>
      <c r="B40" s="66">
        <v>0.5</v>
      </c>
      <c r="C40" s="482"/>
      <c r="D40" s="483"/>
      <c r="E40" s="484"/>
      <c r="F40" s="66">
        <v>0.22916666666666671</v>
      </c>
      <c r="G40" s="66">
        <v>0.25</v>
      </c>
      <c r="H40" s="70"/>
    </row>
    <row r="41" spans="1:16" ht="18" customHeight="1">
      <c r="A41" s="66">
        <v>0.5</v>
      </c>
      <c r="B41" s="66">
        <v>0.52083333333333337</v>
      </c>
      <c r="C41" s="479" t="s">
        <v>1149</v>
      </c>
      <c r="D41" s="480"/>
      <c r="E41" s="481"/>
      <c r="F41" s="66">
        <v>0.25</v>
      </c>
      <c r="G41" s="66">
        <v>0.27083333333333331</v>
      </c>
      <c r="H41" s="70"/>
    </row>
    <row r="42" spans="1:16" ht="18" customHeight="1">
      <c r="A42" s="66">
        <v>0.52083333333333337</v>
      </c>
      <c r="B42" s="66">
        <v>0.54166666666666663</v>
      </c>
      <c r="C42" s="482"/>
      <c r="D42" s="483"/>
      <c r="E42" s="484"/>
      <c r="F42" s="66">
        <v>0.27083333333333331</v>
      </c>
      <c r="G42" s="66">
        <v>0.29166666666666669</v>
      </c>
      <c r="H42" s="70"/>
    </row>
    <row r="43" spans="1:16" ht="18" customHeight="1">
      <c r="A43" s="66">
        <v>0.54166666666666663</v>
      </c>
      <c r="B43" s="66">
        <v>0.5625</v>
      </c>
      <c r="C43" s="491" t="s">
        <v>555</v>
      </c>
      <c r="D43" s="480"/>
      <c r="E43" s="481"/>
      <c r="F43" s="66">
        <v>0.29166666666666669</v>
      </c>
      <c r="G43" s="66">
        <v>0.3125</v>
      </c>
      <c r="H43" s="70"/>
    </row>
    <row r="44" spans="1:16" ht="18" customHeight="1">
      <c r="A44" s="66">
        <v>0.5625</v>
      </c>
      <c r="B44" s="66">
        <v>0.58333333333333337</v>
      </c>
      <c r="C44" s="487"/>
      <c r="D44" s="488"/>
      <c r="E44" s="489"/>
      <c r="F44" s="66">
        <v>0.3125</v>
      </c>
      <c r="G44" s="66">
        <v>0.33333333333333331</v>
      </c>
      <c r="H44" s="70"/>
    </row>
    <row r="45" spans="1:16" ht="18" customHeight="1">
      <c r="A45" s="66">
        <v>0.58333333333333337</v>
      </c>
      <c r="B45" s="66">
        <v>0.60416666666666663</v>
      </c>
      <c r="C45" s="487"/>
      <c r="D45" s="488"/>
      <c r="E45" s="489"/>
      <c r="F45" s="66">
        <v>0.33333333333333331</v>
      </c>
      <c r="G45" s="66">
        <v>0.35416666666666669</v>
      </c>
      <c r="H45" s="70"/>
    </row>
    <row r="46" spans="1:16" ht="18" customHeight="1">
      <c r="A46" s="66">
        <v>0.60416666666666663</v>
      </c>
      <c r="B46" s="66">
        <v>0.625</v>
      </c>
      <c r="C46" s="487"/>
      <c r="D46" s="488"/>
      <c r="E46" s="489"/>
      <c r="F46" s="66">
        <v>0.35416666666666669</v>
      </c>
      <c r="G46" s="66">
        <v>0.375</v>
      </c>
      <c r="H46" s="70"/>
    </row>
    <row r="47" spans="1:16" ht="18" customHeight="1">
      <c r="A47" s="66">
        <v>0.625</v>
      </c>
      <c r="B47" s="66">
        <v>0.64583333333333337</v>
      </c>
      <c r="C47" s="482"/>
      <c r="D47" s="483"/>
      <c r="E47" s="484"/>
      <c r="F47" s="66">
        <v>0.375</v>
      </c>
      <c r="G47" s="66">
        <v>0.39583333333333331</v>
      </c>
      <c r="H47" s="70"/>
    </row>
    <row r="48" spans="1:16" ht="18" customHeight="1">
      <c r="A48" s="66">
        <v>0.64583333333333337</v>
      </c>
      <c r="B48" s="66">
        <v>0.66666666666666663</v>
      </c>
      <c r="C48" s="479" t="s">
        <v>1150</v>
      </c>
      <c r="D48" s="481"/>
      <c r="E48" s="479" t="s">
        <v>1146</v>
      </c>
      <c r="F48" s="66">
        <v>0.39583333333333331</v>
      </c>
      <c r="G48" s="66">
        <v>0.41666666666666669</v>
      </c>
      <c r="H48" s="70"/>
    </row>
    <row r="49" spans="1:8" ht="18" customHeight="1">
      <c r="A49" s="66">
        <v>0.66666666666666663</v>
      </c>
      <c r="B49" s="66">
        <v>0.6875</v>
      </c>
      <c r="C49" s="482"/>
      <c r="D49" s="484"/>
      <c r="E49" s="496"/>
      <c r="F49" s="66">
        <v>0.41666666666666669</v>
      </c>
      <c r="G49" s="66">
        <v>0.4375</v>
      </c>
      <c r="H49" s="70"/>
    </row>
    <row r="50" spans="1:8" ht="18" customHeight="1">
      <c r="A50" s="66">
        <v>0.6875</v>
      </c>
      <c r="B50" s="66">
        <v>0.70833333333333337</v>
      </c>
      <c r="C50" s="491" t="s">
        <v>557</v>
      </c>
      <c r="D50" s="480"/>
      <c r="E50" s="481"/>
      <c r="F50" s="66">
        <v>0.4375</v>
      </c>
      <c r="G50" s="66">
        <v>0.45833333333333331</v>
      </c>
      <c r="H50" s="70"/>
    </row>
    <row r="51" spans="1:8" ht="18" customHeight="1">
      <c r="A51" s="66">
        <v>0.70833333333333337</v>
      </c>
      <c r="B51" s="66">
        <v>0.72916666666666663</v>
      </c>
      <c r="C51" s="482"/>
      <c r="D51" s="483"/>
      <c r="E51" s="484"/>
      <c r="F51" s="66">
        <v>0.45833333333333331</v>
      </c>
      <c r="G51" s="66">
        <v>0.47916666666666669</v>
      </c>
      <c r="H51" s="70"/>
    </row>
    <row r="52" spans="1:8" ht="18" customHeight="1">
      <c r="A52" s="66">
        <v>0.72916666666666663</v>
      </c>
      <c r="B52" s="66">
        <v>0.75</v>
      </c>
      <c r="C52" s="479" t="s">
        <v>1164</v>
      </c>
      <c r="D52" s="477"/>
      <c r="E52" s="478"/>
      <c r="F52" s="66">
        <v>0.47916666666666669</v>
      </c>
      <c r="G52" s="66">
        <v>0.5</v>
      </c>
      <c r="H52" s="70"/>
    </row>
    <row r="53" spans="1:8" ht="18" customHeight="1">
      <c r="A53" s="66">
        <v>0.75</v>
      </c>
      <c r="B53" s="66">
        <v>0.83333333333333337</v>
      </c>
      <c r="C53" s="479" t="s">
        <v>1152</v>
      </c>
      <c r="D53" s="477"/>
      <c r="E53" s="478"/>
      <c r="F53" s="66">
        <v>0.5</v>
      </c>
      <c r="G53" s="66">
        <v>0.58333333333333337</v>
      </c>
      <c r="H53" s="70"/>
    </row>
    <row r="54" spans="1:8">
      <c r="A54" s="490" t="str">
        <f>J6</f>
        <v>Day 5</v>
      </c>
      <c r="B54" s="478"/>
      <c r="C54" s="476">
        <f>I6</f>
        <v>46169</v>
      </c>
      <c r="D54" s="477"/>
      <c r="E54" s="478"/>
      <c r="F54" s="490" t="str">
        <f>A54</f>
        <v>Day 5</v>
      </c>
      <c r="G54" s="478"/>
      <c r="H54" s="70"/>
    </row>
    <row r="55" spans="1:8" ht="28.8" customHeight="1">
      <c r="A55" s="490" t="s">
        <v>1140</v>
      </c>
      <c r="B55" s="478"/>
      <c r="C55" s="64" t="e">
        <f>C36</f>
        <v>#REF!</v>
      </c>
      <c r="D55" s="64" t="e">
        <f>D36</f>
        <v>#REF!</v>
      </c>
      <c r="E55" s="64" t="str">
        <f>E36</f>
        <v>LA team: Dr Pieter van Zyl and ATMs if applicable</v>
      </c>
      <c r="F55" s="490" t="s">
        <v>1141</v>
      </c>
      <c r="G55" s="478"/>
      <c r="H55" s="70"/>
    </row>
    <row r="56" spans="1:8" ht="18" customHeight="1">
      <c r="A56" s="66">
        <v>0.41666666666666669</v>
      </c>
      <c r="B56" s="66">
        <v>0.4375</v>
      </c>
      <c r="C56" s="479" t="s">
        <v>1154</v>
      </c>
      <c r="D56" s="478"/>
      <c r="E56" s="68" t="s">
        <v>1146</v>
      </c>
      <c r="F56" s="66">
        <v>0.16666666666666671</v>
      </c>
      <c r="G56" s="66">
        <v>0.1875</v>
      </c>
      <c r="H56" s="70"/>
    </row>
    <row r="57" spans="1:8" ht="18" customHeight="1">
      <c r="A57" s="66">
        <v>0.4375</v>
      </c>
      <c r="B57" s="66">
        <v>0.45833333333333331</v>
      </c>
      <c r="C57" s="491" t="s">
        <v>563</v>
      </c>
      <c r="D57" s="480"/>
      <c r="E57" s="481"/>
      <c r="F57" s="66">
        <v>0.1875</v>
      </c>
      <c r="G57" s="66">
        <v>0.20833333333333329</v>
      </c>
      <c r="H57" s="70"/>
    </row>
    <row r="58" spans="1:8" ht="18" customHeight="1">
      <c r="A58" s="66">
        <v>0.45833333333333331</v>
      </c>
      <c r="B58" s="66">
        <v>0.47916666666666669</v>
      </c>
      <c r="C58" s="487"/>
      <c r="D58" s="488"/>
      <c r="E58" s="489"/>
      <c r="F58" s="66">
        <v>0.20833333333333329</v>
      </c>
      <c r="G58" s="66">
        <v>0.22916666666666671</v>
      </c>
      <c r="H58" s="70"/>
    </row>
    <row r="59" spans="1:8" ht="18" customHeight="1">
      <c r="A59" s="66">
        <v>0.47916666666666669</v>
      </c>
      <c r="B59" s="66">
        <v>0.5</v>
      </c>
      <c r="C59" s="482"/>
      <c r="D59" s="483"/>
      <c r="E59" s="484"/>
      <c r="F59" s="66">
        <v>0.22916666666666671</v>
      </c>
      <c r="G59" s="66">
        <v>0.25</v>
      </c>
      <c r="H59" s="70"/>
    </row>
    <row r="60" spans="1:8" ht="18" customHeight="1">
      <c r="A60" s="66">
        <v>0.5</v>
      </c>
      <c r="B60" s="66">
        <v>0.52083333333333337</v>
      </c>
      <c r="C60" s="479" t="s">
        <v>1149</v>
      </c>
      <c r="D60" s="480"/>
      <c r="E60" s="481"/>
      <c r="F60" s="66">
        <v>0.25</v>
      </c>
      <c r="G60" s="66">
        <v>0.27083333333333331</v>
      </c>
      <c r="H60" s="70"/>
    </row>
    <row r="61" spans="1:8" ht="18" customHeight="1">
      <c r="A61" s="66">
        <v>0.52083333333333337</v>
      </c>
      <c r="B61" s="66">
        <v>0.54166666666666663</v>
      </c>
      <c r="C61" s="482"/>
      <c r="D61" s="483"/>
      <c r="E61" s="484"/>
      <c r="F61" s="66">
        <v>0.27083333333333331</v>
      </c>
      <c r="G61" s="66">
        <v>0.29166666666666669</v>
      </c>
      <c r="H61" s="70"/>
    </row>
    <row r="62" spans="1:8" ht="18" customHeight="1">
      <c r="A62" s="66">
        <v>0.54166666666666663</v>
      </c>
      <c r="B62" s="66">
        <v>0.5625</v>
      </c>
      <c r="C62" s="491" t="s">
        <v>563</v>
      </c>
      <c r="D62" s="480"/>
      <c r="E62" s="481"/>
      <c r="F62" s="66">
        <v>0.29166666666666669</v>
      </c>
      <c r="G62" s="66">
        <v>0.3125</v>
      </c>
      <c r="H62" s="70"/>
    </row>
    <row r="63" spans="1:8" ht="18" customHeight="1">
      <c r="A63" s="66">
        <v>0.5625</v>
      </c>
      <c r="B63" s="66">
        <v>0.58333333333333337</v>
      </c>
      <c r="C63" s="487"/>
      <c r="D63" s="488"/>
      <c r="E63" s="489"/>
      <c r="F63" s="66">
        <v>0.3125</v>
      </c>
      <c r="G63" s="66">
        <v>0.33333333333333331</v>
      </c>
      <c r="H63" s="70"/>
    </row>
    <row r="64" spans="1:8" ht="18" customHeight="1">
      <c r="A64" s="66">
        <v>0.58333333333333337</v>
      </c>
      <c r="B64" s="66">
        <v>0.60416666666666663</v>
      </c>
      <c r="C64" s="487"/>
      <c r="D64" s="488"/>
      <c r="E64" s="489"/>
      <c r="F64" s="66">
        <v>0.33333333333333331</v>
      </c>
      <c r="G64" s="66">
        <v>0.35416666666666669</v>
      </c>
      <c r="H64" s="70"/>
    </row>
    <row r="65" spans="1:8" ht="18" customHeight="1">
      <c r="A65" s="66">
        <v>0.60416666666666663</v>
      </c>
      <c r="B65" s="66">
        <v>0.625</v>
      </c>
      <c r="C65" s="487"/>
      <c r="D65" s="488"/>
      <c r="E65" s="489"/>
      <c r="F65" s="66">
        <v>0.35416666666666669</v>
      </c>
      <c r="G65" s="66">
        <v>0.375</v>
      </c>
      <c r="H65" s="70"/>
    </row>
    <row r="66" spans="1:8" ht="18" customHeight="1">
      <c r="A66" s="66">
        <v>0.625</v>
      </c>
      <c r="B66" s="66">
        <v>0.64583333333333337</v>
      </c>
      <c r="C66" s="487"/>
      <c r="D66" s="488"/>
      <c r="E66" s="489"/>
      <c r="F66" s="66">
        <v>0.375</v>
      </c>
      <c r="G66" s="66">
        <v>0.39583333333333331</v>
      </c>
      <c r="H66" s="70"/>
    </row>
    <row r="67" spans="1:8" ht="18" customHeight="1">
      <c r="A67" s="66">
        <v>0.64583333333333337</v>
      </c>
      <c r="B67" s="66">
        <v>0.66666666666666663</v>
      </c>
      <c r="C67" s="482"/>
      <c r="D67" s="483"/>
      <c r="E67" s="484"/>
      <c r="F67" s="66">
        <v>0.39583333333333331</v>
      </c>
      <c r="G67" s="66">
        <v>0.41666666666666669</v>
      </c>
      <c r="H67" s="70"/>
    </row>
    <row r="68" spans="1:8" ht="18" customHeight="1">
      <c r="A68" s="66">
        <v>0.66666666666666663</v>
      </c>
      <c r="B68" s="66">
        <v>0.6875</v>
      </c>
      <c r="C68" s="479" t="s">
        <v>1150</v>
      </c>
      <c r="D68" s="477"/>
      <c r="E68" s="478"/>
      <c r="F68" s="66">
        <v>0.41666666666666669</v>
      </c>
      <c r="G68" s="66">
        <v>0.4375</v>
      </c>
      <c r="H68" s="70"/>
    </row>
    <row r="69" spans="1:8" ht="18" customHeight="1">
      <c r="A69" s="66">
        <v>0.6875</v>
      </c>
      <c r="B69" s="66">
        <v>0.70833333333333337</v>
      </c>
      <c r="C69" s="491" t="s">
        <v>571</v>
      </c>
      <c r="D69" s="480"/>
      <c r="E69" s="481"/>
      <c r="F69" s="66">
        <v>0.4375</v>
      </c>
      <c r="G69" s="66">
        <v>0.45833333333333331</v>
      </c>
      <c r="H69" s="70"/>
    </row>
    <row r="70" spans="1:8" ht="18" customHeight="1">
      <c r="A70" s="66">
        <v>0.70833333333333337</v>
      </c>
      <c r="B70" s="66">
        <v>0.72916666666666663</v>
      </c>
      <c r="C70" s="482"/>
      <c r="D70" s="483"/>
      <c r="E70" s="484"/>
      <c r="F70" s="66">
        <v>0.45833333333333331</v>
      </c>
      <c r="G70" s="66">
        <v>0.47916666666666669</v>
      </c>
      <c r="H70" s="70"/>
    </row>
    <row r="71" spans="1:8" ht="18" customHeight="1">
      <c r="A71" s="66">
        <v>0.72916666666666663</v>
      </c>
      <c r="B71" s="66">
        <v>0.75</v>
      </c>
      <c r="C71" s="499" t="s">
        <v>1165</v>
      </c>
      <c r="D71" s="480"/>
      <c r="E71" s="481"/>
      <c r="F71" s="66">
        <v>0.47916666666666669</v>
      </c>
      <c r="G71" s="66">
        <v>0.5</v>
      </c>
      <c r="H71" s="70"/>
    </row>
    <row r="72" spans="1:8" ht="18" customHeight="1">
      <c r="A72" s="66">
        <v>0.75</v>
      </c>
      <c r="B72" s="66">
        <v>0.83333333333333337</v>
      </c>
      <c r="C72" s="482"/>
      <c r="D72" s="483"/>
      <c r="E72" s="484"/>
      <c r="F72" s="66">
        <v>0.5</v>
      </c>
      <c r="G72" s="66">
        <v>0.58333333333333337</v>
      </c>
      <c r="H72" s="70"/>
    </row>
    <row r="73" spans="1:8">
      <c r="A73" s="490" t="str">
        <f>J7</f>
        <v>Day 6</v>
      </c>
      <c r="B73" s="478"/>
      <c r="C73" s="476">
        <f>I7</f>
        <v>46170</v>
      </c>
      <c r="D73" s="477"/>
      <c r="E73" s="478"/>
      <c r="F73" s="490" t="str">
        <f>A73</f>
        <v>Day 6</v>
      </c>
      <c r="G73" s="478"/>
      <c r="H73" s="70"/>
    </row>
    <row r="74" spans="1:8" ht="28.8" customHeight="1">
      <c r="A74" s="490" t="s">
        <v>1140</v>
      </c>
      <c r="B74" s="478"/>
      <c r="C74" s="64" t="e">
        <f>C55</f>
        <v>#REF!</v>
      </c>
      <c r="D74" s="64" t="e">
        <f>D55</f>
        <v>#REF!</v>
      </c>
      <c r="E74" s="64" t="str">
        <f>E55</f>
        <v>LA team: Dr Pieter van Zyl and ATMs if applicable</v>
      </c>
      <c r="F74" s="490" t="s">
        <v>1141</v>
      </c>
      <c r="G74" s="478"/>
      <c r="H74" s="70"/>
    </row>
    <row r="75" spans="1:8" ht="18" customHeight="1">
      <c r="A75" s="66">
        <v>0.41666666666666669</v>
      </c>
      <c r="B75" s="66">
        <v>0.4375</v>
      </c>
      <c r="C75" s="479" t="s">
        <v>1150</v>
      </c>
      <c r="D75" s="477"/>
      <c r="E75" s="478"/>
      <c r="F75" s="66">
        <v>0.16666666666666671</v>
      </c>
      <c r="G75" s="66">
        <v>0.1875</v>
      </c>
      <c r="H75" s="70"/>
    </row>
    <row r="76" spans="1:8" ht="18" customHeight="1">
      <c r="A76" s="66">
        <v>0.4375</v>
      </c>
      <c r="B76" s="66">
        <v>0.45833333333333331</v>
      </c>
      <c r="C76" s="491" t="s">
        <v>1085</v>
      </c>
      <c r="D76" s="480"/>
      <c r="E76" s="481"/>
      <c r="F76" s="66">
        <v>0.1875</v>
      </c>
      <c r="G76" s="66">
        <v>0.20833333333333329</v>
      </c>
      <c r="H76" s="70"/>
    </row>
    <row r="77" spans="1:8" ht="18" customHeight="1">
      <c r="A77" s="66">
        <v>0.45833333333333331</v>
      </c>
      <c r="B77" s="66">
        <v>0.47916666666666669</v>
      </c>
      <c r="C77" s="482"/>
      <c r="D77" s="483"/>
      <c r="E77" s="484"/>
      <c r="F77" s="66">
        <v>0.20833333333333329</v>
      </c>
      <c r="G77" s="66">
        <v>0.22916666666666671</v>
      </c>
      <c r="H77" s="70"/>
    </row>
    <row r="78" spans="1:8" ht="18" customHeight="1">
      <c r="A78" s="66">
        <v>0.47916666666666669</v>
      </c>
      <c r="B78" s="66">
        <v>0.5</v>
      </c>
      <c r="C78" s="479" t="s">
        <v>1150</v>
      </c>
      <c r="D78" s="477"/>
      <c r="E78" s="478"/>
      <c r="F78" s="66">
        <v>0.22916666666666671</v>
      </c>
      <c r="G78" s="66">
        <v>0.25</v>
      </c>
      <c r="H78" s="70"/>
    </row>
    <row r="79" spans="1:8" ht="18" customHeight="1">
      <c r="A79" s="66">
        <v>0.5</v>
      </c>
      <c r="B79" s="66">
        <v>0.52083333333333337</v>
      </c>
      <c r="C79" s="479" t="s">
        <v>1149</v>
      </c>
      <c r="D79" s="480"/>
      <c r="E79" s="481"/>
      <c r="F79" s="66">
        <v>0.25</v>
      </c>
      <c r="G79" s="66">
        <v>0.27083333333333331</v>
      </c>
      <c r="H79" s="70"/>
    </row>
    <row r="80" spans="1:8" ht="18" customHeight="1">
      <c r="A80" s="66">
        <v>0.52083333333333337</v>
      </c>
      <c r="B80" s="66">
        <v>0.54166666666666663</v>
      </c>
      <c r="C80" s="482"/>
      <c r="D80" s="483"/>
      <c r="E80" s="484"/>
      <c r="F80" s="66">
        <v>0.27083333333333331</v>
      </c>
      <c r="G80" s="66">
        <v>0.29166666666666669</v>
      </c>
      <c r="H80" s="70"/>
    </row>
    <row r="81" spans="1:8" ht="18" customHeight="1">
      <c r="A81" s="66">
        <v>0.54166666666666663</v>
      </c>
      <c r="B81" s="66">
        <v>0.5625</v>
      </c>
      <c r="C81" s="499" t="s">
        <v>1165</v>
      </c>
      <c r="D81" s="480"/>
      <c r="E81" s="481"/>
      <c r="F81" s="66">
        <v>0.29166666666666669</v>
      </c>
      <c r="G81" s="66">
        <v>0.3125</v>
      </c>
      <c r="H81" s="70"/>
    </row>
    <row r="82" spans="1:8" ht="18" customHeight="1">
      <c r="A82" s="66">
        <v>0.5625</v>
      </c>
      <c r="B82" s="66">
        <v>0.58333333333333337</v>
      </c>
      <c r="C82" s="482"/>
      <c r="D82" s="483"/>
      <c r="E82" s="484"/>
      <c r="F82" s="66">
        <v>0.3125</v>
      </c>
      <c r="G82" s="66">
        <v>0.33333333333333331</v>
      </c>
      <c r="H82" s="70"/>
    </row>
    <row r="83" spans="1:8" ht="18" customHeight="1">
      <c r="A83" s="66">
        <v>0.58333333333333337</v>
      </c>
      <c r="B83" s="66">
        <v>0.60416666666666663</v>
      </c>
      <c r="C83" s="486" t="s">
        <v>1156</v>
      </c>
      <c r="D83" s="480"/>
      <c r="E83" s="481"/>
      <c r="F83" s="66">
        <v>0.33333333333333331</v>
      </c>
      <c r="G83" s="66">
        <v>0.35416666666666669</v>
      </c>
      <c r="H83" s="70"/>
    </row>
    <row r="84" spans="1:8" ht="18" customHeight="1">
      <c r="A84" s="66">
        <v>0.60416666666666663</v>
      </c>
      <c r="B84" s="66">
        <v>0.625</v>
      </c>
      <c r="C84" s="482"/>
      <c r="D84" s="483"/>
      <c r="E84" s="484"/>
      <c r="F84" s="66">
        <v>0.35416666666666669</v>
      </c>
      <c r="G84" s="66">
        <v>0.375</v>
      </c>
      <c r="H84" s="70"/>
    </row>
    <row r="85" spans="1:8" ht="18" customHeight="1">
      <c r="A85" s="66">
        <v>0.625</v>
      </c>
      <c r="B85" s="66">
        <v>0.64583333333333337</v>
      </c>
      <c r="C85" s="491" t="s">
        <v>561</v>
      </c>
      <c r="D85" s="480"/>
      <c r="E85" s="481"/>
      <c r="F85" s="66">
        <v>0.375</v>
      </c>
      <c r="G85" s="66">
        <v>0.39583333333333331</v>
      </c>
      <c r="H85" s="70"/>
    </row>
    <row r="86" spans="1:8" ht="18" customHeight="1">
      <c r="A86" s="66">
        <v>0.64583333333333337</v>
      </c>
      <c r="B86" s="66">
        <v>0.66666666666666663</v>
      </c>
      <c r="C86" s="482"/>
      <c r="D86" s="483"/>
      <c r="E86" s="484"/>
      <c r="F86" s="66">
        <v>0.39583333333333331</v>
      </c>
      <c r="G86" s="66">
        <v>0.41666666666666669</v>
      </c>
      <c r="H86" s="70"/>
    </row>
    <row r="87" spans="1:8" ht="18" customHeight="1">
      <c r="A87" s="66">
        <v>0.66666666666666663</v>
      </c>
      <c r="B87" s="66">
        <v>0.6875</v>
      </c>
      <c r="C87" s="479" t="s">
        <v>1150</v>
      </c>
      <c r="D87" s="480"/>
      <c r="E87" s="481"/>
      <c r="F87" s="66">
        <v>0.41666666666666669</v>
      </c>
      <c r="G87" s="66">
        <v>0.4375</v>
      </c>
      <c r="H87" s="70"/>
    </row>
    <row r="88" spans="1:8" ht="18" customHeight="1">
      <c r="A88" s="66">
        <v>0.6875</v>
      </c>
      <c r="B88" s="66">
        <v>0.70833333333333337</v>
      </c>
      <c r="C88" s="487"/>
      <c r="D88" s="488"/>
      <c r="E88" s="489"/>
      <c r="F88" s="66">
        <v>0.4375</v>
      </c>
      <c r="G88" s="66">
        <v>0.45833333333333331</v>
      </c>
      <c r="H88" s="70"/>
    </row>
    <row r="89" spans="1:8" ht="18" customHeight="1">
      <c r="A89" s="66">
        <v>0.70833333333333337</v>
      </c>
      <c r="B89" s="66">
        <v>0.72916666666666663</v>
      </c>
      <c r="C89" s="487"/>
      <c r="D89" s="488"/>
      <c r="E89" s="489"/>
      <c r="F89" s="66">
        <v>0.45833333333333331</v>
      </c>
      <c r="G89" s="66">
        <v>0.47916666666666669</v>
      </c>
      <c r="H89" s="70"/>
    </row>
    <row r="90" spans="1:8" ht="18" customHeight="1">
      <c r="A90" s="66">
        <v>0.72916666666666663</v>
      </c>
      <c r="B90" s="66">
        <v>0.75</v>
      </c>
      <c r="C90" s="482"/>
      <c r="D90" s="483"/>
      <c r="E90" s="484"/>
      <c r="F90" s="66">
        <v>0.47916666666666669</v>
      </c>
      <c r="G90" s="66">
        <v>0.5</v>
      </c>
      <c r="H90" s="70"/>
    </row>
    <row r="91" spans="1:8" ht="18" customHeight="1">
      <c r="A91" s="66">
        <v>0.75</v>
      </c>
      <c r="B91" s="66">
        <v>0.83333333333333337</v>
      </c>
      <c r="C91" s="479" t="s">
        <v>1152</v>
      </c>
      <c r="D91" s="477"/>
      <c r="E91" s="478"/>
      <c r="F91" s="66">
        <v>0.5</v>
      </c>
      <c r="G91" s="66">
        <v>0.58333333333333337</v>
      </c>
      <c r="H91" s="70"/>
    </row>
    <row r="92" spans="1:8">
      <c r="A92" s="490" t="str">
        <f>J8</f>
        <v>Day 7</v>
      </c>
      <c r="B92" s="478"/>
      <c r="C92" s="476">
        <f>I8</f>
        <v>46171</v>
      </c>
      <c r="D92" s="477"/>
      <c r="E92" s="478"/>
      <c r="F92" s="490" t="str">
        <f>A92</f>
        <v>Day 7</v>
      </c>
      <c r="G92" s="478"/>
      <c r="H92" s="70"/>
    </row>
    <row r="93" spans="1:8" ht="28.8" customHeight="1">
      <c r="A93" s="490" t="s">
        <v>1140</v>
      </c>
      <c r="B93" s="478"/>
      <c r="C93" s="64" t="e">
        <f>C74</f>
        <v>#REF!</v>
      </c>
      <c r="D93" s="64" t="e">
        <f>D74</f>
        <v>#REF!</v>
      </c>
      <c r="E93" s="64" t="str">
        <f>E74</f>
        <v>LA team: Dr Pieter van Zyl and ATMs if applicable</v>
      </c>
      <c r="F93" s="490" t="s">
        <v>1141</v>
      </c>
      <c r="G93" s="478"/>
      <c r="H93" s="70"/>
    </row>
    <row r="94" spans="1:8" ht="18" customHeight="1">
      <c r="A94" s="66">
        <v>0.41666666666666669</v>
      </c>
      <c r="B94" s="66">
        <v>0.4375</v>
      </c>
      <c r="C94" s="479" t="s">
        <v>1150</v>
      </c>
      <c r="D94" s="477"/>
      <c r="E94" s="478"/>
      <c r="F94" s="66">
        <v>0.16666666666666671</v>
      </c>
      <c r="G94" s="66">
        <v>0.1875</v>
      </c>
      <c r="H94" s="70"/>
    </row>
    <row r="95" spans="1:8" ht="18" customHeight="1">
      <c r="A95" s="66">
        <v>0.4375</v>
      </c>
      <c r="B95" s="66">
        <v>0.45833333333333331</v>
      </c>
      <c r="C95" s="494" t="s">
        <v>1157</v>
      </c>
      <c r="D95" s="480"/>
      <c r="E95" s="481"/>
      <c r="F95" s="66">
        <v>0.1875</v>
      </c>
      <c r="G95" s="66">
        <v>0.20833333333333329</v>
      </c>
      <c r="H95" s="70"/>
    </row>
    <row r="96" spans="1:8" ht="18" customHeight="1">
      <c r="A96" s="66">
        <v>0.45833333333333331</v>
      </c>
      <c r="B96" s="66">
        <v>0.47916666666666669</v>
      </c>
      <c r="C96" s="482"/>
      <c r="D96" s="483"/>
      <c r="E96" s="484"/>
      <c r="F96" s="66">
        <v>0.20833333333333329</v>
      </c>
      <c r="G96" s="66">
        <v>0.22916666666666671</v>
      </c>
      <c r="H96" s="70"/>
    </row>
    <row r="97" spans="1:8" ht="18" customHeight="1">
      <c r="A97" s="66">
        <v>0.47916666666666669</v>
      </c>
      <c r="B97" s="66">
        <v>0.5</v>
      </c>
      <c r="C97" s="494" t="s">
        <v>1158</v>
      </c>
      <c r="D97" s="480"/>
      <c r="E97" s="481"/>
      <c r="F97" s="66">
        <v>0.22916666666666671</v>
      </c>
      <c r="G97" s="66">
        <v>0.25</v>
      </c>
      <c r="H97" s="70"/>
    </row>
    <row r="98" spans="1:8" ht="18" customHeight="1">
      <c r="A98" s="66">
        <v>0.5</v>
      </c>
      <c r="B98" s="66">
        <v>0.52083333333333337</v>
      </c>
      <c r="C98" s="482"/>
      <c r="D98" s="483"/>
      <c r="E98" s="484"/>
      <c r="F98" s="66">
        <v>0.25</v>
      </c>
      <c r="G98" s="66">
        <v>0.27083333333333331</v>
      </c>
      <c r="H98" s="70"/>
    </row>
    <row r="99" spans="1:8" ht="18" customHeight="1">
      <c r="A99" s="66">
        <v>0.52083333333333337</v>
      </c>
      <c r="B99" s="66">
        <v>0.54166666666666663</v>
      </c>
      <c r="C99" s="479" t="s">
        <v>1149</v>
      </c>
      <c r="D99" s="480"/>
      <c r="E99" s="481"/>
      <c r="F99" s="66">
        <v>0.27083333333333331</v>
      </c>
      <c r="G99" s="66">
        <v>0.29166666666666669</v>
      </c>
      <c r="H99" s="70"/>
    </row>
    <row r="100" spans="1:8" ht="18" customHeight="1">
      <c r="A100" s="66">
        <v>0.54166666666666663</v>
      </c>
      <c r="B100" s="66">
        <v>0.5625</v>
      </c>
      <c r="C100" s="482"/>
      <c r="D100" s="483"/>
      <c r="E100" s="484"/>
      <c r="F100" s="66">
        <v>0.29166666666666669</v>
      </c>
      <c r="G100" s="66">
        <v>0.3125</v>
      </c>
      <c r="H100" s="70"/>
    </row>
    <row r="101" spans="1:8" ht="18" customHeight="1">
      <c r="A101" s="66">
        <v>0.5625</v>
      </c>
      <c r="B101" s="66">
        <v>0.58333333333333337</v>
      </c>
      <c r="C101" s="479" t="s">
        <v>1159</v>
      </c>
      <c r="D101" s="480"/>
      <c r="E101" s="481"/>
      <c r="F101" s="66">
        <v>0.3125</v>
      </c>
      <c r="G101" s="66">
        <v>0.33333333333333331</v>
      </c>
      <c r="H101" s="70"/>
    </row>
    <row r="102" spans="1:8" ht="18" customHeight="1">
      <c r="A102" s="66">
        <v>0.58333333333333337</v>
      </c>
      <c r="B102" s="66">
        <v>0.60416666666666663</v>
      </c>
      <c r="C102" s="487"/>
      <c r="D102" s="488"/>
      <c r="E102" s="489"/>
      <c r="F102" s="66">
        <v>0.33333333333333331</v>
      </c>
      <c r="G102" s="66">
        <v>0.35416666666666669</v>
      </c>
      <c r="H102" s="70"/>
    </row>
    <row r="103" spans="1:8" ht="18" customHeight="1">
      <c r="A103" s="66">
        <v>0.60416666666666663</v>
      </c>
      <c r="B103" s="66">
        <v>0.625</v>
      </c>
      <c r="C103" s="482"/>
      <c r="D103" s="483"/>
      <c r="E103" s="484"/>
      <c r="F103" s="66">
        <v>0.35416666666666669</v>
      </c>
      <c r="G103" s="66">
        <v>0.375</v>
      </c>
      <c r="H103" s="70"/>
    </row>
    <row r="104" spans="1:8" ht="18" customHeight="1">
      <c r="A104" s="66">
        <v>0.625</v>
      </c>
      <c r="B104" s="66">
        <v>0.64583333333333337</v>
      </c>
      <c r="C104" s="494" t="s">
        <v>1160</v>
      </c>
      <c r="D104" s="480"/>
      <c r="E104" s="481"/>
      <c r="F104" s="66">
        <v>0.375</v>
      </c>
      <c r="G104" s="66">
        <v>0.39583333333333331</v>
      </c>
      <c r="H104" s="70"/>
    </row>
    <row r="105" spans="1:8" ht="18" customHeight="1">
      <c r="A105" s="66">
        <v>0.64583333333333337</v>
      </c>
      <c r="B105" s="66">
        <v>0.66666666666666663</v>
      </c>
      <c r="C105" s="482"/>
      <c r="D105" s="483"/>
      <c r="E105" s="484"/>
      <c r="F105" s="66">
        <v>0.39583333333333331</v>
      </c>
      <c r="G105" s="66">
        <v>0.41666666666666669</v>
      </c>
      <c r="H105" s="70"/>
    </row>
    <row r="106" spans="1:8" ht="18" customHeight="1">
      <c r="A106" s="66">
        <v>0.66666666666666663</v>
      </c>
      <c r="B106" s="66">
        <v>0.6875</v>
      </c>
      <c r="C106" s="479" t="s">
        <v>1161</v>
      </c>
      <c r="D106" s="480"/>
      <c r="E106" s="481"/>
      <c r="F106" s="66">
        <v>0.41666666666666669</v>
      </c>
      <c r="G106" s="66">
        <v>0.4375</v>
      </c>
      <c r="H106" s="70"/>
    </row>
    <row r="107" spans="1:8" ht="18" customHeight="1">
      <c r="A107" s="66">
        <v>0.6875</v>
      </c>
      <c r="B107" s="66">
        <v>0.70833333333333337</v>
      </c>
      <c r="C107" s="482"/>
      <c r="D107" s="483"/>
      <c r="E107" s="484"/>
      <c r="F107" s="66">
        <v>0.4375</v>
      </c>
      <c r="G107" s="66">
        <v>0.45833333333333331</v>
      </c>
      <c r="H107" s="70"/>
    </row>
    <row r="108" spans="1:8" ht="18" customHeight="1">
      <c r="A108" s="66">
        <v>0.70833333333333337</v>
      </c>
      <c r="B108" s="66">
        <v>0.72916666666666663</v>
      </c>
      <c r="C108" s="479" t="s">
        <v>1162</v>
      </c>
      <c r="D108" s="480"/>
      <c r="E108" s="481"/>
      <c r="F108" s="66">
        <v>0.45833333333333331</v>
      </c>
      <c r="G108" s="66">
        <v>0.47916666666666669</v>
      </c>
      <c r="H108" s="70"/>
    </row>
    <row r="109" spans="1:8" ht="18" customHeight="1">
      <c r="A109" s="66">
        <v>0.72916666666666663</v>
      </c>
      <c r="B109" s="66">
        <v>0.75</v>
      </c>
      <c r="C109" s="487"/>
      <c r="D109" s="488"/>
      <c r="E109" s="489"/>
      <c r="F109" s="66">
        <v>0.47916666666666669</v>
      </c>
      <c r="G109" s="66">
        <v>0.5</v>
      </c>
      <c r="H109" s="70"/>
    </row>
    <row r="110" spans="1:8" ht="18" customHeight="1">
      <c r="A110" s="66">
        <v>0.75</v>
      </c>
      <c r="B110" s="66">
        <v>0.83333333333333337</v>
      </c>
      <c r="C110" s="482"/>
      <c r="D110" s="483"/>
      <c r="E110" s="484"/>
      <c r="F110" s="66">
        <v>0.5</v>
      </c>
      <c r="G110" s="66">
        <v>0.58333333333333337</v>
      </c>
      <c r="H110" s="70"/>
    </row>
  </sheetData>
  <mergeCells count="77">
    <mergeCell ref="F16:G16"/>
    <mergeCell ref="A73:B73"/>
    <mergeCell ref="A54:B54"/>
    <mergeCell ref="C48:D49"/>
    <mergeCell ref="C79:E80"/>
    <mergeCell ref="A74:B74"/>
    <mergeCell ref="F17:G17"/>
    <mergeCell ref="F35:G35"/>
    <mergeCell ref="C41:E42"/>
    <mergeCell ref="C34:E34"/>
    <mergeCell ref="A35:B35"/>
    <mergeCell ref="C52:E52"/>
    <mergeCell ref="C29:E32"/>
    <mergeCell ref="E48:E49"/>
    <mergeCell ref="C101:E103"/>
    <mergeCell ref="C94:E94"/>
    <mergeCell ref="F54:G54"/>
    <mergeCell ref="C75:E75"/>
    <mergeCell ref="C69:E70"/>
    <mergeCell ref="F74:G74"/>
    <mergeCell ref="C85:E86"/>
    <mergeCell ref="C97:E98"/>
    <mergeCell ref="F93:G93"/>
    <mergeCell ref="C92:E92"/>
    <mergeCell ref="C99:E100"/>
    <mergeCell ref="C91:E91"/>
    <mergeCell ref="C56:D56"/>
    <mergeCell ref="C71:E72"/>
    <mergeCell ref="C81:E82"/>
    <mergeCell ref="A1:G1"/>
    <mergeCell ref="C33:E33"/>
    <mergeCell ref="C76:E77"/>
    <mergeCell ref="C73:E73"/>
    <mergeCell ref="C95:E96"/>
    <mergeCell ref="A93:B93"/>
    <mergeCell ref="C60:E61"/>
    <mergeCell ref="C35:E35"/>
    <mergeCell ref="C16:E16"/>
    <mergeCell ref="F4:G4"/>
    <mergeCell ref="F73:G73"/>
    <mergeCell ref="A92:B92"/>
    <mergeCell ref="A36:B36"/>
    <mergeCell ref="C83:E84"/>
    <mergeCell ref="F36:G36"/>
    <mergeCell ref="C43:E47"/>
    <mergeCell ref="A3:B3"/>
    <mergeCell ref="A55:B55"/>
    <mergeCell ref="C28:E28"/>
    <mergeCell ref="C50:E51"/>
    <mergeCell ref="C78:E78"/>
    <mergeCell ref="A4:B4"/>
    <mergeCell ref="D5:D13"/>
    <mergeCell ref="C20:E21"/>
    <mergeCell ref="C19:E19"/>
    <mergeCell ref="C53:E53"/>
    <mergeCell ref="C22:E23"/>
    <mergeCell ref="C3:E3"/>
    <mergeCell ref="C68:E68"/>
    <mergeCell ref="C37:D37"/>
    <mergeCell ref="C38:E40"/>
    <mergeCell ref="A17:B17"/>
    <mergeCell ref="C108:E110"/>
    <mergeCell ref="C5:C13"/>
    <mergeCell ref="E5:E13"/>
    <mergeCell ref="F92:G92"/>
    <mergeCell ref="A2:G2"/>
    <mergeCell ref="C54:E54"/>
    <mergeCell ref="C106:E107"/>
    <mergeCell ref="C87:E90"/>
    <mergeCell ref="F3:G3"/>
    <mergeCell ref="F55:G55"/>
    <mergeCell ref="A16:B16"/>
    <mergeCell ref="C24:E27"/>
    <mergeCell ref="C62:E67"/>
    <mergeCell ref="C57:E59"/>
    <mergeCell ref="A15:G15"/>
    <mergeCell ref="C104:E105"/>
  </mergeCells>
  <pageMargins left="0.7" right="0.7" top="0.75" bottom="0.75" header="0.3" footer="0.3"/>
  <pageSetup paperSize="9" scale="65" fitToHeight="0" orientation="portrait"/>
  <rowBreaks count="5" manualBreakCount="5">
    <brk id="15" max="16383" man="1"/>
    <brk id="34" max="16383" man="1"/>
    <brk id="53" max="16383" man="1"/>
    <brk id="72" max="16383" man="1"/>
    <brk id="91" max="16383"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6">
    <tabColor theme="5" tint="0.79998168889431442"/>
  </sheetPr>
  <dimension ref="A1:H39"/>
  <sheetViews>
    <sheetView workbookViewId="0"/>
  </sheetViews>
  <sheetFormatPr defaultColWidth="8.77734375" defaultRowHeight="14.4"/>
  <cols>
    <col min="1" max="6" width="8.77734375" style="8" customWidth="1"/>
    <col min="7" max="16384" width="8.77734375" style="8"/>
  </cols>
  <sheetData>
    <row r="1" spans="1:8" ht="15" customHeight="1" thickBot="1">
      <c r="A1" s="8" t="s">
        <v>1166</v>
      </c>
    </row>
    <row r="2" spans="1:8">
      <c r="A2" s="264" t="s">
        <v>1167</v>
      </c>
      <c r="B2" s="265">
        <f>Planning!B44</f>
        <v>46165</v>
      </c>
      <c r="C2" s="266">
        <f>B2+1</f>
        <v>46166</v>
      </c>
      <c r="D2" s="266">
        <f>C2+1</f>
        <v>46167</v>
      </c>
      <c r="E2" s="266">
        <f>D2+1</f>
        <v>46168</v>
      </c>
      <c r="F2" s="266">
        <f>E2+1</f>
        <v>46169</v>
      </c>
      <c r="G2" s="266">
        <f>F2+1</f>
        <v>46170</v>
      </c>
      <c r="H2" s="267" t="s">
        <v>1168</v>
      </c>
    </row>
    <row r="3" spans="1:8" ht="28.8" customHeight="1">
      <c r="A3" s="268">
        <v>0.41666666666666669</v>
      </c>
      <c r="B3" s="510" t="s">
        <v>1169</v>
      </c>
      <c r="C3" s="269" t="s">
        <v>1084</v>
      </c>
      <c r="D3" s="270" t="s">
        <v>1170</v>
      </c>
      <c r="E3" s="270" t="s">
        <v>1170</v>
      </c>
      <c r="F3" s="509" t="s">
        <v>1171</v>
      </c>
      <c r="G3" s="509" t="s">
        <v>1172</v>
      </c>
      <c r="H3" s="271">
        <f t="shared" ref="H3:H19" si="0">+A3-0.25</f>
        <v>0.16666666666666669</v>
      </c>
    </row>
    <row r="4" spans="1:8">
      <c r="A4" s="268">
        <v>0.4375</v>
      </c>
      <c r="B4" s="451"/>
      <c r="C4" s="272" t="s">
        <v>1173</v>
      </c>
      <c r="D4" s="504" t="s">
        <v>1174</v>
      </c>
      <c r="E4" s="504" t="s">
        <v>1175</v>
      </c>
      <c r="F4" s="447"/>
      <c r="G4" s="447"/>
      <c r="H4" s="271">
        <f t="shared" si="0"/>
        <v>0.1875</v>
      </c>
    </row>
    <row r="5" spans="1:8">
      <c r="A5" s="268">
        <v>0.45833333333333331</v>
      </c>
      <c r="B5" s="512" t="s">
        <v>1176</v>
      </c>
      <c r="C5" s="503" t="s">
        <v>1088</v>
      </c>
      <c r="D5" s="447"/>
      <c r="E5" s="447"/>
      <c r="F5" s="447"/>
      <c r="G5" s="443"/>
      <c r="H5" s="271">
        <f t="shared" si="0"/>
        <v>0.20833333333333331</v>
      </c>
    </row>
    <row r="6" spans="1:8">
      <c r="A6" s="268">
        <v>0.47916666666666669</v>
      </c>
      <c r="B6" s="511"/>
      <c r="C6" s="443"/>
      <c r="D6" s="447"/>
      <c r="E6" s="447"/>
      <c r="F6" s="443"/>
      <c r="G6" s="269" t="s">
        <v>1173</v>
      </c>
      <c r="H6" s="271">
        <f t="shared" si="0"/>
        <v>0.22916666666666669</v>
      </c>
    </row>
    <row r="7" spans="1:8">
      <c r="A7" s="268">
        <v>0.5</v>
      </c>
      <c r="B7" s="451"/>
      <c r="C7" s="504" t="s">
        <v>1177</v>
      </c>
      <c r="D7" s="447"/>
      <c r="E7" s="447"/>
      <c r="F7" s="505" t="s">
        <v>1149</v>
      </c>
      <c r="G7" s="505" t="s">
        <v>1149</v>
      </c>
      <c r="H7" s="271">
        <f t="shared" si="0"/>
        <v>0.25</v>
      </c>
    </row>
    <row r="8" spans="1:8" ht="28.8" customHeight="1">
      <c r="A8" s="268">
        <v>0.52083333333333337</v>
      </c>
      <c r="B8" s="273" t="s">
        <v>1169</v>
      </c>
      <c r="C8" s="443"/>
      <c r="D8" s="443"/>
      <c r="E8" s="443"/>
      <c r="F8" s="443"/>
      <c r="G8" s="443"/>
      <c r="H8" s="271">
        <f t="shared" si="0"/>
        <v>0.27083333333333337</v>
      </c>
    </row>
    <row r="9" spans="1:8">
      <c r="A9" s="268">
        <v>0.54166666666666663</v>
      </c>
      <c r="B9" s="507" t="s">
        <v>1149</v>
      </c>
      <c r="C9" s="505" t="s">
        <v>1149</v>
      </c>
      <c r="D9" s="505" t="s">
        <v>1149</v>
      </c>
      <c r="E9" s="505" t="s">
        <v>1149</v>
      </c>
      <c r="F9" s="269" t="s">
        <v>1173</v>
      </c>
      <c r="G9" s="503" t="s">
        <v>893</v>
      </c>
      <c r="H9" s="271">
        <f t="shared" si="0"/>
        <v>0.29166666666666663</v>
      </c>
    </row>
    <row r="10" spans="1:8">
      <c r="A10" s="268">
        <v>0.5625</v>
      </c>
      <c r="B10" s="451"/>
      <c r="C10" s="443"/>
      <c r="D10" s="443"/>
      <c r="E10" s="443"/>
      <c r="F10" s="503" t="s">
        <v>1178</v>
      </c>
      <c r="G10" s="443"/>
      <c r="H10" s="271">
        <f t="shared" si="0"/>
        <v>0.3125</v>
      </c>
    </row>
    <row r="11" spans="1:8">
      <c r="A11" s="268">
        <v>0.58333333333333337</v>
      </c>
      <c r="B11" s="510" t="s">
        <v>1179</v>
      </c>
      <c r="C11" s="504" t="s">
        <v>1180</v>
      </c>
      <c r="D11" s="504" t="s">
        <v>1181</v>
      </c>
      <c r="E11" s="504" t="s">
        <v>1182</v>
      </c>
      <c r="F11" s="443"/>
      <c r="G11" s="509" t="s">
        <v>1183</v>
      </c>
      <c r="H11" s="271">
        <f t="shared" si="0"/>
        <v>0.33333333333333337</v>
      </c>
    </row>
    <row r="12" spans="1:8">
      <c r="A12" s="268">
        <v>0.60416666666666663</v>
      </c>
      <c r="B12" s="511"/>
      <c r="C12" s="447"/>
      <c r="D12" s="443"/>
      <c r="E12" s="447"/>
      <c r="F12" s="503" t="s">
        <v>1184</v>
      </c>
      <c r="G12" s="447"/>
      <c r="H12" s="271">
        <f t="shared" si="0"/>
        <v>0.35416666666666663</v>
      </c>
    </row>
    <row r="13" spans="1:8">
      <c r="A13" s="268">
        <v>0.625</v>
      </c>
      <c r="B13" s="511"/>
      <c r="C13" s="447"/>
      <c r="D13" s="504" t="s">
        <v>1185</v>
      </c>
      <c r="E13" s="447"/>
      <c r="F13" s="443"/>
      <c r="G13" s="443"/>
      <c r="H13" s="271">
        <f t="shared" si="0"/>
        <v>0.375</v>
      </c>
    </row>
    <row r="14" spans="1:8">
      <c r="A14" s="268">
        <v>0.64583333333333337</v>
      </c>
      <c r="B14" s="511"/>
      <c r="C14" s="443"/>
      <c r="D14" s="447"/>
      <c r="E14" s="443"/>
      <c r="F14" s="509" t="s">
        <v>1172</v>
      </c>
      <c r="G14" s="513" t="s">
        <v>1186</v>
      </c>
      <c r="H14" s="271">
        <f t="shared" si="0"/>
        <v>0.39583333333333337</v>
      </c>
    </row>
    <row r="15" spans="1:8">
      <c r="A15" s="268">
        <v>0.66666666666666663</v>
      </c>
      <c r="B15" s="511"/>
      <c r="C15" s="272" t="s">
        <v>1173</v>
      </c>
      <c r="D15" s="443"/>
      <c r="E15" s="509" t="s">
        <v>1171</v>
      </c>
      <c r="F15" s="447"/>
      <c r="G15" s="447"/>
      <c r="H15" s="271">
        <f t="shared" si="0"/>
        <v>0.41666666666666663</v>
      </c>
    </row>
    <row r="16" spans="1:8">
      <c r="A16" s="268">
        <v>0.6875</v>
      </c>
      <c r="B16" s="451"/>
      <c r="C16" s="504" t="s">
        <v>1187</v>
      </c>
      <c r="D16" s="504" t="s">
        <v>1188</v>
      </c>
      <c r="E16" s="447"/>
      <c r="F16" s="447"/>
      <c r="G16" s="447"/>
      <c r="H16" s="271">
        <f t="shared" si="0"/>
        <v>0.4375</v>
      </c>
    </row>
    <row r="17" spans="1:8">
      <c r="A17" s="268">
        <v>0.70833333333333337</v>
      </c>
      <c r="B17" s="274" t="s">
        <v>1189</v>
      </c>
      <c r="C17" s="443"/>
      <c r="D17" s="443"/>
      <c r="E17" s="443"/>
      <c r="F17" s="443"/>
      <c r="G17" s="447"/>
      <c r="H17" s="271">
        <f t="shared" si="0"/>
        <v>0.45833333333333337</v>
      </c>
    </row>
    <row r="18" spans="1:8">
      <c r="A18" s="268">
        <v>0.72916666666666663</v>
      </c>
      <c r="B18" s="275" t="s">
        <v>1170</v>
      </c>
      <c r="C18" s="270" t="s">
        <v>1170</v>
      </c>
      <c r="D18" s="270" t="s">
        <v>1170</v>
      </c>
      <c r="E18" s="270" t="s">
        <v>1170</v>
      </c>
      <c r="F18" s="270" t="s">
        <v>1170</v>
      </c>
      <c r="G18" s="443"/>
      <c r="H18" s="271">
        <f t="shared" si="0"/>
        <v>0.47916666666666663</v>
      </c>
    </row>
    <row r="19" spans="1:8" ht="15" customHeight="1" thickBot="1">
      <c r="A19" s="276">
        <v>0.75</v>
      </c>
      <c r="B19" s="500" t="s">
        <v>1152</v>
      </c>
      <c r="C19" s="501"/>
      <c r="D19" s="501"/>
      <c r="E19" s="501"/>
      <c r="F19" s="501"/>
      <c r="G19" s="502"/>
      <c r="H19" s="277">
        <f t="shared" si="0"/>
        <v>0.5</v>
      </c>
    </row>
    <row r="21" spans="1:8" ht="15" customHeight="1" thickBot="1">
      <c r="A21" s="8" t="s">
        <v>1190</v>
      </c>
    </row>
    <row r="22" spans="1:8">
      <c r="A22" s="264" t="s">
        <v>1167</v>
      </c>
      <c r="B22" s="265">
        <f>Planning!B44</f>
        <v>46165</v>
      </c>
      <c r="C22" s="265">
        <f>B22+1</f>
        <v>46166</v>
      </c>
      <c r="D22" s="265">
        <f>C22+1</f>
        <v>46167</v>
      </c>
      <c r="E22" s="265">
        <f>D22+1</f>
        <v>46168</v>
      </c>
      <c r="F22" s="265">
        <f>E22+1</f>
        <v>46169</v>
      </c>
      <c r="G22" s="265">
        <f>F22+1</f>
        <v>46170</v>
      </c>
      <c r="H22" s="267" t="s">
        <v>1168</v>
      </c>
    </row>
    <row r="23" spans="1:8" ht="28.8" customHeight="1">
      <c r="A23" s="268">
        <v>0.41666666666666669</v>
      </c>
      <c r="B23" s="510" t="s">
        <v>1169</v>
      </c>
      <c r="C23" s="269" t="s">
        <v>1084</v>
      </c>
      <c r="D23" s="270" t="s">
        <v>1170</v>
      </c>
      <c r="E23" s="270" t="s">
        <v>1170</v>
      </c>
      <c r="F23" s="508" t="s">
        <v>1171</v>
      </c>
      <c r="G23" s="508" t="s">
        <v>1172</v>
      </c>
      <c r="H23" s="271">
        <f t="shared" ref="H23:H39" si="1">+A23-0.25</f>
        <v>0.16666666666666669</v>
      </c>
    </row>
    <row r="24" spans="1:8">
      <c r="A24" s="268">
        <v>0.4375</v>
      </c>
      <c r="B24" s="451"/>
      <c r="C24" s="272" t="s">
        <v>1173</v>
      </c>
      <c r="D24" s="504" t="s">
        <v>1174</v>
      </c>
      <c r="E24" s="504" t="s">
        <v>1175</v>
      </c>
      <c r="F24" s="447"/>
      <c r="G24" s="447"/>
      <c r="H24" s="271">
        <f t="shared" si="1"/>
        <v>0.1875</v>
      </c>
    </row>
    <row r="25" spans="1:8">
      <c r="A25" s="268">
        <v>0.45833333333333331</v>
      </c>
      <c r="B25" s="512" t="s">
        <v>1176</v>
      </c>
      <c r="C25" s="503" t="s">
        <v>1088</v>
      </c>
      <c r="D25" s="447"/>
      <c r="E25" s="447"/>
      <c r="F25" s="447"/>
      <c r="G25" s="447"/>
      <c r="H25" s="271">
        <f t="shared" si="1"/>
        <v>0.20833333333333331</v>
      </c>
    </row>
    <row r="26" spans="1:8">
      <c r="A26" s="268">
        <v>0.47916666666666669</v>
      </c>
      <c r="B26" s="511"/>
      <c r="C26" s="443"/>
      <c r="D26" s="447"/>
      <c r="E26" s="447"/>
      <c r="F26" s="447"/>
      <c r="G26" s="447"/>
      <c r="H26" s="271">
        <f t="shared" si="1"/>
        <v>0.22916666666666669</v>
      </c>
    </row>
    <row r="27" spans="1:8">
      <c r="A27" s="268">
        <v>0.5</v>
      </c>
      <c r="B27" s="451"/>
      <c r="C27" s="504" t="s">
        <v>1177</v>
      </c>
      <c r="D27" s="447"/>
      <c r="E27" s="447"/>
      <c r="F27" s="447"/>
      <c r="G27" s="447"/>
      <c r="H27" s="271">
        <f t="shared" si="1"/>
        <v>0.25</v>
      </c>
    </row>
    <row r="28" spans="1:8" ht="28.8" customHeight="1">
      <c r="A28" s="268">
        <v>0.52083333333333337</v>
      </c>
      <c r="B28" s="273" t="s">
        <v>1169</v>
      </c>
      <c r="C28" s="443"/>
      <c r="D28" s="443"/>
      <c r="E28" s="443"/>
      <c r="F28" s="445"/>
      <c r="G28" s="445"/>
      <c r="H28" s="271">
        <f t="shared" si="1"/>
        <v>0.27083333333333337</v>
      </c>
    </row>
    <row r="29" spans="1:8">
      <c r="A29" s="268">
        <v>0.54166666666666663</v>
      </c>
      <c r="B29" s="507" t="s">
        <v>1149</v>
      </c>
      <c r="C29" s="505" t="s">
        <v>1149</v>
      </c>
      <c r="D29" s="505" t="s">
        <v>1149</v>
      </c>
      <c r="E29" s="505" t="s">
        <v>1149</v>
      </c>
      <c r="F29" s="505" t="s">
        <v>1149</v>
      </c>
      <c r="G29" s="505" t="s">
        <v>1149</v>
      </c>
      <c r="H29" s="271">
        <f t="shared" si="1"/>
        <v>0.29166666666666663</v>
      </c>
    </row>
    <row r="30" spans="1:8">
      <c r="A30" s="268">
        <v>0.5625</v>
      </c>
      <c r="B30" s="451"/>
      <c r="C30" s="443"/>
      <c r="D30" s="443"/>
      <c r="E30" s="443"/>
      <c r="F30" s="443"/>
      <c r="G30" s="443"/>
      <c r="H30" s="271">
        <f t="shared" si="1"/>
        <v>0.3125</v>
      </c>
    </row>
    <row r="31" spans="1:8">
      <c r="A31" s="268">
        <v>0.58333333333333337</v>
      </c>
      <c r="B31" s="508" t="s">
        <v>1179</v>
      </c>
      <c r="C31" s="504" t="s">
        <v>1180</v>
      </c>
      <c r="D31" s="504" t="s">
        <v>1181</v>
      </c>
      <c r="E31" s="504" t="s">
        <v>1182</v>
      </c>
      <c r="F31" s="270" t="s">
        <v>1173</v>
      </c>
      <c r="G31" s="270" t="s">
        <v>1173</v>
      </c>
      <c r="H31" s="271">
        <f t="shared" si="1"/>
        <v>0.33333333333333337</v>
      </c>
    </row>
    <row r="32" spans="1:8">
      <c r="A32" s="268">
        <v>0.60416666666666663</v>
      </c>
      <c r="B32" s="447"/>
      <c r="C32" s="447"/>
      <c r="D32" s="443"/>
      <c r="E32" s="447"/>
      <c r="F32" s="503" t="s">
        <v>1178</v>
      </c>
      <c r="G32" s="503" t="s">
        <v>1191</v>
      </c>
      <c r="H32" s="271">
        <f t="shared" si="1"/>
        <v>0.35416666666666663</v>
      </c>
    </row>
    <row r="33" spans="1:8">
      <c r="A33" s="268">
        <v>0.625</v>
      </c>
      <c r="B33" s="447"/>
      <c r="C33" s="447"/>
      <c r="D33" s="504" t="s">
        <v>1185</v>
      </c>
      <c r="E33" s="447"/>
      <c r="F33" s="443"/>
      <c r="G33" s="443"/>
      <c r="H33" s="271">
        <f t="shared" si="1"/>
        <v>0.375</v>
      </c>
    </row>
    <row r="34" spans="1:8">
      <c r="A34" s="268">
        <v>0.64583333333333337</v>
      </c>
      <c r="B34" s="447"/>
      <c r="C34" s="443"/>
      <c r="D34" s="447"/>
      <c r="E34" s="443"/>
      <c r="F34" s="503" t="s">
        <v>1184</v>
      </c>
      <c r="G34" s="514" t="s">
        <v>1192</v>
      </c>
      <c r="H34" s="271">
        <f t="shared" si="1"/>
        <v>0.39583333333333337</v>
      </c>
    </row>
    <row r="35" spans="1:8">
      <c r="A35" s="268">
        <v>0.66666666666666663</v>
      </c>
      <c r="B35" s="445"/>
      <c r="C35" s="272" t="s">
        <v>1173</v>
      </c>
      <c r="D35" s="443"/>
      <c r="E35" s="509" t="s">
        <v>1171</v>
      </c>
      <c r="F35" s="443"/>
      <c r="G35" s="447"/>
      <c r="H35" s="271">
        <f t="shared" si="1"/>
        <v>0.41666666666666663</v>
      </c>
    </row>
    <row r="36" spans="1:8">
      <c r="A36" s="268">
        <v>0.6875</v>
      </c>
      <c r="B36" s="278" t="s">
        <v>1193</v>
      </c>
      <c r="C36" s="504" t="s">
        <v>1187</v>
      </c>
      <c r="D36" s="504" t="s">
        <v>1188</v>
      </c>
      <c r="E36" s="447"/>
      <c r="F36" s="508" t="s">
        <v>1172</v>
      </c>
      <c r="G36" s="506" t="s">
        <v>1194</v>
      </c>
      <c r="H36" s="271">
        <f t="shared" si="1"/>
        <v>0.4375</v>
      </c>
    </row>
    <row r="37" spans="1:8">
      <c r="A37" s="268">
        <v>0.70833333333333337</v>
      </c>
      <c r="B37" s="274" t="s">
        <v>1189</v>
      </c>
      <c r="C37" s="443"/>
      <c r="D37" s="443"/>
      <c r="E37" s="443"/>
      <c r="F37" s="445"/>
      <c r="G37" s="447"/>
      <c r="H37" s="271">
        <f t="shared" si="1"/>
        <v>0.45833333333333337</v>
      </c>
    </row>
    <row r="38" spans="1:8">
      <c r="A38" s="268">
        <v>0.72916666666666663</v>
      </c>
      <c r="B38" s="275" t="s">
        <v>1170</v>
      </c>
      <c r="C38" s="270" t="s">
        <v>1170</v>
      </c>
      <c r="D38" s="270" t="s">
        <v>1170</v>
      </c>
      <c r="E38" s="270" t="s">
        <v>1170</v>
      </c>
      <c r="F38" s="270" t="s">
        <v>1170</v>
      </c>
      <c r="G38" s="445"/>
      <c r="H38" s="271">
        <f t="shared" si="1"/>
        <v>0.47916666666666663</v>
      </c>
    </row>
    <row r="39" spans="1:8" ht="15" customHeight="1" thickBot="1">
      <c r="A39" s="276">
        <v>0.75</v>
      </c>
      <c r="B39" s="500" t="s">
        <v>1152</v>
      </c>
      <c r="C39" s="501"/>
      <c r="D39" s="501"/>
      <c r="E39" s="501"/>
      <c r="F39" s="501"/>
      <c r="G39" s="502"/>
      <c r="H39" s="277">
        <f t="shared" si="1"/>
        <v>0.5</v>
      </c>
    </row>
  </sheetData>
  <mergeCells count="58">
    <mergeCell ref="B3:B4"/>
    <mergeCell ref="F36:F37"/>
    <mergeCell ref="F12:F13"/>
    <mergeCell ref="C29:C30"/>
    <mergeCell ref="G7:G8"/>
    <mergeCell ref="E29:E30"/>
    <mergeCell ref="D11:D12"/>
    <mergeCell ref="D33:D35"/>
    <mergeCell ref="G14:G18"/>
    <mergeCell ref="C16:C17"/>
    <mergeCell ref="D36:D37"/>
    <mergeCell ref="G34:G35"/>
    <mergeCell ref="B5:B7"/>
    <mergeCell ref="B29:B30"/>
    <mergeCell ref="F32:F33"/>
    <mergeCell ref="B19:G19"/>
    <mergeCell ref="C9:C10"/>
    <mergeCell ref="D4:D8"/>
    <mergeCell ref="E9:E10"/>
    <mergeCell ref="G23:G28"/>
    <mergeCell ref="F3:F6"/>
    <mergeCell ref="C7:C8"/>
    <mergeCell ref="E4:E8"/>
    <mergeCell ref="G9:G10"/>
    <mergeCell ref="F14:F17"/>
    <mergeCell ref="G3:G5"/>
    <mergeCell ref="F7:F8"/>
    <mergeCell ref="F10:F11"/>
    <mergeCell ref="D13:D15"/>
    <mergeCell ref="E15:E17"/>
    <mergeCell ref="B23:B24"/>
    <mergeCell ref="C25:C26"/>
    <mergeCell ref="B11:B16"/>
    <mergeCell ref="D24:D28"/>
    <mergeCell ref="B25:B27"/>
    <mergeCell ref="D16:D17"/>
    <mergeCell ref="E35:E37"/>
    <mergeCell ref="F29:F30"/>
    <mergeCell ref="E31:E34"/>
    <mergeCell ref="F34:F35"/>
    <mergeCell ref="C31:C34"/>
    <mergeCell ref="D31:D32"/>
    <mergeCell ref="B39:G39"/>
    <mergeCell ref="C5:C6"/>
    <mergeCell ref="C36:C37"/>
    <mergeCell ref="G29:G30"/>
    <mergeCell ref="G36:G38"/>
    <mergeCell ref="B9:B10"/>
    <mergeCell ref="F23:F28"/>
    <mergeCell ref="D9:D10"/>
    <mergeCell ref="G11:G13"/>
    <mergeCell ref="C27:C28"/>
    <mergeCell ref="C11:C14"/>
    <mergeCell ref="E24:E28"/>
    <mergeCell ref="E11:E14"/>
    <mergeCell ref="B31:B35"/>
    <mergeCell ref="G32:G33"/>
    <mergeCell ref="D29:D30"/>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7"/>
  <dimension ref="A1:V46"/>
  <sheetViews>
    <sheetView workbookViewId="0"/>
  </sheetViews>
  <sheetFormatPr defaultColWidth="8.77734375" defaultRowHeight="14.4"/>
  <cols>
    <col min="1" max="1" width="27.21875" style="16" customWidth="1"/>
    <col min="2" max="2" width="65.77734375" style="16" customWidth="1"/>
    <col min="3" max="4" width="27.21875" style="16" customWidth="1"/>
    <col min="5" max="10" width="8.77734375" style="16" customWidth="1"/>
    <col min="11" max="16384" width="8.77734375" style="16"/>
  </cols>
  <sheetData>
    <row r="1" spans="1:22" s="11" customFormat="1">
      <c r="A1" s="15" t="s">
        <v>1195</v>
      </c>
      <c r="B1" s="15"/>
      <c r="C1" s="15"/>
      <c r="D1" s="15"/>
    </row>
    <row r="2" spans="1:22" s="11" customFormat="1">
      <c r="A2" s="27" t="s">
        <v>1196</v>
      </c>
      <c r="B2" s="28"/>
      <c r="C2" s="28"/>
      <c r="D2" s="28"/>
      <c r="E2" s="16"/>
      <c r="F2" s="16"/>
      <c r="G2" s="16"/>
      <c r="H2" s="16"/>
      <c r="I2" s="16"/>
      <c r="J2" s="16"/>
      <c r="K2" s="16"/>
      <c r="L2" s="16"/>
      <c r="M2" s="16"/>
      <c r="N2" s="16"/>
      <c r="O2" s="16"/>
      <c r="P2" s="16"/>
      <c r="Q2" s="16"/>
      <c r="R2" s="16"/>
      <c r="S2" s="16"/>
      <c r="T2" s="16"/>
      <c r="U2" s="16"/>
      <c r="V2" s="16"/>
    </row>
    <row r="3" spans="1:22">
      <c r="A3" s="16" t="s">
        <v>533</v>
      </c>
      <c r="B3" s="60" t="s">
        <v>1197</v>
      </c>
      <c r="C3" s="263" t="s">
        <v>1198</v>
      </c>
    </row>
    <row r="4" spans="1:22">
      <c r="A4" s="16" t="s">
        <v>284</v>
      </c>
      <c r="B4" s="60">
        <v>1</v>
      </c>
      <c r="C4" s="263" t="str">
        <f t="shared" ref="C4:C20" si="0">_xlfn.CONCAT(A4, " (",B4,")")</f>
        <v>ATL (1)</v>
      </c>
    </row>
    <row r="5" spans="1:22">
      <c r="A5" s="16" t="s">
        <v>1199</v>
      </c>
      <c r="B5" s="60">
        <v>4</v>
      </c>
      <c r="C5" s="263" t="str">
        <f t="shared" si="0"/>
        <v>ATM (4)</v>
      </c>
    </row>
    <row r="6" spans="1:22">
      <c r="A6" s="16" t="s">
        <v>536</v>
      </c>
      <c r="B6" s="60">
        <v>1</v>
      </c>
      <c r="C6" s="263" t="str">
        <f t="shared" si="0"/>
        <v>CM (1)</v>
      </c>
    </row>
    <row r="7" spans="1:22">
      <c r="A7" s="16" t="s">
        <v>1200</v>
      </c>
      <c r="B7" s="60">
        <v>4</v>
      </c>
      <c r="C7" s="263" t="str">
        <f t="shared" si="0"/>
        <v>Engineers (4)</v>
      </c>
    </row>
    <row r="8" spans="1:22">
      <c r="A8" s="16" t="s">
        <v>1201</v>
      </c>
      <c r="B8" s="60">
        <v>2</v>
      </c>
      <c r="C8" s="263" t="str">
        <f t="shared" si="0"/>
        <v>EPG (2)</v>
      </c>
    </row>
    <row r="9" spans="1:22">
      <c r="A9" s="16" t="s">
        <v>543</v>
      </c>
      <c r="B9" s="60">
        <v>1</v>
      </c>
      <c r="C9" s="263" t="str">
        <f t="shared" si="0"/>
        <v>OT (1)</v>
      </c>
    </row>
    <row r="10" spans="1:22">
      <c r="A10" s="16" t="s">
        <v>301</v>
      </c>
      <c r="B10" s="60">
        <v>1</v>
      </c>
      <c r="C10" s="263" t="str">
        <f t="shared" si="0"/>
        <v>OUC (1)</v>
      </c>
    </row>
    <row r="11" spans="1:22">
      <c r="A11" s="16" t="s">
        <v>1202</v>
      </c>
      <c r="B11" s="60">
        <v>2</v>
      </c>
      <c r="C11" s="263" t="str">
        <f t="shared" si="0"/>
        <v>PMs (2)</v>
      </c>
    </row>
    <row r="12" spans="1:22">
      <c r="A12" s="16" t="s">
        <v>547</v>
      </c>
      <c r="B12" s="60">
        <v>1</v>
      </c>
      <c r="C12" s="263" t="str">
        <f t="shared" si="0"/>
        <v>PQA (1)</v>
      </c>
    </row>
    <row r="13" spans="1:22">
      <c r="A13" s="16" t="s">
        <v>1203</v>
      </c>
      <c r="B13" s="60">
        <v>1</v>
      </c>
      <c r="C13" s="263" t="str">
        <f t="shared" si="0"/>
        <v>SM (1)</v>
      </c>
    </row>
    <row r="14" spans="1:22">
      <c r="A14" s="16" t="s">
        <v>290</v>
      </c>
      <c r="B14" s="60">
        <v>1</v>
      </c>
      <c r="C14" s="263" t="str">
        <f t="shared" si="0"/>
        <v>Sponsor (1)</v>
      </c>
    </row>
    <row r="15" spans="1:22">
      <c r="A15" s="16" t="s">
        <v>300</v>
      </c>
      <c r="B15" s="60">
        <v>1</v>
      </c>
      <c r="C15" s="263" t="str">
        <f t="shared" si="0"/>
        <v>RI (1)</v>
      </c>
    </row>
    <row r="16" spans="1:22">
      <c r="A16" s="16" t="s">
        <v>1204</v>
      </c>
      <c r="B16" s="263">
        <f>B7+B6</f>
        <v>5</v>
      </c>
      <c r="C16" s="263" t="str">
        <f t="shared" si="0"/>
        <v>ParticipantsPrelim1 (5)</v>
      </c>
    </row>
    <row r="17" spans="1:22">
      <c r="A17" s="16" t="s">
        <v>1205</v>
      </c>
      <c r="B17" s="263">
        <f>B8+B9+B11+B12</f>
        <v>6</v>
      </c>
      <c r="C17" s="263" t="str">
        <f t="shared" si="0"/>
        <v>ParticipantsPrelim2 (6)</v>
      </c>
    </row>
    <row r="18" spans="1:22">
      <c r="A18" s="16" t="s">
        <v>1206</v>
      </c>
      <c r="B18" s="60">
        <v>5</v>
      </c>
      <c r="C18" s="263" t="str">
        <f t="shared" si="0"/>
        <v>ParticipantsTechTest (5)</v>
      </c>
    </row>
    <row r="19" spans="1:22">
      <c r="A19" s="16" t="s">
        <v>1207</v>
      </c>
      <c r="B19" s="263">
        <f>B13+B12+B11+B10+B9+B7+B6+B5</f>
        <v>15</v>
      </c>
      <c r="C19" s="263" t="str">
        <f t="shared" si="0"/>
        <v>ParticipantsOpen (15)</v>
      </c>
    </row>
    <row r="20" spans="1:22">
      <c r="A20" s="16" t="s">
        <v>1208</v>
      </c>
      <c r="B20" s="263">
        <f>B14+B13+B12+B11+B10+B8+B7+B6</f>
        <v>13</v>
      </c>
      <c r="C20" s="263" t="str">
        <f t="shared" si="0"/>
        <v>ParticipantsFinal (13)</v>
      </c>
    </row>
    <row r="21" spans="1:22">
      <c r="B21" s="60"/>
      <c r="C21" s="60"/>
    </row>
    <row r="22" spans="1:22" s="11" customFormat="1">
      <c r="A22" s="27" t="s">
        <v>1209</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1210</v>
      </c>
      <c r="B23" s="14" t="s">
        <v>1211</v>
      </c>
      <c r="C23" s="14" t="s">
        <v>1212</v>
      </c>
      <c r="D23" s="14" t="s">
        <v>1213</v>
      </c>
    </row>
    <row r="24" spans="1:22">
      <c r="A24" s="16" t="s">
        <v>1214</v>
      </c>
      <c r="B24" s="78" t="str">
        <f>C4</f>
        <v>ATL (1)</v>
      </c>
      <c r="C24" s="16" t="s">
        <v>1215</v>
      </c>
      <c r="D24" s="16">
        <v>120</v>
      </c>
    </row>
    <row r="25" spans="1:22">
      <c r="A25" s="16" t="s">
        <v>1214</v>
      </c>
      <c r="B25" s="78" t="str">
        <f>C5</f>
        <v>ATM (4)</v>
      </c>
      <c r="C25" s="16" t="s">
        <v>1215</v>
      </c>
      <c r="D25" s="16">
        <v>8</v>
      </c>
    </row>
    <row r="26" spans="1:22">
      <c r="A26" s="16" t="s">
        <v>1216</v>
      </c>
      <c r="B26" s="78" t="str">
        <f>_xlfn.CONCAT(C4,", ",C5,", ",C15)</f>
        <v>ATL (1), ATM (4), RI (1)</v>
      </c>
      <c r="C26" s="16" t="s">
        <v>1217</v>
      </c>
      <c r="D26" s="16">
        <v>8</v>
      </c>
    </row>
    <row r="27" spans="1:22">
      <c r="A27" s="16" t="s">
        <v>536</v>
      </c>
      <c r="B27" s="78" t="str">
        <f>_xlfn.CONCAT(B26,", ",C6)</f>
        <v>ATL (1), ATM (4), RI (1), CM (1)</v>
      </c>
      <c r="C27" s="16" t="s">
        <v>1126</v>
      </c>
      <c r="D27" s="16">
        <v>1</v>
      </c>
    </row>
    <row r="28" spans="1:22">
      <c r="A28" s="16" t="s">
        <v>1218</v>
      </c>
      <c r="B28" s="78" t="str">
        <f>B26</f>
        <v>ATL (1), ATM (4), RI (1)</v>
      </c>
      <c r="C28" s="16" t="s">
        <v>1219</v>
      </c>
      <c r="D28" s="16">
        <v>12</v>
      </c>
    </row>
    <row r="29" spans="1:22">
      <c r="A29" s="16" t="s">
        <v>1200</v>
      </c>
      <c r="B29" s="78" t="str">
        <f>_xlfn.CONCAT(B26,", ",C7)</f>
        <v>ATL (1), ATM (4), RI (1), Engineers (4)</v>
      </c>
      <c r="C29" s="16" t="s">
        <v>1126</v>
      </c>
      <c r="D29" s="16">
        <v>3</v>
      </c>
    </row>
    <row r="30" spans="1:22">
      <c r="A30" s="16" t="s">
        <v>1220</v>
      </c>
      <c r="B30" s="78" t="str">
        <f>_xlfn.CONCAT(B26,", ",C8)</f>
        <v>ATL (1), ATM (4), RI (1), EPG (2)</v>
      </c>
      <c r="C30" s="16" t="s">
        <v>1126</v>
      </c>
      <c r="D30" s="16">
        <v>3</v>
      </c>
    </row>
    <row r="31" spans="1:22">
      <c r="A31" s="16" t="s">
        <v>1221</v>
      </c>
      <c r="B31" s="78" t="str">
        <f>_xlfn.CONCAT(C20,", ",B25)</f>
        <v>ParticipantsFinal (13), ATM (4)</v>
      </c>
      <c r="C31" s="16" t="s">
        <v>1221</v>
      </c>
      <c r="D31" s="16">
        <v>1</v>
      </c>
    </row>
    <row r="32" spans="1:22">
      <c r="A32" s="16" t="s">
        <v>1142</v>
      </c>
      <c r="B32" s="78" t="str">
        <f>B26</f>
        <v>ATL (1), ATM (4), RI (1)</v>
      </c>
      <c r="C32" s="16" t="s">
        <v>1222</v>
      </c>
      <c r="D32" s="16">
        <v>24</v>
      </c>
    </row>
    <row r="33" spans="1:4">
      <c r="A33" s="16" t="s">
        <v>1223</v>
      </c>
      <c r="B33" s="78" t="str">
        <f>_xlfn.CONCAT(C4,", ",C15,", ",C10,", ",C8)</f>
        <v>ATL (1), RI (1), OUC (1), EPG (2)</v>
      </c>
      <c r="C33" s="16" t="s">
        <v>1224</v>
      </c>
      <c r="D33" s="16">
        <v>40</v>
      </c>
    </row>
    <row r="34" spans="1:4">
      <c r="A34" s="16" t="s">
        <v>1225</v>
      </c>
      <c r="B34" s="78" t="str">
        <f>_xlfn.CONCAT(C4,", ",C15,", ",C10,", ",C8)</f>
        <v>ATL (1), RI (1), OUC (1), EPG (2)</v>
      </c>
      <c r="C34" s="16" t="s">
        <v>1224</v>
      </c>
      <c r="D34" s="16">
        <v>120</v>
      </c>
    </row>
    <row r="35" spans="1:4">
      <c r="A35" s="16" t="s">
        <v>1226</v>
      </c>
      <c r="B35" s="78" t="str">
        <f>_xlfn.CONCAT(B26,", ",C19,", ",C14)</f>
        <v>ATL (1), ATM (4), RI (1), ParticipantsOpen (15), Sponsor (1)</v>
      </c>
      <c r="C35" s="16" t="s">
        <v>1227</v>
      </c>
      <c r="D35" s="16">
        <v>1</v>
      </c>
    </row>
    <row r="36" spans="1:4">
      <c r="A36" s="16" t="s">
        <v>543</v>
      </c>
      <c r="B36" s="78" t="str">
        <f>_xlfn.CONCAT(B26,", ",C9)</f>
        <v>ATL (1), ATM (4), RI (1), OT (1)</v>
      </c>
      <c r="C36" s="16" t="s">
        <v>1126</v>
      </c>
      <c r="D36" s="16">
        <v>1</v>
      </c>
    </row>
    <row r="37" spans="1:4">
      <c r="A37" s="16" t="s">
        <v>1202</v>
      </c>
      <c r="B37" s="78" t="str">
        <f>_xlfn.CONCAT(B26,", ",C11)</f>
        <v>ATL (1), ATM (4), RI (1), PMs (2)</v>
      </c>
      <c r="C37" s="16" t="s">
        <v>1126</v>
      </c>
      <c r="D37" s="16">
        <v>3</v>
      </c>
    </row>
    <row r="38" spans="1:4">
      <c r="A38" s="16" t="s">
        <v>1228</v>
      </c>
      <c r="B38" s="78" t="str">
        <f>_xlfn.CONCAT(B26,", ",C12)</f>
        <v>ATL (1), ATM (4), RI (1), PQA (1)</v>
      </c>
      <c r="C38" s="16" t="s">
        <v>1126</v>
      </c>
      <c r="D38" s="16">
        <v>1</v>
      </c>
    </row>
    <row r="39" spans="1:4">
      <c r="A39" s="16" t="s">
        <v>1229</v>
      </c>
      <c r="B39" s="78" t="str">
        <f>_xlfn.CONCAT(B26,", ",C16)</f>
        <v>ATL (1), ATM (4), RI (1), ParticipantsPrelim1 (5)</v>
      </c>
      <c r="C39" s="16" t="s">
        <v>85</v>
      </c>
      <c r="D39" s="16">
        <v>1</v>
      </c>
    </row>
    <row r="40" spans="1:4">
      <c r="A40" s="16" t="s">
        <v>1230</v>
      </c>
      <c r="B40" s="78" t="str">
        <f>_xlfn.CONCAT(B26,", ",C17)</f>
        <v>ATL (1), ATM (4), RI (1), ParticipantsPrelim2 (6)</v>
      </c>
      <c r="C40" s="16" t="s">
        <v>85</v>
      </c>
      <c r="D40" s="16">
        <v>1</v>
      </c>
    </row>
    <row r="41" spans="1:4">
      <c r="A41" s="16" t="s">
        <v>1231</v>
      </c>
      <c r="B41" s="78" t="str">
        <f>_xlfn.CONCAT(C4,", ","ATM(2)",", ",C15)</f>
        <v>ATL (1), ATM(2), RI (1)</v>
      </c>
      <c r="C41" s="16" t="s">
        <v>1232</v>
      </c>
      <c r="D41" s="16">
        <v>4</v>
      </c>
    </row>
    <row r="42" spans="1:4">
      <c r="A42" s="16" t="s">
        <v>1233</v>
      </c>
      <c r="B42" s="78" t="str">
        <f>B41</f>
        <v>ATL (1), ATM(2), RI (1)</v>
      </c>
      <c r="C42" s="16" t="s">
        <v>1232</v>
      </c>
      <c r="D42" s="16">
        <v>4</v>
      </c>
    </row>
    <row r="43" spans="1:4">
      <c r="A43" s="16" t="s">
        <v>1234</v>
      </c>
      <c r="B43" s="78" t="str">
        <f>_xlfn.CONCAT(B26)</f>
        <v>ATL (1), ATM (4), RI (1)</v>
      </c>
      <c r="C43" s="16" t="s">
        <v>1235</v>
      </c>
      <c r="D43" s="16">
        <v>4</v>
      </c>
    </row>
    <row r="44" spans="1:4">
      <c r="A44" s="16" t="s">
        <v>1236</v>
      </c>
      <c r="B44" s="78" t="str">
        <f>_xlfn.CONCAT(B26,", ",C13)</f>
        <v>ATL (1), ATM (4), RI (1), SM (1)</v>
      </c>
      <c r="C44" s="16" t="s">
        <v>1126</v>
      </c>
      <c r="D44" s="16">
        <v>1</v>
      </c>
    </row>
    <row r="45" spans="1:4">
      <c r="A45" s="16" t="s">
        <v>1237</v>
      </c>
      <c r="B45" s="78" t="str">
        <f>_xlfn.CONCAT(B26,", ",C14)</f>
        <v>ATL (1), ATM (4), RI (1), Sponsor (1)</v>
      </c>
      <c r="C45" s="16" t="s">
        <v>1215</v>
      </c>
      <c r="D45" s="16">
        <v>5</v>
      </c>
    </row>
    <row r="46" spans="1:4">
      <c r="A46" s="16" t="s">
        <v>1238</v>
      </c>
      <c r="B46" s="78" t="str">
        <f>_xlfn.CONCAT("ATL(1), ATM(1), RI(1) ,","",C18)</f>
        <v>ATL(1), ATM(1), RI(1) ,ParticipantsTechTest (5)</v>
      </c>
      <c r="C46" s="16" t="s">
        <v>1238</v>
      </c>
      <c r="D46" s="16">
        <v>1</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8"/>
  <dimension ref="A1:P5"/>
  <sheetViews>
    <sheetView workbookViewId="0"/>
  </sheetViews>
  <sheetFormatPr defaultRowHeight="14.4"/>
  <cols>
    <col min="1" max="3" width="13.77734375" customWidth="1"/>
    <col min="4" max="4" width="54.44140625" customWidth="1"/>
    <col min="5" max="9" width="13.77734375" customWidth="1"/>
    <col min="10" max="10" width="16.77734375" customWidth="1"/>
    <col min="11" max="21" width="13.77734375" customWidth="1"/>
  </cols>
  <sheetData>
    <row r="1" spans="1:16" ht="86.4" customHeight="1">
      <c r="A1" t="s">
        <v>1239</v>
      </c>
      <c r="B1" t="s">
        <v>1240</v>
      </c>
      <c r="C1" s="234" t="s">
        <v>1241</v>
      </c>
      <c r="D1" t="s">
        <v>1242</v>
      </c>
      <c r="E1" t="s">
        <v>1243</v>
      </c>
      <c r="F1" s="234" t="s">
        <v>1244</v>
      </c>
      <c r="G1" s="234" t="s">
        <v>1245</v>
      </c>
      <c r="H1" t="s">
        <v>1246</v>
      </c>
      <c r="I1" t="s">
        <v>1247</v>
      </c>
      <c r="J1" t="s">
        <v>1248</v>
      </c>
      <c r="K1" t="s">
        <v>100</v>
      </c>
      <c r="L1" t="s">
        <v>101</v>
      </c>
      <c r="M1" t="s">
        <v>102</v>
      </c>
      <c r="N1" t="s">
        <v>103</v>
      </c>
      <c r="O1" t="s">
        <v>104</v>
      </c>
      <c r="P1" t="s">
        <v>31</v>
      </c>
    </row>
    <row r="2" spans="1:16">
      <c r="A2" t="s">
        <v>611</v>
      </c>
      <c r="B2" t="s">
        <v>1249</v>
      </c>
      <c r="C2">
        <v>1</v>
      </c>
      <c r="D2" t="s">
        <v>612</v>
      </c>
      <c r="E2" t="s">
        <v>286</v>
      </c>
      <c r="H2" t="s">
        <v>495</v>
      </c>
      <c r="I2" t="s">
        <v>286</v>
      </c>
      <c r="J2" t="s">
        <v>644</v>
      </c>
      <c r="K2" t="s">
        <v>486</v>
      </c>
      <c r="L2" t="s">
        <v>488</v>
      </c>
      <c r="M2" t="s">
        <v>331</v>
      </c>
      <c r="N2" t="s">
        <v>333</v>
      </c>
      <c r="O2">
        <v>510000</v>
      </c>
      <c r="P2" t="s">
        <v>335</v>
      </c>
    </row>
    <row r="3" spans="1:16">
      <c r="A3" t="s">
        <v>617</v>
      </c>
      <c r="B3" t="s">
        <v>1249</v>
      </c>
      <c r="C3">
        <v>2</v>
      </c>
      <c r="D3" t="s">
        <v>618</v>
      </c>
      <c r="E3" t="s">
        <v>286</v>
      </c>
      <c r="H3" t="s">
        <v>495</v>
      </c>
      <c r="I3" t="s">
        <v>286</v>
      </c>
      <c r="J3" t="s">
        <v>646</v>
      </c>
      <c r="K3" t="s">
        <v>486</v>
      </c>
      <c r="L3" t="s">
        <v>488</v>
      </c>
      <c r="M3" t="s">
        <v>331</v>
      </c>
      <c r="N3" t="s">
        <v>333</v>
      </c>
      <c r="O3">
        <v>510000</v>
      </c>
      <c r="P3" t="s">
        <v>335</v>
      </c>
    </row>
    <row r="4" spans="1:16">
      <c r="A4" t="s">
        <v>620</v>
      </c>
      <c r="B4" t="s">
        <v>1249</v>
      </c>
      <c r="C4">
        <v>1</v>
      </c>
      <c r="D4" t="s">
        <v>621</v>
      </c>
      <c r="E4" t="s">
        <v>286</v>
      </c>
      <c r="H4" t="s">
        <v>495</v>
      </c>
      <c r="I4" t="s">
        <v>286</v>
      </c>
      <c r="J4" t="s">
        <v>648</v>
      </c>
      <c r="K4" t="s">
        <v>486</v>
      </c>
      <c r="L4" t="s">
        <v>488</v>
      </c>
      <c r="M4" t="s">
        <v>331</v>
      </c>
      <c r="N4" t="s">
        <v>333</v>
      </c>
      <c r="O4">
        <v>510000</v>
      </c>
      <c r="P4" t="s">
        <v>335</v>
      </c>
    </row>
    <row r="5" spans="1:16">
      <c r="A5" t="s">
        <v>623</v>
      </c>
      <c r="B5" t="s">
        <v>1249</v>
      </c>
      <c r="C5">
        <v>1</v>
      </c>
      <c r="D5" t="s">
        <v>624</v>
      </c>
      <c r="E5" t="s">
        <v>286</v>
      </c>
      <c r="H5" t="s">
        <v>495</v>
      </c>
      <c r="I5" t="s">
        <v>286</v>
      </c>
      <c r="J5" t="s">
        <v>650</v>
      </c>
      <c r="K5" t="s">
        <v>486</v>
      </c>
      <c r="L5" t="s">
        <v>488</v>
      </c>
      <c r="M5" t="s">
        <v>331</v>
      </c>
      <c r="N5" t="s">
        <v>333</v>
      </c>
      <c r="O5">
        <v>510000</v>
      </c>
      <c r="P5" t="s">
        <v>335</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9"/>
  <dimension ref="A1:R15"/>
  <sheetViews>
    <sheetView workbookViewId="0">
      <selection activeCell="B2" sqref="B2"/>
    </sheetView>
  </sheetViews>
  <sheetFormatPr defaultColWidth="14.77734375" defaultRowHeight="14.4"/>
  <cols>
    <col min="1" max="6" width="14.77734375" style="16" customWidth="1"/>
    <col min="7" max="16384" width="14.77734375" style="16"/>
  </cols>
  <sheetData>
    <row r="1" spans="1:18" ht="68.400000000000006" customHeight="1" thickBot="1">
      <c r="A1" s="420" t="s">
        <v>1250</v>
      </c>
      <c r="B1" s="420" t="s">
        <v>1239</v>
      </c>
      <c r="C1" s="420" t="s">
        <v>1240</v>
      </c>
      <c r="D1" s="420" t="s">
        <v>1241</v>
      </c>
      <c r="E1" s="420" t="s">
        <v>1251</v>
      </c>
      <c r="F1" s="421" t="s">
        <v>1243</v>
      </c>
      <c r="G1" s="420" t="s">
        <v>1244</v>
      </c>
      <c r="H1" s="420" t="s">
        <v>1245</v>
      </c>
      <c r="I1" s="421" t="s">
        <v>1247</v>
      </c>
      <c r="J1" s="420" t="s">
        <v>1252</v>
      </c>
      <c r="K1" s="420" t="s">
        <v>1253</v>
      </c>
      <c r="L1" s="420" t="s">
        <v>1254</v>
      </c>
      <c r="M1" s="420" t="s">
        <v>101</v>
      </c>
      <c r="N1" s="420" t="s">
        <v>1255</v>
      </c>
      <c r="O1" s="420" t="s">
        <v>1256</v>
      </c>
      <c r="P1" s="420" t="s">
        <v>1257</v>
      </c>
      <c r="Q1" s="421" t="s">
        <v>1258</v>
      </c>
      <c r="R1" s="392" t="s">
        <v>1259</v>
      </c>
    </row>
    <row r="2" spans="1:18">
      <c r="A2" s="393"/>
      <c r="B2" s="16" t="str">
        <f>IF(C_Support!A2="","",C_Support!A2)</f>
        <v>S1-CM</v>
      </c>
      <c r="D2" s="394">
        <f>IF(C_Support!C2="","",C_Support!C2)</f>
        <v>1</v>
      </c>
      <c r="E2" s="16" t="str">
        <f>IF(C_Support!D2="","",C_Support!D2)</f>
        <v>The Configuration Management (CM) function, manages baselines for projects and the organisation.</v>
      </c>
      <c r="F2" s="394" t="str">
        <f>IF(C_Support!E2="","",C_Support!E2)</f>
        <v>No</v>
      </c>
      <c r="G2" s="16" t="str">
        <f>IF(C_Support!F2="","",C_Support!F2)</f>
        <v/>
      </c>
      <c r="H2" s="16" t="str">
        <f>IF(C_Support!G2="","",C_Support!G2)</f>
        <v/>
      </c>
      <c r="I2" s="394" t="str">
        <f>IF(C_Support!I2="","",C_Support!I2)</f>
        <v>No</v>
      </c>
      <c r="J2" s="16" t="str">
        <f>IF(C_Support!J2="","",C_Support!J2)</f>
        <v>Zhou, Kengran</v>
      </c>
      <c r="K2" s="394" t="s">
        <v>447</v>
      </c>
      <c r="Q2" s="394"/>
    </row>
    <row r="3" spans="1:18">
      <c r="A3" s="393"/>
      <c r="B3" s="16" t="str">
        <f>IF(C_Support!A3="","",C_Support!A3)</f>
        <v>S2-EPG</v>
      </c>
      <c r="D3" s="394">
        <f>IF(C_Support!C3="","",C_Support!C3)</f>
        <v>2</v>
      </c>
      <c r="E3" s="16" t="str">
        <f>IF(C_Support!D3="","",C_Support!D3)</f>
        <v>The Engineering Process Group (EPG) provides process management capability including establishing processes, standards, process measurements, process performance  management and directing its implementation and adoption.</v>
      </c>
      <c r="F3" s="394" t="str">
        <f>IF(C_Support!E3="","",C_Support!E3)</f>
        <v>No</v>
      </c>
      <c r="G3" s="16" t="str">
        <f>IF(C_Support!F3="","",C_Support!F3)</f>
        <v/>
      </c>
      <c r="H3" s="16" t="str">
        <f>IF(C_Support!G3="","",C_Support!G3)</f>
        <v/>
      </c>
      <c r="I3" s="394" t="str">
        <f>IF(C_Support!I3="","",C_Support!I3)</f>
        <v>No</v>
      </c>
      <c r="J3" s="16" t="str">
        <f>IF(C_Support!J3="","",C_Support!J3)</f>
        <v>Xu, Jia</v>
      </c>
      <c r="K3" s="394" t="s">
        <v>447</v>
      </c>
      <c r="Q3" s="394"/>
    </row>
    <row r="4" spans="1:18">
      <c r="A4" s="393"/>
      <c r="B4" s="16" t="str">
        <f>IF(C_Support!A4="","",C_Support!A4)</f>
        <v>S3-HR</v>
      </c>
      <c r="D4" s="394">
        <f>IF(C_Support!C4="","",C_Support!C4)</f>
        <v>1</v>
      </c>
      <c r="E4" s="16" t="str">
        <f>IF(C_Support!D4="","",C_Support!D4)</f>
        <v>The Human Resources (HR) function is responsible for training, skills and knowledge management. It maintains the records of staff training and training evaluation.</v>
      </c>
      <c r="F4" s="394" t="str">
        <f>IF(C_Support!E4="","",C_Support!E4)</f>
        <v>No</v>
      </c>
      <c r="G4" s="16" t="str">
        <f>IF(C_Support!F4="","",C_Support!F4)</f>
        <v/>
      </c>
      <c r="H4" s="16" t="str">
        <f>IF(C_Support!G4="","",C_Support!G4)</f>
        <v/>
      </c>
      <c r="I4" s="394" t="str">
        <f>IF(C_Support!I4="","",C_Support!I4)</f>
        <v>No</v>
      </c>
      <c r="J4" s="16" t="str">
        <f>IF(C_Support!J4="","",C_Support!J4)</f>
        <v>Bai, Huiqing</v>
      </c>
      <c r="K4" s="394" t="s">
        <v>447</v>
      </c>
    </row>
    <row r="5" spans="1:18">
      <c r="A5" s="393"/>
      <c r="B5" s="16" t="str">
        <f>IF(C_Support!A5="","",C_Support!A5)</f>
        <v>S4-QA</v>
      </c>
      <c r="D5" s="394">
        <f>IF(C_Support!C5="","",C_Support!C5)</f>
        <v>1</v>
      </c>
      <c r="E5" s="16" t="str">
        <f>IF(C_Support!D5="","",C_Support!D5)</f>
        <v xml:space="preserve">The Quality Assurance (QA) team manage and performs process quality assurance. </v>
      </c>
      <c r="F5" s="394" t="str">
        <f>IF(C_Support!E5="","",C_Support!E5)</f>
        <v>No</v>
      </c>
      <c r="G5" s="16" t="str">
        <f>IF(C_Support!F5="","",C_Support!F5)</f>
        <v/>
      </c>
      <c r="H5" s="16" t="str">
        <f>IF(C_Support!G5="","",C_Support!G5)</f>
        <v/>
      </c>
      <c r="I5" s="394" t="str">
        <f>IF(C_Support!I5="","",C_Support!I5)</f>
        <v>No</v>
      </c>
      <c r="J5" s="16" t="str">
        <f>IF(C_Support!J5="","",C_Support!J5)</f>
        <v>Yang, Kehan</v>
      </c>
      <c r="K5" s="394" t="s">
        <v>447</v>
      </c>
    </row>
    <row r="6" spans="1:18">
      <c r="A6" s="393"/>
      <c r="B6" s="16" t="str">
        <f>IF(C_Support!A6="","",C_Support!A6)</f>
        <v/>
      </c>
      <c r="D6" s="394" t="str">
        <f>IF(C_Support!C6="","",C_Support!C6)</f>
        <v/>
      </c>
      <c r="E6" s="16" t="str">
        <f>IF(C_Support!D6="","",C_Support!D6)</f>
        <v/>
      </c>
      <c r="F6" s="394" t="str">
        <f>IF(C_Support!E6="","",C_Support!E6)</f>
        <v/>
      </c>
      <c r="G6" s="16" t="str">
        <f>IF(C_Support!F6="","",C_Support!F6)</f>
        <v/>
      </c>
      <c r="H6" s="16" t="str">
        <f>IF(C_Support!G6="","",C_Support!G6)</f>
        <v/>
      </c>
      <c r="I6" s="394" t="str">
        <f>IF(C_Support!I6="","",C_Support!I6)</f>
        <v/>
      </c>
      <c r="J6" s="16" t="str">
        <f>IF(C_Support!J6="","",C_Support!J6)</f>
        <v/>
      </c>
      <c r="K6" s="394" t="s">
        <v>447</v>
      </c>
    </row>
    <row r="7" spans="1:18">
      <c r="A7" s="393"/>
      <c r="B7" s="16" t="str">
        <f>IF(C_Support!A7="","",C_Support!A7)</f>
        <v/>
      </c>
      <c r="D7" s="394" t="str">
        <f>IF(C_Support!C7="","",C_Support!C7)</f>
        <v/>
      </c>
      <c r="E7" s="16" t="str">
        <f>IF(C_Support!D7="","",C_Support!D7)</f>
        <v/>
      </c>
      <c r="F7" s="394" t="str">
        <f>IF(C_Support!E7="","",C_Support!E7)</f>
        <v/>
      </c>
      <c r="G7" s="16" t="str">
        <f>IF(C_Support!F7="","",C_Support!F7)</f>
        <v/>
      </c>
      <c r="H7" s="16" t="str">
        <f>IF(C_Support!G7="","",C_Support!G7)</f>
        <v/>
      </c>
      <c r="I7" s="394" t="str">
        <f>IF(C_Support!I7="","",C_Support!I7)</f>
        <v/>
      </c>
      <c r="J7" s="16" t="str">
        <f>IF(C_Support!J7="","",C_Support!J7)</f>
        <v/>
      </c>
      <c r="K7" s="394" t="s">
        <v>447</v>
      </c>
    </row>
    <row r="8" spans="1:18">
      <c r="A8" s="393"/>
      <c r="B8" s="16" t="str">
        <f>IF(C_Support!A8="","",C_Support!A8)</f>
        <v/>
      </c>
      <c r="D8" s="394" t="str">
        <f>IF(C_Support!C8="","",C_Support!C8)</f>
        <v/>
      </c>
      <c r="E8" s="16" t="str">
        <f>IF(C_Support!D8="","",C_Support!D8)</f>
        <v/>
      </c>
      <c r="F8" s="394" t="str">
        <f>IF(C_Support!E8="","",C_Support!E8)</f>
        <v/>
      </c>
      <c r="G8" s="16" t="str">
        <f>IF(C_Support!F8="","",C_Support!F8)</f>
        <v/>
      </c>
      <c r="H8" s="16" t="str">
        <f>IF(C_Support!G8="","",C_Support!G8)</f>
        <v/>
      </c>
      <c r="I8" s="394" t="str">
        <f>IF(C_Support!I8="","",C_Support!I8)</f>
        <v/>
      </c>
      <c r="J8" s="16" t="str">
        <f>IF(C_Support!J8="","",C_Support!J8)</f>
        <v/>
      </c>
      <c r="K8" s="394" t="s">
        <v>447</v>
      </c>
    </row>
    <row r="9" spans="1:18">
      <c r="A9" s="393"/>
      <c r="B9" s="16" t="str">
        <f>IF(C_Support!A9="","",C_Support!A9)</f>
        <v/>
      </c>
      <c r="D9" s="394" t="str">
        <f>IF(C_Support!C9="","",C_Support!C9)</f>
        <v/>
      </c>
      <c r="E9" s="16" t="str">
        <f>IF(C_Support!D9="","",C_Support!D9)</f>
        <v/>
      </c>
      <c r="F9" s="394" t="str">
        <f>IF(C_Support!E9="","",C_Support!E9)</f>
        <v/>
      </c>
      <c r="G9" s="16" t="str">
        <f>IF(C_Support!F9="","",C_Support!F9)</f>
        <v/>
      </c>
      <c r="H9" s="16" t="str">
        <f>IF(C_Support!G9="","",C_Support!G9)</f>
        <v/>
      </c>
      <c r="I9" s="394" t="str">
        <f>IF(C_Support!I9="","",C_Support!I9)</f>
        <v/>
      </c>
      <c r="J9" s="16" t="str">
        <f>IF(C_Support!J9="","",C_Support!J9)</f>
        <v/>
      </c>
      <c r="K9" s="394" t="s">
        <v>447</v>
      </c>
    </row>
    <row r="10" spans="1:18">
      <c r="A10" s="393"/>
      <c r="B10" s="16" t="str">
        <f>IF(C_Support!A10="","",C_Support!A10)</f>
        <v/>
      </c>
      <c r="D10" s="394" t="str">
        <f>IF(C_Support!C10="","",C_Support!C10)</f>
        <v/>
      </c>
      <c r="E10" s="16" t="str">
        <f>IF(C_Support!D10="","",C_Support!D10)</f>
        <v/>
      </c>
      <c r="F10" s="394" t="str">
        <f>IF(C_Support!E10="","",C_Support!E10)</f>
        <v/>
      </c>
      <c r="G10" s="16" t="str">
        <f>IF(C_Support!F10="","",C_Support!F10)</f>
        <v/>
      </c>
      <c r="H10" s="16" t="str">
        <f>IF(C_Support!G10="","",C_Support!G10)</f>
        <v/>
      </c>
      <c r="I10" s="394" t="str">
        <f>IF(C_Support!I10="","",C_Support!I10)</f>
        <v/>
      </c>
      <c r="J10" s="16" t="str">
        <f>IF(C_Support!J10="","",C_Support!J10)</f>
        <v/>
      </c>
      <c r="K10" s="394" t="s">
        <v>447</v>
      </c>
    </row>
    <row r="11" spans="1:18">
      <c r="A11" s="393"/>
      <c r="B11" s="16" t="str">
        <f>IF(C_Support!A11="","",C_Support!A11)</f>
        <v/>
      </c>
      <c r="D11" s="394" t="str">
        <f>IF(C_Support!C11="","",C_Support!C11)</f>
        <v/>
      </c>
      <c r="E11" s="16" t="str">
        <f>IF(C_Support!D11="","",C_Support!D11)</f>
        <v/>
      </c>
      <c r="F11" s="394" t="str">
        <f>IF(C_Support!E11="","",C_Support!E11)</f>
        <v/>
      </c>
      <c r="G11" s="16" t="str">
        <f>IF(C_Support!F11="","",C_Support!F11)</f>
        <v/>
      </c>
      <c r="H11" s="16" t="str">
        <f>IF(C_Support!G11="","",C_Support!G11)</f>
        <v/>
      </c>
      <c r="I11" s="394" t="str">
        <f>IF(C_Support!I11="","",C_Support!I11)</f>
        <v/>
      </c>
      <c r="J11" s="16" t="str">
        <f>IF(C_Support!J11="","",C_Support!J11)</f>
        <v/>
      </c>
      <c r="K11" s="394" t="s">
        <v>447</v>
      </c>
    </row>
    <row r="12" spans="1:18">
      <c r="A12" s="393"/>
      <c r="B12" s="16" t="str">
        <f>IF(C_Support!A12="","",C_Support!A12)</f>
        <v/>
      </c>
      <c r="D12" s="394" t="str">
        <f>IF(C_Support!C12="","",C_Support!C12)</f>
        <v/>
      </c>
      <c r="E12" s="16" t="str">
        <f>IF(C_Support!D12="","",C_Support!D12)</f>
        <v/>
      </c>
      <c r="F12" s="394" t="str">
        <f>IF(C_Support!E12="","",C_Support!E12)</f>
        <v/>
      </c>
      <c r="G12" s="16" t="str">
        <f>IF(C_Support!F12="","",C_Support!F12)</f>
        <v/>
      </c>
      <c r="H12" s="16" t="str">
        <f>IF(C_Support!G12="","",C_Support!G12)</f>
        <v/>
      </c>
      <c r="I12" s="394" t="str">
        <f>IF(C_Support!I12="","",C_Support!I12)</f>
        <v/>
      </c>
      <c r="J12" s="16" t="str">
        <f>IF(C_Support!J12="","",C_Support!J12)</f>
        <v/>
      </c>
      <c r="K12" s="394" t="s">
        <v>447</v>
      </c>
    </row>
    <row r="13" spans="1:18">
      <c r="A13" s="393"/>
      <c r="B13" s="16" t="str">
        <f>IF(C_Support!A13="","",C_Support!A13)</f>
        <v/>
      </c>
      <c r="D13" s="394" t="str">
        <f>IF(C_Support!C13="","",C_Support!C13)</f>
        <v/>
      </c>
      <c r="E13" s="16" t="str">
        <f>IF(C_Support!D13="","",C_Support!D13)</f>
        <v/>
      </c>
      <c r="F13" s="394" t="str">
        <f>IF(C_Support!E13="","",C_Support!E13)</f>
        <v/>
      </c>
      <c r="G13" s="16" t="str">
        <f>IF(C_Support!F13="","",C_Support!F13)</f>
        <v/>
      </c>
      <c r="H13" s="16" t="str">
        <f>IF(C_Support!G13="","",C_Support!G13)</f>
        <v/>
      </c>
      <c r="I13" s="394" t="str">
        <f>IF(C_Support!I13="","",C_Support!I13)</f>
        <v/>
      </c>
      <c r="J13" s="16" t="str">
        <f>IF(C_Support!J13="","",C_Support!J13)</f>
        <v/>
      </c>
      <c r="K13" s="394" t="s">
        <v>447</v>
      </c>
    </row>
    <row r="14" spans="1:18">
      <c r="A14" s="393"/>
      <c r="B14" s="16" t="str">
        <f>IF(C_Support!A14="","",C_Support!A14)</f>
        <v/>
      </c>
      <c r="D14" s="394" t="str">
        <f>IF(C_Support!C14="","",C_Support!C14)</f>
        <v/>
      </c>
      <c r="E14" s="16" t="str">
        <f>IF(C_Support!D14="","",C_Support!D14)</f>
        <v/>
      </c>
      <c r="F14" s="394" t="str">
        <f>IF(C_Support!E14="","",C_Support!E14)</f>
        <v/>
      </c>
      <c r="G14" s="16" t="str">
        <f>IF(C_Support!F14="","",C_Support!F14)</f>
        <v/>
      </c>
      <c r="H14" s="16" t="str">
        <f>IF(C_Support!G14="","",C_Support!G14)</f>
        <v/>
      </c>
      <c r="I14" s="394" t="str">
        <f>IF(C_Support!I14="","",C_Support!I14)</f>
        <v/>
      </c>
      <c r="J14" s="16" t="str">
        <f>IF(C_Support!J14="","",C_Support!J14)</f>
        <v/>
      </c>
      <c r="K14" s="394" t="s">
        <v>447</v>
      </c>
    </row>
    <row r="15" spans="1:18">
      <c r="A15" s="393"/>
      <c r="B15" s="16" t="str">
        <f>IF(C_Support!A15="","",C_Support!A15)</f>
        <v/>
      </c>
      <c r="D15" s="394" t="str">
        <f>IF(C_Support!C15="","",C_Support!C15)</f>
        <v/>
      </c>
      <c r="E15" s="16" t="str">
        <f>IF(C_Support!D15="","",C_Support!D15)</f>
        <v/>
      </c>
      <c r="F15" s="394" t="str">
        <f>IF(C_Support!E15="","",C_Support!E15)</f>
        <v/>
      </c>
      <c r="G15" s="16" t="str">
        <f>IF(C_Support!F15="","",C_Support!F15)</f>
        <v/>
      </c>
      <c r="H15" s="16" t="str">
        <f>IF(C_Support!G15="","",C_Support!G15)</f>
        <v/>
      </c>
      <c r="I15" s="394" t="str">
        <f>IF(C_Support!I15="","",C_Support!I15)</f>
        <v/>
      </c>
      <c r="J15" s="16" t="str">
        <f>IF(C_Support!J15="","",C_Support!J15)</f>
        <v/>
      </c>
      <c r="K15" s="394" t="s">
        <v>447</v>
      </c>
    </row>
  </sheetData>
  <dataValidations count="2">
    <dataValidation type="decimal" operator="greaterThan" allowBlank="1" showInputMessage="1" showErrorMessage="1" prompt="Invalid Number - Size must be a positive number" sqref="D1:D15" xr:uid="{00000000-0002-0000-2500-000000000000}">
      <formula1>0</formula1>
    </dataValidation>
    <dataValidation type="list" allowBlank="1" showInputMessage="1" showErrorMessage="1" prompt="Invalid Value - Please select a value from the options provided" sqref="F1:F15 I1:I15 K1:K15" xr:uid="{00000000-0002-0000-2500-000001000000}">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0"/>
  <dimension ref="A1:T6"/>
  <sheetViews>
    <sheetView workbookViewId="0"/>
  </sheetViews>
  <sheetFormatPr defaultRowHeight="24" customHeight="1"/>
  <cols>
    <col min="4" max="4" width="34.77734375" customWidth="1"/>
    <col min="11" max="11" width="12.77734375" bestFit="1" customWidth="1"/>
    <col min="12" max="12" width="15.5546875" bestFit="1" customWidth="1"/>
  </cols>
  <sheetData>
    <row r="1" spans="1:20" ht="24" customHeight="1">
      <c r="A1" t="s">
        <v>1260</v>
      </c>
      <c r="B1" t="s">
        <v>1240</v>
      </c>
      <c r="C1" s="234" t="s">
        <v>1241</v>
      </c>
      <c r="D1" t="s">
        <v>1261</v>
      </c>
      <c r="E1" t="s">
        <v>1262</v>
      </c>
      <c r="F1" s="234" t="s">
        <v>1244</v>
      </c>
      <c r="G1" s="234" t="s">
        <v>1245</v>
      </c>
      <c r="H1" t="s">
        <v>1263</v>
      </c>
      <c r="I1" s="234" t="s">
        <v>1264</v>
      </c>
      <c r="J1" s="234" t="s">
        <v>1265</v>
      </c>
      <c r="K1" s="234" t="s">
        <v>1266</v>
      </c>
      <c r="L1" s="234" t="s">
        <v>1267</v>
      </c>
      <c r="M1" t="s">
        <v>1268</v>
      </c>
      <c r="N1" s="234" t="s">
        <v>1269</v>
      </c>
      <c r="O1" t="s">
        <v>1254</v>
      </c>
      <c r="P1" t="s">
        <v>101</v>
      </c>
      <c r="Q1" t="s">
        <v>1255</v>
      </c>
      <c r="R1" t="s">
        <v>103</v>
      </c>
      <c r="S1" t="s">
        <v>104</v>
      </c>
      <c r="T1" t="s">
        <v>1270</v>
      </c>
    </row>
    <row r="2" spans="1:20" ht="24" customHeight="1">
      <c r="A2" t="s">
        <v>591</v>
      </c>
      <c r="C2">
        <v>5</v>
      </c>
      <c r="D2" t="s">
        <v>592</v>
      </c>
      <c r="E2" t="s">
        <v>286</v>
      </c>
      <c r="H2" t="s">
        <v>495</v>
      </c>
      <c r="I2" t="s">
        <v>1271</v>
      </c>
      <c r="J2" t="s">
        <v>593</v>
      </c>
      <c r="K2" s="258">
        <v>45823</v>
      </c>
      <c r="L2" s="258">
        <v>45986</v>
      </c>
      <c r="M2" t="s">
        <v>286</v>
      </c>
      <c r="N2" t="s">
        <v>633</v>
      </c>
      <c r="O2" t="s">
        <v>486</v>
      </c>
      <c r="P2" t="s">
        <v>488</v>
      </c>
      <c r="Q2" t="s">
        <v>331</v>
      </c>
      <c r="R2" t="s">
        <v>333</v>
      </c>
      <c r="S2">
        <v>510000</v>
      </c>
      <c r="T2" t="s">
        <v>335</v>
      </c>
    </row>
    <row r="3" spans="1:20" ht="24" customHeight="1">
      <c r="A3" t="s">
        <v>598</v>
      </c>
      <c r="C3">
        <v>5</v>
      </c>
      <c r="D3" t="s">
        <v>599</v>
      </c>
      <c r="E3" t="s">
        <v>286</v>
      </c>
      <c r="H3" t="s">
        <v>495</v>
      </c>
      <c r="I3" t="s">
        <v>1271</v>
      </c>
      <c r="J3" t="s">
        <v>593</v>
      </c>
      <c r="K3" s="258">
        <v>45783</v>
      </c>
      <c r="L3" s="258">
        <v>45944</v>
      </c>
      <c r="M3" t="s">
        <v>286</v>
      </c>
      <c r="N3" t="s">
        <v>636</v>
      </c>
      <c r="O3" t="s">
        <v>486</v>
      </c>
      <c r="P3" t="s">
        <v>488</v>
      </c>
      <c r="Q3" t="s">
        <v>331</v>
      </c>
      <c r="R3" t="s">
        <v>333</v>
      </c>
      <c r="S3">
        <v>510000</v>
      </c>
      <c r="T3" t="s">
        <v>335</v>
      </c>
    </row>
    <row r="4" spans="1:20" ht="24" customHeight="1">
      <c r="A4" t="s">
        <v>602</v>
      </c>
      <c r="C4">
        <v>5</v>
      </c>
      <c r="D4" t="s">
        <v>603</v>
      </c>
      <c r="E4" t="s">
        <v>286</v>
      </c>
      <c r="H4" t="s">
        <v>495</v>
      </c>
      <c r="I4" t="s">
        <v>1271</v>
      </c>
      <c r="J4" t="s">
        <v>593</v>
      </c>
      <c r="K4" s="258">
        <v>45850</v>
      </c>
      <c r="L4" s="258">
        <v>45991</v>
      </c>
      <c r="M4" t="s">
        <v>286</v>
      </c>
      <c r="N4" t="s">
        <v>639</v>
      </c>
      <c r="O4" t="s">
        <v>486</v>
      </c>
      <c r="P4" t="s">
        <v>488</v>
      </c>
      <c r="Q4" t="s">
        <v>331</v>
      </c>
      <c r="R4" t="s">
        <v>333</v>
      </c>
      <c r="S4">
        <v>510000</v>
      </c>
      <c r="T4" t="s">
        <v>335</v>
      </c>
    </row>
    <row r="5" spans="1:20" ht="24" customHeight="1">
      <c r="A5" t="s">
        <v>605</v>
      </c>
      <c r="C5">
        <v>5</v>
      </c>
      <c r="D5" t="s">
        <v>606</v>
      </c>
      <c r="E5" t="s">
        <v>286</v>
      </c>
      <c r="H5" t="s">
        <v>495</v>
      </c>
      <c r="I5" t="s">
        <v>1271</v>
      </c>
      <c r="J5" t="s">
        <v>593</v>
      </c>
      <c r="K5" s="258">
        <v>45893</v>
      </c>
      <c r="L5" s="258">
        <v>46022</v>
      </c>
      <c r="M5" t="s">
        <v>286</v>
      </c>
      <c r="N5" t="s">
        <v>636</v>
      </c>
      <c r="O5" t="s">
        <v>486</v>
      </c>
      <c r="P5" t="s">
        <v>488</v>
      </c>
      <c r="Q5" t="s">
        <v>331</v>
      </c>
      <c r="R5" t="s">
        <v>333</v>
      </c>
      <c r="S5">
        <v>510000</v>
      </c>
      <c r="T5" t="s">
        <v>335</v>
      </c>
    </row>
    <row r="6" spans="1:20" ht="24" customHeight="1">
      <c r="A6" t="s">
        <v>608</v>
      </c>
      <c r="C6">
        <v>5</v>
      </c>
      <c r="D6" t="s">
        <v>609</v>
      </c>
      <c r="E6" t="s">
        <v>286</v>
      </c>
      <c r="H6" t="s">
        <v>495</v>
      </c>
      <c r="I6" t="s">
        <v>1271</v>
      </c>
      <c r="J6" t="s">
        <v>593</v>
      </c>
      <c r="K6" s="258">
        <v>45870</v>
      </c>
      <c r="L6" s="258">
        <v>46022</v>
      </c>
      <c r="M6" t="s">
        <v>286</v>
      </c>
      <c r="N6" t="s">
        <v>633</v>
      </c>
      <c r="O6" t="s">
        <v>486</v>
      </c>
      <c r="P6" t="s">
        <v>488</v>
      </c>
      <c r="Q6" t="s">
        <v>331</v>
      </c>
      <c r="R6" t="s">
        <v>333</v>
      </c>
      <c r="S6">
        <v>510000</v>
      </c>
      <c r="T6" t="s">
        <v>335</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1"/>
  <dimension ref="A1:U15"/>
  <sheetViews>
    <sheetView workbookViewId="0">
      <selection activeCell="B1" sqref="B1"/>
    </sheetView>
  </sheetViews>
  <sheetFormatPr defaultColWidth="8.77734375" defaultRowHeight="14.4"/>
  <cols>
    <col min="1" max="1" width="8.77734375" style="11" customWidth="1"/>
    <col min="2" max="2" width="15.21875" style="11" customWidth="1"/>
    <col min="3" max="4" width="8.77734375" style="11" customWidth="1"/>
    <col min="5" max="5" width="27.77734375" style="11" customWidth="1"/>
    <col min="6" max="6" width="13.21875" style="11" customWidth="1"/>
    <col min="7" max="9" width="8.77734375" style="11" customWidth="1"/>
    <col min="10" max="11" width="10.5546875" style="11" bestFit="1" customWidth="1"/>
    <col min="12" max="12" width="8.77734375" style="11" customWidth="1"/>
    <col min="13" max="13" width="17.21875" style="11" customWidth="1"/>
    <col min="14" max="19" width="8.77734375" style="11" customWidth="1"/>
    <col min="20" max="16384" width="8.77734375" style="11"/>
  </cols>
  <sheetData>
    <row r="1" spans="1:21" ht="130.19999999999999" customHeight="1" thickBot="1">
      <c r="A1" s="421" t="s">
        <v>1272</v>
      </c>
      <c r="B1" s="421" t="s">
        <v>1273</v>
      </c>
      <c r="C1" s="421" t="s">
        <v>1240</v>
      </c>
      <c r="D1" s="420" t="s">
        <v>1241</v>
      </c>
      <c r="E1" s="421" t="s">
        <v>1274</v>
      </c>
      <c r="F1" s="421" t="s">
        <v>1262</v>
      </c>
      <c r="G1" s="420" t="s">
        <v>1244</v>
      </c>
      <c r="H1" s="420" t="s">
        <v>1245</v>
      </c>
      <c r="I1" s="420" t="s">
        <v>1275</v>
      </c>
      <c r="J1" s="420" t="s">
        <v>1276</v>
      </c>
      <c r="K1" s="420" t="s">
        <v>1277</v>
      </c>
      <c r="L1" s="421" t="s">
        <v>1268</v>
      </c>
      <c r="M1" s="420" t="s">
        <v>1278</v>
      </c>
      <c r="N1" s="420" t="s">
        <v>1253</v>
      </c>
      <c r="O1" s="421" t="s">
        <v>1254</v>
      </c>
      <c r="P1" s="421" t="s">
        <v>101</v>
      </c>
      <c r="Q1" s="421" t="s">
        <v>1255</v>
      </c>
      <c r="R1" s="421" t="s">
        <v>1256</v>
      </c>
      <c r="S1" s="421" t="s">
        <v>1257</v>
      </c>
      <c r="T1" s="421" t="s">
        <v>1258</v>
      </c>
      <c r="U1" s="421" t="s">
        <v>1279</v>
      </c>
    </row>
    <row r="2" spans="1:21" s="16" customFormat="1">
      <c r="A2" s="78"/>
      <c r="B2" s="395" t="str">
        <f>IF(C_Projects!A2="","",C_Projects!A2)</f>
        <v>p1DCMS</v>
      </c>
      <c r="C2" s="395" t="str">
        <f>IF(C_Projects!J2="","",C_Projects!J2)</f>
        <v>Waterfall</v>
      </c>
      <c r="D2" s="395">
        <f>IF(C_Projects!C2="","",C_Projects!C2)</f>
        <v>5</v>
      </c>
      <c r="E2" s="395" t="str">
        <f>IF(C_Projects!D2="","",C_Projects!D2)</f>
        <v>The Distributed Conference Management System (DCMS) provides a conference homepage, intelligent scheduling, multi-conference support, automated notifications, cross-platform integration, and data analytics to enable efficient enterprise conference organization and management.</v>
      </c>
      <c r="F2" s="395" t="str">
        <f>IF(C_Projects!E2="","",C_Projects!E2)</f>
        <v>No</v>
      </c>
      <c r="G2" s="395" t="str">
        <f>IF(C_Projects!F2="","",C_Projects!F2)</f>
        <v/>
      </c>
      <c r="H2" s="395" t="str">
        <f>IF(C_Projects!G2="","",C_Projects!G2)</f>
        <v/>
      </c>
      <c r="I2" s="395" t="str">
        <f>IF(C_Projects!J2="","",C_Projects!J2)</f>
        <v>Waterfall</v>
      </c>
      <c r="J2" s="396">
        <f>IF(C_Projects!K2="","",C_Projects!K2)</f>
        <v>45823</v>
      </c>
      <c r="K2" s="396">
        <f>IF(C_Projects!L2="","",C_Projects!L2)</f>
        <v>45986</v>
      </c>
      <c r="L2" s="395" t="str">
        <f>IF(C_Projects!M2="","",C_Projects!M2)</f>
        <v>No</v>
      </c>
      <c r="M2" s="395" t="str">
        <f>IF(C_Projects!N2="","",C_Projects!N2)</f>
        <v>Jin, Bangxin</v>
      </c>
      <c r="N2" s="395" t="s">
        <v>447</v>
      </c>
      <c r="T2" s="394"/>
    </row>
    <row r="3" spans="1:21" s="16" customFormat="1">
      <c r="A3" s="78"/>
      <c r="B3" s="395" t="str">
        <f>IF(C_Projects!A3="","",C_Projects!A3)</f>
        <v>p2PCMEP</v>
      </c>
      <c r="C3" s="395" t="str">
        <f>IF(C_Projects!J3="","",C_Projects!J3)</f>
        <v>Waterfall</v>
      </c>
      <c r="D3" s="395">
        <f>IF(C_Projects!C3="","",C_Projects!C3)</f>
        <v>5</v>
      </c>
      <c r="E3" s="395" t="str">
        <f>IF(C_Projects!D3="","",C_Projects!D3)</f>
        <v>The Privatized Conference Management Expansion Project (PCMEP) provides an integrated Tencent Meeting platform with license and user management, full meeting lifecycle control, multi-terminal support, and unified enterprise resource scheduling.</v>
      </c>
      <c r="F3" s="395" t="str">
        <f>IF(C_Projects!E3="","",C_Projects!E3)</f>
        <v>No</v>
      </c>
      <c r="G3" s="395" t="str">
        <f>IF(C_Projects!F3="","",C_Projects!F3)</f>
        <v/>
      </c>
      <c r="H3" s="395" t="str">
        <f>IF(C_Projects!G3="","",C_Projects!G3)</f>
        <v/>
      </c>
      <c r="I3" s="395" t="str">
        <f>IF(C_Projects!J3="","",C_Projects!J3)</f>
        <v>Waterfall</v>
      </c>
      <c r="J3" s="396">
        <f>IF(C_Projects!K3="","",C_Projects!K3)</f>
        <v>45783</v>
      </c>
      <c r="K3" s="396">
        <f>IF(C_Projects!L3="","",C_Projects!L3)</f>
        <v>45944</v>
      </c>
      <c r="L3" s="395" t="str">
        <f>IF(C_Projects!M3="","",C_Projects!M3)</f>
        <v>No</v>
      </c>
      <c r="M3" s="395" t="str">
        <f>IF(C_Projects!N3="","",C_Projects!N3)</f>
        <v>Cheng, Yiheng</v>
      </c>
      <c r="N3" s="395" t="s">
        <v>447</v>
      </c>
      <c r="S3" s="394"/>
    </row>
    <row r="4" spans="1:21" s="16" customFormat="1">
      <c r="A4" s="78"/>
      <c r="B4" s="395" t="str">
        <f>IF(C_Projects!A4="","",C_Projects!A4)</f>
        <v>p3UMMS</v>
      </c>
      <c r="C4" s="395" t="str">
        <f>IF(C_Projects!J4="","",C_Projects!J4)</f>
        <v>Waterfall</v>
      </c>
      <c r="D4" s="395">
        <f>IF(C_Projects!C4="","",C_Projects!C4)</f>
        <v>5</v>
      </c>
      <c r="E4" s="395" t="str">
        <f>IF(C_Projects!D4="","",C_Projects!D4)</f>
        <v>The Umeet Meeting Management System (UMMS) provides full-process conference management, integrates AIGC and optimized APIs, and supports scan-to-join, quality monitoring, and recording-to-transcription for enhanced enterprise collaboration across terminals.</v>
      </c>
      <c r="F4" s="395" t="str">
        <f>IF(C_Projects!E4="","",C_Projects!E4)</f>
        <v>No</v>
      </c>
      <c r="G4" s="395" t="str">
        <f>IF(C_Projects!F4="","",C_Projects!F4)</f>
        <v/>
      </c>
      <c r="H4" s="395" t="str">
        <f>IF(C_Projects!G4="","",C_Projects!G4)</f>
        <v/>
      </c>
      <c r="I4" s="395" t="str">
        <f>IF(C_Projects!J4="","",C_Projects!J4)</f>
        <v>Waterfall</v>
      </c>
      <c r="J4" s="396">
        <f>IF(C_Projects!K4="","",C_Projects!K4)</f>
        <v>45850</v>
      </c>
      <c r="K4" s="396">
        <f>IF(C_Projects!L4="","",C_Projects!L4)</f>
        <v>45991</v>
      </c>
      <c r="L4" s="395" t="str">
        <f>IF(C_Projects!M4="","",C_Projects!M4)</f>
        <v>No</v>
      </c>
      <c r="M4" s="395" t="str">
        <f>IF(C_Projects!N4="","",C_Projects!N4)</f>
        <v>Jing, Chaowen</v>
      </c>
      <c r="N4" s="395" t="s">
        <v>447</v>
      </c>
      <c r="T4" s="394"/>
    </row>
    <row r="5" spans="1:21" s="16" customFormat="1">
      <c r="A5" s="78"/>
      <c r="B5" s="395" t="str">
        <f>IF(C_Projects!A5="","",C_Projects!A5)</f>
        <v>p4PMMP</v>
      </c>
      <c r="C5" s="395" t="str">
        <f>IF(C_Projects!J5="","",C_Projects!J5)</f>
        <v>Waterfall</v>
      </c>
      <c r="D5" s="395">
        <f>IF(C_Projects!C5="","",C_Projects!C5)</f>
        <v>5</v>
      </c>
      <c r="E5" s="395" t="str">
        <f>IF(C_Projects!D5="","",C_Projects!D5)</f>
        <v>The Public Meeting Management Platform (PMMP) integrates Tencent, Zoom, and private enterprise tools, enabling unified resource management, one-click switching, and centralized identity control across meeting systems.</v>
      </c>
      <c r="F5" s="395" t="str">
        <f>IF(C_Projects!E5="","",C_Projects!E5)</f>
        <v>No</v>
      </c>
      <c r="G5" s="395" t="str">
        <f>IF(C_Projects!F5="","",C_Projects!F5)</f>
        <v/>
      </c>
      <c r="H5" s="395" t="str">
        <f>IF(C_Projects!G5="","",C_Projects!G5)</f>
        <v/>
      </c>
      <c r="I5" s="395" t="str">
        <f>IF(C_Projects!J5="","",C_Projects!J5)</f>
        <v>Waterfall</v>
      </c>
      <c r="J5" s="396">
        <f>IF(C_Projects!K5="","",C_Projects!K5)</f>
        <v>45893</v>
      </c>
      <c r="K5" s="396">
        <f>IF(C_Projects!L5="","",C_Projects!L5)</f>
        <v>46022</v>
      </c>
      <c r="L5" s="395" t="str">
        <f>IF(C_Projects!M5="","",C_Projects!M5)</f>
        <v>No</v>
      </c>
      <c r="M5" s="395" t="str">
        <f>IF(C_Projects!N5="","",C_Projects!N5)</f>
        <v>Cheng, Yiheng</v>
      </c>
      <c r="N5" s="395" t="s">
        <v>447</v>
      </c>
    </row>
    <row r="6" spans="1:21" s="16" customFormat="1">
      <c r="A6" s="78"/>
      <c r="B6" s="395" t="str">
        <f>IF(C_Projects!A6="","",C_Projects!A6)</f>
        <v>p5OMAP</v>
      </c>
      <c r="C6" s="395" t="str">
        <f>IF(C_Projects!J6="","",C_Projects!J6)</f>
        <v>Waterfall</v>
      </c>
      <c r="D6" s="395">
        <f>IF(C_Projects!C6="","",C_Projects!C6)</f>
        <v>5</v>
      </c>
      <c r="E6" s="395" t="str">
        <f>IF(C_Projects!D6="","",C_Projects!D6)</f>
        <v>The Online Meeting Analysis Platform (OMAP) intelligently collects and analyzes meeting data, quantifying participation, discussion quality, and efficiency to optimize organization, enhance collaboration, and improve decision-making.</v>
      </c>
      <c r="F6" s="395" t="str">
        <f>IF(C_Projects!E6="","",C_Projects!E6)</f>
        <v>No</v>
      </c>
      <c r="G6" s="395" t="str">
        <f>IF(C_Projects!F6="","",C_Projects!F6)</f>
        <v/>
      </c>
      <c r="H6" s="395" t="str">
        <f>IF(C_Projects!G6="","",C_Projects!G6)</f>
        <v/>
      </c>
      <c r="I6" s="395" t="str">
        <f>IF(C_Projects!J6="","",C_Projects!J6)</f>
        <v>Waterfall</v>
      </c>
      <c r="J6" s="396">
        <f>IF(C_Projects!K6="","",C_Projects!K6)</f>
        <v>45870</v>
      </c>
      <c r="K6" s="396">
        <f>IF(C_Projects!L6="","",C_Projects!L6)</f>
        <v>46022</v>
      </c>
      <c r="L6" s="395" t="str">
        <f>IF(C_Projects!M6="","",C_Projects!M6)</f>
        <v>No</v>
      </c>
      <c r="M6" s="395" t="str">
        <f>IF(C_Projects!N6="","",C_Projects!N6)</f>
        <v>Jin, Bangxin</v>
      </c>
      <c r="N6" s="395" t="s">
        <v>447</v>
      </c>
    </row>
    <row r="7" spans="1:21" s="16" customFormat="1">
      <c r="A7" s="78"/>
      <c r="B7" s="395" t="str">
        <f>IF(C_Projects!A7="","",C_Projects!A7)</f>
        <v/>
      </c>
      <c r="C7" s="395" t="str">
        <f>IF(C_Projects!J7="","",C_Projects!J7)</f>
        <v/>
      </c>
      <c r="D7" s="395" t="str">
        <f>IF(C_Projects!C7="","",C_Projects!C7)</f>
        <v/>
      </c>
      <c r="E7" s="395" t="str">
        <f>IF(C_Projects!D7="","",C_Projects!D7)</f>
        <v/>
      </c>
      <c r="F7" s="395" t="str">
        <f>IF(C_Projects!E7="","",C_Projects!E7)</f>
        <v/>
      </c>
      <c r="G7" s="395" t="str">
        <f>IF(C_Projects!F7="","",C_Projects!F7)</f>
        <v/>
      </c>
      <c r="H7" s="395" t="str">
        <f>IF(C_Projects!G7="","",C_Projects!G7)</f>
        <v/>
      </c>
      <c r="I7" s="395" t="str">
        <f>IF(C_Projects!J7="","",C_Projects!J7)</f>
        <v/>
      </c>
      <c r="J7" s="396" t="str">
        <f>IF(C_Projects!K7="","",C_Projects!K7)</f>
        <v/>
      </c>
      <c r="K7" s="396" t="str">
        <f>IF(C_Projects!L7="","",C_Projects!L7)</f>
        <v/>
      </c>
      <c r="L7" s="395" t="str">
        <f>IF(C_Projects!M7="","",C_Projects!M7)</f>
        <v/>
      </c>
      <c r="M7" s="395" t="str">
        <f>IF(C_Projects!N7="","",C_Projects!N7)</f>
        <v/>
      </c>
      <c r="N7" s="395" t="s">
        <v>447</v>
      </c>
    </row>
    <row r="8" spans="1:21" s="16" customFormat="1">
      <c r="A8" s="78"/>
      <c r="B8" s="395" t="str">
        <f>IF(C_Projects!A8="","",C_Projects!A8)</f>
        <v/>
      </c>
      <c r="C8" s="395" t="str">
        <f>IF(C_Projects!J8="","",C_Projects!J8)</f>
        <v/>
      </c>
      <c r="D8" s="395" t="str">
        <f>IF(C_Projects!C8="","",C_Projects!C8)</f>
        <v/>
      </c>
      <c r="E8" s="395" t="str">
        <f>IF(C_Projects!D8="","",C_Projects!D8)</f>
        <v/>
      </c>
      <c r="F8" s="395" t="str">
        <f>IF(C_Projects!E8="","",C_Projects!E8)</f>
        <v/>
      </c>
      <c r="G8" s="395" t="str">
        <f>IF(C_Projects!F8="","",C_Projects!F8)</f>
        <v/>
      </c>
      <c r="H8" s="395" t="str">
        <f>IF(C_Projects!G8="","",C_Projects!G8)</f>
        <v/>
      </c>
      <c r="I8" s="395" t="str">
        <f>IF(C_Projects!J8="","",C_Projects!J8)</f>
        <v/>
      </c>
      <c r="J8" s="396" t="str">
        <f>IF(C_Projects!K8="","",C_Projects!K8)</f>
        <v/>
      </c>
      <c r="K8" s="396" t="str">
        <f>IF(C_Projects!L8="","",C_Projects!L8)</f>
        <v/>
      </c>
      <c r="L8" s="395" t="str">
        <f>IF(C_Projects!M8="","",C_Projects!M8)</f>
        <v/>
      </c>
      <c r="M8" s="395" t="str">
        <f>IF(C_Projects!N8="","",C_Projects!N8)</f>
        <v/>
      </c>
      <c r="N8" s="395" t="s">
        <v>447</v>
      </c>
    </row>
    <row r="9" spans="1:21" s="16" customFormat="1">
      <c r="A9" s="78"/>
      <c r="B9" s="395" t="str">
        <f>IF(C_Projects!A9="","",C_Projects!A9)</f>
        <v/>
      </c>
      <c r="C9" s="395" t="str">
        <f>IF(C_Projects!J9="","",C_Projects!J9)</f>
        <v/>
      </c>
      <c r="D9" s="395" t="str">
        <f>IF(C_Projects!C9="","",C_Projects!C9)</f>
        <v/>
      </c>
      <c r="E9" s="395" t="str">
        <f>IF(C_Projects!D9="","",C_Projects!D9)</f>
        <v/>
      </c>
      <c r="F9" s="395" t="str">
        <f>IF(C_Projects!E9="","",C_Projects!E9)</f>
        <v/>
      </c>
      <c r="G9" s="395" t="str">
        <f>IF(C_Projects!F9="","",C_Projects!F9)</f>
        <v/>
      </c>
      <c r="H9" s="395" t="str">
        <f>IF(C_Projects!G9="","",C_Projects!G9)</f>
        <v/>
      </c>
      <c r="I9" s="395" t="str">
        <f>IF(C_Projects!J9="","",C_Projects!J9)</f>
        <v/>
      </c>
      <c r="J9" s="396" t="str">
        <f>IF(C_Projects!K9="","",C_Projects!K9)</f>
        <v/>
      </c>
      <c r="K9" s="396" t="str">
        <f>IF(C_Projects!L9="","",C_Projects!L9)</f>
        <v/>
      </c>
      <c r="L9" s="395" t="str">
        <f>IF(C_Projects!M9="","",C_Projects!M9)</f>
        <v/>
      </c>
      <c r="M9" s="395" t="str">
        <f>IF(C_Projects!N9="","",C_Projects!N9)</f>
        <v/>
      </c>
      <c r="N9" s="395" t="s">
        <v>447</v>
      </c>
    </row>
    <row r="10" spans="1:21" s="16" customFormat="1">
      <c r="A10" s="78"/>
      <c r="B10" s="395" t="str">
        <f>IF(C_Projects!A10="","",C_Projects!A10)</f>
        <v/>
      </c>
      <c r="C10" s="395" t="str">
        <f>IF(C_Projects!J10="","",C_Projects!J10)</f>
        <v/>
      </c>
      <c r="D10" s="395" t="str">
        <f>IF(C_Projects!C10="","",C_Projects!C10)</f>
        <v/>
      </c>
      <c r="E10" s="395" t="str">
        <f>IF(C_Projects!D10="","",C_Projects!D10)</f>
        <v/>
      </c>
      <c r="F10" s="395" t="str">
        <f>IF(C_Projects!E10="","",C_Projects!E10)</f>
        <v/>
      </c>
      <c r="G10" s="395" t="str">
        <f>IF(C_Projects!F10="","",C_Projects!F10)</f>
        <v/>
      </c>
      <c r="H10" s="395" t="str">
        <f>IF(C_Projects!G10="","",C_Projects!G10)</f>
        <v/>
      </c>
      <c r="I10" s="395" t="str">
        <f>IF(C_Projects!J10="","",C_Projects!J10)</f>
        <v/>
      </c>
      <c r="J10" s="396" t="str">
        <f>IF(C_Projects!K10="","",C_Projects!K10)</f>
        <v/>
      </c>
      <c r="K10" s="396" t="str">
        <f>IF(C_Projects!L10="","",C_Projects!L10)</f>
        <v/>
      </c>
      <c r="L10" s="395" t="str">
        <f>IF(C_Projects!M10="","",C_Projects!M10)</f>
        <v/>
      </c>
      <c r="M10" s="395" t="str">
        <f>IF(C_Projects!N10="","",C_Projects!N10)</f>
        <v/>
      </c>
      <c r="N10" s="395" t="s">
        <v>447</v>
      </c>
    </row>
    <row r="11" spans="1:21" s="16" customFormat="1">
      <c r="A11" s="78"/>
      <c r="B11" s="395" t="str">
        <f>IF(C_Projects!A11="","",C_Projects!A11)</f>
        <v/>
      </c>
      <c r="C11" s="395" t="str">
        <f>IF(C_Projects!J11="","",C_Projects!J11)</f>
        <v/>
      </c>
      <c r="D11" s="395" t="str">
        <f>IF(C_Projects!C11="","",C_Projects!C11)</f>
        <v/>
      </c>
      <c r="E11" s="395" t="str">
        <f>IF(C_Projects!D11="","",C_Projects!D11)</f>
        <v/>
      </c>
      <c r="F11" s="395" t="str">
        <f>IF(C_Projects!E11="","",C_Projects!E11)</f>
        <v/>
      </c>
      <c r="G11" s="395" t="str">
        <f>IF(C_Projects!F11="","",C_Projects!F11)</f>
        <v/>
      </c>
      <c r="H11" s="395" t="str">
        <f>IF(C_Projects!G11="","",C_Projects!G11)</f>
        <v/>
      </c>
      <c r="I11" s="395" t="str">
        <f>IF(C_Projects!J11="","",C_Projects!J11)</f>
        <v/>
      </c>
      <c r="J11" s="396" t="str">
        <f>IF(C_Projects!K11="","",C_Projects!K11)</f>
        <v/>
      </c>
      <c r="K11" s="396" t="str">
        <f>IF(C_Projects!L11="","",C_Projects!L11)</f>
        <v/>
      </c>
      <c r="L11" s="395" t="str">
        <f>IF(C_Projects!M11="","",C_Projects!M11)</f>
        <v/>
      </c>
      <c r="M11" s="395" t="str">
        <f>IF(C_Projects!N11="","",C_Projects!N11)</f>
        <v/>
      </c>
      <c r="N11" s="395" t="s">
        <v>447</v>
      </c>
    </row>
    <row r="12" spans="1:21" s="16" customFormat="1">
      <c r="A12" s="78"/>
      <c r="B12" s="395" t="str">
        <f>IF(C_Projects!A12="","",C_Projects!A12)</f>
        <v/>
      </c>
      <c r="C12" s="395" t="str">
        <f>IF(C_Projects!J12="","",C_Projects!J12)</f>
        <v/>
      </c>
      <c r="D12" s="395" t="str">
        <f>IF(C_Projects!C12="","",C_Projects!C12)</f>
        <v/>
      </c>
      <c r="E12" s="395" t="str">
        <f>IF(C_Projects!D12="","",C_Projects!D12)</f>
        <v/>
      </c>
      <c r="F12" s="395" t="str">
        <f>IF(C_Projects!E12="","",C_Projects!E12)</f>
        <v/>
      </c>
      <c r="G12" s="395" t="str">
        <f>IF(C_Projects!F12="","",C_Projects!F12)</f>
        <v/>
      </c>
      <c r="H12" s="395" t="str">
        <f>IF(C_Projects!G12="","",C_Projects!G12)</f>
        <v/>
      </c>
      <c r="I12" s="395" t="str">
        <f>IF(C_Projects!J12="","",C_Projects!J12)</f>
        <v/>
      </c>
      <c r="J12" s="396" t="str">
        <f>IF(C_Projects!K12="","",C_Projects!K12)</f>
        <v/>
      </c>
      <c r="K12" s="396" t="str">
        <f>IF(C_Projects!L12="","",C_Projects!L12)</f>
        <v/>
      </c>
      <c r="L12" s="395" t="str">
        <f>IF(C_Projects!M12="","",C_Projects!M12)</f>
        <v/>
      </c>
      <c r="M12" s="395" t="str">
        <f>IF(C_Projects!N12="","",C_Projects!N12)</f>
        <v/>
      </c>
      <c r="N12" s="395" t="s">
        <v>447</v>
      </c>
    </row>
    <row r="13" spans="1:21" s="16" customFormat="1">
      <c r="A13" s="78"/>
      <c r="B13" s="395" t="str">
        <f>IF(C_Projects!A13="","",C_Projects!A13)</f>
        <v/>
      </c>
      <c r="C13" s="395" t="str">
        <f>IF(C_Projects!J13="","",C_Projects!J13)</f>
        <v/>
      </c>
      <c r="D13" s="395" t="str">
        <f>IF(C_Projects!C13="","",C_Projects!C13)</f>
        <v/>
      </c>
      <c r="E13" s="395" t="str">
        <f>IF(C_Projects!D13="","",C_Projects!D13)</f>
        <v/>
      </c>
      <c r="F13" s="395" t="str">
        <f>IF(C_Projects!E13="","",C_Projects!E13)</f>
        <v/>
      </c>
      <c r="G13" s="395" t="str">
        <f>IF(C_Projects!F13="","",C_Projects!F13)</f>
        <v/>
      </c>
      <c r="H13" s="395" t="str">
        <f>IF(C_Projects!G13="","",C_Projects!G13)</f>
        <v/>
      </c>
      <c r="I13" s="395" t="str">
        <f>IF(C_Projects!J13="","",C_Projects!J13)</f>
        <v/>
      </c>
      <c r="J13" s="396" t="str">
        <f>IF(C_Projects!K13="","",C_Projects!K13)</f>
        <v/>
      </c>
      <c r="K13" s="396" t="str">
        <f>IF(C_Projects!L13="","",C_Projects!L13)</f>
        <v/>
      </c>
      <c r="L13" s="395" t="str">
        <f>IF(C_Projects!M13="","",C_Projects!M13)</f>
        <v/>
      </c>
      <c r="M13" s="395" t="str">
        <f>IF(C_Projects!N13="","",C_Projects!N13)</f>
        <v/>
      </c>
      <c r="N13" s="395" t="s">
        <v>447</v>
      </c>
    </row>
    <row r="14" spans="1:21" s="16" customFormat="1">
      <c r="A14" s="78"/>
      <c r="B14" s="395" t="str">
        <f>IF(C_Projects!A14="","",C_Projects!A14)</f>
        <v/>
      </c>
      <c r="C14" s="395" t="str">
        <f>IF(C_Projects!J14="","",C_Projects!J14)</f>
        <v/>
      </c>
      <c r="D14" s="395" t="str">
        <f>IF(C_Projects!C14="","",C_Projects!C14)</f>
        <v/>
      </c>
      <c r="E14" s="395" t="str">
        <f>IF(C_Projects!D14="","",C_Projects!D14)</f>
        <v/>
      </c>
      <c r="F14" s="395" t="str">
        <f>IF(C_Projects!E14="","",C_Projects!E14)</f>
        <v/>
      </c>
      <c r="G14" s="395" t="str">
        <f>IF(C_Projects!F14="","",C_Projects!F14)</f>
        <v/>
      </c>
      <c r="H14" s="395" t="str">
        <f>IF(C_Projects!G14="","",C_Projects!G14)</f>
        <v/>
      </c>
      <c r="I14" s="395" t="str">
        <f>IF(C_Projects!J14="","",C_Projects!J14)</f>
        <v/>
      </c>
      <c r="J14" s="396" t="str">
        <f>IF(C_Projects!K14="","",C_Projects!K14)</f>
        <v/>
      </c>
      <c r="K14" s="396" t="str">
        <f>IF(C_Projects!L14="","",C_Projects!L14)</f>
        <v/>
      </c>
      <c r="L14" s="395" t="str">
        <f>IF(C_Projects!M14="","",C_Projects!M14)</f>
        <v/>
      </c>
      <c r="M14" s="395" t="str">
        <f>IF(C_Projects!N14="","",C_Projects!N14)</f>
        <v/>
      </c>
      <c r="N14" s="395" t="s">
        <v>447</v>
      </c>
    </row>
    <row r="15" spans="1:21" s="16" customFormat="1">
      <c r="A15" s="78"/>
      <c r="B15" s="395" t="str">
        <f>IF(C_Projects!A15="","",C_Projects!A15)</f>
        <v/>
      </c>
      <c r="C15" s="395" t="str">
        <f>IF(C_Projects!J15="","",C_Projects!J15)</f>
        <v/>
      </c>
      <c r="D15" s="395" t="str">
        <f>IF(C_Projects!C15="","",C_Projects!C15)</f>
        <v/>
      </c>
      <c r="E15" s="395" t="str">
        <f>IF(C_Projects!D15="","",C_Projects!D15)</f>
        <v/>
      </c>
      <c r="F15" s="395" t="str">
        <f>IF(C_Projects!E15="","",C_Projects!E15)</f>
        <v/>
      </c>
      <c r="G15" s="395" t="str">
        <f>IF(C_Projects!F15="","",C_Projects!F15)</f>
        <v/>
      </c>
      <c r="H15" s="395" t="str">
        <f>IF(C_Projects!G15="","",C_Projects!G15)</f>
        <v/>
      </c>
      <c r="I15" s="395" t="str">
        <f>IF(C_Projects!J15="","",C_Projects!J15)</f>
        <v/>
      </c>
      <c r="J15" s="396" t="str">
        <f>IF(C_Projects!K15="","",C_Projects!K15)</f>
        <v/>
      </c>
      <c r="K15" s="396" t="str">
        <f>IF(C_Projects!L15="","",C_Projects!L15)</f>
        <v/>
      </c>
      <c r="L15" s="395" t="str">
        <f>IF(C_Projects!M15="","",C_Projects!M15)</f>
        <v/>
      </c>
      <c r="M15" s="395" t="str">
        <f>IF(C_Projects!N15="","",C_Projects!N15)</f>
        <v/>
      </c>
      <c r="N15" s="395" t="s">
        <v>447</v>
      </c>
    </row>
  </sheetData>
  <dataValidations count="3">
    <dataValidation type="date" allowBlank="1" showInputMessage="1" showErrorMessage="1" prompt="Invalid Date - Start Date must be valid date" sqref="J2:K15" xr:uid="{00000000-0002-0000-2700-000000000000}">
      <formula1>0</formula1>
      <formula2>2958465.99999999</formula2>
    </dataValidation>
    <dataValidation type="decimal" operator="greaterThan" allowBlank="1" showInputMessage="1" showErrorMessage="1" prompt="Invalid Number - Size must be a positive number" sqref="D1:D15" xr:uid="{00000000-0002-0000-2700-000001000000}">
      <formula1>0</formula1>
    </dataValidation>
    <dataValidation type="list" allowBlank="1" showInputMessage="1" showErrorMessage="1" prompt="Invalid Value - Please select a value from the options provided" sqref="F1:F15 L1:L15 N1:N15" xr:uid="{00000000-0002-0000-2700-000002000000}">
      <formula1>"Yes,No"</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2"/>
  <dimension ref="A1:C11"/>
  <sheetViews>
    <sheetView workbookViewId="0"/>
  </sheetViews>
  <sheetFormatPr defaultRowHeight="14.4"/>
  <cols>
    <col min="1" max="3" width="35.21875" customWidth="1"/>
  </cols>
  <sheetData>
    <row r="1" spans="1:3">
      <c r="A1" t="s">
        <v>1280</v>
      </c>
      <c r="B1" t="s">
        <v>1281</v>
      </c>
      <c r="C1" t="s">
        <v>1282</v>
      </c>
    </row>
    <row r="2" spans="1:3">
      <c r="A2" t="s">
        <v>633</v>
      </c>
      <c r="B2" t="s">
        <v>634</v>
      </c>
      <c r="C2" t="s">
        <v>495</v>
      </c>
    </row>
    <row r="3" spans="1:3">
      <c r="A3" t="s">
        <v>638</v>
      </c>
      <c r="B3" t="s">
        <v>559</v>
      </c>
      <c r="C3" t="s">
        <v>495</v>
      </c>
    </row>
    <row r="4" spans="1:3">
      <c r="A4" t="s">
        <v>637</v>
      </c>
      <c r="B4" t="s">
        <v>558</v>
      </c>
      <c r="C4" t="s">
        <v>495</v>
      </c>
    </row>
    <row r="5" spans="1:3">
      <c r="A5" t="s">
        <v>641</v>
      </c>
      <c r="B5" t="s">
        <v>554</v>
      </c>
      <c r="C5" t="s">
        <v>495</v>
      </c>
    </row>
    <row r="6" spans="1:3">
      <c r="A6" t="s">
        <v>635</v>
      </c>
      <c r="B6" t="s">
        <v>569</v>
      </c>
      <c r="C6" t="s">
        <v>495</v>
      </c>
    </row>
    <row r="7" spans="1:3">
      <c r="A7" t="s">
        <v>644</v>
      </c>
      <c r="B7" t="s">
        <v>645</v>
      </c>
      <c r="C7" t="s">
        <v>495</v>
      </c>
    </row>
    <row r="8" spans="1:3">
      <c r="A8" t="s">
        <v>646</v>
      </c>
      <c r="B8" t="s">
        <v>562</v>
      </c>
      <c r="C8" t="s">
        <v>495</v>
      </c>
    </row>
    <row r="9" spans="1:3">
      <c r="A9" t="s">
        <v>647</v>
      </c>
      <c r="B9" t="s">
        <v>566</v>
      </c>
      <c r="C9" t="s">
        <v>495</v>
      </c>
    </row>
    <row r="10" spans="1:3">
      <c r="A10" t="s">
        <v>648</v>
      </c>
      <c r="B10" t="s">
        <v>649</v>
      </c>
      <c r="C10" t="s">
        <v>495</v>
      </c>
    </row>
    <row r="11" spans="1:3">
      <c r="A11" t="s">
        <v>650</v>
      </c>
      <c r="B11" t="s">
        <v>564</v>
      </c>
      <c r="C11" t="s">
        <v>495</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3"/>
  <dimension ref="A1:J11"/>
  <sheetViews>
    <sheetView workbookViewId="0"/>
  </sheetViews>
  <sheetFormatPr defaultRowHeight="14.4"/>
  <cols>
    <col min="1" max="1" width="35.77734375" customWidth="1"/>
    <col min="2" max="10" width="8.21875" customWidth="1"/>
  </cols>
  <sheetData>
    <row r="1" spans="1:10">
      <c r="A1" t="s">
        <v>1123</v>
      </c>
      <c r="B1" t="s">
        <v>591</v>
      </c>
      <c r="C1" t="s">
        <v>598</v>
      </c>
      <c r="D1" t="s">
        <v>602</v>
      </c>
      <c r="E1" t="s">
        <v>605</v>
      </c>
      <c r="F1" t="s">
        <v>608</v>
      </c>
      <c r="G1" t="s">
        <v>611</v>
      </c>
      <c r="H1" t="s">
        <v>617</v>
      </c>
      <c r="I1" t="s">
        <v>620</v>
      </c>
      <c r="J1" t="s">
        <v>623</v>
      </c>
    </row>
    <row r="2" spans="1:10">
      <c r="A2" t="s">
        <v>633</v>
      </c>
      <c r="B2" t="s">
        <v>1283</v>
      </c>
    </row>
    <row r="3" spans="1:10">
      <c r="A3" t="s">
        <v>638</v>
      </c>
      <c r="D3" t="s">
        <v>1283</v>
      </c>
    </row>
    <row r="4" spans="1:10">
      <c r="A4" t="s">
        <v>637</v>
      </c>
      <c r="D4" t="s">
        <v>1283</v>
      </c>
    </row>
    <row r="5" spans="1:10">
      <c r="A5" t="s">
        <v>641</v>
      </c>
      <c r="E5" t="s">
        <v>1283</v>
      </c>
    </row>
    <row r="6" spans="1:10">
      <c r="A6" t="s">
        <v>635</v>
      </c>
      <c r="E6" t="s">
        <v>1283</v>
      </c>
    </row>
    <row r="7" spans="1:10">
      <c r="A7" t="s">
        <v>644</v>
      </c>
      <c r="G7" t="s">
        <v>1283</v>
      </c>
    </row>
    <row r="8" spans="1:10">
      <c r="A8" t="s">
        <v>646</v>
      </c>
      <c r="H8" t="s">
        <v>1283</v>
      </c>
    </row>
    <row r="9" spans="1:10">
      <c r="A9" t="s">
        <v>647</v>
      </c>
      <c r="H9" t="s">
        <v>1283</v>
      </c>
    </row>
    <row r="10" spans="1:10">
      <c r="A10" t="s">
        <v>648</v>
      </c>
      <c r="I10" t="s">
        <v>1283</v>
      </c>
    </row>
    <row r="11" spans="1:10">
      <c r="A11" t="s">
        <v>650</v>
      </c>
      <c r="J11" t="s">
        <v>1283</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4"/>
  <dimension ref="A1:T11"/>
  <sheetViews>
    <sheetView workbookViewId="0"/>
  </sheetViews>
  <sheetFormatPr defaultRowHeight="14.4"/>
  <cols>
    <col min="1" max="1" width="33.21875" customWidth="1"/>
    <col min="2" max="20" width="6.21875" customWidth="1"/>
  </cols>
  <sheetData>
    <row r="1" spans="1:20">
      <c r="A1" t="s">
        <v>1123</v>
      </c>
      <c r="B1" t="s">
        <v>549</v>
      </c>
      <c r="C1" t="s">
        <v>547</v>
      </c>
      <c r="D1" t="s">
        <v>552</v>
      </c>
      <c r="E1" t="s">
        <v>426</v>
      </c>
      <c r="F1" t="s">
        <v>551</v>
      </c>
      <c r="G1" t="s">
        <v>548</v>
      </c>
      <c r="H1" t="s">
        <v>538</v>
      </c>
      <c r="I1" t="s">
        <v>544</v>
      </c>
      <c r="J1" t="s">
        <v>542</v>
      </c>
      <c r="K1" t="s">
        <v>550</v>
      </c>
      <c r="L1" t="s">
        <v>543</v>
      </c>
      <c r="M1" t="s">
        <v>535</v>
      </c>
      <c r="N1" t="s">
        <v>537</v>
      </c>
      <c r="O1" t="s">
        <v>536</v>
      </c>
      <c r="P1" t="s">
        <v>546</v>
      </c>
      <c r="Q1" t="s">
        <v>545</v>
      </c>
      <c r="R1" t="s">
        <v>541</v>
      </c>
      <c r="S1" t="s">
        <v>539</v>
      </c>
      <c r="T1" t="s">
        <v>540</v>
      </c>
    </row>
    <row r="2" spans="1:20">
      <c r="A2" t="s">
        <v>633</v>
      </c>
      <c r="E2" t="s">
        <v>1283</v>
      </c>
      <c r="H2" t="s">
        <v>1283</v>
      </c>
      <c r="I2" t="s">
        <v>1283</v>
      </c>
      <c r="J2" t="s">
        <v>1283</v>
      </c>
      <c r="K2" t="s">
        <v>1283</v>
      </c>
      <c r="M2" t="s">
        <v>1283</v>
      </c>
      <c r="N2" t="s">
        <v>1283</v>
      </c>
    </row>
    <row r="3" spans="1:20">
      <c r="A3" t="s">
        <v>638</v>
      </c>
      <c r="E3" t="s">
        <v>1283</v>
      </c>
      <c r="G3" t="s">
        <v>1283</v>
      </c>
    </row>
    <row r="4" spans="1:20">
      <c r="A4" t="s">
        <v>637</v>
      </c>
      <c r="E4" t="s">
        <v>1283</v>
      </c>
      <c r="F4" t="s">
        <v>1283</v>
      </c>
    </row>
    <row r="5" spans="1:20">
      <c r="A5" t="s">
        <v>641</v>
      </c>
      <c r="B5" t="s">
        <v>1283</v>
      </c>
      <c r="E5" t="s">
        <v>1283</v>
      </c>
    </row>
    <row r="6" spans="1:20">
      <c r="A6" t="s">
        <v>635</v>
      </c>
      <c r="D6" t="s">
        <v>1283</v>
      </c>
      <c r="E6" t="s">
        <v>1283</v>
      </c>
    </row>
    <row r="7" spans="1:20">
      <c r="A7" t="s">
        <v>644</v>
      </c>
      <c r="O7" t="s">
        <v>1283</v>
      </c>
    </row>
    <row r="8" spans="1:20">
      <c r="A8" t="s">
        <v>646</v>
      </c>
      <c r="M8" t="s">
        <v>1283</v>
      </c>
      <c r="N8" t="s">
        <v>1283</v>
      </c>
      <c r="R8" t="s">
        <v>1283</v>
      </c>
    </row>
    <row r="9" spans="1:20">
      <c r="A9" t="s">
        <v>647</v>
      </c>
      <c r="N9" t="s">
        <v>1283</v>
      </c>
      <c r="P9" t="s">
        <v>1283</v>
      </c>
      <c r="Q9" t="s">
        <v>1283</v>
      </c>
    </row>
    <row r="10" spans="1:20">
      <c r="A10" t="s">
        <v>648</v>
      </c>
      <c r="L10" t="s">
        <v>1283</v>
      </c>
    </row>
    <row r="11" spans="1:20">
      <c r="A11" t="s">
        <v>650</v>
      </c>
      <c r="C11" t="s">
        <v>1283</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F2CAF-30C6-4189-AAAE-60337D0BF410}">
  <sheetPr codeName="Sheet54"/>
  <dimension ref="A1:E6"/>
  <sheetViews>
    <sheetView workbookViewId="0">
      <selection activeCell="A18" sqref="A18"/>
    </sheetView>
  </sheetViews>
  <sheetFormatPr defaultRowHeight="14.4"/>
  <cols>
    <col min="1" max="6" width="36.21875" customWidth="1"/>
  </cols>
  <sheetData>
    <row r="1" spans="1:5">
      <c r="A1" t="s">
        <v>1986</v>
      </c>
      <c r="B1" t="s">
        <v>1987</v>
      </c>
      <c r="C1" t="s">
        <v>1988</v>
      </c>
      <c r="D1" t="s">
        <v>1989</v>
      </c>
      <c r="E1" t="s">
        <v>1990</v>
      </c>
    </row>
    <row r="2" spans="1:5">
      <c r="A2" t="s">
        <v>528</v>
      </c>
      <c r="B2" t="s">
        <v>981</v>
      </c>
      <c r="C2" t="s">
        <v>982</v>
      </c>
      <c r="D2" t="s">
        <v>983</v>
      </c>
      <c r="E2" t="s">
        <v>1991</v>
      </c>
    </row>
    <row r="3" spans="1:5">
      <c r="A3" t="s">
        <v>977</v>
      </c>
      <c r="B3" t="s">
        <v>978</v>
      </c>
      <c r="D3" t="s">
        <v>979</v>
      </c>
      <c r="E3" t="s">
        <v>1992</v>
      </c>
    </row>
    <row r="4" spans="1:5">
      <c r="A4" t="s">
        <v>975</v>
      </c>
      <c r="D4" t="s">
        <v>976</v>
      </c>
      <c r="E4" t="s">
        <v>972</v>
      </c>
    </row>
    <row r="5" spans="1:5">
      <c r="A5" t="s">
        <v>973</v>
      </c>
      <c r="D5" t="s">
        <v>974</v>
      </c>
      <c r="E5" t="s">
        <v>972</v>
      </c>
    </row>
    <row r="6" spans="1:5">
      <c r="A6" t="s">
        <v>965</v>
      </c>
      <c r="B6" t="s">
        <v>967</v>
      </c>
      <c r="D6" t="s">
        <v>970</v>
      </c>
      <c r="E6" t="s">
        <v>972</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E2089-E82A-44B2-85EE-6C4AA22587C3}">
  <sheetPr codeName="Sheet55"/>
  <dimension ref="A1:C2"/>
  <sheetViews>
    <sheetView workbookViewId="0">
      <selection activeCell="C8" sqref="C8"/>
    </sheetView>
  </sheetViews>
  <sheetFormatPr defaultRowHeight="14.4"/>
  <cols>
    <col min="1" max="3" width="24.21875" customWidth="1"/>
  </cols>
  <sheetData>
    <row r="1" spans="1:3">
      <c r="A1" t="s">
        <v>1993</v>
      </c>
      <c r="B1" t="s">
        <v>1994</v>
      </c>
      <c r="C1" t="s">
        <v>1995</v>
      </c>
    </row>
    <row r="2" spans="1:3">
      <c r="A2" t="s">
        <v>987</v>
      </c>
      <c r="C2" t="s">
        <v>1996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F4A639-E73C-4F6B-947A-5CDBC16AE79A}">
  <sheetPr codeName="Sheet56"/>
  <dimension ref="A1:G13"/>
  <sheetViews>
    <sheetView workbookViewId="0">
      <selection activeCell="A10" sqref="A10"/>
    </sheetView>
  </sheetViews>
  <sheetFormatPr defaultRowHeight="14.4"/>
  <cols>
    <col min="1" max="1" width="39.88671875" customWidth="1"/>
    <col min="2" max="2" width="17.6640625" customWidth="1"/>
    <col min="3" max="3" width="27.21875" customWidth="1"/>
    <col min="4" max="4" width="39.88671875" customWidth="1"/>
    <col min="5" max="5" width="14.44140625" customWidth="1"/>
    <col min="6" max="6" width="39.88671875" customWidth="1"/>
    <col min="7" max="7" width="13.5546875" customWidth="1"/>
  </cols>
  <sheetData>
    <row r="1" spans="1:7">
      <c r="A1" t="s">
        <v>1997</v>
      </c>
      <c r="B1" t="s">
        <v>1998</v>
      </c>
      <c r="C1" t="s">
        <v>1999</v>
      </c>
      <c r="D1" t="s">
        <v>2000</v>
      </c>
      <c r="E1" t="s">
        <v>2001</v>
      </c>
      <c r="F1" t="s">
        <v>2002</v>
      </c>
      <c r="G1" t="s">
        <v>2003</v>
      </c>
    </row>
    <row r="2" spans="1:7">
      <c r="A2" t="s">
        <v>2004</v>
      </c>
      <c r="B2" t="s">
        <v>805</v>
      </c>
      <c r="D2" t="s">
        <v>996</v>
      </c>
      <c r="E2" t="s">
        <v>998</v>
      </c>
      <c r="F2" t="s">
        <v>1000</v>
      </c>
      <c r="G2" t="s">
        <v>1002</v>
      </c>
    </row>
    <row r="3" spans="1:7">
      <c r="A3" t="s">
        <v>2005</v>
      </c>
      <c r="B3" t="s">
        <v>528</v>
      </c>
      <c r="C3" t="s">
        <v>2006</v>
      </c>
      <c r="D3" t="s">
        <v>1006</v>
      </c>
      <c r="E3" t="s">
        <v>1007</v>
      </c>
      <c r="F3" t="s">
        <v>1008</v>
      </c>
      <c r="G3" t="s">
        <v>1002</v>
      </c>
    </row>
    <row r="4" spans="1:7">
      <c r="A4" t="s">
        <v>2007</v>
      </c>
      <c r="B4" t="s">
        <v>528</v>
      </c>
      <c r="C4" t="s">
        <v>1011</v>
      </c>
      <c r="D4" t="s">
        <v>1012</v>
      </c>
      <c r="E4" t="s">
        <v>1007</v>
      </c>
      <c r="F4" t="s">
        <v>1013</v>
      </c>
      <c r="G4" t="s">
        <v>1002</v>
      </c>
    </row>
    <row r="5" spans="1:7">
      <c r="A5" t="s">
        <v>2008</v>
      </c>
      <c r="B5" t="s">
        <v>528</v>
      </c>
      <c r="C5" t="s">
        <v>1011</v>
      </c>
      <c r="D5" t="s">
        <v>1017</v>
      </c>
      <c r="E5" t="s">
        <v>1018</v>
      </c>
      <c r="F5" t="s">
        <v>1019</v>
      </c>
      <c r="G5" t="s">
        <v>1002</v>
      </c>
    </row>
    <row r="6" spans="1:7">
      <c r="A6" t="s">
        <v>2009</v>
      </c>
      <c r="B6" t="s">
        <v>218</v>
      </c>
      <c r="D6" t="s">
        <v>1022</v>
      </c>
      <c r="E6" t="s">
        <v>1018</v>
      </c>
      <c r="F6" t="s">
        <v>1023</v>
      </c>
      <c r="G6" t="s">
        <v>1002</v>
      </c>
    </row>
    <row r="7" spans="1:7">
      <c r="A7" t="s">
        <v>2010</v>
      </c>
      <c r="B7" t="s">
        <v>528</v>
      </c>
      <c r="C7" t="s">
        <v>2006</v>
      </c>
      <c r="D7" t="s">
        <v>2011</v>
      </c>
      <c r="E7" t="s">
        <v>1007</v>
      </c>
      <c r="F7" t="s">
        <v>1027</v>
      </c>
      <c r="G7" t="s">
        <v>1002</v>
      </c>
    </row>
    <row r="8" spans="1:7">
      <c r="A8" t="s">
        <v>2012</v>
      </c>
      <c r="B8" t="s">
        <v>528</v>
      </c>
      <c r="C8" t="s">
        <v>2006</v>
      </c>
      <c r="D8" t="s">
        <v>2013</v>
      </c>
      <c r="E8" t="s">
        <v>1018</v>
      </c>
      <c r="F8" t="s">
        <v>1031</v>
      </c>
      <c r="G8" t="s">
        <v>1002</v>
      </c>
    </row>
    <row r="9" spans="1:7">
      <c r="A9" t="s">
        <v>2014</v>
      </c>
      <c r="B9" t="s">
        <v>528</v>
      </c>
      <c r="C9" t="s">
        <v>2006</v>
      </c>
      <c r="D9" t="s">
        <v>1034</v>
      </c>
      <c r="E9" t="s">
        <v>1007</v>
      </c>
      <c r="F9" t="s">
        <v>1035</v>
      </c>
      <c r="G9" t="s">
        <v>1002</v>
      </c>
    </row>
    <row r="10" spans="1:7">
      <c r="A10" t="s">
        <v>2015</v>
      </c>
      <c r="B10" t="s">
        <v>528</v>
      </c>
      <c r="C10" t="s">
        <v>2006</v>
      </c>
      <c r="D10" t="s">
        <v>2016</v>
      </c>
      <c r="E10" t="s">
        <v>1007</v>
      </c>
      <c r="F10" t="s">
        <v>1039</v>
      </c>
      <c r="G10" t="s">
        <v>1002</v>
      </c>
    </row>
    <row r="11" spans="1:7">
      <c r="A11" t="s">
        <v>2017</v>
      </c>
      <c r="B11" t="s">
        <v>528</v>
      </c>
      <c r="C11" t="s">
        <v>2006</v>
      </c>
      <c r="D11" t="s">
        <v>1042</v>
      </c>
      <c r="E11" t="s">
        <v>1007</v>
      </c>
      <c r="F11" t="s">
        <v>1043</v>
      </c>
      <c r="G11" t="s">
        <v>1002</v>
      </c>
    </row>
    <row r="12" spans="1:7">
      <c r="A12" t="s">
        <v>2018</v>
      </c>
      <c r="B12" t="s">
        <v>528</v>
      </c>
      <c r="C12" t="s">
        <v>2006</v>
      </c>
      <c r="D12" t="s">
        <v>2019</v>
      </c>
      <c r="E12" t="s">
        <v>1007</v>
      </c>
      <c r="F12" t="s">
        <v>1047</v>
      </c>
      <c r="G12" t="s">
        <v>1002</v>
      </c>
    </row>
    <row r="13" spans="1:7">
      <c r="A13" t="s">
        <v>2020</v>
      </c>
      <c r="B13" t="s">
        <v>528</v>
      </c>
      <c r="C13" t="s">
        <v>2006</v>
      </c>
      <c r="D13" t="s">
        <v>2021</v>
      </c>
      <c r="E13" t="s">
        <v>1007</v>
      </c>
      <c r="F13" t="s">
        <v>2022</v>
      </c>
      <c r="G13" t="s">
        <v>1002</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AC2A1-D867-4640-8B4A-41E7CA463FA6}">
  <sheetPr codeName="Sheet57"/>
  <dimension ref="A1:F4"/>
  <sheetViews>
    <sheetView workbookViewId="0">
      <selection activeCell="D4" sqref="D4"/>
    </sheetView>
  </sheetViews>
  <sheetFormatPr defaultRowHeight="14.4"/>
  <cols>
    <col min="1" max="1" width="27.77734375" customWidth="1"/>
    <col min="2" max="3" width="41.21875" customWidth="1"/>
    <col min="4" max="4" width="15.21875" customWidth="1"/>
    <col min="5" max="5" width="32.33203125" customWidth="1"/>
    <col min="6" max="6" width="27.77734375" customWidth="1"/>
  </cols>
  <sheetData>
    <row r="1" spans="1:6">
      <c r="A1" t="s">
        <v>2023</v>
      </c>
      <c r="B1" t="s">
        <v>2024</v>
      </c>
      <c r="C1" t="s">
        <v>2025</v>
      </c>
      <c r="D1" t="s">
        <v>2026</v>
      </c>
      <c r="E1" t="s">
        <v>2027</v>
      </c>
      <c r="F1" t="s">
        <v>2028</v>
      </c>
    </row>
    <row r="2" spans="1:6">
      <c r="A2" t="s">
        <v>528</v>
      </c>
      <c r="B2" t="s">
        <v>1063</v>
      </c>
      <c r="C2" t="s">
        <v>1064</v>
      </c>
      <c r="D2" t="s">
        <v>998</v>
      </c>
      <c r="E2" t="s">
        <v>1065</v>
      </c>
      <c r="F2" t="s">
        <v>1002</v>
      </c>
    </row>
    <row r="3" spans="1:6">
      <c r="A3" t="s">
        <v>528</v>
      </c>
      <c r="B3" t="s">
        <v>1057</v>
      </c>
      <c r="C3" t="s">
        <v>1058</v>
      </c>
      <c r="D3" t="s">
        <v>998</v>
      </c>
      <c r="E3" t="s">
        <v>1059</v>
      </c>
      <c r="F3" t="s">
        <v>1002</v>
      </c>
    </row>
    <row r="4" spans="1:6">
      <c r="A4" t="s">
        <v>1054</v>
      </c>
      <c r="C4" t="s">
        <v>1055</v>
      </c>
      <c r="D4" t="s">
        <v>998</v>
      </c>
      <c r="E4" t="s">
        <v>1056</v>
      </c>
      <c r="F4" t="s">
        <v>1002</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4"/>
  <dimension ref="B2:AB89"/>
  <sheetViews>
    <sheetView workbookViewId="0"/>
  </sheetViews>
  <sheetFormatPr defaultColWidth="8.77734375" defaultRowHeight="14.4"/>
  <cols>
    <col min="1" max="22" width="8.77734375" style="8" customWidth="1"/>
    <col min="23" max="23" width="8.77734375" style="8" hidden="1" customWidth="1"/>
    <col min="24" max="26" width="8.77734375" style="8" customWidth="1"/>
    <col min="27" max="27" width="11.77734375" style="8" customWidth="1"/>
    <col min="28" max="34" width="8.77734375" style="8" customWidth="1"/>
    <col min="35" max="16384" width="8.77734375" style="8"/>
  </cols>
  <sheetData>
    <row r="2" spans="2:28" ht="93.6" customHeight="1">
      <c r="B2" s="522" t="s">
        <v>1284</v>
      </c>
      <c r="C2" s="522" t="s">
        <v>1285</v>
      </c>
      <c r="D2" s="521" t="s">
        <v>1286</v>
      </c>
      <c r="E2" s="520"/>
      <c r="F2" s="518" t="s">
        <v>1287</v>
      </c>
      <c r="G2" s="520"/>
      <c r="H2" s="521" t="s">
        <v>176</v>
      </c>
      <c r="I2" s="519"/>
      <c r="J2" s="519"/>
      <c r="K2" s="520"/>
      <c r="L2" s="518" t="s">
        <v>181</v>
      </c>
      <c r="M2" s="519"/>
      <c r="N2" s="520"/>
      <c r="O2" s="172" t="s">
        <v>177</v>
      </c>
      <c r="P2" s="173" t="s">
        <v>178</v>
      </c>
      <c r="Q2" s="521" t="s">
        <v>1288</v>
      </c>
      <c r="R2" s="519"/>
      <c r="S2" s="520"/>
      <c r="T2" s="518" t="s">
        <v>179</v>
      </c>
      <c r="U2" s="519"/>
      <c r="V2" s="520"/>
      <c r="W2" s="169" t="s">
        <v>1289</v>
      </c>
    </row>
    <row r="3" spans="2:28" ht="15.6" customHeight="1">
      <c r="B3" s="517"/>
      <c r="C3" s="517"/>
      <c r="D3" s="174" t="s">
        <v>539</v>
      </c>
      <c r="E3" s="174" t="s">
        <v>540</v>
      </c>
      <c r="F3" s="175" t="s">
        <v>551</v>
      </c>
      <c r="G3" s="175" t="s">
        <v>548</v>
      </c>
      <c r="H3" s="174" t="s">
        <v>426</v>
      </c>
      <c r="I3" s="174" t="s">
        <v>552</v>
      </c>
      <c r="J3" s="174" t="s">
        <v>547</v>
      </c>
      <c r="K3" s="174" t="s">
        <v>549</v>
      </c>
      <c r="L3" s="175" t="s">
        <v>546</v>
      </c>
      <c r="M3" s="175" t="s">
        <v>545</v>
      </c>
      <c r="N3" s="175" t="s">
        <v>541</v>
      </c>
      <c r="O3" s="174" t="s">
        <v>550</v>
      </c>
      <c r="P3" s="175" t="s">
        <v>543</v>
      </c>
      <c r="Q3" s="174" t="s">
        <v>542</v>
      </c>
      <c r="R3" s="174" t="s">
        <v>544</v>
      </c>
      <c r="S3" s="174" t="s">
        <v>538</v>
      </c>
      <c r="T3" s="175" t="s">
        <v>535</v>
      </c>
      <c r="U3" s="175" t="s">
        <v>537</v>
      </c>
      <c r="V3" s="175" t="s">
        <v>536</v>
      </c>
      <c r="W3" s="169" t="s">
        <v>553</v>
      </c>
    </row>
    <row r="4" spans="2:28" ht="12" customHeight="1">
      <c r="B4" s="165"/>
      <c r="C4" s="165"/>
      <c r="D4" s="165"/>
      <c r="E4" s="165"/>
      <c r="F4" s="165"/>
      <c r="G4" s="165"/>
      <c r="H4" s="165"/>
      <c r="I4" s="165"/>
      <c r="J4" s="165"/>
      <c r="K4" s="165"/>
      <c r="L4" s="165"/>
      <c r="M4" s="165"/>
      <c r="N4" s="165"/>
      <c r="O4" s="165"/>
      <c r="P4" s="165"/>
      <c r="Q4" s="165"/>
      <c r="R4" s="165"/>
      <c r="S4" s="165"/>
      <c r="T4" s="165"/>
      <c r="U4" s="165"/>
      <c r="V4" s="165"/>
      <c r="W4" s="159"/>
    </row>
    <row r="5" spans="2:28" ht="15" customHeight="1">
      <c r="B5" s="515" t="s">
        <v>1290</v>
      </c>
      <c r="C5" s="176"/>
      <c r="D5" s="236"/>
      <c r="E5" s="236"/>
      <c r="F5" s="236"/>
      <c r="G5" s="236"/>
      <c r="H5" s="236"/>
      <c r="I5" s="236"/>
      <c r="J5" s="236"/>
      <c r="K5" s="236"/>
      <c r="L5" s="236"/>
      <c r="M5" s="236"/>
      <c r="N5" s="236"/>
      <c r="O5" s="236"/>
      <c r="P5" s="236"/>
      <c r="Q5" s="236"/>
      <c r="R5" s="236"/>
      <c r="S5" s="236"/>
      <c r="T5" s="236"/>
      <c r="U5" s="236"/>
      <c r="V5" s="236"/>
      <c r="W5" s="159" t="s">
        <v>1291</v>
      </c>
      <c r="Z5" s="373" t="s">
        <v>1292</v>
      </c>
    </row>
    <row r="6" spans="2:28" ht="15" customHeight="1">
      <c r="B6" s="516"/>
      <c r="C6" s="175">
        <v>1.1000000000000001</v>
      </c>
      <c r="D6" s="237"/>
      <c r="E6" s="237"/>
      <c r="F6" s="237"/>
      <c r="G6" s="237"/>
      <c r="H6" s="237"/>
      <c r="I6" s="237"/>
      <c r="J6" s="237"/>
      <c r="K6" s="237"/>
      <c r="L6" s="237"/>
      <c r="M6" s="237"/>
      <c r="N6" s="237"/>
      <c r="O6" s="237"/>
      <c r="P6" s="237"/>
      <c r="Q6" s="237"/>
      <c r="R6" s="237"/>
      <c r="S6" s="237"/>
      <c r="T6" s="237"/>
      <c r="U6" s="237"/>
      <c r="V6" s="237"/>
      <c r="W6" s="159" t="s">
        <v>1293</v>
      </c>
    </row>
    <row r="7" spans="2:28" ht="15" customHeight="1">
      <c r="B7" s="516"/>
      <c r="C7" s="175">
        <v>1.2</v>
      </c>
      <c r="D7" s="237"/>
      <c r="E7" s="237"/>
      <c r="F7" s="237"/>
      <c r="G7" s="237"/>
      <c r="H7" s="237"/>
      <c r="I7" s="237"/>
      <c r="J7" s="237"/>
      <c r="K7" s="237"/>
      <c r="L7" s="237"/>
      <c r="M7" s="237"/>
      <c r="N7" s="237"/>
      <c r="O7" s="237"/>
      <c r="P7" s="237"/>
      <c r="Q7" s="237"/>
      <c r="R7" s="237"/>
      <c r="S7" s="237"/>
      <c r="T7" s="237"/>
      <c r="U7" s="237"/>
      <c r="V7" s="237"/>
      <c r="W7" s="159" t="s">
        <v>1294</v>
      </c>
      <c r="Z7" s="8" t="s">
        <v>1295</v>
      </c>
      <c r="AB7" s="372" t="s">
        <v>596</v>
      </c>
    </row>
    <row r="8" spans="2:28" ht="15" customHeight="1">
      <c r="B8" s="517"/>
      <c r="C8" s="175">
        <v>1.3</v>
      </c>
      <c r="D8" s="237"/>
      <c r="E8" s="237"/>
      <c r="F8" s="237"/>
      <c r="G8" s="237"/>
      <c r="H8" s="237"/>
      <c r="I8" s="237"/>
      <c r="J8" s="237"/>
      <c r="K8" s="237"/>
      <c r="L8" s="237"/>
      <c r="M8" s="237"/>
      <c r="N8" s="237"/>
      <c r="O8" s="237"/>
      <c r="P8" s="237"/>
      <c r="Q8" s="237"/>
      <c r="R8" s="237"/>
      <c r="S8" s="237"/>
      <c r="T8" s="237"/>
      <c r="U8" s="237"/>
      <c r="V8" s="237"/>
      <c r="W8" s="159" t="s">
        <v>1296</v>
      </c>
      <c r="Z8" s="8" t="s">
        <v>1297</v>
      </c>
      <c r="AB8" s="372" t="s">
        <v>1291</v>
      </c>
    </row>
    <row r="9" spans="2:28" ht="15" customHeight="1">
      <c r="B9" s="165"/>
      <c r="C9" s="165"/>
      <c r="D9" s="165"/>
      <c r="E9" s="165"/>
      <c r="F9" s="165"/>
      <c r="G9" s="165"/>
      <c r="H9" s="165"/>
      <c r="I9" s="165"/>
      <c r="J9" s="165"/>
      <c r="K9" s="165"/>
      <c r="L9" s="165"/>
      <c r="M9" s="165"/>
      <c r="N9" s="165"/>
      <c r="O9" s="165"/>
      <c r="P9" s="165"/>
      <c r="Q9" s="165"/>
      <c r="R9" s="165"/>
      <c r="S9" s="165"/>
      <c r="T9" s="165"/>
      <c r="U9" s="165"/>
      <c r="V9" s="165"/>
      <c r="W9" s="159" t="s">
        <v>1296</v>
      </c>
    </row>
    <row r="10" spans="2:28" ht="15" customHeight="1">
      <c r="B10" s="515" t="s">
        <v>1298</v>
      </c>
      <c r="C10" s="176"/>
      <c r="D10" s="235"/>
      <c r="E10" s="235"/>
      <c r="F10" s="235"/>
      <c r="G10" s="235"/>
      <c r="H10" s="235"/>
      <c r="I10" s="235"/>
      <c r="J10" s="235"/>
      <c r="K10" s="235"/>
      <c r="L10" s="235"/>
      <c r="M10" s="235"/>
      <c r="N10" s="235"/>
      <c r="O10" s="235"/>
      <c r="P10" s="235"/>
      <c r="Q10" s="235"/>
      <c r="R10" s="235"/>
      <c r="S10" s="235"/>
      <c r="T10" s="235"/>
      <c r="U10" s="235"/>
      <c r="V10" s="235"/>
      <c r="W10" s="170"/>
      <c r="Z10" s="373" t="s">
        <v>1299</v>
      </c>
    </row>
    <row r="11" spans="2:28" ht="15" customHeight="1">
      <c r="B11" s="516"/>
      <c r="C11" s="175">
        <v>2.1</v>
      </c>
      <c r="D11" s="176"/>
      <c r="E11" s="176"/>
      <c r="F11" s="176"/>
      <c r="G11" s="176"/>
      <c r="H11" s="176"/>
      <c r="I11" s="347" t="s">
        <v>1300</v>
      </c>
      <c r="J11" s="176"/>
      <c r="K11" s="176"/>
      <c r="L11" s="176"/>
      <c r="M11" s="176"/>
      <c r="N11" s="176"/>
      <c r="O11" s="176"/>
      <c r="P11" s="176"/>
      <c r="Q11" s="176"/>
      <c r="R11" s="176"/>
      <c r="S11" s="176"/>
      <c r="T11" s="176"/>
      <c r="U11" s="176"/>
      <c r="V11" s="176"/>
      <c r="W11" s="159"/>
    </row>
    <row r="12" spans="2:28" ht="15" customHeight="1">
      <c r="B12" s="516"/>
      <c r="C12" s="175">
        <v>2.2000000000000002</v>
      </c>
      <c r="D12" s="176"/>
      <c r="E12" s="176"/>
      <c r="F12" s="176"/>
      <c r="G12" s="176"/>
      <c r="H12" s="176"/>
      <c r="I12" s="176"/>
      <c r="J12" s="176"/>
      <c r="K12" s="176"/>
      <c r="L12" s="176"/>
      <c r="M12" s="176"/>
      <c r="N12" s="176"/>
      <c r="O12" s="176"/>
      <c r="P12" s="176"/>
      <c r="Q12" s="176"/>
      <c r="R12" s="176"/>
      <c r="S12" s="176"/>
      <c r="T12" s="176"/>
      <c r="U12" s="176"/>
      <c r="V12" s="176"/>
      <c r="W12" s="159" t="s">
        <v>1293</v>
      </c>
      <c r="Z12" s="8" t="s">
        <v>1301</v>
      </c>
      <c r="AB12" s="371" t="s">
        <v>1302</v>
      </c>
    </row>
    <row r="13" spans="2:28" ht="15" customHeight="1">
      <c r="B13" s="516"/>
      <c r="C13" s="175">
        <v>2.2999999999999998</v>
      </c>
      <c r="D13" s="176"/>
      <c r="E13" s="176"/>
      <c r="F13" s="176"/>
      <c r="G13" s="176"/>
      <c r="H13" s="176"/>
      <c r="I13" s="176"/>
      <c r="J13" s="176"/>
      <c r="K13" s="176"/>
      <c r="L13" s="176"/>
      <c r="M13" s="176"/>
      <c r="N13" s="176"/>
      <c r="O13" s="176"/>
      <c r="P13" s="176"/>
      <c r="Q13" s="176"/>
      <c r="R13" s="176"/>
      <c r="S13" s="176"/>
      <c r="T13" s="176"/>
      <c r="U13" s="176"/>
      <c r="V13" s="176"/>
      <c r="W13" s="159" t="s">
        <v>1293</v>
      </c>
      <c r="Z13" s="8" t="s">
        <v>1303</v>
      </c>
      <c r="AB13" s="371" t="s">
        <v>1296</v>
      </c>
    </row>
    <row r="14" spans="2:28" ht="15" customHeight="1">
      <c r="B14" s="516"/>
      <c r="C14" s="175">
        <v>2.4</v>
      </c>
      <c r="D14" s="176"/>
      <c r="E14" s="176"/>
      <c r="F14" s="176"/>
      <c r="G14" s="176"/>
      <c r="H14" s="176"/>
      <c r="I14" s="176"/>
      <c r="J14" s="176"/>
      <c r="K14" s="176"/>
      <c r="L14" s="176"/>
      <c r="M14" s="176"/>
      <c r="N14" s="176"/>
      <c r="O14" s="176"/>
      <c r="P14" s="176"/>
      <c r="Q14" s="176"/>
      <c r="R14" s="176"/>
      <c r="S14" s="176"/>
      <c r="T14" s="176"/>
      <c r="U14" s="176"/>
      <c r="V14" s="176"/>
      <c r="W14" s="159" t="s">
        <v>1302</v>
      </c>
      <c r="Z14" s="8" t="s">
        <v>1304</v>
      </c>
      <c r="AB14" s="371" t="s">
        <v>1294</v>
      </c>
    </row>
    <row r="15" spans="2:28" ht="15" customHeight="1">
      <c r="B15" s="516"/>
      <c r="C15" s="175">
        <v>2.5</v>
      </c>
      <c r="D15" s="176"/>
      <c r="E15" s="176"/>
      <c r="F15" s="176"/>
      <c r="G15" s="176"/>
      <c r="H15" s="176"/>
      <c r="I15" s="176"/>
      <c r="J15" s="176"/>
      <c r="K15" s="176"/>
      <c r="L15" s="176"/>
      <c r="M15" s="176"/>
      <c r="N15" s="176"/>
      <c r="O15" s="176"/>
      <c r="P15" s="176"/>
      <c r="Q15" s="176"/>
      <c r="R15" s="176"/>
      <c r="S15" s="176"/>
      <c r="T15" s="176"/>
      <c r="U15" s="176"/>
      <c r="V15" s="176"/>
      <c r="W15" s="159" t="s">
        <v>1296</v>
      </c>
      <c r="Z15" s="8" t="s">
        <v>1305</v>
      </c>
      <c r="AB15" s="371" t="s">
        <v>1293</v>
      </c>
    </row>
    <row r="16" spans="2:28" ht="15" customHeight="1">
      <c r="B16" s="516"/>
      <c r="C16" s="175">
        <v>2.6</v>
      </c>
      <c r="D16" s="176"/>
      <c r="E16" s="176"/>
      <c r="F16" s="176"/>
      <c r="G16" s="176"/>
      <c r="H16" s="176"/>
      <c r="I16" s="176"/>
      <c r="J16" s="176"/>
      <c r="K16" s="176"/>
      <c r="L16" s="176"/>
      <c r="M16" s="176"/>
      <c r="N16" s="176"/>
      <c r="O16" s="176"/>
      <c r="P16" s="176"/>
      <c r="Q16" s="176"/>
      <c r="R16" s="176"/>
      <c r="S16" s="176"/>
      <c r="T16" s="176"/>
      <c r="U16" s="176"/>
      <c r="V16" s="176"/>
      <c r="W16" s="159"/>
      <c r="Z16" s="8" t="s">
        <v>1306</v>
      </c>
      <c r="AB16" s="371" t="s">
        <v>1307</v>
      </c>
    </row>
    <row r="17" spans="2:23" ht="15" customHeight="1">
      <c r="B17" s="516"/>
      <c r="C17" s="175">
        <v>2.7</v>
      </c>
      <c r="D17" s="176"/>
      <c r="E17" s="176"/>
      <c r="F17" s="176"/>
      <c r="G17" s="176"/>
      <c r="H17" s="176"/>
      <c r="I17" s="176"/>
      <c r="J17" s="176"/>
      <c r="K17" s="176"/>
      <c r="L17" s="176"/>
      <c r="M17" s="176"/>
      <c r="N17" s="176"/>
      <c r="O17" s="176"/>
      <c r="P17" s="176"/>
      <c r="Q17" s="176"/>
      <c r="R17" s="176"/>
      <c r="S17" s="176"/>
      <c r="T17" s="176"/>
      <c r="U17" s="176"/>
      <c r="V17" s="176"/>
      <c r="W17" s="159"/>
    </row>
    <row r="18" spans="2:23" ht="15" customHeight="1">
      <c r="B18" s="517"/>
      <c r="C18" s="175">
        <v>2.8</v>
      </c>
      <c r="D18" s="176"/>
      <c r="E18" s="176"/>
      <c r="F18" s="176"/>
      <c r="G18" s="176"/>
      <c r="H18" s="176"/>
      <c r="I18" s="176"/>
      <c r="J18" s="176"/>
      <c r="K18" s="176"/>
      <c r="L18" s="176"/>
      <c r="M18" s="176"/>
      <c r="N18" s="176"/>
      <c r="O18" s="176"/>
      <c r="P18" s="176"/>
      <c r="Q18" s="176"/>
      <c r="R18" s="176"/>
      <c r="S18" s="176"/>
      <c r="T18" s="176"/>
      <c r="U18" s="176"/>
      <c r="V18" s="176"/>
      <c r="W18" s="159"/>
    </row>
    <row r="19" spans="2:23" ht="15" customHeight="1">
      <c r="B19" s="165"/>
      <c r="C19" s="165"/>
      <c r="D19" s="165"/>
      <c r="E19" s="165"/>
      <c r="F19" s="165"/>
      <c r="G19" s="165"/>
      <c r="H19" s="165"/>
      <c r="I19" s="165"/>
      <c r="J19" s="165"/>
      <c r="K19" s="165"/>
      <c r="L19" s="165"/>
      <c r="M19" s="165"/>
      <c r="N19" s="165"/>
      <c r="O19" s="165"/>
      <c r="P19" s="165"/>
      <c r="Q19" s="165"/>
      <c r="R19" s="165"/>
      <c r="S19" s="165"/>
      <c r="T19" s="165"/>
      <c r="U19" s="165"/>
      <c r="V19" s="165"/>
      <c r="W19" s="159"/>
    </row>
    <row r="20" spans="2:23" ht="12" customHeight="1">
      <c r="B20" s="515" t="s">
        <v>1308</v>
      </c>
      <c r="C20" s="176"/>
      <c r="D20" s="235"/>
      <c r="E20" s="235"/>
      <c r="F20" s="235"/>
      <c r="G20" s="235"/>
      <c r="H20" s="235"/>
      <c r="I20" s="235"/>
      <c r="J20" s="235"/>
      <c r="K20" s="235"/>
      <c r="L20" s="235"/>
      <c r="M20" s="235"/>
      <c r="N20" s="235"/>
      <c r="O20" s="235"/>
      <c r="P20" s="235"/>
      <c r="Q20" s="235"/>
      <c r="R20" s="235"/>
      <c r="S20" s="235"/>
      <c r="T20" s="235"/>
      <c r="U20" s="235"/>
      <c r="V20" s="176"/>
      <c r="W20" s="170"/>
    </row>
    <row r="21" spans="2:23" ht="15.6" customHeight="1">
      <c r="B21" s="516"/>
      <c r="C21" s="175">
        <v>3.1</v>
      </c>
      <c r="D21" s="176"/>
      <c r="E21" s="176"/>
      <c r="F21" s="176"/>
      <c r="G21" s="176"/>
      <c r="H21" s="176"/>
      <c r="I21" s="176"/>
      <c r="J21" s="176"/>
      <c r="K21" s="176"/>
      <c r="L21" s="176"/>
      <c r="M21" s="176"/>
      <c r="N21" s="176"/>
      <c r="O21" s="176"/>
      <c r="P21" s="176"/>
      <c r="Q21" s="176"/>
      <c r="R21" s="176"/>
      <c r="S21" s="176"/>
      <c r="T21" s="176"/>
      <c r="U21" s="176"/>
      <c r="V21" s="176"/>
      <c r="W21" s="159"/>
    </row>
    <row r="22" spans="2:23" ht="15.6" customHeight="1">
      <c r="B22" s="516"/>
      <c r="C22" s="175">
        <v>3.2</v>
      </c>
      <c r="D22" s="176"/>
      <c r="E22" s="176"/>
      <c r="F22" s="176"/>
      <c r="G22" s="176"/>
      <c r="H22" s="176"/>
      <c r="I22" s="176"/>
      <c r="J22" s="176"/>
      <c r="K22" s="176"/>
      <c r="L22" s="176"/>
      <c r="M22" s="176"/>
      <c r="N22" s="176"/>
      <c r="O22" s="176"/>
      <c r="P22" s="176"/>
      <c r="Q22" s="176"/>
      <c r="R22" s="176"/>
      <c r="S22" s="176"/>
      <c r="T22" s="176"/>
      <c r="U22" s="176"/>
      <c r="V22" s="176"/>
      <c r="W22" s="159" t="s">
        <v>1293</v>
      </c>
    </row>
    <row r="23" spans="2:23" ht="15.6" customHeight="1">
      <c r="B23" s="516"/>
      <c r="C23" s="175">
        <v>3.3</v>
      </c>
      <c r="D23" s="176"/>
      <c r="E23" s="176"/>
      <c r="F23" s="176"/>
      <c r="G23" s="176"/>
      <c r="H23" s="176"/>
      <c r="I23" s="176"/>
      <c r="J23" s="176"/>
      <c r="K23" s="176"/>
      <c r="L23" s="176"/>
      <c r="M23" s="176"/>
      <c r="N23" s="176"/>
      <c r="O23" s="176"/>
      <c r="P23" s="176"/>
      <c r="Q23" s="176"/>
      <c r="R23" s="176"/>
      <c r="S23" s="176"/>
      <c r="T23" s="176"/>
      <c r="U23" s="176"/>
      <c r="V23" s="176"/>
      <c r="W23" s="159" t="s">
        <v>1293</v>
      </c>
    </row>
    <row r="24" spans="2:23" ht="15.6" customHeight="1">
      <c r="B24" s="516"/>
      <c r="C24" s="175">
        <v>3.4</v>
      </c>
      <c r="D24" s="176"/>
      <c r="E24" s="176"/>
      <c r="F24" s="176"/>
      <c r="G24" s="176"/>
      <c r="H24" s="176"/>
      <c r="I24" s="176"/>
      <c r="J24" s="176"/>
      <c r="K24" s="176"/>
      <c r="L24" s="176"/>
      <c r="M24" s="176"/>
      <c r="N24" s="176"/>
      <c r="O24" s="176"/>
      <c r="P24" s="176"/>
      <c r="Q24" s="176"/>
      <c r="R24" s="176"/>
      <c r="S24" s="176"/>
      <c r="T24" s="176"/>
      <c r="U24" s="176"/>
      <c r="V24" s="176"/>
      <c r="W24" s="159"/>
    </row>
    <row r="25" spans="2:23" ht="15.6" customHeight="1">
      <c r="B25" s="516"/>
      <c r="C25" s="175">
        <v>3.5</v>
      </c>
      <c r="D25" s="176"/>
      <c r="E25" s="176"/>
      <c r="F25" s="176"/>
      <c r="G25" s="176"/>
      <c r="H25" s="176"/>
      <c r="I25" s="176"/>
      <c r="J25" s="176"/>
      <c r="K25" s="176"/>
      <c r="L25" s="176"/>
      <c r="M25" s="176"/>
      <c r="N25" s="176"/>
      <c r="O25" s="176"/>
      <c r="P25" s="176"/>
      <c r="Q25" s="176"/>
      <c r="R25" s="176"/>
      <c r="S25" s="176"/>
      <c r="T25" s="176"/>
      <c r="U25" s="176"/>
      <c r="V25" s="176"/>
      <c r="W25" s="159"/>
    </row>
    <row r="26" spans="2:23" ht="15.6" customHeight="1">
      <c r="B26" s="516"/>
      <c r="C26" s="175">
        <v>3.6</v>
      </c>
      <c r="D26" s="176"/>
      <c r="E26" s="176"/>
      <c r="F26" s="176"/>
      <c r="G26" s="176"/>
      <c r="H26" s="176"/>
      <c r="I26" s="176"/>
      <c r="J26" s="176"/>
      <c r="K26" s="176"/>
      <c r="L26" s="176"/>
      <c r="M26" s="176"/>
      <c r="N26" s="176"/>
      <c r="O26" s="176"/>
      <c r="P26" s="176"/>
      <c r="Q26" s="176"/>
      <c r="R26" s="176"/>
      <c r="S26" s="176"/>
      <c r="T26" s="176"/>
      <c r="U26" s="176"/>
      <c r="V26" s="176"/>
      <c r="W26" s="159"/>
    </row>
    <row r="27" spans="2:23" ht="15.6" customHeight="1">
      <c r="B27" s="517"/>
      <c r="C27" s="175">
        <v>3.7</v>
      </c>
      <c r="D27" s="176"/>
      <c r="E27" s="176"/>
      <c r="F27" s="176"/>
      <c r="G27" s="176"/>
      <c r="H27" s="176"/>
      <c r="I27" s="176"/>
      <c r="J27" s="176"/>
      <c r="K27" s="176"/>
      <c r="L27" s="176"/>
      <c r="M27" s="176"/>
      <c r="N27" s="176"/>
      <c r="O27" s="176"/>
      <c r="P27" s="176"/>
      <c r="Q27" s="176"/>
      <c r="R27" s="176"/>
      <c r="S27" s="176"/>
      <c r="T27" s="176"/>
      <c r="U27" s="176"/>
      <c r="V27" s="176"/>
      <c r="W27" s="159"/>
    </row>
    <row r="28" spans="2:23" ht="21" customHeight="1">
      <c r="B28" s="165"/>
      <c r="C28" s="165"/>
      <c r="D28" s="165"/>
      <c r="E28" s="165"/>
      <c r="F28" s="165"/>
      <c r="G28" s="165"/>
      <c r="H28" s="165"/>
      <c r="I28" s="165"/>
      <c r="J28" s="165"/>
      <c r="K28" s="165"/>
      <c r="L28" s="165"/>
      <c r="M28" s="165"/>
      <c r="N28" s="165"/>
      <c r="O28" s="165"/>
      <c r="P28" s="165"/>
      <c r="Q28" s="165"/>
      <c r="R28" s="165"/>
      <c r="S28" s="165"/>
      <c r="T28" s="165"/>
      <c r="U28" s="165"/>
      <c r="V28" s="165"/>
      <c r="W28" s="159"/>
    </row>
    <row r="29" spans="2:23" ht="12" customHeight="1">
      <c r="B29" s="515" t="s">
        <v>1309</v>
      </c>
      <c r="C29" s="176"/>
      <c r="D29" s="235"/>
      <c r="E29" s="176"/>
      <c r="F29" s="176"/>
      <c r="G29" s="176"/>
      <c r="H29" s="176"/>
      <c r="I29" s="176"/>
      <c r="J29" s="176"/>
      <c r="K29" s="176"/>
      <c r="L29" s="235"/>
      <c r="M29" s="176"/>
      <c r="N29" s="235"/>
      <c r="O29" s="176"/>
      <c r="P29" s="176"/>
      <c r="Q29" s="176"/>
      <c r="R29" s="235"/>
      <c r="S29" s="176"/>
      <c r="T29" s="235"/>
      <c r="U29" s="176"/>
      <c r="V29" s="176"/>
      <c r="W29" s="170"/>
    </row>
    <row r="30" spans="2:23" ht="15.6" customHeight="1">
      <c r="B30" s="516"/>
      <c r="C30" s="175">
        <v>4.0999999999999996</v>
      </c>
      <c r="D30" s="176"/>
      <c r="E30" s="176"/>
      <c r="F30" s="176"/>
      <c r="G30" s="176"/>
      <c r="H30" s="176"/>
      <c r="I30" s="176"/>
      <c r="J30" s="176"/>
      <c r="K30" s="176"/>
      <c r="L30" s="176"/>
      <c r="M30" s="176"/>
      <c r="N30" s="176"/>
      <c r="O30" s="176"/>
      <c r="P30" s="176"/>
      <c r="Q30" s="176"/>
      <c r="R30" s="176"/>
      <c r="S30" s="176"/>
      <c r="T30" s="176"/>
      <c r="U30" s="176"/>
      <c r="V30" s="176"/>
      <c r="W30" s="159"/>
    </row>
    <row r="31" spans="2:23" ht="15.6" customHeight="1">
      <c r="B31" s="516"/>
      <c r="C31" s="175">
        <v>4.2</v>
      </c>
      <c r="D31" s="176"/>
      <c r="E31" s="176"/>
      <c r="F31" s="176"/>
      <c r="G31" s="176"/>
      <c r="H31" s="176"/>
      <c r="I31" s="176"/>
      <c r="J31" s="176"/>
      <c r="K31" s="176"/>
      <c r="L31" s="176"/>
      <c r="M31" s="176"/>
      <c r="N31" s="176"/>
      <c r="O31" s="176"/>
      <c r="P31" s="176"/>
      <c r="Q31" s="176"/>
      <c r="R31" s="176"/>
      <c r="S31" s="176"/>
      <c r="T31" s="176"/>
      <c r="U31" s="176"/>
      <c r="V31" s="176"/>
      <c r="W31" s="159" t="s">
        <v>1293</v>
      </c>
    </row>
    <row r="32" spans="2:23" ht="15.6" customHeight="1">
      <c r="B32" s="516"/>
      <c r="C32" s="175">
        <v>4.3</v>
      </c>
      <c r="D32" s="176"/>
      <c r="E32" s="176"/>
      <c r="F32" s="176"/>
      <c r="G32" s="176"/>
      <c r="H32" s="176"/>
      <c r="I32" s="176"/>
      <c r="J32" s="176"/>
      <c r="K32" s="176"/>
      <c r="L32" s="176"/>
      <c r="M32" s="176"/>
      <c r="N32" s="176"/>
      <c r="O32" s="176"/>
      <c r="P32" s="176"/>
      <c r="Q32" s="176"/>
      <c r="R32" s="176"/>
      <c r="S32" s="176"/>
      <c r="T32" s="176"/>
      <c r="U32" s="176"/>
      <c r="V32" s="176"/>
      <c r="W32" s="159"/>
    </row>
    <row r="33" spans="2:23" ht="15.6" customHeight="1">
      <c r="B33" s="516"/>
      <c r="C33" s="175">
        <v>4.4000000000000004</v>
      </c>
      <c r="D33" s="176"/>
      <c r="E33" s="176"/>
      <c r="F33" s="176"/>
      <c r="G33" s="176"/>
      <c r="H33" s="176"/>
      <c r="I33" s="176"/>
      <c r="J33" s="176"/>
      <c r="K33" s="176"/>
      <c r="L33" s="176"/>
      <c r="M33" s="176"/>
      <c r="N33" s="176"/>
      <c r="O33" s="176"/>
      <c r="P33" s="176"/>
      <c r="Q33" s="176"/>
      <c r="R33" s="176"/>
      <c r="S33" s="176"/>
      <c r="T33" s="176"/>
      <c r="U33" s="176"/>
      <c r="V33" s="176"/>
      <c r="W33" s="159"/>
    </row>
    <row r="34" spans="2:23" ht="15.6" customHeight="1">
      <c r="B34" s="517"/>
      <c r="C34" s="175">
        <v>4.5</v>
      </c>
      <c r="D34" s="176"/>
      <c r="E34" s="176"/>
      <c r="F34" s="176"/>
      <c r="G34" s="176"/>
      <c r="H34" s="176"/>
      <c r="I34" s="176"/>
      <c r="J34" s="176"/>
      <c r="K34" s="176"/>
      <c r="L34" s="176"/>
      <c r="M34" s="176"/>
      <c r="N34" s="176"/>
      <c r="O34" s="176"/>
      <c r="P34" s="176"/>
      <c r="Q34" s="176"/>
      <c r="R34" s="176"/>
      <c r="S34" s="176"/>
      <c r="T34" s="176"/>
      <c r="U34" s="176"/>
      <c r="V34" s="176"/>
      <c r="W34" s="159"/>
    </row>
    <row r="35" spans="2:23" ht="21" customHeight="1">
      <c r="B35" s="165"/>
      <c r="C35" s="165"/>
      <c r="D35" s="165"/>
      <c r="E35" s="165"/>
      <c r="F35" s="165"/>
      <c r="G35" s="165"/>
      <c r="H35" s="165"/>
      <c r="I35" s="165"/>
      <c r="J35" s="165"/>
      <c r="K35" s="165"/>
      <c r="L35" s="165"/>
      <c r="M35" s="165"/>
      <c r="N35" s="165"/>
      <c r="O35" s="165"/>
      <c r="P35" s="165"/>
      <c r="Q35" s="165"/>
      <c r="R35" s="165"/>
      <c r="S35" s="165"/>
      <c r="T35" s="165"/>
      <c r="U35" s="165"/>
      <c r="V35" s="165"/>
      <c r="W35" s="159"/>
    </row>
    <row r="36" spans="2:23" ht="12" customHeight="1">
      <c r="B36" s="515" t="s">
        <v>388</v>
      </c>
      <c r="C36" s="176"/>
      <c r="D36" s="176"/>
      <c r="E36" s="176"/>
      <c r="F36" s="176"/>
      <c r="G36" s="176"/>
      <c r="H36" s="176"/>
      <c r="I36" s="176"/>
      <c r="J36" s="176"/>
      <c r="K36" s="176"/>
      <c r="L36" s="176"/>
      <c r="M36" s="176"/>
      <c r="N36" s="235"/>
      <c r="O36" s="176"/>
      <c r="P36" s="176"/>
      <c r="Q36" s="176"/>
      <c r="R36" s="176"/>
      <c r="S36" s="176"/>
      <c r="T36" s="235"/>
      <c r="U36" s="176"/>
      <c r="V36" s="176"/>
      <c r="W36" s="170"/>
    </row>
    <row r="37" spans="2:23" ht="15.6" customHeight="1">
      <c r="B37" s="516"/>
      <c r="C37" s="175">
        <v>5.0999999999999996</v>
      </c>
      <c r="D37" s="176"/>
      <c r="E37" s="176"/>
      <c r="F37" s="176"/>
      <c r="G37" s="176"/>
      <c r="H37" s="176"/>
      <c r="I37" s="176"/>
      <c r="J37" s="176"/>
      <c r="K37" s="176"/>
      <c r="L37" s="176"/>
      <c r="M37" s="176"/>
      <c r="N37" s="176"/>
      <c r="O37" s="176"/>
      <c r="P37" s="176"/>
      <c r="Q37" s="176"/>
      <c r="R37" s="176"/>
      <c r="S37" s="176"/>
      <c r="T37" s="176"/>
      <c r="U37" s="176"/>
      <c r="V37" s="176"/>
      <c r="W37" s="159"/>
    </row>
    <row r="38" spans="2:23" ht="15.6" customHeight="1">
      <c r="B38" s="516"/>
      <c r="C38" s="175">
        <v>5.2</v>
      </c>
      <c r="D38" s="176"/>
      <c r="E38" s="176"/>
      <c r="F38" s="176"/>
      <c r="G38" s="176"/>
      <c r="H38" s="176"/>
      <c r="I38" s="176"/>
      <c r="J38" s="176"/>
      <c r="K38" s="176"/>
      <c r="L38" s="176"/>
      <c r="M38" s="176"/>
      <c r="N38" s="176"/>
      <c r="O38" s="176"/>
      <c r="P38" s="176"/>
      <c r="Q38" s="176"/>
      <c r="R38" s="176"/>
      <c r="S38" s="176"/>
      <c r="T38" s="176"/>
      <c r="U38" s="176"/>
      <c r="V38" s="176"/>
      <c r="W38" s="159"/>
    </row>
    <row r="39" spans="2:23" ht="15.6" customHeight="1">
      <c r="B39" s="517"/>
      <c r="C39" s="175">
        <v>5.3</v>
      </c>
      <c r="D39" s="176"/>
      <c r="E39" s="176"/>
      <c r="F39" s="176"/>
      <c r="G39" s="176"/>
      <c r="H39" s="176"/>
      <c r="I39" s="176"/>
      <c r="J39" s="176"/>
      <c r="K39" s="176"/>
      <c r="L39" s="176"/>
      <c r="M39" s="176"/>
      <c r="N39" s="176"/>
      <c r="O39" s="176"/>
      <c r="P39" s="176"/>
      <c r="Q39" s="176"/>
      <c r="R39" s="176"/>
      <c r="S39" s="176"/>
      <c r="T39" s="176"/>
      <c r="U39" s="176"/>
      <c r="V39" s="176"/>
      <c r="W39" s="159"/>
    </row>
    <row r="40" spans="2:23" ht="21" customHeight="1">
      <c r="B40" s="165"/>
      <c r="C40" s="165"/>
      <c r="D40" s="165"/>
      <c r="E40" s="165"/>
      <c r="F40" s="165"/>
      <c r="G40" s="165"/>
      <c r="H40" s="165"/>
      <c r="I40" s="165"/>
      <c r="J40" s="165"/>
      <c r="K40" s="165"/>
      <c r="L40" s="165"/>
      <c r="M40" s="165"/>
      <c r="N40" s="165"/>
      <c r="O40" s="165"/>
      <c r="P40" s="165"/>
      <c r="Q40" s="165"/>
      <c r="R40" s="165"/>
      <c r="S40" s="165"/>
      <c r="T40" s="165"/>
      <c r="U40" s="165"/>
      <c r="V40" s="165"/>
      <c r="W40" s="159"/>
    </row>
    <row r="41" spans="2:23" ht="12" customHeight="1">
      <c r="W41" s="171"/>
    </row>
    <row r="47" spans="2:23">
      <c r="B47" s="8" t="s">
        <v>1310</v>
      </c>
      <c r="C47" s="8" t="s">
        <v>1310</v>
      </c>
      <c r="D47" s="8" t="s">
        <v>1310</v>
      </c>
      <c r="E47" s="8" t="s">
        <v>1310</v>
      </c>
      <c r="F47" s="8" t="s">
        <v>1310</v>
      </c>
      <c r="G47" s="8" t="s">
        <v>1310</v>
      </c>
      <c r="H47" s="8" t="s">
        <v>1310</v>
      </c>
      <c r="I47" s="8" t="s">
        <v>1310</v>
      </c>
      <c r="J47" s="8" t="s">
        <v>1310</v>
      </c>
      <c r="K47" s="8" t="s">
        <v>1310</v>
      </c>
      <c r="L47" s="8" t="s">
        <v>1310</v>
      </c>
      <c r="M47" s="8" t="s">
        <v>1310</v>
      </c>
      <c r="N47" s="8" t="s">
        <v>1310</v>
      </c>
      <c r="O47" s="8" t="s">
        <v>1310</v>
      </c>
      <c r="P47" s="8" t="s">
        <v>1310</v>
      </c>
      <c r="Q47" s="8" t="s">
        <v>1310</v>
      </c>
      <c r="R47" s="8" t="s">
        <v>1310</v>
      </c>
      <c r="S47" s="8" t="s">
        <v>1310</v>
      </c>
      <c r="T47" s="8" t="s">
        <v>1310</v>
      </c>
      <c r="U47" s="8" t="s">
        <v>1310</v>
      </c>
      <c r="V47" s="8" t="s">
        <v>1310</v>
      </c>
    </row>
    <row r="48" spans="2:23">
      <c r="W48" s="8" t="s">
        <v>1310</v>
      </c>
    </row>
    <row r="49" spans="2:28" ht="49.8" customHeight="1">
      <c r="B49" s="522" t="s">
        <v>1284</v>
      </c>
      <c r="C49" s="522" t="s">
        <v>1285</v>
      </c>
      <c r="D49" s="521" t="s">
        <v>1286</v>
      </c>
      <c r="E49" s="520"/>
      <c r="F49" s="518" t="s">
        <v>1287</v>
      </c>
      <c r="G49" s="520"/>
      <c r="H49" s="521" t="s">
        <v>176</v>
      </c>
      <c r="I49" s="519"/>
      <c r="J49" s="519"/>
      <c r="K49" s="520"/>
      <c r="L49" s="518" t="s">
        <v>181</v>
      </c>
      <c r="M49" s="519"/>
      <c r="N49" s="520"/>
      <c r="O49" s="172" t="s">
        <v>177</v>
      </c>
      <c r="P49" s="173" t="s">
        <v>178</v>
      </c>
      <c r="Q49" s="521" t="s">
        <v>1288</v>
      </c>
      <c r="R49" s="519"/>
      <c r="S49" s="520"/>
      <c r="T49" s="518" t="s">
        <v>179</v>
      </c>
      <c r="U49" s="519"/>
      <c r="V49" s="520"/>
    </row>
    <row r="50" spans="2:28" ht="93.6" customHeight="1">
      <c r="B50" s="517"/>
      <c r="C50" s="517"/>
      <c r="D50" s="174" t="s">
        <v>539</v>
      </c>
      <c r="E50" s="174" t="s">
        <v>540</v>
      </c>
      <c r="F50" s="175" t="s">
        <v>551</v>
      </c>
      <c r="G50" s="175" t="s">
        <v>548</v>
      </c>
      <c r="H50" s="174" t="s">
        <v>426</v>
      </c>
      <c r="I50" s="174" t="s">
        <v>552</v>
      </c>
      <c r="J50" s="174" t="s">
        <v>547</v>
      </c>
      <c r="K50" s="174" t="s">
        <v>549</v>
      </c>
      <c r="L50" s="175" t="s">
        <v>546</v>
      </c>
      <c r="M50" s="175" t="s">
        <v>545</v>
      </c>
      <c r="N50" s="175" t="s">
        <v>541</v>
      </c>
      <c r="O50" s="174" t="s">
        <v>550</v>
      </c>
      <c r="P50" s="175" t="s">
        <v>543</v>
      </c>
      <c r="Q50" s="174" t="s">
        <v>542</v>
      </c>
      <c r="R50" s="174" t="s">
        <v>544</v>
      </c>
      <c r="S50" s="174" t="s">
        <v>538</v>
      </c>
      <c r="T50" s="175" t="s">
        <v>535</v>
      </c>
      <c r="U50" s="175" t="s">
        <v>537</v>
      </c>
      <c r="V50" s="175" t="s">
        <v>536</v>
      </c>
      <c r="W50" s="169" t="s">
        <v>1289</v>
      </c>
    </row>
    <row r="51" spans="2:28" ht="21" customHeight="1">
      <c r="B51" s="165"/>
      <c r="C51" s="165"/>
      <c r="D51" s="165"/>
      <c r="E51" s="165"/>
      <c r="F51" s="165"/>
      <c r="G51" s="165"/>
      <c r="H51" s="165"/>
      <c r="I51" s="165"/>
      <c r="J51" s="165"/>
      <c r="K51" s="165"/>
      <c r="L51" s="165"/>
      <c r="M51" s="165"/>
      <c r="N51" s="165"/>
      <c r="O51" s="165"/>
      <c r="P51" s="165"/>
      <c r="Q51" s="165"/>
      <c r="R51" s="165"/>
      <c r="S51" s="165"/>
      <c r="T51" s="165"/>
      <c r="U51" s="165"/>
      <c r="V51" s="165"/>
      <c r="W51" s="169" t="s">
        <v>553</v>
      </c>
    </row>
    <row r="52" spans="2:28" ht="12" customHeight="1">
      <c r="B52" s="515" t="s">
        <v>1290</v>
      </c>
      <c r="C52" s="176"/>
      <c r="D52" s="176" t="s">
        <v>596</v>
      </c>
      <c r="E52" s="176" t="s">
        <v>596</v>
      </c>
      <c r="F52" s="176" t="s">
        <v>596</v>
      </c>
      <c r="G52" s="176" t="s">
        <v>596</v>
      </c>
      <c r="H52" s="176" t="s">
        <v>596</v>
      </c>
      <c r="I52" s="176" t="s">
        <v>596</v>
      </c>
      <c r="J52" s="176" t="s">
        <v>596</v>
      </c>
      <c r="K52" s="176" t="s">
        <v>596</v>
      </c>
      <c r="L52" s="176" t="s">
        <v>596</v>
      </c>
      <c r="M52" s="176" t="s">
        <v>596</v>
      </c>
      <c r="N52" s="176" t="s">
        <v>596</v>
      </c>
      <c r="O52" s="176" t="s">
        <v>596</v>
      </c>
      <c r="P52" s="176" t="s">
        <v>596</v>
      </c>
      <c r="Q52" s="176" t="s">
        <v>596</v>
      </c>
      <c r="R52" s="176" t="s">
        <v>596</v>
      </c>
      <c r="S52" s="176" t="s">
        <v>596</v>
      </c>
      <c r="T52" s="176" t="s">
        <v>596</v>
      </c>
      <c r="U52" s="176" t="s">
        <v>596</v>
      </c>
      <c r="V52" s="176" t="s">
        <v>596</v>
      </c>
      <c r="W52" s="159"/>
    </row>
    <row r="53" spans="2:28" ht="15.6" customHeight="1">
      <c r="B53" s="516"/>
      <c r="C53" s="175">
        <v>1.1000000000000001</v>
      </c>
      <c r="D53" s="176" t="s">
        <v>1302</v>
      </c>
      <c r="E53" s="176" t="s">
        <v>1302</v>
      </c>
      <c r="F53" s="176" t="s">
        <v>1302</v>
      </c>
      <c r="G53" s="176" t="s">
        <v>1302</v>
      </c>
      <c r="H53" s="176" t="s">
        <v>1302</v>
      </c>
      <c r="I53" s="176" t="s">
        <v>1302</v>
      </c>
      <c r="J53" s="176" t="s">
        <v>1302</v>
      </c>
      <c r="K53" s="176" t="s">
        <v>1302</v>
      </c>
      <c r="L53" s="176" t="s">
        <v>1302</v>
      </c>
      <c r="M53" s="176" t="s">
        <v>1302</v>
      </c>
      <c r="N53" s="176" t="s">
        <v>1302</v>
      </c>
      <c r="O53" s="176" t="s">
        <v>1302</v>
      </c>
      <c r="P53" s="176" t="s">
        <v>1302</v>
      </c>
      <c r="Q53" s="176" t="s">
        <v>1302</v>
      </c>
      <c r="R53" s="176" t="s">
        <v>1302</v>
      </c>
      <c r="S53" s="176" t="s">
        <v>1302</v>
      </c>
      <c r="T53" s="176" t="s">
        <v>1302</v>
      </c>
      <c r="U53" s="176" t="s">
        <v>1302</v>
      </c>
      <c r="V53" s="176" t="s">
        <v>1302</v>
      </c>
      <c r="W53" s="159" t="s">
        <v>1291</v>
      </c>
    </row>
    <row r="54" spans="2:28" ht="15.6" customHeight="1">
      <c r="B54" s="516"/>
      <c r="C54" s="175">
        <v>1.2</v>
      </c>
      <c r="D54" s="176"/>
      <c r="E54" s="176"/>
      <c r="F54" s="176"/>
      <c r="G54" s="176"/>
      <c r="H54" s="176"/>
      <c r="I54" s="176" t="s">
        <v>1302</v>
      </c>
      <c r="J54" s="176"/>
      <c r="K54" s="176"/>
      <c r="L54" s="176" t="s">
        <v>1302</v>
      </c>
      <c r="M54" s="176"/>
      <c r="N54" s="176" t="s">
        <v>1302</v>
      </c>
      <c r="O54" s="176"/>
      <c r="P54" s="176"/>
      <c r="Q54" s="176" t="s">
        <v>1302</v>
      </c>
      <c r="R54" s="176" t="s">
        <v>1302</v>
      </c>
      <c r="S54" s="176"/>
      <c r="T54" s="176"/>
      <c r="U54" s="176" t="s">
        <v>1302</v>
      </c>
      <c r="V54" s="176"/>
      <c r="W54" s="159" t="s">
        <v>1293</v>
      </c>
      <c r="Z54" s="8" t="s">
        <v>1302</v>
      </c>
      <c r="AB54" s="8" t="s">
        <v>596</v>
      </c>
    </row>
    <row r="55" spans="2:28" ht="15.6" customHeight="1">
      <c r="B55" s="517"/>
      <c r="C55" s="175">
        <v>1.3</v>
      </c>
      <c r="D55" s="176"/>
      <c r="E55" s="176"/>
      <c r="F55" s="176"/>
      <c r="G55" s="176"/>
      <c r="H55" s="176"/>
      <c r="I55" s="176"/>
      <c r="J55" s="176"/>
      <c r="K55" s="176"/>
      <c r="L55" s="176" t="s">
        <v>1302</v>
      </c>
      <c r="M55" s="176"/>
      <c r="N55" s="176"/>
      <c r="O55" s="176"/>
      <c r="P55" s="176"/>
      <c r="Q55" s="176"/>
      <c r="R55" s="176"/>
      <c r="S55" s="176"/>
      <c r="T55" s="176"/>
      <c r="U55" s="176"/>
      <c r="V55" s="176"/>
      <c r="W55" s="159" t="s">
        <v>1294</v>
      </c>
      <c r="Z55" s="8" t="s">
        <v>1296</v>
      </c>
      <c r="AB55" s="8" t="s">
        <v>1291</v>
      </c>
    </row>
    <row r="56" spans="2:28" ht="21" customHeight="1">
      <c r="B56" s="165"/>
      <c r="C56" s="165"/>
      <c r="D56" s="165"/>
      <c r="E56" s="165"/>
      <c r="F56" s="165"/>
      <c r="G56" s="165"/>
      <c r="H56" s="165"/>
      <c r="I56" s="165"/>
      <c r="J56" s="165"/>
      <c r="K56" s="165"/>
      <c r="L56" s="165"/>
      <c r="M56" s="165"/>
      <c r="N56" s="165"/>
      <c r="O56" s="165"/>
      <c r="P56" s="165"/>
      <c r="Q56" s="165"/>
      <c r="R56" s="165"/>
      <c r="S56" s="165"/>
      <c r="T56" s="165"/>
      <c r="U56" s="165"/>
      <c r="V56" s="165"/>
      <c r="W56" s="159" t="s">
        <v>1296</v>
      </c>
      <c r="Z56" s="8" t="s">
        <v>1294</v>
      </c>
    </row>
    <row r="57" spans="2:28" ht="15.6" customHeight="1">
      <c r="B57" s="515" t="s">
        <v>1298</v>
      </c>
      <c r="C57" s="176"/>
      <c r="D57" s="176" t="s">
        <v>596</v>
      </c>
      <c r="E57" s="176" t="s">
        <v>596</v>
      </c>
      <c r="F57" s="176" t="s">
        <v>596</v>
      </c>
      <c r="G57" s="176" t="s">
        <v>596</v>
      </c>
      <c r="H57" s="176" t="s">
        <v>596</v>
      </c>
      <c r="I57" s="176" t="s">
        <v>596</v>
      </c>
      <c r="J57" s="176" t="s">
        <v>596</v>
      </c>
      <c r="K57" s="176" t="s">
        <v>596</v>
      </c>
      <c r="L57" s="176" t="s">
        <v>596</v>
      </c>
      <c r="M57" s="176" t="s">
        <v>596</v>
      </c>
      <c r="N57" s="176" t="s">
        <v>596</v>
      </c>
      <c r="O57" s="176" t="s">
        <v>596</v>
      </c>
      <c r="P57" s="176" t="s">
        <v>596</v>
      </c>
      <c r="Q57" s="176" t="s">
        <v>596</v>
      </c>
      <c r="R57" s="176" t="s">
        <v>596</v>
      </c>
      <c r="S57" s="176" t="s">
        <v>596</v>
      </c>
      <c r="T57" s="176" t="s">
        <v>596</v>
      </c>
      <c r="U57" s="176" t="s">
        <v>596</v>
      </c>
      <c r="V57" s="176" t="s">
        <v>596</v>
      </c>
      <c r="W57" s="159" t="s">
        <v>1296</v>
      </c>
      <c r="Z57" s="8" t="s">
        <v>1294</v>
      </c>
    </row>
    <row r="58" spans="2:28" ht="12" customHeight="1">
      <c r="B58" s="516"/>
      <c r="C58" s="175">
        <v>2.1</v>
      </c>
      <c r="D58" s="176" t="s">
        <v>1302</v>
      </c>
      <c r="E58" s="176" t="s">
        <v>1296</v>
      </c>
      <c r="F58" s="176" t="s">
        <v>1302</v>
      </c>
      <c r="G58" s="176" t="s">
        <v>1302</v>
      </c>
      <c r="H58" s="176" t="s">
        <v>1302</v>
      </c>
      <c r="I58" s="176" t="s">
        <v>1302</v>
      </c>
      <c r="J58" s="176" t="s">
        <v>1302</v>
      </c>
      <c r="K58" s="176" t="s">
        <v>1302</v>
      </c>
      <c r="L58" s="176" t="s">
        <v>1302</v>
      </c>
      <c r="M58" s="176" t="s">
        <v>1302</v>
      </c>
      <c r="N58" s="176" t="s">
        <v>1302</v>
      </c>
      <c r="O58" s="176" t="s">
        <v>1296</v>
      </c>
      <c r="P58" s="176" t="s">
        <v>1302</v>
      </c>
      <c r="Q58" s="176" t="s">
        <v>1302</v>
      </c>
      <c r="R58" s="176" t="s">
        <v>1302</v>
      </c>
      <c r="S58" s="176" t="s">
        <v>1302</v>
      </c>
      <c r="T58" s="176" t="s">
        <v>1302</v>
      </c>
      <c r="U58" s="176" t="s">
        <v>1302</v>
      </c>
      <c r="V58" s="176" t="s">
        <v>1302</v>
      </c>
      <c r="W58" s="170"/>
      <c r="Z58" s="8" t="s">
        <v>1293</v>
      </c>
    </row>
    <row r="59" spans="2:28" ht="15.6" customHeight="1">
      <c r="B59" s="516"/>
      <c r="C59" s="175">
        <v>2.2000000000000002</v>
      </c>
      <c r="D59" s="176" t="s">
        <v>1302</v>
      </c>
      <c r="E59" s="176" t="s">
        <v>1302</v>
      </c>
      <c r="F59" s="176" t="s">
        <v>1302</v>
      </c>
      <c r="G59" s="176" t="s">
        <v>1302</v>
      </c>
      <c r="H59" s="176" t="s">
        <v>1302</v>
      </c>
      <c r="I59" s="176" t="s">
        <v>1302</v>
      </c>
      <c r="J59" s="176" t="s">
        <v>1302</v>
      </c>
      <c r="K59" s="176" t="s">
        <v>1302</v>
      </c>
      <c r="L59" s="176" t="s">
        <v>1302</v>
      </c>
      <c r="M59" s="176" t="s">
        <v>1302</v>
      </c>
      <c r="N59" s="176" t="s">
        <v>1302</v>
      </c>
      <c r="O59" s="176" t="s">
        <v>1302</v>
      </c>
      <c r="P59" s="176" t="s">
        <v>1302</v>
      </c>
      <c r="Q59" s="176" t="s">
        <v>1302</v>
      </c>
      <c r="R59" s="176" t="s">
        <v>1302</v>
      </c>
      <c r="S59" s="176" t="s">
        <v>1302</v>
      </c>
      <c r="T59" s="176" t="s">
        <v>1302</v>
      </c>
      <c r="U59" s="176" t="s">
        <v>1302</v>
      </c>
      <c r="V59" s="176" t="s">
        <v>1302</v>
      </c>
      <c r="W59" s="159"/>
      <c r="Z59" s="8" t="s">
        <v>1307</v>
      </c>
    </row>
    <row r="60" spans="2:28" ht="15.6" customHeight="1">
      <c r="B60" s="516"/>
      <c r="C60" s="175">
        <v>2.2999999999999998</v>
      </c>
      <c r="D60" s="176" t="s">
        <v>1302</v>
      </c>
      <c r="E60" s="176"/>
      <c r="F60" s="176" t="s">
        <v>1302</v>
      </c>
      <c r="G60" s="176" t="s">
        <v>1302</v>
      </c>
      <c r="H60" s="176" t="s">
        <v>1302</v>
      </c>
      <c r="I60" s="176" t="s">
        <v>1302</v>
      </c>
      <c r="J60" s="176" t="s">
        <v>1302</v>
      </c>
      <c r="K60" s="176" t="s">
        <v>1302</v>
      </c>
      <c r="L60" s="176"/>
      <c r="M60" s="176" t="s">
        <v>1302</v>
      </c>
      <c r="N60" s="176" t="s">
        <v>1302</v>
      </c>
      <c r="O60" s="176"/>
      <c r="P60" s="176"/>
      <c r="Q60" s="176" t="s">
        <v>1302</v>
      </c>
      <c r="R60" s="176" t="s">
        <v>1302</v>
      </c>
      <c r="S60" s="176" t="s">
        <v>1302</v>
      </c>
      <c r="T60" s="176"/>
      <c r="U60" s="176" t="s">
        <v>1302</v>
      </c>
      <c r="V60" s="176" t="s">
        <v>1302</v>
      </c>
      <c r="W60" s="159" t="s">
        <v>1293</v>
      </c>
    </row>
    <row r="61" spans="2:28" ht="15.6" customHeight="1">
      <c r="B61" s="516"/>
      <c r="C61" s="175">
        <v>2.4</v>
      </c>
      <c r="D61" s="176" t="s">
        <v>1302</v>
      </c>
      <c r="E61" s="176"/>
      <c r="F61" s="176"/>
      <c r="G61" s="176" t="s">
        <v>1302</v>
      </c>
      <c r="H61" s="176" t="s">
        <v>1302</v>
      </c>
      <c r="I61" s="176"/>
      <c r="J61" s="176" t="s">
        <v>1302</v>
      </c>
      <c r="K61" s="176" t="s">
        <v>1302</v>
      </c>
      <c r="L61" s="176"/>
      <c r="M61" s="176"/>
      <c r="N61" s="176" t="s">
        <v>1302</v>
      </c>
      <c r="O61" s="176"/>
      <c r="P61" s="176"/>
      <c r="Q61" s="176" t="s">
        <v>1302</v>
      </c>
      <c r="R61" s="176" t="s">
        <v>1302</v>
      </c>
      <c r="S61" s="176" t="s">
        <v>1302</v>
      </c>
      <c r="T61" s="176"/>
      <c r="U61" s="176" t="s">
        <v>1302</v>
      </c>
      <c r="V61" s="176" t="s">
        <v>1302</v>
      </c>
      <c r="W61" s="159" t="s">
        <v>1293</v>
      </c>
    </row>
    <row r="62" spans="2:28" ht="15.6" customHeight="1">
      <c r="B62" s="516"/>
      <c r="C62" s="175">
        <v>2.5</v>
      </c>
      <c r="D62" s="176"/>
      <c r="E62" s="176"/>
      <c r="F62" s="176"/>
      <c r="G62" s="176" t="s">
        <v>1302</v>
      </c>
      <c r="H62" s="176"/>
      <c r="I62" s="176"/>
      <c r="J62" s="176"/>
      <c r="K62" s="176" t="s">
        <v>1302</v>
      </c>
      <c r="L62" s="176"/>
      <c r="M62" s="176"/>
      <c r="N62" s="176" t="s">
        <v>1302</v>
      </c>
      <c r="O62" s="176"/>
      <c r="P62" s="176"/>
      <c r="Q62" s="176"/>
      <c r="R62" s="176" t="s">
        <v>1302</v>
      </c>
      <c r="S62" s="176"/>
      <c r="T62" s="176"/>
      <c r="U62" s="176" t="s">
        <v>1302</v>
      </c>
      <c r="V62" s="176" t="s">
        <v>1302</v>
      </c>
      <c r="W62" s="159" t="s">
        <v>1302</v>
      </c>
    </row>
    <row r="63" spans="2:28" ht="15.6" customHeight="1">
      <c r="B63" s="516"/>
      <c r="C63" s="175">
        <v>2.6</v>
      </c>
      <c r="D63" s="176"/>
      <c r="E63" s="176"/>
      <c r="F63" s="176"/>
      <c r="G63" s="176" t="s">
        <v>1302</v>
      </c>
      <c r="H63" s="176"/>
      <c r="I63" s="176"/>
      <c r="J63" s="176"/>
      <c r="K63" s="176" t="s">
        <v>1302</v>
      </c>
      <c r="L63" s="176"/>
      <c r="M63" s="176"/>
      <c r="N63" s="176" t="s">
        <v>1302</v>
      </c>
      <c r="O63" s="176"/>
      <c r="P63" s="176"/>
      <c r="Q63" s="176"/>
      <c r="R63" s="176" t="s">
        <v>1302</v>
      </c>
      <c r="S63" s="176"/>
      <c r="T63" s="176"/>
      <c r="U63" s="176"/>
      <c r="V63" s="176"/>
      <c r="W63" s="159" t="s">
        <v>1296</v>
      </c>
    </row>
    <row r="64" spans="2:28" ht="15.6" customHeight="1">
      <c r="B64" s="516"/>
      <c r="C64" s="175">
        <v>2.7</v>
      </c>
      <c r="D64" s="176"/>
      <c r="E64" s="176"/>
      <c r="F64" s="176"/>
      <c r="G64" s="176"/>
      <c r="H64" s="176"/>
      <c r="I64" s="176"/>
      <c r="J64" s="176"/>
      <c r="K64" s="176"/>
      <c r="L64" s="176"/>
      <c r="M64" s="176"/>
      <c r="N64" s="176"/>
      <c r="O64" s="176"/>
      <c r="P64" s="176"/>
      <c r="Q64" s="176"/>
      <c r="R64" s="176" t="s">
        <v>1302</v>
      </c>
      <c r="S64" s="176"/>
      <c r="T64" s="176"/>
      <c r="U64" s="176"/>
      <c r="V64" s="176"/>
      <c r="W64" s="159"/>
    </row>
    <row r="65" spans="2:23" ht="15.6" customHeight="1">
      <c r="B65" s="517"/>
      <c r="C65" s="175">
        <v>2.8</v>
      </c>
      <c r="D65" s="176"/>
      <c r="E65" s="176"/>
      <c r="F65" s="176"/>
      <c r="G65" s="176"/>
      <c r="H65" s="176"/>
      <c r="I65" s="176"/>
      <c r="J65" s="176"/>
      <c r="K65" s="176"/>
      <c r="L65" s="176"/>
      <c r="M65" s="176"/>
      <c r="N65" s="176"/>
      <c r="O65" s="176"/>
      <c r="P65" s="176"/>
      <c r="Q65" s="176"/>
      <c r="R65" s="176" t="s">
        <v>1302</v>
      </c>
      <c r="S65" s="176"/>
      <c r="T65" s="176"/>
      <c r="U65" s="176"/>
      <c r="V65" s="176"/>
      <c r="W65" s="159"/>
    </row>
    <row r="66" spans="2:23" ht="21" customHeight="1">
      <c r="B66" s="165"/>
      <c r="C66" s="165"/>
      <c r="D66" s="165"/>
      <c r="E66" s="165"/>
      <c r="F66" s="165"/>
      <c r="G66" s="165"/>
      <c r="H66" s="165"/>
      <c r="I66" s="165"/>
      <c r="J66" s="165"/>
      <c r="K66" s="165"/>
      <c r="L66" s="165"/>
      <c r="M66" s="165"/>
      <c r="N66" s="165"/>
      <c r="O66" s="165"/>
      <c r="P66" s="165"/>
      <c r="Q66" s="165"/>
      <c r="R66" s="165"/>
      <c r="S66" s="165"/>
      <c r="T66" s="165"/>
      <c r="U66" s="165"/>
      <c r="V66" s="165"/>
      <c r="W66" s="159"/>
    </row>
    <row r="67" spans="2:23" ht="15.6" customHeight="1">
      <c r="B67" s="515" t="s">
        <v>1308</v>
      </c>
      <c r="C67" s="176"/>
      <c r="D67" s="176" t="s">
        <v>1291</v>
      </c>
      <c r="E67" s="176" t="s">
        <v>596</v>
      </c>
      <c r="F67" s="176" t="s">
        <v>596</v>
      </c>
      <c r="G67" s="176" t="s">
        <v>596</v>
      </c>
      <c r="H67" s="176" t="s">
        <v>596</v>
      </c>
      <c r="I67" s="176" t="s">
        <v>596</v>
      </c>
      <c r="J67" s="176" t="s">
        <v>1291</v>
      </c>
      <c r="K67" s="176" t="s">
        <v>596</v>
      </c>
      <c r="L67" s="176" t="s">
        <v>596</v>
      </c>
      <c r="M67" s="176" t="s">
        <v>596</v>
      </c>
      <c r="N67" s="176" t="s">
        <v>596</v>
      </c>
      <c r="O67" s="176" t="s">
        <v>596</v>
      </c>
      <c r="P67" s="176" t="s">
        <v>596</v>
      </c>
      <c r="Q67" s="176" t="s">
        <v>596</v>
      </c>
      <c r="R67" s="176" t="s">
        <v>596</v>
      </c>
      <c r="S67" s="176" t="s">
        <v>596</v>
      </c>
      <c r="T67" s="176" t="s">
        <v>596</v>
      </c>
      <c r="U67" s="176" t="s">
        <v>596</v>
      </c>
      <c r="V67" s="176"/>
      <c r="W67" s="159"/>
    </row>
    <row r="68" spans="2:23" ht="12" customHeight="1">
      <c r="B68" s="516"/>
      <c r="C68" s="175">
        <v>3.1</v>
      </c>
      <c r="D68" s="176" t="s">
        <v>1302</v>
      </c>
      <c r="E68" s="176" t="s">
        <v>1302</v>
      </c>
      <c r="F68" s="176" t="s">
        <v>1302</v>
      </c>
      <c r="G68" s="176" t="s">
        <v>1302</v>
      </c>
      <c r="H68" s="176" t="s">
        <v>1302</v>
      </c>
      <c r="I68" s="176" t="s">
        <v>1302</v>
      </c>
      <c r="J68" s="176" t="s">
        <v>1294</v>
      </c>
      <c r="K68" s="176" t="s">
        <v>1302</v>
      </c>
      <c r="L68" s="176" t="s">
        <v>1302</v>
      </c>
      <c r="M68" s="176" t="s">
        <v>1302</v>
      </c>
      <c r="N68" s="176" t="s">
        <v>1302</v>
      </c>
      <c r="O68" s="176" t="s">
        <v>1302</v>
      </c>
      <c r="P68" s="176" t="s">
        <v>1302</v>
      </c>
      <c r="Q68" s="176" t="s">
        <v>1302</v>
      </c>
      <c r="R68" s="176" t="s">
        <v>1302</v>
      </c>
      <c r="S68" s="176" t="s">
        <v>1296</v>
      </c>
      <c r="T68" s="176" t="s">
        <v>1302</v>
      </c>
      <c r="U68" s="176" t="s">
        <v>1302</v>
      </c>
      <c r="V68" s="176"/>
      <c r="W68" s="170"/>
    </row>
    <row r="69" spans="2:23" ht="15.6" customHeight="1">
      <c r="B69" s="516"/>
      <c r="C69" s="175">
        <v>3.2</v>
      </c>
      <c r="D69" s="176" t="s">
        <v>1294</v>
      </c>
      <c r="E69" s="176" t="s">
        <v>1302</v>
      </c>
      <c r="F69" s="176" t="s">
        <v>1302</v>
      </c>
      <c r="G69" s="176" t="s">
        <v>1302</v>
      </c>
      <c r="H69" s="176"/>
      <c r="I69" s="176" t="s">
        <v>1302</v>
      </c>
      <c r="J69" s="176"/>
      <c r="K69" s="176" t="s">
        <v>1302</v>
      </c>
      <c r="L69" s="176" t="s">
        <v>1302</v>
      </c>
      <c r="M69" s="176" t="s">
        <v>1302</v>
      </c>
      <c r="N69" s="176" t="s">
        <v>1302</v>
      </c>
      <c r="O69" s="176" t="s">
        <v>1302</v>
      </c>
      <c r="P69" s="176" t="s">
        <v>1302</v>
      </c>
      <c r="Q69" s="176" t="s">
        <v>1302</v>
      </c>
      <c r="R69" s="176" t="s">
        <v>1302</v>
      </c>
      <c r="S69" s="176" t="s">
        <v>1302</v>
      </c>
      <c r="T69" s="176" t="s">
        <v>1302</v>
      </c>
      <c r="U69" s="176"/>
      <c r="V69" s="176"/>
      <c r="W69" s="159"/>
    </row>
    <row r="70" spans="2:23" ht="15.6" customHeight="1">
      <c r="B70" s="516"/>
      <c r="C70" s="175">
        <v>3.3</v>
      </c>
      <c r="D70" s="176"/>
      <c r="E70" s="176" t="s">
        <v>1302</v>
      </c>
      <c r="F70" s="176" t="s">
        <v>1302</v>
      </c>
      <c r="G70" s="176" t="s">
        <v>1302</v>
      </c>
      <c r="H70" s="176"/>
      <c r="I70" s="176"/>
      <c r="J70" s="176"/>
      <c r="K70" s="176" t="s">
        <v>1302</v>
      </c>
      <c r="L70" s="176" t="s">
        <v>1302</v>
      </c>
      <c r="M70" s="176" t="s">
        <v>1302</v>
      </c>
      <c r="N70" s="176" t="s">
        <v>1302</v>
      </c>
      <c r="O70" s="176" t="s">
        <v>1302</v>
      </c>
      <c r="P70" s="176" t="s">
        <v>1302</v>
      </c>
      <c r="Q70" s="176" t="s">
        <v>1302</v>
      </c>
      <c r="R70" s="176" t="s">
        <v>1302</v>
      </c>
      <c r="S70" s="176"/>
      <c r="T70" s="176" t="s">
        <v>1302</v>
      </c>
      <c r="U70" s="176"/>
      <c r="V70" s="176"/>
      <c r="W70" s="159" t="s">
        <v>1293</v>
      </c>
    </row>
    <row r="71" spans="2:23" ht="15.6" customHeight="1">
      <c r="B71" s="516"/>
      <c r="C71" s="175">
        <v>3.4</v>
      </c>
      <c r="D71" s="176"/>
      <c r="E71" s="176"/>
      <c r="F71" s="176" t="s">
        <v>1302</v>
      </c>
      <c r="G71" s="176"/>
      <c r="H71" s="176"/>
      <c r="I71" s="176"/>
      <c r="J71" s="176"/>
      <c r="K71" s="176" t="s">
        <v>1302</v>
      </c>
      <c r="L71" s="176" t="s">
        <v>1302</v>
      </c>
      <c r="M71" s="176" t="s">
        <v>1302</v>
      </c>
      <c r="N71" s="176" t="s">
        <v>1302</v>
      </c>
      <c r="O71" s="176" t="s">
        <v>1302</v>
      </c>
      <c r="P71" s="176" t="s">
        <v>1302</v>
      </c>
      <c r="Q71" s="176" t="s">
        <v>1302</v>
      </c>
      <c r="R71" s="176" t="s">
        <v>1296</v>
      </c>
      <c r="S71" s="176"/>
      <c r="T71" s="176" t="s">
        <v>1302</v>
      </c>
      <c r="U71" s="176"/>
      <c r="V71" s="176"/>
      <c r="W71" s="159" t="s">
        <v>1293</v>
      </c>
    </row>
    <row r="72" spans="2:23" ht="15.6" customHeight="1">
      <c r="B72" s="516"/>
      <c r="C72" s="175">
        <v>3.5</v>
      </c>
      <c r="D72" s="176"/>
      <c r="E72" s="176"/>
      <c r="F72" s="176" t="s">
        <v>1302</v>
      </c>
      <c r="G72" s="176"/>
      <c r="H72" s="176"/>
      <c r="I72" s="176"/>
      <c r="J72" s="176"/>
      <c r="K72" s="176" t="s">
        <v>1302</v>
      </c>
      <c r="L72" s="176" t="s">
        <v>1302</v>
      </c>
      <c r="M72" s="176" t="s">
        <v>1302</v>
      </c>
      <c r="N72" s="176" t="s">
        <v>1302</v>
      </c>
      <c r="O72" s="176" t="s">
        <v>1302</v>
      </c>
      <c r="P72" s="176" t="s">
        <v>1302</v>
      </c>
      <c r="Q72" s="176"/>
      <c r="R72" s="176"/>
      <c r="S72" s="176"/>
      <c r="T72" s="176" t="s">
        <v>1302</v>
      </c>
      <c r="U72" s="176"/>
      <c r="V72" s="176"/>
      <c r="W72" s="159"/>
    </row>
    <row r="73" spans="2:23" ht="15.6" customHeight="1">
      <c r="B73" s="516"/>
      <c r="C73" s="175">
        <v>3.6</v>
      </c>
      <c r="D73" s="176"/>
      <c r="E73" s="176"/>
      <c r="F73" s="176" t="s">
        <v>1302</v>
      </c>
      <c r="G73" s="176"/>
      <c r="H73" s="176"/>
      <c r="I73" s="176"/>
      <c r="J73" s="176"/>
      <c r="K73" s="176" t="s">
        <v>1302</v>
      </c>
      <c r="L73" s="176" t="s">
        <v>1302</v>
      </c>
      <c r="M73" s="176" t="s">
        <v>1296</v>
      </c>
      <c r="N73" s="176" t="s">
        <v>1302</v>
      </c>
      <c r="O73" s="176"/>
      <c r="P73" s="176" t="s">
        <v>1302</v>
      </c>
      <c r="Q73" s="176"/>
      <c r="R73" s="176"/>
      <c r="S73" s="176"/>
      <c r="T73" s="176"/>
      <c r="U73" s="176"/>
      <c r="V73" s="176"/>
      <c r="W73" s="159"/>
    </row>
    <row r="74" spans="2:23" ht="15.6" customHeight="1">
      <c r="B74" s="517"/>
      <c r="C74" s="175">
        <v>3.7</v>
      </c>
      <c r="D74" s="176"/>
      <c r="E74" s="176"/>
      <c r="F74" s="176"/>
      <c r="G74" s="176"/>
      <c r="H74" s="176"/>
      <c r="I74" s="176"/>
      <c r="J74" s="176"/>
      <c r="K74" s="176" t="s">
        <v>1302</v>
      </c>
      <c r="L74" s="176"/>
      <c r="M74" s="176" t="s">
        <v>1302</v>
      </c>
      <c r="N74" s="176"/>
      <c r="O74" s="176"/>
      <c r="P74" s="176" t="s">
        <v>1302</v>
      </c>
      <c r="Q74" s="176"/>
      <c r="R74" s="176"/>
      <c r="S74" s="176"/>
      <c r="T74" s="176"/>
      <c r="U74" s="176"/>
      <c r="V74" s="176"/>
      <c r="W74" s="159"/>
    </row>
    <row r="75" spans="2:23" ht="21" customHeight="1">
      <c r="B75" s="165"/>
      <c r="C75" s="165"/>
      <c r="D75" s="165"/>
      <c r="E75" s="165"/>
      <c r="F75" s="165"/>
      <c r="G75" s="165"/>
      <c r="H75" s="165"/>
      <c r="I75" s="165"/>
      <c r="J75" s="165"/>
      <c r="K75" s="165"/>
      <c r="L75" s="165"/>
      <c r="M75" s="165"/>
      <c r="N75" s="165"/>
      <c r="O75" s="165"/>
      <c r="P75" s="165"/>
      <c r="Q75" s="165"/>
      <c r="R75" s="165"/>
      <c r="S75" s="165"/>
      <c r="T75" s="165"/>
      <c r="U75" s="165"/>
      <c r="V75" s="165"/>
      <c r="W75" s="159"/>
    </row>
    <row r="76" spans="2:23" ht="15.6" customHeight="1">
      <c r="B76" s="515" t="s">
        <v>1309</v>
      </c>
      <c r="C76" s="176"/>
      <c r="D76" s="176" t="s">
        <v>1291</v>
      </c>
      <c r="E76" s="176"/>
      <c r="F76" s="176"/>
      <c r="G76" s="176"/>
      <c r="H76" s="176"/>
      <c r="I76" s="176"/>
      <c r="J76" s="176"/>
      <c r="K76" s="176"/>
      <c r="L76" s="176" t="s">
        <v>596</v>
      </c>
      <c r="M76" s="176"/>
      <c r="N76" s="176" t="s">
        <v>596</v>
      </c>
      <c r="O76" s="176"/>
      <c r="P76" s="176"/>
      <c r="Q76" s="176"/>
      <c r="R76" s="176" t="s">
        <v>596</v>
      </c>
      <c r="S76" s="176"/>
      <c r="T76" s="176" t="s">
        <v>596</v>
      </c>
      <c r="U76" s="176"/>
      <c r="V76" s="176"/>
      <c r="W76" s="159"/>
    </row>
    <row r="77" spans="2:23" ht="12" customHeight="1">
      <c r="B77" s="516"/>
      <c r="C77" s="175">
        <v>4.0999999999999996</v>
      </c>
      <c r="D77" s="176" t="s">
        <v>1302</v>
      </c>
      <c r="E77" s="176"/>
      <c r="F77" s="176"/>
      <c r="G77" s="176"/>
      <c r="H77" s="176"/>
      <c r="I77" s="176"/>
      <c r="J77" s="176"/>
      <c r="K77" s="176"/>
      <c r="L77" s="176" t="s">
        <v>1302</v>
      </c>
      <c r="M77" s="176"/>
      <c r="N77" s="176" t="s">
        <v>1302</v>
      </c>
      <c r="O77" s="176"/>
      <c r="P77" s="176"/>
      <c r="Q77" s="176"/>
      <c r="R77" s="176" t="s">
        <v>1302</v>
      </c>
      <c r="S77" s="176"/>
      <c r="T77" s="176" t="s">
        <v>1302</v>
      </c>
      <c r="U77" s="176"/>
      <c r="V77" s="176"/>
      <c r="W77" s="170"/>
    </row>
    <row r="78" spans="2:23" ht="15.6" customHeight="1">
      <c r="B78" s="516"/>
      <c r="C78" s="175">
        <v>4.2</v>
      </c>
      <c r="D78" s="176"/>
      <c r="E78" s="176"/>
      <c r="F78" s="176"/>
      <c r="G78" s="176"/>
      <c r="H78" s="176"/>
      <c r="I78" s="176"/>
      <c r="J78" s="176"/>
      <c r="K78" s="176"/>
      <c r="L78" s="176"/>
      <c r="M78" s="176"/>
      <c r="N78" s="176" t="s">
        <v>1302</v>
      </c>
      <c r="O78" s="176"/>
      <c r="P78" s="176"/>
      <c r="Q78" s="176"/>
      <c r="R78" s="176"/>
      <c r="S78" s="176"/>
      <c r="T78" s="176" t="s">
        <v>1302</v>
      </c>
      <c r="U78" s="176"/>
      <c r="V78" s="176"/>
      <c r="W78" s="159"/>
    </row>
    <row r="79" spans="2:23" ht="15.6" customHeight="1">
      <c r="B79" s="516"/>
      <c r="C79" s="175">
        <v>4.3</v>
      </c>
      <c r="D79" s="176"/>
      <c r="E79" s="176"/>
      <c r="F79" s="176"/>
      <c r="G79" s="176"/>
      <c r="H79" s="176"/>
      <c r="I79" s="176"/>
      <c r="J79" s="176"/>
      <c r="K79" s="176"/>
      <c r="L79" s="176"/>
      <c r="M79" s="176"/>
      <c r="N79" s="176" t="s">
        <v>1302</v>
      </c>
      <c r="O79" s="176"/>
      <c r="P79" s="176"/>
      <c r="Q79" s="176"/>
      <c r="R79" s="176"/>
      <c r="S79" s="176"/>
      <c r="T79" s="176"/>
      <c r="U79" s="176"/>
      <c r="V79" s="176"/>
      <c r="W79" s="159" t="s">
        <v>1293</v>
      </c>
    </row>
    <row r="80" spans="2:23" ht="15.6" customHeight="1">
      <c r="B80" s="516"/>
      <c r="C80" s="175">
        <v>4.4000000000000004</v>
      </c>
      <c r="D80" s="176"/>
      <c r="E80" s="176"/>
      <c r="F80" s="176"/>
      <c r="G80" s="176"/>
      <c r="H80" s="176"/>
      <c r="I80" s="176"/>
      <c r="J80" s="176"/>
      <c r="K80" s="176"/>
      <c r="L80" s="176"/>
      <c r="M80" s="176"/>
      <c r="N80" s="176" t="s">
        <v>1302</v>
      </c>
      <c r="O80" s="176"/>
      <c r="P80" s="176"/>
      <c r="Q80" s="176"/>
      <c r="R80" s="176"/>
      <c r="S80" s="176"/>
      <c r="T80" s="176"/>
      <c r="U80" s="176"/>
      <c r="V80" s="176"/>
      <c r="W80" s="159"/>
    </row>
    <row r="81" spans="2:23" ht="15.6" customHeight="1">
      <c r="B81" s="517"/>
      <c r="C81" s="175">
        <v>4.5</v>
      </c>
      <c r="D81" s="176"/>
      <c r="E81" s="176"/>
      <c r="F81" s="176"/>
      <c r="G81" s="176"/>
      <c r="H81" s="176"/>
      <c r="I81" s="176"/>
      <c r="J81" s="176"/>
      <c r="K81" s="176"/>
      <c r="L81" s="176"/>
      <c r="M81" s="176"/>
      <c r="N81" s="176" t="s">
        <v>1302</v>
      </c>
      <c r="O81" s="176"/>
      <c r="P81" s="176"/>
      <c r="Q81" s="176"/>
      <c r="R81" s="176"/>
      <c r="S81" s="176"/>
      <c r="T81" s="176"/>
      <c r="U81" s="176"/>
      <c r="V81" s="176"/>
      <c r="W81" s="159"/>
    </row>
    <row r="82" spans="2:23" ht="21" customHeight="1">
      <c r="B82" s="165"/>
      <c r="C82" s="165"/>
      <c r="D82" s="165"/>
      <c r="E82" s="165"/>
      <c r="F82" s="165"/>
      <c r="G82" s="165"/>
      <c r="H82" s="165"/>
      <c r="I82" s="165"/>
      <c r="J82" s="165"/>
      <c r="K82" s="165"/>
      <c r="L82" s="165"/>
      <c r="M82" s="165"/>
      <c r="N82" s="165"/>
      <c r="O82" s="165"/>
      <c r="P82" s="165"/>
      <c r="Q82" s="165"/>
      <c r="R82" s="165"/>
      <c r="S82" s="165"/>
      <c r="T82" s="165"/>
      <c r="U82" s="165"/>
      <c r="V82" s="165"/>
      <c r="W82" s="159"/>
    </row>
    <row r="83" spans="2:23" ht="15.6" customHeight="1">
      <c r="B83" s="515" t="s">
        <v>388</v>
      </c>
      <c r="C83" s="176"/>
      <c r="D83" s="176"/>
      <c r="E83" s="176"/>
      <c r="F83" s="176"/>
      <c r="G83" s="176"/>
      <c r="H83" s="176"/>
      <c r="I83" s="176"/>
      <c r="J83" s="176"/>
      <c r="K83" s="176"/>
      <c r="L83" s="176"/>
      <c r="M83" s="176"/>
      <c r="N83" s="176" t="s">
        <v>596</v>
      </c>
      <c r="O83" s="176"/>
      <c r="P83" s="176"/>
      <c r="Q83" s="176"/>
      <c r="R83" s="176"/>
      <c r="S83" s="176"/>
      <c r="T83" s="176" t="s">
        <v>596</v>
      </c>
      <c r="U83" s="176"/>
      <c r="V83" s="176"/>
      <c r="W83" s="159"/>
    </row>
    <row r="84" spans="2:23" ht="12" customHeight="1">
      <c r="B84" s="516"/>
      <c r="C84" s="175">
        <v>5.0999999999999996</v>
      </c>
      <c r="D84" s="176"/>
      <c r="E84" s="176"/>
      <c r="F84" s="176"/>
      <c r="G84" s="176"/>
      <c r="H84" s="176"/>
      <c r="I84" s="176"/>
      <c r="J84" s="176"/>
      <c r="K84" s="176"/>
      <c r="L84" s="176"/>
      <c r="M84" s="176"/>
      <c r="N84" s="176" t="s">
        <v>1302</v>
      </c>
      <c r="O84" s="176"/>
      <c r="P84" s="176"/>
      <c r="Q84" s="176"/>
      <c r="R84" s="176"/>
      <c r="S84" s="176"/>
      <c r="T84" s="176" t="s">
        <v>1302</v>
      </c>
      <c r="U84" s="176"/>
      <c r="V84" s="176"/>
      <c r="W84" s="170"/>
    </row>
    <row r="85" spans="2:23" ht="15.6" customHeight="1">
      <c r="B85" s="516"/>
      <c r="C85" s="175">
        <v>5.2</v>
      </c>
      <c r="D85" s="176"/>
      <c r="E85" s="176"/>
      <c r="F85" s="176"/>
      <c r="G85" s="176"/>
      <c r="H85" s="176"/>
      <c r="I85" s="176"/>
      <c r="J85" s="176"/>
      <c r="K85" s="176"/>
      <c r="L85" s="176"/>
      <c r="M85" s="176"/>
      <c r="N85" s="176" t="s">
        <v>1302</v>
      </c>
      <c r="O85" s="176"/>
      <c r="P85" s="176"/>
      <c r="Q85" s="176"/>
      <c r="R85" s="176"/>
      <c r="S85" s="176"/>
      <c r="T85" s="176"/>
      <c r="U85" s="176"/>
      <c r="V85" s="176"/>
      <c r="W85" s="159"/>
    </row>
    <row r="86" spans="2:23" ht="15.6" customHeight="1">
      <c r="B86" s="517"/>
      <c r="C86" s="175">
        <v>5.3</v>
      </c>
      <c r="D86" s="176"/>
      <c r="E86" s="176"/>
      <c r="F86" s="176"/>
      <c r="G86" s="176"/>
      <c r="H86" s="176"/>
      <c r="I86" s="176"/>
      <c r="J86" s="176"/>
      <c r="K86" s="176"/>
      <c r="L86" s="176"/>
      <c r="M86" s="176"/>
      <c r="N86" s="176" t="s">
        <v>1302</v>
      </c>
      <c r="O86" s="176"/>
      <c r="P86" s="176"/>
      <c r="Q86" s="176"/>
      <c r="R86" s="176"/>
      <c r="S86" s="176"/>
      <c r="T86" s="176"/>
      <c r="U86" s="176"/>
      <c r="V86" s="176"/>
      <c r="W86" s="159"/>
    </row>
    <row r="87" spans="2:23" ht="21" customHeight="1">
      <c r="B87" s="165"/>
      <c r="C87" s="165"/>
      <c r="D87" s="165"/>
      <c r="E87" s="165"/>
      <c r="F87" s="165"/>
      <c r="G87" s="165"/>
      <c r="H87" s="165"/>
      <c r="I87" s="165"/>
      <c r="J87" s="165"/>
      <c r="K87" s="165"/>
      <c r="L87" s="165"/>
      <c r="M87" s="165"/>
      <c r="N87" s="165"/>
      <c r="O87" s="165"/>
      <c r="P87" s="165"/>
      <c r="Q87" s="165"/>
      <c r="R87" s="165"/>
      <c r="S87" s="165"/>
      <c r="T87" s="165"/>
      <c r="U87" s="165"/>
      <c r="V87" s="165"/>
      <c r="W87" s="159"/>
    </row>
    <row r="88" spans="2:23" ht="15.6" customHeight="1">
      <c r="W88" s="159"/>
    </row>
    <row r="89" spans="2:23" ht="12" customHeight="1">
      <c r="W89" s="171"/>
    </row>
  </sheetData>
  <mergeCells count="26">
    <mergeCell ref="T2:V2"/>
    <mergeCell ref="B52:B55"/>
    <mergeCell ref="T49:V49"/>
    <mergeCell ref="Q49:S49"/>
    <mergeCell ref="D49:E49"/>
    <mergeCell ref="C2:C3"/>
    <mergeCell ref="B29:B34"/>
    <mergeCell ref="Q2:S2"/>
    <mergeCell ref="F2:G2"/>
    <mergeCell ref="L49:N49"/>
    <mergeCell ref="B49:B50"/>
    <mergeCell ref="B20:B27"/>
    <mergeCell ref="B2:B3"/>
    <mergeCell ref="B10:B18"/>
    <mergeCell ref="B83:B86"/>
    <mergeCell ref="L2:N2"/>
    <mergeCell ref="H49:K49"/>
    <mergeCell ref="B36:B39"/>
    <mergeCell ref="B5:B8"/>
    <mergeCell ref="H2:K2"/>
    <mergeCell ref="F49:G49"/>
    <mergeCell ref="C49:C50"/>
    <mergeCell ref="B76:B81"/>
    <mergeCell ref="B67:B74"/>
    <mergeCell ref="D2:E2"/>
    <mergeCell ref="B57:B65"/>
  </mergeCells>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D67:V74 D76:V81 D83:V86 W52:W89">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3">
    <tabColor theme="5"/>
  </sheetPr>
  <dimension ref="A3:B26"/>
  <sheetViews>
    <sheetView workbookViewId="0"/>
  </sheetViews>
  <sheetFormatPr defaultRowHeight="14.4"/>
  <cols>
    <col min="1" max="1" width="41.44140625" bestFit="1" customWidth="1"/>
    <col min="2" max="2" width="15.218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251" t="s">
        <v>653</v>
      </c>
      <c r="B3" t="s">
        <v>664</v>
      </c>
    </row>
    <row r="4" spans="1:2">
      <c r="A4" s="105" t="s">
        <v>243</v>
      </c>
      <c r="B4">
        <v>17</v>
      </c>
    </row>
    <row r="5" spans="1:2">
      <c r="A5" s="103" t="s">
        <v>554</v>
      </c>
      <c r="B5">
        <v>2</v>
      </c>
    </row>
    <row r="6" spans="1:2">
      <c r="A6" s="233" t="s">
        <v>670</v>
      </c>
      <c r="B6">
        <v>2</v>
      </c>
    </row>
    <row r="7" spans="1:2">
      <c r="A7" s="103" t="s">
        <v>645</v>
      </c>
      <c r="B7">
        <v>1</v>
      </c>
    </row>
    <row r="8" spans="1:2">
      <c r="A8" s="233" t="s">
        <v>685</v>
      </c>
      <c r="B8">
        <v>1</v>
      </c>
    </row>
    <row r="9" spans="1:2">
      <c r="A9" s="103" t="s">
        <v>558</v>
      </c>
      <c r="B9">
        <v>1</v>
      </c>
    </row>
    <row r="10" spans="1:2">
      <c r="A10" s="233" t="s">
        <v>666</v>
      </c>
      <c r="B10">
        <v>1</v>
      </c>
    </row>
    <row r="11" spans="1:2">
      <c r="A11" s="103" t="s">
        <v>559</v>
      </c>
      <c r="B11">
        <v>2</v>
      </c>
    </row>
    <row r="12" spans="1:2">
      <c r="A12" s="233" t="s">
        <v>667</v>
      </c>
      <c r="B12">
        <v>1</v>
      </c>
    </row>
    <row r="13" spans="1:2">
      <c r="A13" s="233" t="s">
        <v>672</v>
      </c>
      <c r="B13">
        <v>1</v>
      </c>
    </row>
    <row r="14" spans="1:2">
      <c r="A14" s="103" t="s">
        <v>634</v>
      </c>
      <c r="B14">
        <v>4</v>
      </c>
    </row>
    <row r="15" spans="1:2">
      <c r="A15" s="233" t="s">
        <v>679</v>
      </c>
      <c r="B15">
        <v>3</v>
      </c>
    </row>
    <row r="16" spans="1:2">
      <c r="A16" s="233" t="s">
        <v>684</v>
      </c>
      <c r="B16">
        <v>1</v>
      </c>
    </row>
    <row r="17" spans="1:2">
      <c r="A17" s="103" t="s">
        <v>564</v>
      </c>
      <c r="B17">
        <v>1</v>
      </c>
    </row>
    <row r="18" spans="1:2">
      <c r="A18" s="233" t="s">
        <v>689</v>
      </c>
      <c r="B18">
        <v>1</v>
      </c>
    </row>
    <row r="19" spans="1:2">
      <c r="A19" s="103" t="s">
        <v>649</v>
      </c>
      <c r="B19">
        <v>1</v>
      </c>
    </row>
    <row r="20" spans="1:2">
      <c r="A20" s="233" t="s">
        <v>688</v>
      </c>
      <c r="B20">
        <v>1</v>
      </c>
    </row>
    <row r="21" spans="1:2">
      <c r="A21" s="103" t="s">
        <v>566</v>
      </c>
      <c r="B21">
        <v>5</v>
      </c>
    </row>
    <row r="22" spans="1:2">
      <c r="A22" s="233" t="s">
        <v>686</v>
      </c>
      <c r="B22">
        <v>5</v>
      </c>
    </row>
    <row r="23" spans="1:2">
      <c r="A23" s="105" t="s">
        <v>654</v>
      </c>
    </row>
    <row r="24" spans="1:2">
      <c r="A24" s="103" t="s">
        <v>654</v>
      </c>
    </row>
    <row r="25" spans="1:2">
      <c r="A25" s="233" t="s">
        <v>654</v>
      </c>
    </row>
    <row r="26" spans="1:2">
      <c r="A26" s="105" t="s">
        <v>655</v>
      </c>
      <c r="B26">
        <v>17</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24">
    <tabColor theme="5" tint="0.39997558519241921"/>
  </sheetPr>
  <dimension ref="A1:F33"/>
  <sheetViews>
    <sheetView workbookViewId="0"/>
  </sheetViews>
  <sheetFormatPr defaultRowHeight="14.4"/>
  <cols>
    <col min="1" max="1" width="36.218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46" customFormat="1" ht="18" customHeight="1">
      <c r="A1" s="96" t="s">
        <v>1311</v>
      </c>
      <c r="B1" s="11"/>
      <c r="C1" s="11"/>
      <c r="D1" s="11"/>
      <c r="E1" s="11"/>
      <c r="F1" s="11"/>
    </row>
    <row r="3" spans="1:6">
      <c r="A3" s="251" t="s">
        <v>653</v>
      </c>
    </row>
    <row r="4" spans="1:6">
      <c r="A4" s="105" t="s">
        <v>670</v>
      </c>
    </row>
    <row r="5" spans="1:6">
      <c r="A5" s="103" t="s">
        <v>426</v>
      </c>
    </row>
    <row r="6" spans="1:6">
      <c r="A6" s="103" t="s">
        <v>549</v>
      </c>
    </row>
    <row r="7" spans="1:6">
      <c r="A7" s="105" t="s">
        <v>685</v>
      </c>
    </row>
    <row r="8" spans="1:6">
      <c r="A8" s="103" t="s">
        <v>536</v>
      </c>
    </row>
    <row r="9" spans="1:6">
      <c r="A9" s="105" t="s">
        <v>666</v>
      </c>
    </row>
    <row r="10" spans="1:6">
      <c r="A10" s="103" t="s">
        <v>551</v>
      </c>
    </row>
    <row r="11" spans="1:6">
      <c r="A11" s="105" t="s">
        <v>667</v>
      </c>
    </row>
    <row r="12" spans="1:6">
      <c r="A12" s="103" t="s">
        <v>548</v>
      </c>
    </row>
    <row r="13" spans="1:6">
      <c r="A13" s="105" t="s">
        <v>672</v>
      </c>
    </row>
    <row r="14" spans="1:6">
      <c r="A14" s="103" t="s">
        <v>552</v>
      </c>
    </row>
    <row r="15" spans="1:6">
      <c r="A15" s="105" t="s">
        <v>689</v>
      </c>
    </row>
    <row r="16" spans="1:6">
      <c r="A16" s="103" t="s">
        <v>547</v>
      </c>
    </row>
    <row r="17" spans="1:1">
      <c r="A17" s="105" t="s">
        <v>686</v>
      </c>
    </row>
    <row r="18" spans="1:1">
      <c r="A18" s="103" t="s">
        <v>535</v>
      </c>
    </row>
    <row r="19" spans="1:1">
      <c r="A19" s="103" t="s">
        <v>537</v>
      </c>
    </row>
    <row r="20" spans="1:1">
      <c r="A20" s="103" t="s">
        <v>541</v>
      </c>
    </row>
    <row r="21" spans="1:1">
      <c r="A21" s="103" t="s">
        <v>545</v>
      </c>
    </row>
    <row r="22" spans="1:1">
      <c r="A22" s="103" t="s">
        <v>546</v>
      </c>
    </row>
    <row r="23" spans="1:1">
      <c r="A23" s="105" t="s">
        <v>679</v>
      </c>
    </row>
    <row r="24" spans="1:1">
      <c r="A24" s="103" t="s">
        <v>538</v>
      </c>
    </row>
    <row r="25" spans="1:1">
      <c r="A25" s="103" t="s">
        <v>542</v>
      </c>
    </row>
    <row r="26" spans="1:1">
      <c r="A26" s="103" t="s">
        <v>544</v>
      </c>
    </row>
    <row r="27" spans="1:1">
      <c r="A27" s="105" t="s">
        <v>684</v>
      </c>
    </row>
    <row r="28" spans="1:1">
      <c r="A28" s="103" t="s">
        <v>550</v>
      </c>
    </row>
    <row r="29" spans="1:1">
      <c r="A29" s="105" t="s">
        <v>688</v>
      </c>
    </row>
    <row r="30" spans="1:1">
      <c r="A30" s="103" t="s">
        <v>543</v>
      </c>
    </row>
    <row r="31" spans="1:1">
      <c r="A31" s="105" t="s">
        <v>654</v>
      </c>
    </row>
    <row r="32" spans="1:1">
      <c r="A32" s="103" t="s">
        <v>654</v>
      </c>
    </row>
    <row r="33" spans="1:1">
      <c r="A33" s="105" t="s">
        <v>655</v>
      </c>
    </row>
  </sheetData>
  <pageMargins left="0.7" right="0.7" top="0.75" bottom="0.75" header="0.3" footer="0.3"/>
  <pageSetup orientation="portrai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46" customFormat="1" ht="18" customHeight="1">
      <c r="A1" s="96" t="s">
        <v>1312</v>
      </c>
      <c r="B1" s="11"/>
      <c r="C1" s="11"/>
      <c r="D1" s="11"/>
      <c r="E1" s="11"/>
      <c r="F1" s="11"/>
    </row>
    <row r="3" spans="1:6">
      <c r="A3" s="251" t="s">
        <v>653</v>
      </c>
    </row>
    <row r="4" spans="1:6">
      <c r="A4" s="105" t="s">
        <v>654</v>
      </c>
    </row>
    <row r="5" spans="1:6">
      <c r="A5" s="103" t="s">
        <v>654</v>
      </c>
    </row>
    <row r="6" spans="1:6">
      <c r="A6" s="105" t="s">
        <v>658</v>
      </c>
    </row>
    <row r="7" spans="1:6">
      <c r="A7" s="103" t="s">
        <v>667</v>
      </c>
    </row>
    <row r="8" spans="1:6">
      <c r="A8" s="103" t="s">
        <v>666</v>
      </c>
    </row>
    <row r="9" spans="1:6">
      <c r="A9" s="105" t="s">
        <v>659</v>
      </c>
    </row>
    <row r="10" spans="1:6">
      <c r="A10" s="103" t="s">
        <v>670</v>
      </c>
    </row>
    <row r="11" spans="1:6">
      <c r="A11" s="103" t="s">
        <v>672</v>
      </c>
    </row>
    <row r="12" spans="1:6">
      <c r="A12" s="105" t="s">
        <v>660</v>
      </c>
    </row>
    <row r="13" spans="1:6">
      <c r="A13" s="103" t="s">
        <v>679</v>
      </c>
    </row>
    <row r="14" spans="1:6">
      <c r="A14" s="105" t="s">
        <v>661</v>
      </c>
    </row>
    <row r="15" spans="1:6">
      <c r="A15" s="103" t="s">
        <v>684</v>
      </c>
    </row>
    <row r="16" spans="1:6">
      <c r="A16" s="105" t="s">
        <v>611</v>
      </c>
    </row>
    <row r="17" spans="1:1">
      <c r="A17" s="103" t="s">
        <v>685</v>
      </c>
    </row>
    <row r="18" spans="1:1">
      <c r="A18" s="105" t="s">
        <v>656</v>
      </c>
    </row>
    <row r="19" spans="1:1">
      <c r="A19" s="103" t="s">
        <v>686</v>
      </c>
    </row>
    <row r="20" spans="1:1">
      <c r="A20" s="105" t="s">
        <v>620</v>
      </c>
    </row>
    <row r="21" spans="1:1">
      <c r="A21" s="103" t="s">
        <v>688</v>
      </c>
    </row>
    <row r="22" spans="1:1">
      <c r="A22" s="105" t="s">
        <v>657</v>
      </c>
    </row>
    <row r="23" spans="1:1">
      <c r="A23" s="103" t="s">
        <v>689</v>
      </c>
    </row>
    <row r="24" spans="1:1">
      <c r="A24" s="105" t="s">
        <v>655</v>
      </c>
    </row>
  </sheetData>
  <pageMargins left="0.7" right="0.7" top="0.75" bottom="0.75" header="0.3" footer="0.3"/>
  <pageSetup orientation="portrai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251" t="s">
        <v>653</v>
      </c>
    </row>
    <row r="4" spans="1:1">
      <c r="A4" s="105" t="s">
        <v>654</v>
      </c>
    </row>
    <row r="5" spans="1:1">
      <c r="A5" s="103" t="s">
        <v>654</v>
      </c>
    </row>
    <row r="6" spans="1:1">
      <c r="A6" s="105" t="s">
        <v>568</v>
      </c>
    </row>
    <row r="7" spans="1:1">
      <c r="A7" s="103" t="s">
        <v>679</v>
      </c>
    </row>
    <row r="8" spans="1:1">
      <c r="A8" s="103" t="s">
        <v>684</v>
      </c>
    </row>
    <row r="9" spans="1:1">
      <c r="A9" s="105" t="s">
        <v>555</v>
      </c>
    </row>
    <row r="10" spans="1:1">
      <c r="A10" s="103" t="s">
        <v>667</v>
      </c>
    </row>
    <row r="11" spans="1:1">
      <c r="A11" s="103" t="s">
        <v>666</v>
      </c>
    </row>
    <row r="12" spans="1:1">
      <c r="A12" s="103" t="s">
        <v>670</v>
      </c>
    </row>
    <row r="13" spans="1:1">
      <c r="A13" s="103" t="s">
        <v>672</v>
      </c>
    </row>
    <row r="14" spans="1:1">
      <c r="A14" s="105" t="s">
        <v>557</v>
      </c>
    </row>
    <row r="15" spans="1:1">
      <c r="A15" s="103" t="s">
        <v>685</v>
      </c>
    </row>
    <row r="16" spans="1:1">
      <c r="A16" s="105" t="s">
        <v>563</v>
      </c>
    </row>
    <row r="17" spans="1:1">
      <c r="A17" s="103" t="s">
        <v>686</v>
      </c>
    </row>
    <row r="18" spans="1:1">
      <c r="A18" s="105" t="s">
        <v>571</v>
      </c>
    </row>
    <row r="19" spans="1:1">
      <c r="A19" s="103" t="s">
        <v>688</v>
      </c>
    </row>
    <row r="20" spans="1:1">
      <c r="A20" s="105" t="s">
        <v>565</v>
      </c>
    </row>
    <row r="21" spans="1:1">
      <c r="A21" s="103" t="s">
        <v>689</v>
      </c>
    </row>
    <row r="22" spans="1:1">
      <c r="A22" s="105" t="s">
        <v>655</v>
      </c>
    </row>
  </sheetData>
  <pageMargins left="0.7" right="0.7" top="0.75" bottom="0.75" header="0.3" footer="0.3"/>
  <pageSetup orientation="portrai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5">
    <tabColor theme="0" tint="-4.9989318521683403E-2"/>
  </sheetPr>
  <dimension ref="A1:K19"/>
  <sheetViews>
    <sheetView workbookViewId="0"/>
  </sheetViews>
  <sheetFormatPr defaultColWidth="9" defaultRowHeight="25.8"/>
  <cols>
    <col min="1" max="5" width="9" style="194" customWidth="1"/>
    <col min="6" max="6" width="8.21875" style="194" customWidth="1"/>
    <col min="7" max="9" width="18.21875" style="194" customWidth="1"/>
    <col min="10" max="15" width="9" style="194" customWidth="1"/>
    <col min="16" max="16384" width="9" style="194"/>
  </cols>
  <sheetData>
    <row r="1" spans="1:11" ht="23.25" customHeight="1">
      <c r="B1" s="342"/>
      <c r="C1" s="342"/>
      <c r="D1" s="342"/>
      <c r="E1" s="342"/>
      <c r="F1" s="342"/>
      <c r="G1" s="342"/>
      <c r="H1" s="342"/>
      <c r="I1" s="342"/>
      <c r="J1" s="342"/>
      <c r="K1" s="342"/>
    </row>
    <row r="2" spans="1:11" ht="23.7" customHeight="1">
      <c r="A2" s="342"/>
      <c r="B2" s="527" t="str">
        <f>StartupInfo!B3</f>
        <v>Shenzhen Insigma Innovation Software Co., Ltd.</v>
      </c>
      <c r="C2" s="524"/>
      <c r="D2" s="524"/>
      <c r="E2" s="524"/>
      <c r="F2" s="524"/>
      <c r="G2" s="524"/>
      <c r="H2" s="524"/>
      <c r="I2" s="524"/>
      <c r="J2" s="342"/>
      <c r="K2" s="342"/>
    </row>
    <row r="3" spans="1:11" ht="19.5" customHeight="1">
      <c r="B3" s="527" t="str">
        <f>StartupInfo!B4</f>
        <v>深圳市网新新思软件有限公司</v>
      </c>
      <c r="C3" s="524"/>
      <c r="D3" s="524"/>
      <c r="E3" s="524"/>
      <c r="F3" s="524"/>
      <c r="G3" s="524"/>
      <c r="H3" s="524"/>
      <c r="I3" s="524"/>
      <c r="J3" s="343"/>
      <c r="K3" s="195"/>
    </row>
    <row r="4" spans="1:11" ht="24" customHeight="1">
      <c r="A4" s="196"/>
      <c r="B4" s="531" t="str">
        <f>IF(StartupInfo!B18="","",StartupInfo!B18)</f>
        <v>Technology Center of Excellence</v>
      </c>
      <c r="C4" s="524"/>
      <c r="D4" s="524"/>
      <c r="E4" s="524"/>
      <c r="F4" s="524"/>
      <c r="G4" s="524"/>
      <c r="H4" s="524"/>
      <c r="I4" s="524"/>
    </row>
    <row r="5" spans="1:11">
      <c r="A5" s="196"/>
      <c r="B5" s="529" t="str">
        <f>IF(StartupInfo!B19="","",StartupInfo!B19)</f>
        <v>卓越技术中心</v>
      </c>
      <c r="C5" s="524"/>
      <c r="D5" s="524"/>
      <c r="E5" s="524"/>
      <c r="F5" s="524"/>
      <c r="G5" s="524"/>
      <c r="H5" s="524"/>
      <c r="I5" s="524"/>
      <c r="J5" s="196"/>
      <c r="K5" s="196"/>
    </row>
    <row r="6" spans="1:11">
      <c r="A6" s="195"/>
      <c r="B6" s="343"/>
      <c r="C6" s="343"/>
      <c r="D6" s="343"/>
      <c r="E6" s="343"/>
      <c r="F6" s="343"/>
      <c r="G6" s="343"/>
      <c r="H6" s="343"/>
      <c r="I6" s="343"/>
      <c r="J6" s="343"/>
      <c r="K6" s="195"/>
    </row>
    <row r="7" spans="1:11" s="346" customFormat="1">
      <c r="A7" s="344"/>
      <c r="B7" s="525" t="str">
        <f>CONCATENATE("was rated on ",TEXT(Planning!B50,"dd mmmm yyyy")," at ",Planning!B16)</f>
        <v>was rated on 29 May 2026 at Maturity Level 5</v>
      </c>
      <c r="C7" s="526"/>
      <c r="D7" s="526"/>
      <c r="E7" s="526"/>
      <c r="F7" s="526"/>
      <c r="G7" s="526"/>
      <c r="H7" s="526"/>
      <c r="I7" s="526"/>
      <c r="J7" s="345"/>
      <c r="K7" s="344"/>
    </row>
    <row r="8" spans="1:11">
      <c r="A8" s="196"/>
      <c r="B8" s="196"/>
      <c r="C8" s="196"/>
      <c r="E8" s="528"/>
      <c r="F8" s="524"/>
      <c r="G8" s="524"/>
      <c r="H8" s="196"/>
      <c r="I8" s="196"/>
      <c r="J8" s="196"/>
      <c r="K8" s="196"/>
    </row>
    <row r="9" spans="1:11">
      <c r="A9" s="196"/>
      <c r="B9" s="196"/>
      <c r="C9" s="196"/>
      <c r="D9" s="196"/>
      <c r="E9" s="524"/>
      <c r="F9" s="524"/>
      <c r="G9" s="524"/>
      <c r="H9" s="196"/>
      <c r="I9" s="196"/>
      <c r="J9" s="196"/>
      <c r="K9" s="196"/>
    </row>
    <row r="10" spans="1:11">
      <c r="A10" s="196"/>
      <c r="B10" s="196"/>
      <c r="C10" s="196"/>
      <c r="D10" s="196"/>
      <c r="E10" s="196"/>
      <c r="F10" s="196"/>
      <c r="G10" s="196"/>
      <c r="H10" s="196"/>
      <c r="I10" s="196"/>
      <c r="J10" s="196"/>
      <c r="K10" s="196"/>
    </row>
    <row r="11" spans="1:11" ht="19.2" customHeight="1">
      <c r="A11" s="196"/>
      <c r="B11" s="196"/>
      <c r="C11" s="196"/>
      <c r="D11" s="196"/>
      <c r="E11" s="196"/>
      <c r="F11" s="530" t="str">
        <f>_xlfn.CONCAT("CAS ID",'Agreement 3'!B5)</f>
        <v>CAS ID81846</v>
      </c>
      <c r="G11" s="524"/>
      <c r="H11" s="524"/>
      <c r="I11" s="196"/>
      <c r="J11" s="196"/>
      <c r="K11" s="196"/>
    </row>
    <row r="12" spans="1:11" ht="19.2" customHeight="1">
      <c r="A12" s="196"/>
      <c r="B12" s="196"/>
      <c r="C12" s="196"/>
      <c r="D12" s="196"/>
      <c r="E12" s="196"/>
      <c r="F12" s="196"/>
      <c r="G12" s="196"/>
      <c r="H12" s="196"/>
      <c r="I12" s="196"/>
      <c r="J12" s="196"/>
      <c r="K12" s="196"/>
    </row>
    <row r="13" spans="1:11" ht="19.2" customHeight="1">
      <c r="A13" s="196"/>
      <c r="B13" s="196"/>
      <c r="C13" s="196"/>
      <c r="D13" s="196"/>
      <c r="E13" s="196"/>
      <c r="F13" s="196"/>
      <c r="G13" s="523" t="str">
        <f>'Agreement 3'!B7</f>
        <v>Dr Pieter van Zyl</v>
      </c>
      <c r="H13" s="524"/>
      <c r="I13" s="524"/>
      <c r="J13" s="196"/>
      <c r="K13" s="196"/>
    </row>
    <row r="14" spans="1:11">
      <c r="A14" s="196"/>
      <c r="B14" s="196"/>
      <c r="C14" s="196"/>
      <c r="D14" s="196"/>
      <c r="E14" s="196"/>
      <c r="F14" s="196"/>
      <c r="G14" s="523" t="str">
        <f>'Agreement 3'!B9</f>
        <v>CMMI High Maturity Lead Appraiser</v>
      </c>
      <c r="H14" s="524"/>
      <c r="I14" s="524"/>
      <c r="J14" s="196"/>
      <c r="K14" s="196"/>
    </row>
    <row r="15" spans="1:11">
      <c r="A15" s="196"/>
      <c r="B15" s="196"/>
      <c r="C15" s="196"/>
      <c r="D15" s="196"/>
      <c r="E15" s="196"/>
      <c r="F15" s="196"/>
      <c r="G15" s="523" t="str">
        <f>'Agreement 3'!B11</f>
        <v>0500535-01</v>
      </c>
      <c r="H15" s="524"/>
      <c r="I15" s="524"/>
      <c r="J15" s="196"/>
      <c r="K15" s="196"/>
    </row>
    <row r="16" spans="1:11">
      <c r="A16" s="196"/>
      <c r="B16" s="196"/>
      <c r="C16" s="196"/>
      <c r="D16" s="196"/>
      <c r="E16" s="196"/>
      <c r="F16" s="196"/>
      <c r="G16" s="196"/>
      <c r="H16" s="196"/>
      <c r="I16" s="196"/>
      <c r="J16" s="196"/>
      <c r="K16" s="196"/>
    </row>
    <row r="19" spans="1:11">
      <c r="A19" s="196"/>
      <c r="B19" s="196"/>
      <c r="C19" s="196"/>
      <c r="D19" s="196"/>
      <c r="E19" s="196"/>
      <c r="F19" s="196"/>
      <c r="G19" s="196"/>
      <c r="H19" s="196"/>
      <c r="I19" s="196"/>
      <c r="J19" s="196"/>
      <c r="K19" s="196"/>
    </row>
  </sheetData>
  <mergeCells count="10">
    <mergeCell ref="G15:I15"/>
    <mergeCell ref="G14:I14"/>
    <mergeCell ref="B7:I7"/>
    <mergeCell ref="G13:I13"/>
    <mergeCell ref="B2:I2"/>
    <mergeCell ref="E8:G9"/>
    <mergeCell ref="B3:I3"/>
    <mergeCell ref="B5:I5"/>
    <mergeCell ref="F11:H11"/>
    <mergeCell ref="B4:I4"/>
  </mergeCells>
  <pageMargins left="0.7" right="0.7" top="0.75" bottom="0.75" header="0.3" footer="0.3"/>
  <pageSetup orientation="portrai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4">
    <tabColor theme="0" tint="-4.9989318521683403E-2"/>
  </sheetPr>
  <dimension ref="A1:AI68"/>
  <sheetViews>
    <sheetView workbookViewId="0"/>
  </sheetViews>
  <sheetFormatPr defaultColWidth="8.77734375" defaultRowHeight="14.4"/>
  <cols>
    <col min="1" max="1" width="40.77734375" customWidth="1"/>
    <col min="2" max="2" width="75.77734375" style="105" customWidth="1"/>
    <col min="3" max="3" width="40.77734375" style="128" customWidth="1"/>
    <col min="4" max="4" width="15.77734375" customWidth="1"/>
    <col min="5" max="5" width="14.44140625" style="8" customWidth="1"/>
    <col min="6" max="6" width="29.21875" style="8" customWidth="1"/>
    <col min="7" max="7" width="42.77734375" style="8" bestFit="1" customWidth="1"/>
    <col min="8" max="8" width="29.21875" style="8" customWidth="1"/>
    <col min="9" max="35" width="8.77734375" style="8" customWidth="1"/>
  </cols>
  <sheetData>
    <row r="1" spans="1:5" s="8" customFormat="1" ht="15" customHeight="1" thickBot="1">
      <c r="A1" s="122"/>
      <c r="B1" s="122"/>
      <c r="C1" s="122"/>
    </row>
    <row r="2" spans="1:5" s="8" customFormat="1">
      <c r="A2" s="123" t="s">
        <v>1313</v>
      </c>
      <c r="B2" s="124"/>
      <c r="C2" s="124"/>
      <c r="D2" s="125"/>
      <c r="E2" s="126"/>
    </row>
    <row r="3" spans="1:5" s="8" customFormat="1">
      <c r="A3" s="127"/>
      <c r="B3" s="128"/>
      <c r="C3" s="128"/>
      <c r="E3" s="129"/>
    </row>
    <row r="4" spans="1:5" s="8" customFormat="1" ht="21" customHeight="1">
      <c r="A4" s="127"/>
      <c r="B4" s="130" t="s">
        <v>1314</v>
      </c>
      <c r="C4" s="128"/>
      <c r="E4" s="129"/>
    </row>
    <row r="5" spans="1:5" s="8" customFormat="1" ht="21" customHeight="1">
      <c r="A5" s="127"/>
      <c r="B5" s="130" t="str">
        <f>Planning!B28</f>
        <v>CMMI Development V2.0 (CMMI-DEV) without SAM</v>
      </c>
      <c r="C5" s="128"/>
      <c r="E5" s="129"/>
    </row>
    <row r="6" spans="1:5" s="8" customFormat="1" ht="21" customHeight="1">
      <c r="A6" s="127" t="s">
        <v>1315</v>
      </c>
      <c r="B6" s="130" t="str">
        <f>Planning!B16</f>
        <v>Maturity Level 5</v>
      </c>
      <c r="C6" s="128"/>
      <c r="E6" s="129"/>
    </row>
    <row r="7" spans="1:5" s="8" customFormat="1">
      <c r="A7" s="127"/>
      <c r="B7" s="131" t="str">
        <f>CONCATENATE("CAS ID: ",'Agreement 3'!B5)</f>
        <v>CAS ID: 81846</v>
      </c>
      <c r="C7" s="128"/>
      <c r="E7" s="129"/>
    </row>
    <row r="8" spans="1:5" s="8" customFormat="1">
      <c r="A8" s="127"/>
      <c r="B8" s="128"/>
      <c r="C8" s="128"/>
      <c r="E8" s="129"/>
    </row>
    <row r="9" spans="1:5" s="8" customFormat="1" ht="94.5" customHeight="1">
      <c r="A9" s="127"/>
      <c r="B9" s="132"/>
      <c r="C9" s="128"/>
      <c r="E9" s="129"/>
    </row>
    <row r="10" spans="1:5" s="8" customFormat="1">
      <c r="A10" s="127"/>
      <c r="B10" s="133" t="str">
        <f>CONCATENATE("Organisation: ",'Agreement 3'!B16)</f>
        <v>Organisation: Shenzhen Insigma Innovation Software Co., Ltd.</v>
      </c>
      <c r="C10" s="128" t="s">
        <v>1316</v>
      </c>
      <c r="E10" s="129"/>
    </row>
    <row r="11" spans="1:5" s="8" customFormat="1">
      <c r="A11" s="127"/>
      <c r="B11" s="133" t="str">
        <f>CONCATENATE("Organisation: ",'Agreement 3'!B17)</f>
        <v>Organisation: 深圳市网新新思软件有限公司</v>
      </c>
      <c r="C11" s="128"/>
      <c r="E11" s="129"/>
    </row>
    <row r="12" spans="1:5" s="8" customFormat="1">
      <c r="A12" s="127"/>
      <c r="B12" s="131" t="str">
        <f>CONCATENATE("Organisational Unit: ",StartupInfo!B18)</f>
        <v>Organisational Unit: Technology Center of Excellence</v>
      </c>
      <c r="C12" s="128"/>
      <c r="E12" s="129"/>
    </row>
    <row r="13" spans="1:5" s="8" customFormat="1" ht="15.6" customHeight="1">
      <c r="A13" s="127"/>
      <c r="B13" s="134" t="str">
        <f>CONCATENATE("Sponsor: ",'Agreement 3'!B30)</f>
        <v>Sponsor: Sheng Zhou</v>
      </c>
      <c r="C13" s="128"/>
      <c r="E13" s="129"/>
    </row>
    <row r="14" spans="1:5" s="8" customFormat="1" ht="15.6" customHeight="1">
      <c r="A14" s="127"/>
      <c r="B14" s="135"/>
      <c r="C14" s="128"/>
      <c r="E14" s="129"/>
    </row>
    <row r="15" spans="1:5" s="8" customFormat="1" ht="15.6" customHeight="1">
      <c r="A15" s="127"/>
      <c r="B15" s="135"/>
      <c r="C15" s="128"/>
      <c r="E15" s="129"/>
    </row>
    <row r="16" spans="1:5" s="8" customFormat="1" ht="21" customHeight="1">
      <c r="A16" s="127"/>
      <c r="B16" s="137" t="str">
        <f>'Agreement 3'!B48</f>
        <v>Demix</v>
      </c>
      <c r="C16" s="128"/>
      <c r="E16" s="129"/>
    </row>
    <row r="17" spans="1:9" s="8" customFormat="1" ht="15.6" customHeight="1">
      <c r="A17" s="127"/>
      <c r="B17" s="134" t="str">
        <f>CONCATENATE("Lead Appraiser: ",'Agreement 3'!B7," ",'Agreement 3'!B11)</f>
        <v>Lead Appraiser: Dr Pieter van Zyl 0500535-01</v>
      </c>
      <c r="C17" s="128"/>
      <c r="E17" s="129"/>
    </row>
    <row r="18" spans="1:9" s="8" customFormat="1" ht="15.6" customHeight="1">
      <c r="A18" s="127"/>
      <c r="B18" s="153" t="str">
        <f>'Agreement 3'!B9</f>
        <v>CMMI High Maturity Lead Appraiser</v>
      </c>
      <c r="C18" s="128"/>
      <c r="E18" s="129"/>
    </row>
    <row r="19" spans="1:9" s="8" customFormat="1" ht="18" customHeight="1">
      <c r="A19" s="127"/>
      <c r="B19" s="136"/>
      <c r="C19" s="128"/>
      <c r="E19" s="129"/>
    </row>
    <row r="20" spans="1:9" s="8" customFormat="1" ht="21" customHeight="1">
      <c r="A20" s="127" t="s">
        <v>1317</v>
      </c>
      <c r="B20" s="137">
        <f>Planning!B47</f>
        <v>46167</v>
      </c>
      <c r="C20" s="128"/>
      <c r="E20" s="129"/>
    </row>
    <row r="21" spans="1:9" s="8" customFormat="1" ht="21" customHeight="1">
      <c r="A21" s="127" t="s">
        <v>85</v>
      </c>
      <c r="B21" s="137">
        <f>Planning!B49</f>
        <v>46170</v>
      </c>
      <c r="C21" s="128"/>
      <c r="E21" s="129"/>
      <c r="G21" s="138" t="s">
        <v>1318</v>
      </c>
    </row>
    <row r="22" spans="1:9" s="8" customFormat="1" ht="21" customHeight="1">
      <c r="A22" s="127" t="s">
        <v>1221</v>
      </c>
      <c r="B22" s="137">
        <f>Planning!B50</f>
        <v>46171</v>
      </c>
      <c r="C22" s="128"/>
      <c r="E22" s="129"/>
      <c r="G22" s="138"/>
    </row>
    <row r="23" spans="1:9" s="8" customFormat="1" ht="54" customHeight="1">
      <c r="B23" s="137"/>
      <c r="C23" s="128"/>
      <c r="E23" s="129"/>
      <c r="G23" s="198" t="str">
        <f>_xlfn.CONCAT("Expiry benchmark", CHAR(13),CHAR(10),"appraisal",CHAR(13),CHAR(10),G24)</f>
        <v>Expiry benchmark_x000D_
appraisal_x000D_
29 May 2029</v>
      </c>
      <c r="H23" s="182"/>
      <c r="I23" s="181"/>
    </row>
    <row r="24" spans="1:9" s="8" customFormat="1" ht="23.4" customHeight="1">
      <c r="A24" s="127" t="s">
        <v>79</v>
      </c>
      <c r="B24" s="137">
        <f>Planning!B43</f>
        <v>46163</v>
      </c>
      <c r="C24" s="128"/>
      <c r="E24" s="129"/>
      <c r="G24" s="199" t="str">
        <f>TEXT(DATE(YEAR(B22)+3,MONTH(B22),DAY(B22)),"dd mmm yyyy")</f>
        <v>29 May 2029</v>
      </c>
      <c r="H24" s="183"/>
      <c r="I24" s="181"/>
    </row>
    <row r="25" spans="1:9" s="8" customFormat="1" ht="23.4" customHeight="1">
      <c r="A25" s="127"/>
      <c r="B25" s="137"/>
      <c r="C25" s="128"/>
      <c r="E25" s="129"/>
      <c r="G25" s="199"/>
      <c r="H25" s="183"/>
      <c r="I25" s="181"/>
    </row>
    <row r="26" spans="1:9" s="8" customFormat="1" ht="15.6" customHeight="1">
      <c r="A26" s="139" t="s">
        <v>1319</v>
      </c>
      <c r="B26" s="232" t="s">
        <v>1320</v>
      </c>
      <c r="C26" s="230" t="s">
        <v>1321</v>
      </c>
      <c r="D26" s="140" t="s">
        <v>150</v>
      </c>
      <c r="E26" s="129"/>
      <c r="G26" s="141"/>
    </row>
    <row r="27" spans="1:9" s="8" customFormat="1" ht="15.6" customHeight="1">
      <c r="A27" s="127"/>
      <c r="B27" s="231" t="s">
        <v>1322</v>
      </c>
      <c r="C27" s="142" t="s">
        <v>1323</v>
      </c>
      <c r="D27" s="143">
        <f>'P1-OrgScope'!B92</f>
        <v>46184</v>
      </c>
      <c r="E27" s="129"/>
      <c r="G27" s="144" t="str">
        <f>G24</f>
        <v>29 May 2029</v>
      </c>
      <c r="H27" s="138" t="s">
        <v>1324</v>
      </c>
    </row>
    <row r="28" spans="1:9" s="8" customFormat="1" ht="15.6" customHeight="1">
      <c r="A28" s="127"/>
      <c r="B28" s="142" t="s">
        <v>1325</v>
      </c>
      <c r="C28" s="142" t="s">
        <v>1326</v>
      </c>
      <c r="D28" s="143">
        <f>D27+14</f>
        <v>46198</v>
      </c>
      <c r="E28" s="129"/>
      <c r="G28" s="144"/>
    </row>
    <row r="29" spans="1:9" s="8" customFormat="1" ht="15.6" customHeight="1">
      <c r="A29" s="127"/>
      <c r="B29" s="142" t="str">
        <f>CONCATENATE("Review with ",G31," on progress against the plan.")</f>
        <v>Review with EPG on progress against the plan.</v>
      </c>
      <c r="C29" s="142" t="str">
        <f>CONCATENATE("Sponsor and ",G31)</f>
        <v>Sponsor and EPG</v>
      </c>
      <c r="D29" s="143">
        <f>D28+14</f>
        <v>46212</v>
      </c>
      <c r="E29" s="129"/>
    </row>
    <row r="30" spans="1:9" s="8" customFormat="1" ht="15.6" customHeight="1">
      <c r="A30" s="127"/>
      <c r="B30" s="145"/>
      <c r="C30" s="145"/>
      <c r="D30" s="145"/>
      <c r="E30" s="129"/>
    </row>
    <row r="31" spans="1:9" s="8" customFormat="1" ht="31.5" customHeight="1">
      <c r="A31" s="127"/>
      <c r="B31" s="532" t="s">
        <v>1327</v>
      </c>
      <c r="C31" s="488"/>
      <c r="D31" s="488"/>
      <c r="E31" s="129"/>
      <c r="G31" s="147" t="s">
        <v>1201</v>
      </c>
    </row>
    <row r="32" spans="1:9" s="8" customFormat="1" ht="18" customHeight="1">
      <c r="A32" s="127"/>
      <c r="B32" s="136"/>
      <c r="C32" s="128"/>
      <c r="E32" s="129"/>
    </row>
    <row r="33" spans="1:8" s="8" customFormat="1" ht="15.6" customHeight="1">
      <c r="A33" s="127"/>
      <c r="B33" s="146" t="str">
        <f>B13</f>
        <v>Sponsor: Sheng Zhou</v>
      </c>
      <c r="C33" s="353" t="str">
        <f>_xlfn.CONCAT(G31,": ",G33)</f>
        <v>EPG: Gao Pan</v>
      </c>
      <c r="E33" s="129"/>
      <c r="G33" s="8" t="str">
        <f>INDEX(Staff!$C:$C,MATCH("Process manager",Staff!$D:$D,0))</f>
        <v>Gao Pan</v>
      </c>
      <c r="H33" s="138" t="s">
        <v>1328</v>
      </c>
    </row>
    <row r="34" spans="1:8" s="8" customFormat="1" ht="18" customHeight="1">
      <c r="A34" s="127"/>
      <c r="B34" s="136"/>
      <c r="C34" s="128"/>
      <c r="E34" s="129"/>
      <c r="G34" s="352"/>
    </row>
    <row r="35" spans="1:8" s="8" customFormat="1" ht="18" customHeight="1">
      <c r="A35" s="127"/>
      <c r="B35" s="136"/>
      <c r="C35" s="128"/>
      <c r="E35" s="129"/>
    </row>
    <row r="36" spans="1:8" s="8" customFormat="1" ht="18" customHeight="1">
      <c r="A36" s="127"/>
      <c r="B36" s="136"/>
      <c r="C36" s="128"/>
      <c r="E36" s="129"/>
    </row>
    <row r="37" spans="1:8" s="8" customFormat="1" ht="18" customHeight="1">
      <c r="A37" s="127"/>
      <c r="B37" s="136"/>
      <c r="C37" s="128"/>
      <c r="E37" s="129"/>
    </row>
    <row r="38" spans="1:8" s="8" customFormat="1" ht="18.600000000000001" customHeight="1" thickBot="1">
      <c r="A38" s="148"/>
      <c r="B38" s="149"/>
      <c r="C38" s="150"/>
      <c r="D38" s="151"/>
      <c r="E38" s="152"/>
    </row>
    <row r="39" spans="1:8" s="8" customFormat="1" ht="18" customHeight="1">
      <c r="B39" s="136"/>
      <c r="C39" s="128"/>
    </row>
    <row r="40" spans="1:8" s="8" customFormat="1" ht="18" customHeight="1">
      <c r="B40" s="136"/>
      <c r="C40" s="128"/>
    </row>
    <row r="41" spans="1:8" s="8" customFormat="1" ht="18" customHeight="1">
      <c r="B41" s="136"/>
      <c r="C41" s="128"/>
    </row>
    <row r="42" spans="1:8" s="8" customFormat="1" ht="18" customHeight="1">
      <c r="B42" s="136"/>
      <c r="C42" s="128"/>
    </row>
    <row r="43" spans="1:8" s="8" customFormat="1" ht="18" customHeight="1">
      <c r="B43" s="136"/>
      <c r="C43" s="128"/>
    </row>
    <row r="44" spans="1:8" s="8" customFormat="1" ht="18" customHeight="1">
      <c r="B44" s="136"/>
      <c r="C44" s="128"/>
    </row>
    <row r="45" spans="1:8" s="8" customFormat="1" ht="18" customHeight="1">
      <c r="B45" s="136"/>
      <c r="C45" s="128"/>
    </row>
    <row r="46" spans="1:8" s="8" customFormat="1" ht="18" customHeight="1">
      <c r="B46" s="136"/>
      <c r="C46" s="128"/>
    </row>
    <row r="47" spans="1:8" s="8" customFormat="1" ht="18" customHeight="1">
      <c r="B47" s="136"/>
      <c r="C47" s="128"/>
    </row>
    <row r="48" spans="1:8" s="8" customFormat="1" ht="18" customHeight="1">
      <c r="B48" s="136"/>
      <c r="C48" s="128"/>
    </row>
    <row r="49" spans="2:3" s="8" customFormat="1" ht="18" customHeight="1">
      <c r="B49" s="136"/>
      <c r="C49" s="128"/>
    </row>
    <row r="50" spans="2:3" s="8" customFormat="1" ht="18" customHeight="1">
      <c r="B50" s="136"/>
      <c r="C50" s="128"/>
    </row>
    <row r="51" spans="2:3" s="8" customFormat="1" ht="18" customHeight="1">
      <c r="B51" s="136"/>
      <c r="C51" s="128"/>
    </row>
    <row r="52" spans="2:3" s="8" customFormat="1" ht="18" customHeight="1">
      <c r="B52" s="136"/>
      <c r="C52" s="128"/>
    </row>
    <row r="53" spans="2:3" s="8" customFormat="1" ht="18" customHeight="1">
      <c r="B53" s="136"/>
      <c r="C53" s="128"/>
    </row>
    <row r="54" spans="2:3" s="8" customFormat="1" ht="18" customHeight="1">
      <c r="B54" s="136"/>
      <c r="C54" s="128"/>
    </row>
    <row r="55" spans="2:3" s="8" customFormat="1" ht="18" customHeight="1">
      <c r="B55" s="136"/>
      <c r="C55" s="128"/>
    </row>
    <row r="56" spans="2:3" s="8" customFormat="1" ht="18" customHeight="1">
      <c r="B56" s="136"/>
      <c r="C56" s="128"/>
    </row>
    <row r="57" spans="2:3" s="8" customFormat="1" ht="18" customHeight="1">
      <c r="B57" s="136"/>
      <c r="C57" s="128"/>
    </row>
    <row r="58" spans="2:3" s="8" customFormat="1" ht="18" customHeight="1">
      <c r="B58" s="136"/>
      <c r="C58" s="128"/>
    </row>
    <row r="59" spans="2:3" s="8" customFormat="1" ht="18" customHeight="1">
      <c r="B59" s="136"/>
      <c r="C59" s="128"/>
    </row>
    <row r="60" spans="2:3" s="8" customFormat="1" ht="18" customHeight="1">
      <c r="B60" s="136"/>
      <c r="C60" s="128"/>
    </row>
    <row r="61" spans="2:3" s="8" customFormat="1" ht="18" customHeight="1">
      <c r="B61" s="136"/>
      <c r="C61" s="128"/>
    </row>
    <row r="62" spans="2:3" s="8" customFormat="1" ht="18" customHeight="1">
      <c r="B62" s="136"/>
      <c r="C62" s="128"/>
    </row>
    <row r="63" spans="2:3" s="8" customFormat="1" ht="18" customHeight="1">
      <c r="B63" s="136"/>
      <c r="C63" s="128"/>
    </row>
    <row r="64" spans="2:3" s="8" customFormat="1" ht="18" customHeight="1">
      <c r="B64" s="136"/>
      <c r="C64" s="128"/>
    </row>
    <row r="65" spans="2:3" s="8" customFormat="1" ht="18" customHeight="1">
      <c r="B65" s="136"/>
      <c r="C65" s="128"/>
    </row>
    <row r="66" spans="2:3" s="8" customFormat="1" ht="18" customHeight="1">
      <c r="B66" s="136"/>
      <c r="C66" s="128"/>
    </row>
    <row r="67" spans="2:3" s="8" customFormat="1" ht="18" customHeight="1">
      <c r="B67" s="136"/>
      <c r="C67" s="128"/>
    </row>
    <row r="68" spans="2:3" s="8" customFormat="1" ht="18" customHeight="1">
      <c r="B68" s="136"/>
      <c r="C68" s="128"/>
    </row>
  </sheetData>
  <mergeCells count="1">
    <mergeCell ref="B31:D31"/>
  </mergeCells>
  <pageMargins left="0.7" right="0.7" top="0.75" bottom="0.75" header="0.3" footer="0.3"/>
  <pageSetup paperSize="9" orientation="portrait" horizontalDpi="1200" verticalDpi="120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5"/>
  <dimension ref="A1:J40"/>
  <sheetViews>
    <sheetView workbookViewId="0"/>
  </sheetViews>
  <sheetFormatPr defaultColWidth="8.77734375" defaultRowHeight="13.8"/>
  <cols>
    <col min="1" max="1" width="36.77734375" style="316" customWidth="1"/>
    <col min="2" max="2" width="83.44140625" style="316" customWidth="1"/>
    <col min="3" max="3" width="6.77734375" style="316" customWidth="1"/>
    <col min="4" max="4" width="48.44140625" style="316" customWidth="1"/>
    <col min="5" max="20" width="6.77734375" style="316" customWidth="1"/>
    <col min="21" max="21" width="5.77734375" style="316" customWidth="1"/>
    <col min="22" max="27" width="8.77734375" style="316" customWidth="1"/>
    <col min="28" max="16384" width="8.77734375" style="316"/>
  </cols>
  <sheetData>
    <row r="1" spans="1:10">
      <c r="A1" s="312" t="s">
        <v>98</v>
      </c>
      <c r="B1" s="313" t="str">
        <f>IF(StartupInfo!B3="","",StartupInfo!B3)</f>
        <v>Shenzhen Insigma Innovation Software Co., Ltd.</v>
      </c>
      <c r="D1" s="319"/>
      <c r="J1" s="320"/>
    </row>
    <row r="2" spans="1:10">
      <c r="A2" s="321" t="str">
        <f>IF(StartupInfo!A4="","",StartupInfo!A4)</f>
        <v>Indigenous name</v>
      </c>
      <c r="B2" s="313" t="str">
        <f>IF(StartupInfo!B4="","",StartupInfo!B4)</f>
        <v>深圳市网新新思软件有限公司</v>
      </c>
      <c r="D2" s="319"/>
      <c r="J2" s="320"/>
    </row>
    <row r="3" spans="1:10">
      <c r="A3" s="321" t="str">
        <f>StartupInfo!A10</f>
        <v>Country</v>
      </c>
      <c r="B3" s="314" t="str">
        <f>IF(StartupInfo!B10="","",StartupInfo!B10)</f>
        <v>China</v>
      </c>
      <c r="D3" s="319"/>
      <c r="J3" s="320"/>
    </row>
    <row r="4" spans="1:10" ht="29.7" customHeight="1">
      <c r="A4" s="321" t="str">
        <f>StartupInfo!A11</f>
        <v>Organization main address including City, ZIP/Postal Code, and Country</v>
      </c>
      <c r="B4" s="315" t="str">
        <f>StartupInfo!B11</f>
        <v>901-912, Sun Yat-sen University Shenzhen Industry-Research Base Building, No. 1, Yuexing 4th Road, Keji South 10th Road, Nanshan District, Shenzhen, Guangdong, 518057, China</v>
      </c>
    </row>
    <row r="6" spans="1:10">
      <c r="A6" s="312" t="s">
        <v>1329</v>
      </c>
      <c r="B6" s="313" t="str">
        <f>StartupInfo!B18</f>
        <v>Technology Center of Excellence</v>
      </c>
    </row>
    <row r="7" spans="1:10" ht="41.4" customHeight="1">
      <c r="A7" s="321" t="s">
        <v>1330</v>
      </c>
      <c r="B7" s="314" t="str">
        <f>StartupInfo!B20</f>
        <v>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v>
      </c>
      <c r="D7" s="328" t="str">
        <f>StartupInfo!B28</f>
        <v xml:space="preserve">If address is different from the organisation, manually enter the address in StartupInfo/below, and unhide the new address in pptxLink1, so it displays in the pptx	  </v>
      </c>
    </row>
    <row r="8" spans="1:10" ht="27.6" hidden="1" customHeight="1">
      <c r="A8" s="321" t="s">
        <v>434</v>
      </c>
      <c r="B8" s="315" t="str">
        <f>IF(StartupInfo!B35="","",StartupInfo!B35)</f>
        <v>901-912, Sun Yat-sen University Shenzhen Industry-Research Base Building, No. 1, Yuexing 4th Road, Keji South 10th Road, Nanshan District, Shenzhen, Guangdong, 518057, China</v>
      </c>
    </row>
    <row r="9" spans="1:10">
      <c r="D9" s="350" t="str">
        <f>StartupInfo!B18</f>
        <v>Technology Center of Excellence</v>
      </c>
      <c r="E9" s="351" t="s">
        <v>1331</v>
      </c>
    </row>
    <row r="10" spans="1:10">
      <c r="A10" s="312" t="s">
        <v>1332</v>
      </c>
      <c r="B10" s="313" t="str">
        <f>'Agreement 3'!B30</f>
        <v>Sheng Zhou</v>
      </c>
    </row>
    <row r="11" spans="1:10">
      <c r="A11" s="321" t="s">
        <v>119</v>
      </c>
      <c r="B11" s="314" t="str">
        <f>'Agreement 3'!B31</f>
        <v>General Manager</v>
      </c>
    </row>
    <row r="12" spans="1:10">
      <c r="A12" s="321" t="s">
        <v>1333</v>
      </c>
      <c r="B12" s="315" t="str">
        <f>StartupInfo!B43</f>
        <v>Internal</v>
      </c>
    </row>
    <row r="14" spans="1:10">
      <c r="A14" s="312" t="s">
        <v>1334</v>
      </c>
      <c r="B14" s="313" t="str">
        <f>'Agreement 3'!B7</f>
        <v>Dr Pieter van Zyl</v>
      </c>
    </row>
    <row r="15" spans="1:10">
      <c r="A15" s="321" t="s">
        <v>1335</v>
      </c>
      <c r="B15" s="314" t="str">
        <f>'Agreement 3'!B11</f>
        <v>0500535-01</v>
      </c>
    </row>
    <row r="16" spans="1:10">
      <c r="A16" s="321" t="s">
        <v>1336</v>
      </c>
      <c r="B16" s="314" t="str">
        <f>'Agreement 3'!B8</f>
        <v>Demix</v>
      </c>
    </row>
    <row r="17" spans="1:2">
      <c r="A17" s="321" t="s">
        <v>1337</v>
      </c>
      <c r="B17" s="314" t="str">
        <f>'Agreement 3'!B48</f>
        <v>Demix</v>
      </c>
    </row>
    <row r="18" spans="1:2">
      <c r="A18" s="321" t="s">
        <v>24</v>
      </c>
      <c r="B18" s="314" t="str">
        <f>'Agreement 3'!B13</f>
        <v>pieter.vanzyl@demix.org</v>
      </c>
    </row>
    <row r="20" spans="1:2">
      <c r="A20" s="312" t="s">
        <v>1338</v>
      </c>
      <c r="B20" s="313" t="str">
        <f>_xlfn.CONCAT('Agreement 3'!B7," - ",'Agreement 3'!B8)</f>
        <v>Dr Pieter van Zyl - Demix</v>
      </c>
    </row>
    <row r="21" spans="1:2">
      <c r="A21" s="321" t="s">
        <v>1339</v>
      </c>
      <c r="B21" s="314" t="str">
        <f>_xlfn.CONCAT('P1-Personnel'!B13," - ",'P1-Personnel'!D13)</f>
        <v>ATM-1 - Demix (Pty) Ltd</v>
      </c>
    </row>
    <row r="22" spans="1:2">
      <c r="A22" s="321" t="s">
        <v>1339</v>
      </c>
      <c r="B22" s="314" t="str">
        <f>_xlfn.CONCAT('P1-Personnel'!B14," - ",'P1-Personnel'!D14)</f>
        <v>ATM-2 - Demix (Pty) Ltd</v>
      </c>
    </row>
    <row r="23" spans="1:2">
      <c r="A23" s="321" t="s">
        <v>1339</v>
      </c>
      <c r="B23" s="314" t="str">
        <f>_xlfn.CONCAT('P1-Personnel'!B15," - ",'P1-Personnel'!D15)</f>
        <v>ATM-3 - Demix (Pty) Ltd</v>
      </c>
    </row>
    <row r="24" spans="1:2">
      <c r="A24" s="321" t="s">
        <v>1339</v>
      </c>
      <c r="B24" s="314" t="str">
        <f>_xlfn.CONCAT('P1-Personnel'!B16," - ",'P1-Personnel'!D16)</f>
        <v>ATM-4 - Demix (Pty) Ltd</v>
      </c>
    </row>
    <row r="25" spans="1:2">
      <c r="A25" s="321" t="s">
        <v>1339</v>
      </c>
      <c r="B25" s="314" t="str">
        <f>_xlfn.CONCAT('P1-Personnel'!B17," - ",'P1-Personnel'!D17)</f>
        <v>ATM-5 - Demix (Pty) Ltd</v>
      </c>
    </row>
    <row r="26" spans="1:2">
      <c r="A26" s="321" t="s">
        <v>1339</v>
      </c>
      <c r="B26" s="314" t="str">
        <f>_xlfn.CONCAT('P1-Personnel'!B18," - ",'P1-Personnel'!D18)</f>
        <v>ATM-6 - Demix (Pty) Ltd</v>
      </c>
    </row>
    <row r="27" spans="1:2">
      <c r="A27" s="321" t="s">
        <v>1339</v>
      </c>
      <c r="B27" s="314" t="str">
        <f>_xlfn.CONCAT('P1-Personnel'!B19," - ",'P1-Personnel'!D19)</f>
        <v>ATM-7 - Demix (Pty) Ltd</v>
      </c>
    </row>
    <row r="28" spans="1:2">
      <c r="A28" s="321" t="s">
        <v>1339</v>
      </c>
      <c r="B28" s="314" t="str">
        <f>_xlfn.CONCAT('P1-Personnel'!B20," - ",'P1-Personnel'!D20)</f>
        <v>ATM-8 - Demix (Pty) Ltd</v>
      </c>
    </row>
    <row r="29" spans="1:2">
      <c r="A29" s="321" t="s">
        <v>1339</v>
      </c>
      <c r="B29" s="314" t="str">
        <f>_xlfn.CONCAT('P1-Personnel'!B21," - ",'P1-Personnel'!D21)</f>
        <v>ATM-9 - Demix (Pty) Ltd</v>
      </c>
    </row>
    <row r="30" spans="1:2">
      <c r="A30" s="321" t="s">
        <v>1340</v>
      </c>
      <c r="B30" s="314" t="str">
        <f>_xlfn.CONCAT('Agreement 3'!B35," - ",'Agreement 3'!B37)</f>
        <v>Yu Zhang - Shenzhen Insigma Innovation Software Co., Ltd.</v>
      </c>
    </row>
    <row r="31" spans="1:2">
      <c r="A31" s="321" t="s">
        <v>45</v>
      </c>
      <c r="B31" s="314" t="str">
        <f>_xlfn.CONCAT('P1-Personnel'!B8," - ",'P1-Personnel'!D8)</f>
        <v>Lynn - Freelance</v>
      </c>
    </row>
    <row r="33" spans="1:2">
      <c r="A33" s="312" t="s">
        <v>1341</v>
      </c>
      <c r="B33" s="312" t="s">
        <v>152</v>
      </c>
    </row>
    <row r="34" spans="1:2" ht="31.95" customHeight="1">
      <c r="A34" s="321" t="s">
        <v>893</v>
      </c>
      <c r="B34" s="317" t="s">
        <v>1342</v>
      </c>
    </row>
    <row r="35" spans="1:2" ht="31.95" customHeight="1">
      <c r="A35" s="321" t="s">
        <v>1343</v>
      </c>
      <c r="B35" s="318" t="s">
        <v>909</v>
      </c>
    </row>
    <row r="36" spans="1:2" ht="31.95" customHeight="1">
      <c r="A36" s="321" t="s">
        <v>899</v>
      </c>
      <c r="B36" s="318" t="s">
        <v>900</v>
      </c>
    </row>
    <row r="37" spans="1:2" ht="31.95" customHeight="1">
      <c r="A37" s="321" t="s">
        <v>1344</v>
      </c>
      <c r="B37" s="318" t="s">
        <v>904</v>
      </c>
    </row>
    <row r="38" spans="1:2" ht="31.95" customHeight="1">
      <c r="A38" s="321" t="s">
        <v>218</v>
      </c>
      <c r="B38" s="318" t="s">
        <v>1345</v>
      </c>
    </row>
    <row r="39" spans="1:2">
      <c r="A39" s="312" t="s">
        <v>1346</v>
      </c>
      <c r="B39" s="312" t="s">
        <v>152</v>
      </c>
    </row>
    <row r="40" spans="1:2" ht="34.950000000000003" customHeight="1">
      <c r="A40" s="321" t="s">
        <v>1347</v>
      </c>
      <c r="B40" s="318" t="s">
        <v>1348</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6"/>
  <dimension ref="A1:T35"/>
  <sheetViews>
    <sheetView workbookViewId="0"/>
  </sheetViews>
  <sheetFormatPr defaultColWidth="8.77734375" defaultRowHeight="15.6"/>
  <cols>
    <col min="1" max="1" width="108.21875" style="145" customWidth="1"/>
    <col min="2" max="19" width="6.77734375" style="310" customWidth="1"/>
    <col min="20" max="20" width="5.77734375" style="310" customWidth="1"/>
    <col min="21" max="26" width="8.77734375" style="311" customWidth="1"/>
    <col min="27" max="16384" width="8.77734375" style="311"/>
  </cols>
  <sheetData>
    <row r="1" spans="1:1">
      <c r="A1" s="322" t="s">
        <v>107</v>
      </c>
    </row>
    <row r="2" spans="1:1" ht="46.8" customHeight="1">
      <c r="A2" s="323" t="str">
        <f>Planning!B60</f>
        <v>[BO1] Increase 6% productivity to support annual revenue growth.
[BO2] Reduce post-deployment defects by 5% to improve overall quality.</v>
      </c>
    </row>
    <row r="3" spans="1:1">
      <c r="A3" s="322" t="str">
        <f>Planning!A61</f>
        <v>Appraisal objectives</v>
      </c>
    </row>
    <row r="4" spans="1:1" ht="31.2" customHeight="1">
      <c r="A4" s="323" t="str">
        <f>Planning!B61</f>
        <v>[A1] In support of the business objectives, understand the current strength and weaknesses of the CMMI  practices within the organisation [BO1 &amp; BO2].</v>
      </c>
    </row>
    <row r="6" spans="1:1">
      <c r="A6" s="309" t="str">
        <f>'P1PA-R'!A3</f>
        <v>Final Findings</v>
      </c>
    </row>
    <row r="7" spans="1:1" ht="31.2" customHeight="1">
      <c r="A7" s="324" t="str">
        <f>'P1PA-R'!B4</f>
        <v>The Final Findings will be presented as a PowerPoint presentation on the last on-site day, highlighting the strengths and weaknesses identified.</v>
      </c>
    </row>
    <row r="9" spans="1:1">
      <c r="A9" s="309" t="str">
        <f>'P1PA-R'!A8</f>
        <v>Sampled Project and OSF-level Practice Characterization Worksheets</v>
      </c>
    </row>
    <row r="10" spans="1:1">
      <c r="A10" s="324" t="str">
        <f>'P1PA-R'!B9</f>
        <v>OSF-level Practice Characterization Worksheets and Matrix included in the Final Findings presentation.</v>
      </c>
    </row>
    <row r="12" spans="1:1">
      <c r="A12" s="309" t="str">
        <f>'P1PA-R'!A13</f>
        <v>Sampled Project and OSF-level Ratings Worksheets</v>
      </c>
    </row>
    <row r="13" spans="1:1">
      <c r="A13" s="324" t="str">
        <f>'P1PA-R'!B14</f>
        <v>OSF-level Practice Ratings Worksheets and Matrix included in the Final Findings presentation.</v>
      </c>
    </row>
    <row r="15" spans="1:1">
      <c r="A15" s="309" t="str">
        <f>'P1PA-R'!A23</f>
        <v>Performance Report Output</v>
      </c>
    </row>
    <row r="16" spans="1:1" ht="31.2" customHeight="1">
      <c r="A16" s="324" t="str">
        <f>'P1PA-R'!B24</f>
        <v>The Performance Report records the Appraisal Team's consolidated judgment as to how performance is managed and improved in the OU.</v>
      </c>
    </row>
    <row r="18" spans="1:1">
      <c r="A18" s="309" t="str">
        <f>'P1PA-R'!A28</f>
        <v>Other Optional Output</v>
      </c>
    </row>
    <row r="19" spans="1:1">
      <c r="A19" s="324" t="str">
        <f>'P1PA-R'!B29</f>
        <v>Immediately follow-up actions after the Final Findings are presented.</v>
      </c>
    </row>
    <row r="30" spans="1:1">
      <c r="A30" s="309" t="str">
        <f>StartupInfo!B18</f>
        <v>Technology Center of Excellence</v>
      </c>
    </row>
    <row r="31" spans="1:1" ht="124.8" customHeight="1">
      <c r="A31" s="324" t="str">
        <f>StartupInfo!B20</f>
        <v>The Technology Center of Excellence focuses on researching, developing, implementing, and operating supply chain integration solutions in IT. It delivers integrated and modular services to enterprises nationwide, covering equipment intelligence and digitalization, and is responsible for solution requirements, design, development, testing, delivery, and maintenance.</v>
      </c>
    </row>
    <row r="33" spans="1:1">
      <c r="A33" s="309" t="str">
        <f>'P1-OrgScope'!A126</f>
        <v>Sampling Factors</v>
      </c>
    </row>
    <row r="34" spans="1:1">
      <c r="A34" s="329" t="str">
        <f>'P1-OrgScope'!B127</f>
        <v>Type of Work</v>
      </c>
    </row>
    <row r="35" spans="1:1">
      <c r="A35" s="330" t="str">
        <f>'P1-OrgScope'!B129</f>
        <v>All development projects</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7"/>
  <dimension ref="A2:P24"/>
  <sheetViews>
    <sheetView tabSelected="1" workbookViewId="0">
      <selection activeCell="I24" sqref="A2:I24"/>
    </sheetView>
  </sheetViews>
  <sheetFormatPr defaultColWidth="8.77734375" defaultRowHeight="14.4"/>
  <cols>
    <col min="1" max="1" width="38.21875" style="288" customWidth="1"/>
    <col min="2" max="2" width="52.21875" style="288" customWidth="1"/>
    <col min="3" max="3" width="10.77734375" style="288" customWidth="1"/>
    <col min="4" max="4" width="49.44140625" style="288" hidden="1" customWidth="1"/>
    <col min="5" max="10" width="8.77734375" style="288" customWidth="1"/>
    <col min="11" max="11" width="2.44140625" style="288" customWidth="1"/>
    <col min="12" max="17" width="8.77734375" style="288" customWidth="1"/>
    <col min="18" max="16384" width="8.77734375" style="288"/>
  </cols>
  <sheetData>
    <row r="2" spans="1:16" ht="13.2" customHeight="1">
      <c r="A2" s="536" t="str">
        <f>Planning!B28</f>
        <v>CMMI Development V2.0 (CMMI-DEV) without SAM</v>
      </c>
      <c r="B2" s="519"/>
      <c r="C2" s="519"/>
      <c r="D2" s="536"/>
      <c r="E2" s="519"/>
      <c r="F2" s="519"/>
      <c r="G2" s="519"/>
      <c r="H2" s="519"/>
      <c r="I2" s="519"/>
      <c r="L2" s="254" t="s">
        <v>57</v>
      </c>
      <c r="M2" s="254">
        <f>VALUE(RIGHT(Planning!B16,1))</f>
        <v>5</v>
      </c>
      <c r="N2" s="16" t="s">
        <v>1128</v>
      </c>
    </row>
    <row r="3" spans="1:16" s="8" customFormat="1">
      <c r="A3" s="541" t="str">
        <f>'P1-OrgScope'!B50</f>
        <v>Maturity Level 5</v>
      </c>
      <c r="B3" s="542"/>
      <c r="C3" s="542"/>
      <c r="D3" s="541"/>
      <c r="E3" s="542"/>
      <c r="F3" s="542"/>
      <c r="G3" s="542"/>
      <c r="H3" s="542"/>
      <c r="I3" s="542"/>
      <c r="J3" s="118"/>
      <c r="K3" s="288"/>
      <c r="L3" s="288"/>
      <c r="M3" s="288"/>
      <c r="N3" s="118"/>
      <c r="O3" s="118"/>
      <c r="P3" s="118"/>
    </row>
    <row r="4" spans="1:16">
      <c r="A4" s="291" t="s">
        <v>1349</v>
      </c>
      <c r="B4" s="291" t="s">
        <v>783</v>
      </c>
      <c r="C4" s="292" t="s">
        <v>58</v>
      </c>
      <c r="D4" s="305" t="s">
        <v>783</v>
      </c>
      <c r="E4" s="306">
        <v>1</v>
      </c>
      <c r="F4" s="306">
        <v>2</v>
      </c>
      <c r="G4" s="306">
        <v>3</v>
      </c>
      <c r="H4" s="306">
        <v>4</v>
      </c>
      <c r="I4" s="306">
        <v>5</v>
      </c>
      <c r="M4" s="288" t="s">
        <v>1350</v>
      </c>
    </row>
    <row r="5" spans="1:16" ht="20.7" customHeight="1">
      <c r="A5" s="543" t="s">
        <v>1351</v>
      </c>
      <c r="B5" s="293" t="s">
        <v>1352</v>
      </c>
      <c r="C5" s="273">
        <f t="shared" ref="C5:C20" si="0">IF(M5&gt;=$M$2,$M$2,M5)</f>
        <v>3</v>
      </c>
      <c r="D5" s="307" t="s">
        <v>1352</v>
      </c>
      <c r="E5" s="308" t="str">
        <f t="shared" ref="E5:I14" si="1">IF($C5&gt;=E$4,"x","")</f>
        <v>x</v>
      </c>
      <c r="F5" s="308" t="str">
        <f t="shared" si="1"/>
        <v>x</v>
      </c>
      <c r="G5" s="308" t="str">
        <f t="shared" si="1"/>
        <v>x</v>
      </c>
      <c r="H5" s="308" t="str">
        <f t="shared" si="1"/>
        <v/>
      </c>
      <c r="I5" s="308" t="str">
        <f t="shared" si="1"/>
        <v/>
      </c>
      <c r="M5" s="288">
        <v>3</v>
      </c>
    </row>
    <row r="6" spans="1:16" ht="20.7" customHeight="1">
      <c r="A6" s="534"/>
      <c r="B6" s="293" t="s">
        <v>1353</v>
      </c>
      <c r="C6" s="273">
        <f t="shared" si="0"/>
        <v>3</v>
      </c>
      <c r="D6" s="307" t="s">
        <v>1353</v>
      </c>
      <c r="E6" s="308" t="str">
        <f t="shared" si="1"/>
        <v>x</v>
      </c>
      <c r="F6" s="308" t="str">
        <f t="shared" si="1"/>
        <v>x</v>
      </c>
      <c r="G6" s="308" t="str">
        <f t="shared" si="1"/>
        <v>x</v>
      </c>
      <c r="H6" s="308" t="str">
        <f t="shared" si="1"/>
        <v/>
      </c>
      <c r="I6" s="308" t="str">
        <f t="shared" si="1"/>
        <v/>
      </c>
      <c r="M6" s="288">
        <v>3</v>
      </c>
    </row>
    <row r="7" spans="1:16" ht="20.7" customHeight="1">
      <c r="A7" s="534"/>
      <c r="B7" s="293" t="s">
        <v>1354</v>
      </c>
      <c r="C7" s="273">
        <f t="shared" si="0"/>
        <v>3</v>
      </c>
      <c r="D7" s="307" t="s">
        <v>1354</v>
      </c>
      <c r="E7" s="308" t="str">
        <f t="shared" si="1"/>
        <v>x</v>
      </c>
      <c r="F7" s="308" t="str">
        <f t="shared" si="1"/>
        <v>x</v>
      </c>
      <c r="G7" s="308" t="str">
        <f t="shared" si="1"/>
        <v>x</v>
      </c>
      <c r="H7" s="308" t="str">
        <f t="shared" si="1"/>
        <v/>
      </c>
      <c r="I7" s="308" t="str">
        <f t="shared" si="1"/>
        <v/>
      </c>
      <c r="M7" s="288">
        <v>3</v>
      </c>
    </row>
    <row r="8" spans="1:16" ht="20.7" customHeight="1">
      <c r="A8" s="535"/>
      <c r="B8" s="293" t="s">
        <v>1355</v>
      </c>
      <c r="C8" s="273">
        <f t="shared" si="0"/>
        <v>3</v>
      </c>
      <c r="D8" s="307" t="s">
        <v>1355</v>
      </c>
      <c r="E8" s="308" t="str">
        <f t="shared" si="1"/>
        <v>x</v>
      </c>
      <c r="F8" s="308" t="str">
        <f t="shared" si="1"/>
        <v>x</v>
      </c>
      <c r="G8" s="308" t="str">
        <f t="shared" si="1"/>
        <v>x</v>
      </c>
      <c r="H8" s="308" t="str">
        <f t="shared" si="1"/>
        <v/>
      </c>
      <c r="I8" s="308" t="str">
        <f t="shared" si="1"/>
        <v/>
      </c>
      <c r="M8" s="288">
        <v>3</v>
      </c>
    </row>
    <row r="9" spans="1:16" ht="20.7" customHeight="1">
      <c r="A9" s="538" t="s">
        <v>1356</v>
      </c>
      <c r="B9" s="294" t="s">
        <v>1357</v>
      </c>
      <c r="C9" s="273">
        <f t="shared" si="0"/>
        <v>3</v>
      </c>
      <c r="D9" s="307" t="s">
        <v>1357</v>
      </c>
      <c r="E9" s="308" t="str">
        <f t="shared" si="1"/>
        <v>x</v>
      </c>
      <c r="F9" s="308" t="str">
        <f t="shared" si="1"/>
        <v>x</v>
      </c>
      <c r="G9" s="308" t="str">
        <f t="shared" si="1"/>
        <v>x</v>
      </c>
      <c r="H9" s="308" t="str">
        <f t="shared" si="1"/>
        <v/>
      </c>
      <c r="I9" s="308" t="str">
        <f t="shared" si="1"/>
        <v/>
      </c>
      <c r="M9" s="288">
        <v>3</v>
      </c>
    </row>
    <row r="10" spans="1:16" ht="20.7" customHeight="1">
      <c r="A10" s="535"/>
      <c r="B10" s="294" t="s">
        <v>1358</v>
      </c>
      <c r="C10" s="273">
        <f t="shared" si="0"/>
        <v>3</v>
      </c>
      <c r="D10" s="307" t="s">
        <v>1358</v>
      </c>
      <c r="E10" s="308" t="str">
        <f t="shared" si="1"/>
        <v>x</v>
      </c>
      <c r="F10" s="308" t="str">
        <f t="shared" si="1"/>
        <v>x</v>
      </c>
      <c r="G10" s="308" t="str">
        <f t="shared" si="1"/>
        <v>x</v>
      </c>
      <c r="H10" s="308" t="str">
        <f t="shared" si="1"/>
        <v/>
      </c>
      <c r="I10" s="308" t="str">
        <f t="shared" si="1"/>
        <v/>
      </c>
      <c r="M10" s="288">
        <v>3</v>
      </c>
    </row>
    <row r="11" spans="1:16" ht="20.7" hidden="1" customHeight="1">
      <c r="A11" s="295" t="s">
        <v>182</v>
      </c>
      <c r="B11" s="296" t="s">
        <v>1359</v>
      </c>
      <c r="C11" s="273">
        <f t="shared" si="0"/>
        <v>4</v>
      </c>
      <c r="D11" s="307" t="s">
        <v>1359</v>
      </c>
      <c r="E11" s="308" t="str">
        <f t="shared" si="1"/>
        <v>x</v>
      </c>
      <c r="F11" s="308" t="str">
        <f t="shared" si="1"/>
        <v>x</v>
      </c>
      <c r="G11" s="308" t="str">
        <f t="shared" si="1"/>
        <v>x</v>
      </c>
      <c r="H11" s="308" t="str">
        <f t="shared" si="1"/>
        <v>x</v>
      </c>
      <c r="I11" s="308" t="str">
        <f t="shared" si="1"/>
        <v/>
      </c>
      <c r="M11" s="288">
        <v>4</v>
      </c>
    </row>
    <row r="12" spans="1:16" ht="20.7" customHeight="1">
      <c r="A12" s="537" t="s">
        <v>1360</v>
      </c>
      <c r="B12" s="297" t="s">
        <v>1361</v>
      </c>
      <c r="C12" s="273">
        <f t="shared" si="0"/>
        <v>3</v>
      </c>
      <c r="D12" s="307" t="s">
        <v>1361</v>
      </c>
      <c r="E12" s="308" t="str">
        <f t="shared" si="1"/>
        <v>x</v>
      </c>
      <c r="F12" s="308" t="str">
        <f t="shared" si="1"/>
        <v>x</v>
      </c>
      <c r="G12" s="308" t="str">
        <f t="shared" si="1"/>
        <v>x</v>
      </c>
      <c r="H12" s="308" t="str">
        <f t="shared" si="1"/>
        <v/>
      </c>
      <c r="I12" s="308" t="str">
        <f t="shared" si="1"/>
        <v/>
      </c>
      <c r="M12" s="288">
        <v>3</v>
      </c>
    </row>
    <row r="13" spans="1:16" ht="20.7" customHeight="1">
      <c r="A13" s="534"/>
      <c r="B13" s="297" t="s">
        <v>1362</v>
      </c>
      <c r="C13" s="273">
        <f t="shared" si="0"/>
        <v>4</v>
      </c>
      <c r="D13" s="307" t="s">
        <v>1362</v>
      </c>
      <c r="E13" s="308" t="str">
        <f t="shared" si="1"/>
        <v>x</v>
      </c>
      <c r="F13" s="308" t="str">
        <f t="shared" si="1"/>
        <v>x</v>
      </c>
      <c r="G13" s="308" t="str">
        <f t="shared" si="1"/>
        <v>x</v>
      </c>
      <c r="H13" s="308" t="str">
        <f t="shared" si="1"/>
        <v>x</v>
      </c>
      <c r="I13" s="308" t="str">
        <f t="shared" si="1"/>
        <v/>
      </c>
      <c r="M13" s="288">
        <v>4</v>
      </c>
    </row>
    <row r="14" spans="1:16" ht="20.7" customHeight="1">
      <c r="A14" s="535"/>
      <c r="B14" s="297" t="s">
        <v>1363</v>
      </c>
      <c r="C14" s="273">
        <f t="shared" si="0"/>
        <v>3</v>
      </c>
      <c r="D14" s="307" t="s">
        <v>1363</v>
      </c>
      <c r="E14" s="308" t="str">
        <f t="shared" si="1"/>
        <v>x</v>
      </c>
      <c r="F14" s="308" t="str">
        <f t="shared" si="1"/>
        <v>x</v>
      </c>
      <c r="G14" s="308" t="str">
        <f t="shared" si="1"/>
        <v>x</v>
      </c>
      <c r="H14" s="308" t="str">
        <f t="shared" si="1"/>
        <v/>
      </c>
      <c r="I14" s="308" t="str">
        <f t="shared" si="1"/>
        <v/>
      </c>
      <c r="M14" s="288">
        <v>3</v>
      </c>
    </row>
    <row r="15" spans="1:16" ht="20.7" customHeight="1">
      <c r="A15" s="298" t="s">
        <v>1364</v>
      </c>
      <c r="B15" s="299" t="s">
        <v>1365</v>
      </c>
      <c r="C15" s="273">
        <f t="shared" si="0"/>
        <v>3</v>
      </c>
      <c r="D15" s="307" t="s">
        <v>1365</v>
      </c>
      <c r="E15" s="308" t="str">
        <f t="shared" ref="E15:I24" si="2">IF($C15&gt;=E$4,"x","")</f>
        <v>x</v>
      </c>
      <c r="F15" s="308" t="str">
        <f t="shared" si="2"/>
        <v>x</v>
      </c>
      <c r="G15" s="308" t="str">
        <f t="shared" si="2"/>
        <v>x</v>
      </c>
      <c r="H15" s="308" t="str">
        <f t="shared" si="2"/>
        <v/>
      </c>
      <c r="I15" s="308" t="str">
        <f t="shared" si="2"/>
        <v/>
      </c>
      <c r="M15" s="288">
        <v>3</v>
      </c>
    </row>
    <row r="16" spans="1:16" ht="20.7" customHeight="1">
      <c r="A16" s="300" t="s">
        <v>1366</v>
      </c>
      <c r="B16" s="301" t="s">
        <v>1367</v>
      </c>
      <c r="C16" s="273">
        <f t="shared" si="0"/>
        <v>3</v>
      </c>
      <c r="D16" s="307" t="s">
        <v>1367</v>
      </c>
      <c r="E16" s="308" t="str">
        <f t="shared" si="2"/>
        <v>x</v>
      </c>
      <c r="F16" s="308" t="str">
        <f t="shared" si="2"/>
        <v>x</v>
      </c>
      <c r="G16" s="308" t="str">
        <f t="shared" si="2"/>
        <v>x</v>
      </c>
      <c r="H16" s="308" t="str">
        <f t="shared" si="2"/>
        <v/>
      </c>
      <c r="I16" s="308" t="str">
        <f t="shared" si="2"/>
        <v/>
      </c>
      <c r="M16" s="288">
        <v>3</v>
      </c>
    </row>
    <row r="17" spans="1:13" ht="20.7" customHeight="1">
      <c r="A17" s="539" t="s">
        <v>1368</v>
      </c>
      <c r="B17" s="302" t="s">
        <v>1369</v>
      </c>
      <c r="C17" s="273">
        <f t="shared" si="0"/>
        <v>5</v>
      </c>
      <c r="D17" s="307" t="s">
        <v>1369</v>
      </c>
      <c r="E17" s="308" t="str">
        <f t="shared" si="2"/>
        <v>x</v>
      </c>
      <c r="F17" s="308" t="str">
        <f t="shared" si="2"/>
        <v>x</v>
      </c>
      <c r="G17" s="308" t="str">
        <f t="shared" si="2"/>
        <v>x</v>
      </c>
      <c r="H17" s="308" t="str">
        <f t="shared" si="2"/>
        <v>x</v>
      </c>
      <c r="I17" s="308" t="str">
        <f t="shared" si="2"/>
        <v>x</v>
      </c>
      <c r="M17" s="288">
        <v>5</v>
      </c>
    </row>
    <row r="18" spans="1:13" ht="20.7" customHeight="1">
      <c r="A18" s="534"/>
      <c r="B18" s="302" t="s">
        <v>1370</v>
      </c>
      <c r="C18" s="273">
        <f t="shared" si="0"/>
        <v>3</v>
      </c>
      <c r="D18" s="307" t="s">
        <v>1370</v>
      </c>
      <c r="E18" s="308" t="str">
        <f t="shared" si="2"/>
        <v>x</v>
      </c>
      <c r="F18" s="308" t="str">
        <f t="shared" si="2"/>
        <v>x</v>
      </c>
      <c r="G18" s="308" t="str">
        <f t="shared" si="2"/>
        <v>x</v>
      </c>
      <c r="H18" s="308" t="str">
        <f t="shared" si="2"/>
        <v/>
      </c>
      <c r="I18" s="308" t="str">
        <f t="shared" si="2"/>
        <v/>
      </c>
      <c r="M18" s="288">
        <v>3</v>
      </c>
    </row>
    <row r="19" spans="1:13" ht="20.7" customHeight="1">
      <c r="A19" s="535"/>
      <c r="B19" s="302" t="s">
        <v>1371</v>
      </c>
      <c r="C19" s="273">
        <f t="shared" si="0"/>
        <v>2</v>
      </c>
      <c r="D19" s="307" t="s">
        <v>1371</v>
      </c>
      <c r="E19" s="308" t="str">
        <f t="shared" si="2"/>
        <v>x</v>
      </c>
      <c r="F19" s="308" t="str">
        <f t="shared" si="2"/>
        <v>x</v>
      </c>
      <c r="G19" s="308" t="str">
        <f t="shared" si="2"/>
        <v/>
      </c>
      <c r="H19" s="308" t="str">
        <f t="shared" si="2"/>
        <v/>
      </c>
      <c r="I19" s="308" t="str">
        <f t="shared" si="2"/>
        <v/>
      </c>
      <c r="M19" s="288">
        <v>2</v>
      </c>
    </row>
    <row r="20" spans="1:13" ht="20.7" customHeight="1">
      <c r="A20" s="540" t="s">
        <v>1372</v>
      </c>
      <c r="B20" s="303" t="s">
        <v>1373</v>
      </c>
      <c r="C20" s="273">
        <f t="shared" si="0"/>
        <v>4</v>
      </c>
      <c r="D20" s="307" t="s">
        <v>1373</v>
      </c>
      <c r="E20" s="308" t="str">
        <f t="shared" si="2"/>
        <v>x</v>
      </c>
      <c r="F20" s="308" t="str">
        <f t="shared" si="2"/>
        <v>x</v>
      </c>
      <c r="G20" s="308" t="str">
        <f t="shared" si="2"/>
        <v>x</v>
      </c>
      <c r="H20" s="308" t="str">
        <f t="shared" si="2"/>
        <v>x</v>
      </c>
      <c r="I20" s="308" t="str">
        <f t="shared" si="2"/>
        <v/>
      </c>
      <c r="M20" s="288">
        <v>4</v>
      </c>
    </row>
    <row r="21" spans="1:13" ht="20.7" customHeight="1">
      <c r="A21" s="535"/>
      <c r="B21" s="303" t="s">
        <v>1374</v>
      </c>
      <c r="C21" s="273">
        <v>4</v>
      </c>
      <c r="D21" s="307" t="s">
        <v>1374</v>
      </c>
      <c r="E21" s="308" t="str">
        <f t="shared" si="2"/>
        <v>x</v>
      </c>
      <c r="F21" s="308" t="str">
        <f t="shared" si="2"/>
        <v>x</v>
      </c>
      <c r="G21" s="308" t="str">
        <f t="shared" si="2"/>
        <v>x</v>
      </c>
      <c r="H21" s="308" t="str">
        <f t="shared" si="2"/>
        <v>x</v>
      </c>
      <c r="I21" s="308" t="str">
        <f t="shared" si="2"/>
        <v/>
      </c>
      <c r="M21" s="288">
        <v>3</v>
      </c>
    </row>
    <row r="22" spans="1:13" ht="20.7" customHeight="1">
      <c r="A22" s="533" t="s">
        <v>1375</v>
      </c>
      <c r="B22" s="304" t="s">
        <v>1376</v>
      </c>
      <c r="C22" s="273">
        <f>IF(M22&gt;=$M$2,$M$2,M22)</f>
        <v>5</v>
      </c>
      <c r="D22" s="307" t="s">
        <v>1376</v>
      </c>
      <c r="E22" s="308" t="str">
        <f t="shared" si="2"/>
        <v>x</v>
      </c>
      <c r="F22" s="308" t="str">
        <f t="shared" si="2"/>
        <v>x</v>
      </c>
      <c r="G22" s="308" t="str">
        <f t="shared" si="2"/>
        <v>x</v>
      </c>
      <c r="H22" s="308" t="str">
        <f t="shared" si="2"/>
        <v>x</v>
      </c>
      <c r="I22" s="308" t="str">
        <f t="shared" si="2"/>
        <v>x</v>
      </c>
      <c r="M22" s="288">
        <v>5</v>
      </c>
    </row>
    <row r="23" spans="1:13" ht="20.7" customHeight="1">
      <c r="A23" s="534"/>
      <c r="B23" s="304" t="s">
        <v>1377</v>
      </c>
      <c r="C23" s="273">
        <f>IF(M23&gt;=$M$2,$M$2,M23)</f>
        <v>4</v>
      </c>
      <c r="D23" s="307" t="s">
        <v>1377</v>
      </c>
      <c r="E23" s="308" t="str">
        <f t="shared" si="2"/>
        <v>x</v>
      </c>
      <c r="F23" s="308" t="str">
        <f t="shared" si="2"/>
        <v>x</v>
      </c>
      <c r="G23" s="308" t="str">
        <f t="shared" si="2"/>
        <v>x</v>
      </c>
      <c r="H23" s="308" t="str">
        <f t="shared" si="2"/>
        <v>x</v>
      </c>
      <c r="I23" s="308" t="str">
        <f t="shared" si="2"/>
        <v/>
      </c>
      <c r="M23" s="288">
        <v>4</v>
      </c>
    </row>
    <row r="24" spans="1:13" ht="20.7" customHeight="1">
      <c r="A24" s="535"/>
      <c r="B24" s="304" t="s">
        <v>1378</v>
      </c>
      <c r="C24" s="273">
        <f>IF(M24&gt;=$M$2,$M$2,M24)</f>
        <v>3</v>
      </c>
      <c r="D24" s="307" t="s">
        <v>1378</v>
      </c>
      <c r="E24" s="308" t="str">
        <f t="shared" si="2"/>
        <v>x</v>
      </c>
      <c r="F24" s="308" t="str">
        <f t="shared" si="2"/>
        <v>x</v>
      </c>
      <c r="G24" s="308" t="str">
        <f t="shared" si="2"/>
        <v>x</v>
      </c>
      <c r="H24" s="308" t="str">
        <f t="shared" si="2"/>
        <v/>
      </c>
      <c r="I24" s="308" t="str">
        <f t="shared" si="2"/>
        <v/>
      </c>
      <c r="M24" s="288">
        <v>3</v>
      </c>
    </row>
  </sheetData>
  <mergeCells count="10">
    <mergeCell ref="A22:A24"/>
    <mergeCell ref="A2:C2"/>
    <mergeCell ref="D2:I2"/>
    <mergeCell ref="A12:A14"/>
    <mergeCell ref="A9:A10"/>
    <mergeCell ref="A17:A19"/>
    <mergeCell ref="A20:A21"/>
    <mergeCell ref="A3:C3"/>
    <mergeCell ref="D3:I3"/>
    <mergeCell ref="A5:A8"/>
  </mergeCells>
  <conditionalFormatting sqref="E5:I24">
    <cfRule type="cellIs" dxfId="8" priority="2" operator="equal">
      <formula>"x"</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8"/>
  <dimension ref="A2:V24"/>
  <sheetViews>
    <sheetView workbookViewId="0">
      <selection activeCell="H26" sqref="H26"/>
    </sheetView>
  </sheetViews>
  <sheetFormatPr defaultColWidth="8.77734375" defaultRowHeight="21"/>
  <cols>
    <col min="1" max="1" width="45.21875" style="120" customWidth="1"/>
    <col min="2" max="3" width="18.21875" style="120" customWidth="1"/>
    <col min="4" max="20" width="6.77734375" style="118" customWidth="1"/>
    <col min="21" max="21" width="6.77734375" style="118" hidden="1" customWidth="1"/>
    <col min="22" max="22" width="5.77734375" style="118" customWidth="1"/>
    <col min="23" max="28" width="8.77734375" style="8" customWidth="1"/>
    <col min="29" max="16384" width="8.77734375" style="8"/>
  </cols>
  <sheetData>
    <row r="2" spans="1:22">
      <c r="A2" s="165" t="str">
        <f>'P1-OrgScope'!A126</f>
        <v>Sampling Factors</v>
      </c>
      <c r="B2" s="201"/>
      <c r="C2" s="201"/>
    </row>
    <row r="3" spans="1:22">
      <c r="A3" s="167" t="str">
        <f>'P1-OrgScope'!B127</f>
        <v>Type of Work</v>
      </c>
      <c r="B3" s="201"/>
      <c r="C3" s="201"/>
    </row>
    <row r="4" spans="1:22">
      <c r="A4" s="166" t="str">
        <f>'P1-OrgScope'!B129</f>
        <v>All development projects</v>
      </c>
      <c r="B4" s="201"/>
      <c r="C4" s="201"/>
    </row>
    <row r="5" spans="1:22" ht="18" customHeight="1">
      <c r="A5" s="201"/>
      <c r="B5" s="201"/>
      <c r="C5" s="201"/>
      <c r="D5" s="202"/>
      <c r="E5" s="202"/>
      <c r="F5" s="202"/>
      <c r="G5" s="202"/>
      <c r="H5" s="202"/>
      <c r="I5" s="202"/>
      <c r="J5" s="202"/>
      <c r="K5" s="202"/>
      <c r="L5" s="202"/>
      <c r="M5" s="202"/>
      <c r="N5" s="202"/>
      <c r="O5" s="202"/>
      <c r="P5" s="202"/>
      <c r="Q5" s="202"/>
      <c r="R5" s="202"/>
      <c r="S5" s="202"/>
      <c r="T5" s="202"/>
      <c r="U5" s="202"/>
    </row>
    <row r="6" spans="1:22" ht="18" customHeight="1">
      <c r="A6" s="201"/>
      <c r="B6" s="201"/>
      <c r="C6" s="201"/>
      <c r="D6" s="202"/>
      <c r="E6" s="202"/>
      <c r="F6" s="202"/>
      <c r="G6" s="202"/>
      <c r="H6" s="202"/>
      <c r="I6" s="202"/>
      <c r="J6" s="202"/>
      <c r="K6" s="202"/>
      <c r="L6" s="202"/>
      <c r="M6" s="202"/>
      <c r="N6" s="202"/>
      <c r="O6" s="202"/>
      <c r="P6" s="202"/>
      <c r="Q6" s="202"/>
      <c r="R6" s="202"/>
      <c r="S6" s="202"/>
      <c r="T6" s="202"/>
      <c r="U6" s="202"/>
    </row>
    <row r="7" spans="1:22" ht="18" customHeight="1">
      <c r="A7" s="201"/>
      <c r="B7" s="201"/>
      <c r="C7" s="201"/>
      <c r="D7" s="202"/>
      <c r="E7" s="202"/>
      <c r="F7" s="202"/>
      <c r="G7" s="202"/>
      <c r="H7" s="202"/>
      <c r="I7" s="202"/>
      <c r="J7" s="202"/>
      <c r="K7" s="202"/>
      <c r="L7" s="202"/>
      <c r="M7" s="202"/>
      <c r="N7" s="202"/>
      <c r="O7" s="202"/>
      <c r="P7" s="202"/>
      <c r="Q7" s="202"/>
      <c r="R7" s="202"/>
      <c r="S7" s="202"/>
      <c r="T7" s="202"/>
      <c r="U7" s="202"/>
    </row>
    <row r="8" spans="1:22" ht="18" customHeight="1">
      <c r="A8" s="201"/>
      <c r="B8" s="201"/>
      <c r="C8" s="201"/>
      <c r="D8" s="202"/>
      <c r="E8" s="202"/>
      <c r="F8" s="202"/>
      <c r="G8" s="202"/>
      <c r="H8" s="202"/>
      <c r="I8" s="202"/>
      <c r="J8" s="202"/>
      <c r="K8" s="202"/>
      <c r="L8" s="202"/>
      <c r="M8" s="202"/>
      <c r="N8" s="202"/>
      <c r="O8" s="202"/>
      <c r="P8" s="202"/>
      <c r="Q8" s="202"/>
      <c r="R8" s="202"/>
      <c r="S8" s="202"/>
      <c r="T8" s="202"/>
      <c r="U8" s="202"/>
    </row>
    <row r="9" spans="1:22" ht="18" customHeight="1">
      <c r="A9" s="201"/>
      <c r="B9" s="201"/>
      <c r="C9" s="201"/>
      <c r="D9" s="202"/>
      <c r="E9" s="202"/>
      <c r="F9" s="202"/>
      <c r="G9" s="202"/>
      <c r="H9" s="202"/>
      <c r="I9" s="202"/>
      <c r="J9" s="202"/>
      <c r="K9" s="202"/>
      <c r="L9" s="202"/>
      <c r="M9" s="202"/>
      <c r="N9" s="202"/>
      <c r="O9" s="202"/>
      <c r="P9" s="202"/>
      <c r="Q9" s="202"/>
      <c r="R9" s="202"/>
      <c r="S9" s="202"/>
      <c r="T9" s="202"/>
      <c r="U9" s="202"/>
    </row>
    <row r="10" spans="1:22" s="204" customFormat="1" ht="42" customHeight="1">
      <c r="A10" s="165" t="str">
        <f>'Project&amp;Support'!A1</f>
        <v>Project and support function information and sample</v>
      </c>
      <c r="B10" s="165" t="str">
        <f>'Project&amp;Support'!H2</f>
        <v>Sub groups</v>
      </c>
      <c r="C10" s="165" t="str">
        <f>'Project&amp;Support'!I2</f>
        <v>Project/
Support</v>
      </c>
      <c r="D10" s="168" t="str">
        <f>'Project&amp;Support'!J2</f>
        <v>PI</v>
      </c>
      <c r="E10" s="168" t="str">
        <f>'Project&amp;Support'!K2</f>
        <v>TS</v>
      </c>
      <c r="F10" s="168" t="str">
        <f>'Project&amp;Support'!L2</f>
        <v>PQA</v>
      </c>
      <c r="G10" s="168" t="str">
        <f>'Project&amp;Support'!M2</f>
        <v>PR</v>
      </c>
      <c r="H10" s="168" t="str">
        <f>'Project&amp;Support'!N2</f>
        <v>RDM</v>
      </c>
      <c r="I10" s="168" t="str">
        <f>'Project&amp;Support'!O2</f>
        <v>VV</v>
      </c>
      <c r="J10" s="168" t="str">
        <f>'Project&amp;Support'!P2</f>
        <v>MPM</v>
      </c>
      <c r="K10" s="168" t="str">
        <f>'Project&amp;Support'!Q2</f>
        <v>PAD</v>
      </c>
      <c r="L10" s="168" t="str">
        <f>'Project&amp;Support'!R2</f>
        <v>PCM</v>
      </c>
      <c r="M10" s="168" t="str">
        <f>'Project&amp;Support'!S2</f>
        <v>RSK</v>
      </c>
      <c r="N10" s="168" t="str">
        <f>'Project&amp;Support'!T2</f>
        <v>OT</v>
      </c>
      <c r="O10" s="168" t="str">
        <f>'Project&amp;Support'!U2</f>
        <v>EST</v>
      </c>
      <c r="P10" s="168" t="str">
        <f>'Project&amp;Support'!V2</f>
        <v>MC</v>
      </c>
      <c r="Q10" s="168" t="str">
        <f>'Project&amp;Support'!W2</f>
        <v>PLAN</v>
      </c>
      <c r="R10" s="168" t="str">
        <f>'Project&amp;Support'!X2</f>
        <v>CAR</v>
      </c>
      <c r="S10" s="168" t="str">
        <f>'Project&amp;Support'!Y2</f>
        <v>CM</v>
      </c>
      <c r="T10" s="168" t="str">
        <f>'Project&amp;Support'!Z2</f>
        <v>DAR</v>
      </c>
      <c r="U10" s="168" t="str">
        <f>'Project&amp;Support'!AA2</f>
        <v>SAM</v>
      </c>
      <c r="V10" s="203"/>
    </row>
    <row r="11" spans="1:22" s="204" customFormat="1">
      <c r="A11" s="121" t="str">
        <f>'Project&amp;Support'!B3</f>
        <v>p1LTMS</v>
      </c>
      <c r="B11" s="121" t="str">
        <f>'Project&amp;Support'!H3</f>
        <v>Waterfall</v>
      </c>
      <c r="C11" s="121" t="str">
        <f>'Project&amp;Support'!I3</f>
        <v>Project</v>
      </c>
      <c r="D11" s="205" t="str">
        <f>IF('Project&amp;Support'!J3&lt;&gt;"",'Project&amp;Support'!J3,"")</f>
        <v/>
      </c>
      <c r="E11" s="205" t="str">
        <f>IF('Project&amp;Support'!K3&lt;&gt;"",'Project&amp;Support'!K3,"")</f>
        <v/>
      </c>
      <c r="F11" s="205" t="str">
        <f>IF('Project&amp;Support'!L3&lt;&gt;"",'Project&amp;Support'!L3,"")</f>
        <v/>
      </c>
      <c r="G11" s="205" t="str">
        <f>IF('Project&amp;Support'!M3&lt;&gt;"",'Project&amp;Support'!M3,"")</f>
        <v/>
      </c>
      <c r="H11" s="205" t="str">
        <f>IF('Project&amp;Support'!N3&lt;&gt;"",'Project&amp;Support'!N3,"")</f>
        <v/>
      </c>
      <c r="I11" s="205" t="str">
        <f>IF('Project&amp;Support'!O3&lt;&gt;"",'Project&amp;Support'!O3,"")</f>
        <v/>
      </c>
      <c r="J11" s="205" t="str">
        <f>IF('Project&amp;Support'!P3&lt;&gt;"",'Project&amp;Support'!P3,"")</f>
        <v/>
      </c>
      <c r="K11" s="205" t="str">
        <f>IF('Project&amp;Support'!Q3&lt;&gt;"",'Project&amp;Support'!Q3,"")</f>
        <v/>
      </c>
      <c r="L11" s="205" t="str">
        <f>IF('Project&amp;Support'!R3&lt;&gt;"",'Project&amp;Support'!R3,"")</f>
        <v/>
      </c>
      <c r="M11" s="205" t="str">
        <f>IF('Project&amp;Support'!S3&lt;&gt;"",'Project&amp;Support'!S3,"")</f>
        <v>S</v>
      </c>
      <c r="N11" s="205" t="str">
        <f>IF('Project&amp;Support'!T3&lt;&gt;"",'Project&amp;Support'!T3,"")</f>
        <v/>
      </c>
      <c r="O11" s="205" t="str">
        <f>IF('Project&amp;Support'!U3&lt;&gt;"",'Project&amp;Support'!U3,"")</f>
        <v/>
      </c>
      <c r="P11" s="205" t="str">
        <f>IF('Project&amp;Support'!V3&lt;&gt;"",'Project&amp;Support'!V3,"")</f>
        <v/>
      </c>
      <c r="Q11" s="205" t="str">
        <f>IF('Project&amp;Support'!W3&lt;&gt;"",'Project&amp;Support'!W3,"")</f>
        <v/>
      </c>
      <c r="R11" s="205" t="str">
        <f>IF('Project&amp;Support'!X3&lt;&gt;"",'Project&amp;Support'!X3,"")</f>
        <v/>
      </c>
      <c r="S11" s="205" t="str">
        <f>IF('Project&amp;Support'!Y3&lt;&gt;"",'Project&amp;Support'!Y3,"")</f>
        <v/>
      </c>
      <c r="T11" s="205" t="str">
        <f>IF('Project&amp;Support'!Z3&lt;&gt;"",'Project&amp;Support'!Z3,"")</f>
        <v/>
      </c>
      <c r="U11" s="205" t="str">
        <f>IF('Project&amp;Support'!AA3&lt;&gt;"",'Project&amp;Support'!AA3,"")</f>
        <v/>
      </c>
      <c r="V11" s="203"/>
    </row>
    <row r="12" spans="1:22" s="204" customFormat="1">
      <c r="A12" s="121" t="str">
        <f>'Project&amp;Support'!B4</f>
        <v>p2EBS</v>
      </c>
      <c r="B12" s="121" t="str">
        <f>'Project&amp;Support'!H4</f>
        <v>Waterfall</v>
      </c>
      <c r="C12" s="121" t="str">
        <f>'Project&amp;Support'!I4</f>
        <v>Project</v>
      </c>
      <c r="D12" s="205" t="str">
        <f>IF('Project&amp;Support'!J4&lt;&gt;"",'Project&amp;Support'!J4,"")</f>
        <v/>
      </c>
      <c r="E12" s="205" t="str">
        <f>IF('Project&amp;Support'!K4&lt;&gt;"",'Project&amp;Support'!K4,"")</f>
        <v/>
      </c>
      <c r="F12" s="205" t="str">
        <f>IF('Project&amp;Support'!L4&lt;&gt;"",'Project&amp;Support'!L4,"")</f>
        <v/>
      </c>
      <c r="G12" s="205" t="str">
        <f>IF('Project&amp;Support'!M4&lt;&gt;"",'Project&amp;Support'!M4,"")</f>
        <v/>
      </c>
      <c r="H12" s="205" t="str">
        <f>IF('Project&amp;Support'!N4&lt;&gt;"",'Project&amp;Support'!N4,"")</f>
        <v/>
      </c>
      <c r="I12" s="205" t="str">
        <f>IF('Project&amp;Support'!O4&lt;&gt;"",'Project&amp;Support'!O4,"")</f>
        <v/>
      </c>
      <c r="J12" s="205" t="str">
        <f>IF('Project&amp;Support'!P4&lt;&gt;"",'Project&amp;Support'!P4,"")</f>
        <v/>
      </c>
      <c r="K12" s="205" t="str">
        <f>IF('Project&amp;Support'!Q4&lt;&gt;"",'Project&amp;Support'!Q4,"")</f>
        <v/>
      </c>
      <c r="L12" s="205" t="str">
        <f>IF('Project&amp;Support'!R4&lt;&gt;"",'Project&amp;Support'!R4,"")</f>
        <v/>
      </c>
      <c r="M12" s="205" t="str">
        <f>IF('Project&amp;Support'!S4&lt;&gt;"",'Project&amp;Support'!S4,"")</f>
        <v/>
      </c>
      <c r="N12" s="205" t="str">
        <f>IF('Project&amp;Support'!T4&lt;&gt;"",'Project&amp;Support'!T4,"")</f>
        <v/>
      </c>
      <c r="O12" s="205" t="str">
        <f>IF('Project&amp;Support'!U4&lt;&gt;"",'Project&amp;Support'!U4,"")</f>
        <v/>
      </c>
      <c r="P12" s="205" t="str">
        <f>IF('Project&amp;Support'!V4&lt;&gt;"",'Project&amp;Support'!V4,"")</f>
        <v/>
      </c>
      <c r="Q12" s="205" t="str">
        <f>IF('Project&amp;Support'!W4&lt;&gt;"",'Project&amp;Support'!W4,"")</f>
        <v/>
      </c>
      <c r="R12" s="205" t="str">
        <f>IF('Project&amp;Support'!X4&lt;&gt;"",'Project&amp;Support'!X4,"")</f>
        <v/>
      </c>
      <c r="S12" s="205" t="str">
        <f>IF('Project&amp;Support'!Y4&lt;&gt;"",'Project&amp;Support'!Y4,"")</f>
        <v/>
      </c>
      <c r="T12" s="205" t="str">
        <f>IF('Project&amp;Support'!Z4&lt;&gt;"",'Project&amp;Support'!Z4,"")</f>
        <v/>
      </c>
      <c r="U12" s="205" t="str">
        <f>IF('Project&amp;Support'!AA4&lt;&gt;"",'Project&amp;Support'!AA4,"")</f>
        <v/>
      </c>
      <c r="V12" s="203"/>
    </row>
    <row r="13" spans="1:22" s="204" customFormat="1">
      <c r="A13" s="121" t="str">
        <f>'Project&amp;Support'!B5</f>
        <v>p3BFARH</v>
      </c>
      <c r="B13" s="121" t="str">
        <f>'Project&amp;Support'!H5</f>
        <v>Waterfall</v>
      </c>
      <c r="C13" s="121" t="str">
        <f>'Project&amp;Support'!I5</f>
        <v>Project</v>
      </c>
      <c r="D13" s="205" t="str">
        <f>IF('Project&amp;Support'!J5&lt;&gt;"",'Project&amp;Support'!J5,"")</f>
        <v>s</v>
      </c>
      <c r="E13" s="205" t="str">
        <f>IF('Project&amp;Support'!K5&lt;&gt;"",'Project&amp;Support'!K5,"")</f>
        <v>s</v>
      </c>
      <c r="F13" s="205" t="str">
        <f>IF('Project&amp;Support'!L5&lt;&gt;"",'Project&amp;Support'!L5,"")</f>
        <v/>
      </c>
      <c r="G13" s="205" t="str">
        <f>IF('Project&amp;Support'!M5&lt;&gt;"",'Project&amp;Support'!M5,"")</f>
        <v/>
      </c>
      <c r="H13" s="205" t="str">
        <f>IF('Project&amp;Support'!N5&lt;&gt;"",'Project&amp;Support'!N5,"")</f>
        <v/>
      </c>
      <c r="I13" s="205" t="str">
        <f>IF('Project&amp;Support'!O5&lt;&gt;"",'Project&amp;Support'!O5,"")</f>
        <v/>
      </c>
      <c r="J13" s="205" t="str">
        <f>IF('Project&amp;Support'!P5&lt;&gt;"",'Project&amp;Support'!P5,"")</f>
        <v/>
      </c>
      <c r="K13" s="205" t="str">
        <f>IF('Project&amp;Support'!Q5&lt;&gt;"",'Project&amp;Support'!Q5,"")</f>
        <v/>
      </c>
      <c r="L13" s="205" t="str">
        <f>IF('Project&amp;Support'!R5&lt;&gt;"",'Project&amp;Support'!R5,"")</f>
        <v/>
      </c>
      <c r="M13" s="205" t="str">
        <f>IF('Project&amp;Support'!S5&lt;&gt;"",'Project&amp;Support'!S5,"")</f>
        <v/>
      </c>
      <c r="N13" s="205" t="str">
        <f>IF('Project&amp;Support'!T5&lt;&gt;"",'Project&amp;Support'!T5,"")</f>
        <v/>
      </c>
      <c r="O13" s="205" t="str">
        <f>IF('Project&amp;Support'!U5&lt;&gt;"",'Project&amp;Support'!U5,"")</f>
        <v/>
      </c>
      <c r="P13" s="205" t="str">
        <f>IF('Project&amp;Support'!V5&lt;&gt;"",'Project&amp;Support'!V5,"")</f>
        <v/>
      </c>
      <c r="Q13" s="205" t="str">
        <f>IF('Project&amp;Support'!W5&lt;&gt;"",'Project&amp;Support'!W5,"")</f>
        <v/>
      </c>
      <c r="R13" s="205" t="str">
        <f>IF('Project&amp;Support'!X5&lt;&gt;"",'Project&amp;Support'!X5,"")</f>
        <v/>
      </c>
      <c r="S13" s="205" t="str">
        <f>IF('Project&amp;Support'!Y5&lt;&gt;"",'Project&amp;Support'!Y5,"")</f>
        <v/>
      </c>
      <c r="T13" s="205" t="str">
        <f>IF('Project&amp;Support'!Z5&lt;&gt;"",'Project&amp;Support'!Z5,"")</f>
        <v/>
      </c>
      <c r="U13" s="205" t="str">
        <f>IF('Project&amp;Support'!AA5&lt;&gt;"",'Project&amp;Support'!AA5,"")</f>
        <v/>
      </c>
      <c r="V13" s="203"/>
    </row>
    <row r="14" spans="1:22" s="204" customFormat="1">
      <c r="A14" s="121" t="str">
        <f>'Project&amp;Support'!B6</f>
        <v>p4HWP</v>
      </c>
      <c r="B14" s="121" t="str">
        <f>'Project&amp;Support'!H6</f>
        <v>Waterfall</v>
      </c>
      <c r="C14" s="121" t="str">
        <f>'Project&amp;Support'!I6</f>
        <v>Project</v>
      </c>
      <c r="D14" s="205" t="str">
        <f>IF('Project&amp;Support'!J6&lt;&gt;"",'Project&amp;Support'!J6,"")</f>
        <v/>
      </c>
      <c r="E14" s="205" t="str">
        <f>IF('Project&amp;Support'!K6&lt;&gt;"",'Project&amp;Support'!K6,"")</f>
        <v/>
      </c>
      <c r="F14" s="205" t="str">
        <f>IF('Project&amp;Support'!L6&lt;&gt;"",'Project&amp;Support'!L6,"")</f>
        <v/>
      </c>
      <c r="G14" s="205" t="str">
        <f>IF('Project&amp;Support'!M6&lt;&gt;"",'Project&amp;Support'!M6,"")</f>
        <v>s</v>
      </c>
      <c r="H14" s="205" t="str">
        <f>IF('Project&amp;Support'!N6&lt;&gt;"",'Project&amp;Support'!N6,"")</f>
        <v>s</v>
      </c>
      <c r="I14" s="205" t="str">
        <f>IF('Project&amp;Support'!O6&lt;&gt;"",'Project&amp;Support'!O6,"")</f>
        <v>s</v>
      </c>
      <c r="J14" s="205" t="str">
        <f>IF('Project&amp;Support'!P6&lt;&gt;"",'Project&amp;Support'!P6,"")</f>
        <v/>
      </c>
      <c r="K14" s="205" t="str">
        <f>IF('Project&amp;Support'!Q6&lt;&gt;"",'Project&amp;Support'!Q6,"")</f>
        <v/>
      </c>
      <c r="L14" s="205" t="str">
        <f>IF('Project&amp;Support'!R6&lt;&gt;"",'Project&amp;Support'!R6,"")</f>
        <v/>
      </c>
      <c r="M14" s="205" t="str">
        <f>IF('Project&amp;Support'!S6&lt;&gt;"",'Project&amp;Support'!S6,"")</f>
        <v/>
      </c>
      <c r="N14" s="205" t="str">
        <f>IF('Project&amp;Support'!T6&lt;&gt;"",'Project&amp;Support'!T6,"")</f>
        <v/>
      </c>
      <c r="O14" s="205" t="str">
        <f>IF('Project&amp;Support'!U6&lt;&gt;"",'Project&amp;Support'!U6,"")</f>
        <v/>
      </c>
      <c r="P14" s="205" t="str">
        <f>IF('Project&amp;Support'!V6&lt;&gt;"",'Project&amp;Support'!V6,"")</f>
        <v/>
      </c>
      <c r="Q14" s="205" t="str">
        <f>IF('Project&amp;Support'!W6&lt;&gt;"",'Project&amp;Support'!W6,"")</f>
        <v/>
      </c>
      <c r="R14" s="205" t="str">
        <f>IF('Project&amp;Support'!X6&lt;&gt;"",'Project&amp;Support'!X6,"")</f>
        <v/>
      </c>
      <c r="S14" s="205" t="str">
        <f>IF('Project&amp;Support'!Y6&lt;&gt;"",'Project&amp;Support'!Y6,"")</f>
        <v/>
      </c>
      <c r="T14" s="205" t="str">
        <f>IF('Project&amp;Support'!Z6&lt;&gt;"",'Project&amp;Support'!Z6,"")</f>
        <v/>
      </c>
      <c r="U14" s="205" t="str">
        <f>IF('Project&amp;Support'!AA6&lt;&gt;"",'Project&amp;Support'!AA6,"")</f>
        <v/>
      </c>
      <c r="V14" s="203"/>
    </row>
    <row r="15" spans="1:22" s="204" customFormat="1" hidden="1">
      <c r="A15" s="121"/>
      <c r="B15" s="121"/>
      <c r="C15" s="121"/>
      <c r="D15" s="205"/>
      <c r="E15" s="205"/>
      <c r="F15" s="205"/>
      <c r="G15" s="205"/>
      <c r="H15" s="205"/>
      <c r="I15" s="205"/>
      <c r="J15" s="205"/>
      <c r="K15" s="205"/>
      <c r="L15" s="205"/>
      <c r="M15" s="205"/>
      <c r="N15" s="205"/>
      <c r="O15" s="205"/>
      <c r="P15" s="205"/>
      <c r="Q15" s="205"/>
      <c r="R15" s="205"/>
      <c r="S15" s="205"/>
      <c r="T15" s="205"/>
      <c r="U15" s="205"/>
      <c r="V15" s="203"/>
    </row>
    <row r="16" spans="1:22" s="204" customFormat="1" hidden="1">
      <c r="A16" s="121"/>
      <c r="B16" s="121"/>
      <c r="C16" s="121"/>
      <c r="D16" s="205"/>
      <c r="E16" s="205"/>
      <c r="F16" s="205"/>
      <c r="G16" s="205"/>
      <c r="H16" s="205"/>
      <c r="I16" s="205"/>
      <c r="J16" s="205"/>
      <c r="K16" s="205"/>
      <c r="L16" s="205"/>
      <c r="M16" s="205"/>
      <c r="N16" s="205"/>
      <c r="O16" s="205"/>
      <c r="P16" s="205"/>
      <c r="Q16" s="205"/>
      <c r="R16" s="205"/>
      <c r="S16" s="205"/>
      <c r="T16" s="205"/>
      <c r="U16" s="205"/>
      <c r="V16" s="203"/>
    </row>
    <row r="17" spans="1:22" s="204" customFormat="1" hidden="1">
      <c r="A17" s="121"/>
      <c r="B17" s="121"/>
      <c r="C17" s="121"/>
      <c r="D17" s="205"/>
      <c r="E17" s="205"/>
      <c r="F17" s="205"/>
      <c r="G17" s="205"/>
      <c r="H17" s="205"/>
      <c r="I17" s="205"/>
      <c r="J17" s="205"/>
      <c r="K17" s="205"/>
      <c r="L17" s="205"/>
      <c r="M17" s="205"/>
      <c r="N17" s="205"/>
      <c r="O17" s="205"/>
      <c r="P17" s="205"/>
      <c r="Q17" s="205"/>
      <c r="R17" s="205"/>
      <c r="S17" s="205"/>
      <c r="T17" s="205"/>
      <c r="U17" s="205"/>
      <c r="V17" s="203"/>
    </row>
    <row r="18" spans="1:22" s="204" customFormat="1" hidden="1">
      <c r="A18" s="121"/>
      <c r="B18" s="121"/>
      <c r="C18" s="121"/>
      <c r="D18" s="205"/>
      <c r="E18" s="205"/>
      <c r="F18" s="205"/>
      <c r="G18" s="205"/>
      <c r="H18" s="205"/>
      <c r="I18" s="205"/>
      <c r="J18" s="205"/>
      <c r="K18" s="205"/>
      <c r="L18" s="205"/>
      <c r="M18" s="205"/>
      <c r="N18" s="205"/>
      <c r="O18" s="205"/>
      <c r="P18" s="205"/>
      <c r="Q18" s="205"/>
      <c r="R18" s="205"/>
      <c r="S18" s="205"/>
      <c r="T18" s="205"/>
      <c r="U18" s="205"/>
      <c r="V18" s="203"/>
    </row>
    <row r="19" spans="1:22" s="204" customFormat="1">
      <c r="A19" s="121" t="str">
        <f>'Project&amp;Support'!B7</f>
        <v>S1-CM</v>
      </c>
      <c r="B19" s="121" t="str">
        <f>'Project&amp;Support'!H7</f>
        <v>All Projects</v>
      </c>
      <c r="C19" s="121" t="str">
        <f>'Project&amp;Support'!I7</f>
        <v>Support</v>
      </c>
      <c r="D19" s="205" t="str">
        <f>IF('Project&amp;Support'!J7&lt;&gt;"",'Project&amp;Support'!J7,"")</f>
        <v/>
      </c>
      <c r="E19" s="205" t="str">
        <f>IF('Project&amp;Support'!K7&lt;&gt;"",'Project&amp;Support'!K7,"")</f>
        <v/>
      </c>
      <c r="F19" s="205" t="str">
        <f>IF('Project&amp;Support'!L7&lt;&gt;"",'Project&amp;Support'!L7,"")</f>
        <v/>
      </c>
      <c r="G19" s="205" t="str">
        <f>IF('Project&amp;Support'!M7&lt;&gt;"",'Project&amp;Support'!M7,"")</f>
        <v/>
      </c>
      <c r="H19" s="205" t="str">
        <f>IF('Project&amp;Support'!N7&lt;&gt;"",'Project&amp;Support'!N7,"")</f>
        <v/>
      </c>
      <c r="I19" s="205" t="str">
        <f>IF('Project&amp;Support'!O7&lt;&gt;"",'Project&amp;Support'!O7,"")</f>
        <v/>
      </c>
      <c r="J19" s="205" t="str">
        <f>IF('Project&amp;Support'!P7&lt;&gt;"",'Project&amp;Support'!P7,"")</f>
        <v/>
      </c>
      <c r="K19" s="205" t="str">
        <f>IF('Project&amp;Support'!Q7&lt;&gt;"",'Project&amp;Support'!Q7,"")</f>
        <v/>
      </c>
      <c r="L19" s="205" t="str">
        <f>IF('Project&amp;Support'!R7&lt;&gt;"",'Project&amp;Support'!R7,"")</f>
        <v/>
      </c>
      <c r="M19" s="205" t="str">
        <f>IF('Project&amp;Support'!S7&lt;&gt;"",'Project&amp;Support'!S7,"")</f>
        <v/>
      </c>
      <c r="N19" s="205" t="str">
        <f>IF('Project&amp;Support'!T7&lt;&gt;"",'Project&amp;Support'!T7,"")</f>
        <v/>
      </c>
      <c r="O19" s="205" t="str">
        <f>IF('Project&amp;Support'!U7&lt;&gt;"",'Project&amp;Support'!U7,"")</f>
        <v/>
      </c>
      <c r="P19" s="205" t="str">
        <f>IF('Project&amp;Support'!V7&lt;&gt;"",'Project&amp;Support'!V7,"")</f>
        <v/>
      </c>
      <c r="Q19" s="205" t="str">
        <f>IF('Project&amp;Support'!W7&lt;&gt;"",'Project&amp;Support'!W7,"")</f>
        <v/>
      </c>
      <c r="R19" s="205" t="str">
        <f>IF('Project&amp;Support'!X7&lt;&gt;"",'Project&amp;Support'!X7,"")</f>
        <v/>
      </c>
      <c r="S19" s="205" t="str">
        <f>IF('Project&amp;Support'!Y7&lt;&gt;"",'Project&amp;Support'!Y7,"")</f>
        <v>s</v>
      </c>
      <c r="T19" s="205" t="str">
        <f>IF('Project&amp;Support'!Z7&lt;&gt;"",'Project&amp;Support'!Z7,"")</f>
        <v/>
      </c>
      <c r="U19" s="205" t="str">
        <f>IF('Project&amp;Support'!AA7&lt;&gt;"",'Project&amp;Support'!AA7,"")</f>
        <v/>
      </c>
      <c r="V19" s="203"/>
    </row>
    <row r="20" spans="1:22" s="204" customFormat="1">
      <c r="A20" s="121" t="str">
        <f>'Project&amp;Support'!B8</f>
        <v>S2-EPG</v>
      </c>
      <c r="B20" s="121" t="str">
        <f>'Project&amp;Support'!H8</f>
        <v>All Projects</v>
      </c>
      <c r="C20" s="121" t="str">
        <f>'Project&amp;Support'!I8</f>
        <v>Support</v>
      </c>
      <c r="D20" s="205" t="str">
        <f>IF('Project&amp;Support'!J8&lt;&gt;"",'Project&amp;Support'!J8,"")</f>
        <v/>
      </c>
      <c r="E20" s="205" t="str">
        <f>IF('Project&amp;Support'!K8&lt;&gt;"",'Project&amp;Support'!K8,"")</f>
        <v/>
      </c>
      <c r="F20" s="205" t="str">
        <f>IF('Project&amp;Support'!L8&lt;&gt;"",'Project&amp;Support'!L8,"")</f>
        <v/>
      </c>
      <c r="G20" s="205" t="str">
        <f>IF('Project&amp;Support'!M8&lt;&gt;"",'Project&amp;Support'!M8,"")</f>
        <v/>
      </c>
      <c r="H20" s="205" t="str">
        <f>IF('Project&amp;Support'!N8&lt;&gt;"",'Project&amp;Support'!N8,"")</f>
        <v/>
      </c>
      <c r="I20" s="205" t="str">
        <f>IF('Project&amp;Support'!O8&lt;&gt;"",'Project&amp;Support'!O8,"")</f>
        <v/>
      </c>
      <c r="J20" s="205" t="str">
        <f>IF('Project&amp;Support'!P8&lt;&gt;"",'Project&amp;Support'!P8,"")</f>
        <v>s</v>
      </c>
      <c r="K20" s="205" t="str">
        <f>IF('Project&amp;Support'!Q8&lt;&gt;"",'Project&amp;Support'!Q8,"")</f>
        <v>s</v>
      </c>
      <c r="L20" s="205" t="str">
        <f>IF('Project&amp;Support'!R8&lt;&gt;"",'Project&amp;Support'!R8,"")</f>
        <v>s</v>
      </c>
      <c r="M20" s="205" t="str">
        <f>IF('Project&amp;Support'!S8&lt;&gt;"",'Project&amp;Support'!S8,"")</f>
        <v/>
      </c>
      <c r="N20" s="205" t="str">
        <f>IF('Project&amp;Support'!T8&lt;&gt;"",'Project&amp;Support'!T8,"")</f>
        <v/>
      </c>
      <c r="O20" s="205" t="str">
        <f>IF('Project&amp;Support'!U8&lt;&gt;"",'Project&amp;Support'!U8,"")</f>
        <v/>
      </c>
      <c r="P20" s="205" t="str">
        <f>IF('Project&amp;Support'!V8&lt;&gt;"",'Project&amp;Support'!V8,"")</f>
        <v/>
      </c>
      <c r="Q20" s="205" t="str">
        <f>IF('Project&amp;Support'!W8&lt;&gt;"",'Project&amp;Support'!W8,"")</f>
        <v/>
      </c>
      <c r="R20" s="205" t="str">
        <f>IF('Project&amp;Support'!X8&lt;&gt;"",'Project&amp;Support'!X8,"")</f>
        <v>s</v>
      </c>
      <c r="S20" s="205" t="str">
        <f>IF('Project&amp;Support'!Y8&lt;&gt;"",'Project&amp;Support'!Y8,"")</f>
        <v/>
      </c>
      <c r="T20" s="205" t="str">
        <f>IF('Project&amp;Support'!Z8&lt;&gt;"",'Project&amp;Support'!Z8,"")</f>
        <v>s</v>
      </c>
      <c r="U20" s="205" t="str">
        <f>IF('Project&amp;Support'!AA8&lt;&gt;"",'Project&amp;Support'!AA8,"")</f>
        <v/>
      </c>
      <c r="V20" s="203"/>
    </row>
    <row r="21" spans="1:22" s="204" customFormat="1">
      <c r="A21" s="121" t="str">
        <f>'Project&amp;Support'!B9</f>
        <v>S3-HR</v>
      </c>
      <c r="B21" s="121" t="str">
        <f>'Project&amp;Support'!H9</f>
        <v>All Projects</v>
      </c>
      <c r="C21" s="121" t="str">
        <f>'Project&amp;Support'!I9</f>
        <v>Support</v>
      </c>
      <c r="D21" s="205" t="str">
        <f>IF('Project&amp;Support'!J9&lt;&gt;"",'Project&amp;Support'!J9,"")</f>
        <v/>
      </c>
      <c r="E21" s="205" t="str">
        <f>IF('Project&amp;Support'!K9&lt;&gt;"",'Project&amp;Support'!K9,"")</f>
        <v/>
      </c>
      <c r="F21" s="205" t="str">
        <f>IF('Project&amp;Support'!L9&lt;&gt;"",'Project&amp;Support'!L9,"")</f>
        <v/>
      </c>
      <c r="G21" s="205" t="str">
        <f>IF('Project&amp;Support'!M9&lt;&gt;"",'Project&amp;Support'!M9,"")</f>
        <v/>
      </c>
      <c r="H21" s="205" t="str">
        <f>IF('Project&amp;Support'!N9&lt;&gt;"",'Project&amp;Support'!N9,"")</f>
        <v/>
      </c>
      <c r="I21" s="205" t="str">
        <f>IF('Project&amp;Support'!O9&lt;&gt;"",'Project&amp;Support'!O9,"")</f>
        <v/>
      </c>
      <c r="J21" s="205" t="str">
        <f>IF('Project&amp;Support'!P9&lt;&gt;"",'Project&amp;Support'!P9,"")</f>
        <v/>
      </c>
      <c r="K21" s="205" t="str">
        <f>IF('Project&amp;Support'!Q9&lt;&gt;"",'Project&amp;Support'!Q9,"")</f>
        <v/>
      </c>
      <c r="L21" s="205" t="str">
        <f>IF('Project&amp;Support'!R9&lt;&gt;"",'Project&amp;Support'!R9,"")</f>
        <v/>
      </c>
      <c r="M21" s="205" t="str">
        <f>IF('Project&amp;Support'!S9&lt;&gt;"",'Project&amp;Support'!S9,"")</f>
        <v/>
      </c>
      <c r="N21" s="205" t="str">
        <f>IF('Project&amp;Support'!T9&lt;&gt;"",'Project&amp;Support'!T9,"")</f>
        <v>s</v>
      </c>
      <c r="O21" s="205" t="str">
        <f>IF('Project&amp;Support'!U9&lt;&gt;"",'Project&amp;Support'!U9,"")</f>
        <v/>
      </c>
      <c r="P21" s="205" t="str">
        <f>IF('Project&amp;Support'!V9&lt;&gt;"",'Project&amp;Support'!V9,"")</f>
        <v/>
      </c>
      <c r="Q21" s="205" t="str">
        <f>IF('Project&amp;Support'!W9&lt;&gt;"",'Project&amp;Support'!W9,"")</f>
        <v/>
      </c>
      <c r="R21" s="205" t="str">
        <f>IF('Project&amp;Support'!X9&lt;&gt;"",'Project&amp;Support'!X9,"")</f>
        <v/>
      </c>
      <c r="S21" s="205" t="str">
        <f>IF('Project&amp;Support'!Y9&lt;&gt;"",'Project&amp;Support'!Y9,"")</f>
        <v/>
      </c>
      <c r="T21" s="205" t="str">
        <f>IF('Project&amp;Support'!Z9&lt;&gt;"",'Project&amp;Support'!Z9,"")</f>
        <v/>
      </c>
      <c r="U21" s="205" t="str">
        <f>IF('Project&amp;Support'!AA9&lt;&gt;"",'Project&amp;Support'!AA9,"")</f>
        <v/>
      </c>
      <c r="V21" s="203"/>
    </row>
    <row r="22" spans="1:22" s="204" customFormat="1">
      <c r="A22" s="121" t="str">
        <f>'Project&amp;Support'!B10</f>
        <v>S4-QA</v>
      </c>
      <c r="B22" s="121" t="str">
        <f>'Project&amp;Support'!H10</f>
        <v>All Projects</v>
      </c>
      <c r="C22" s="121" t="str">
        <f>'Project&amp;Support'!I10</f>
        <v>Support</v>
      </c>
      <c r="D22" s="205" t="str">
        <f>IF('Project&amp;Support'!J10&lt;&gt;"",'Project&amp;Support'!J10,"")</f>
        <v/>
      </c>
      <c r="E22" s="205" t="str">
        <f>IF('Project&amp;Support'!K10&lt;&gt;"",'Project&amp;Support'!K10,"")</f>
        <v/>
      </c>
      <c r="F22" s="205" t="str">
        <f>IF('Project&amp;Support'!L10&lt;&gt;"",'Project&amp;Support'!L10,"")</f>
        <v>s</v>
      </c>
      <c r="G22" s="205" t="str">
        <f>IF('Project&amp;Support'!M10&lt;&gt;"",'Project&amp;Support'!M10,"")</f>
        <v/>
      </c>
      <c r="H22" s="205" t="str">
        <f>IF('Project&amp;Support'!N10&lt;&gt;"",'Project&amp;Support'!N10,"")</f>
        <v/>
      </c>
      <c r="I22" s="205" t="str">
        <f>IF('Project&amp;Support'!O10&lt;&gt;"",'Project&amp;Support'!O10,"")</f>
        <v/>
      </c>
      <c r="J22" s="205" t="str">
        <f>IF('Project&amp;Support'!P10&lt;&gt;"",'Project&amp;Support'!P10,"")</f>
        <v/>
      </c>
      <c r="K22" s="205" t="str">
        <f>IF('Project&amp;Support'!Q10&lt;&gt;"",'Project&amp;Support'!Q10,"")</f>
        <v/>
      </c>
      <c r="L22" s="205" t="str">
        <f>IF('Project&amp;Support'!R10&lt;&gt;"",'Project&amp;Support'!R10,"")</f>
        <v/>
      </c>
      <c r="M22" s="205" t="str">
        <f>IF('Project&amp;Support'!S10&lt;&gt;"",'Project&amp;Support'!S10,"")</f>
        <v/>
      </c>
      <c r="N22" s="205" t="str">
        <f>IF('Project&amp;Support'!T10&lt;&gt;"",'Project&amp;Support'!T10,"")</f>
        <v/>
      </c>
      <c r="O22" s="205" t="str">
        <f>IF('Project&amp;Support'!U10&lt;&gt;"",'Project&amp;Support'!U10,"")</f>
        <v/>
      </c>
      <c r="P22" s="205" t="str">
        <f>IF('Project&amp;Support'!V10&lt;&gt;"",'Project&amp;Support'!V10,"")</f>
        <v/>
      </c>
      <c r="Q22" s="205" t="str">
        <f>IF('Project&amp;Support'!W10&lt;&gt;"",'Project&amp;Support'!W10,"")</f>
        <v/>
      </c>
      <c r="R22" s="205" t="str">
        <f>IF('Project&amp;Support'!X10&lt;&gt;"",'Project&amp;Support'!X10,"")</f>
        <v/>
      </c>
      <c r="S22" s="205" t="str">
        <f>IF('Project&amp;Support'!Y10&lt;&gt;"",'Project&amp;Support'!Y10,"")</f>
        <v/>
      </c>
      <c r="T22" s="205" t="str">
        <f>IF('Project&amp;Support'!Z10&lt;&gt;"",'Project&amp;Support'!Z10,"")</f>
        <v/>
      </c>
      <c r="U22" s="205" t="str">
        <f>IF('Project&amp;Support'!AA10&lt;&gt;"",'Project&amp;Support'!AA10,"")</f>
        <v/>
      </c>
      <c r="V22" s="203"/>
    </row>
    <row r="23" spans="1:22" s="204" customFormat="1">
      <c r="A23" s="120"/>
      <c r="B23" s="120"/>
      <c r="C23" s="120"/>
      <c r="D23" s="203"/>
      <c r="E23" s="203"/>
      <c r="F23" s="203"/>
      <c r="G23" s="203"/>
      <c r="H23" s="203"/>
      <c r="I23" s="203"/>
      <c r="J23" s="203"/>
      <c r="K23" s="203"/>
      <c r="L23" s="203"/>
      <c r="M23" s="203"/>
      <c r="N23" s="203"/>
      <c r="O23" s="203"/>
      <c r="P23" s="203"/>
      <c r="Q23" s="203"/>
      <c r="R23" s="203"/>
      <c r="S23" s="203"/>
      <c r="T23" s="203"/>
      <c r="U23" s="203"/>
      <c r="V23" s="203"/>
    </row>
    <row r="24" spans="1:22">
      <c r="D24" s="205" t="s">
        <v>600</v>
      </c>
      <c r="E24" s="193" t="s">
        <v>1379</v>
      </c>
    </row>
  </sheetData>
  <conditionalFormatting sqref="D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9"/>
  <dimension ref="A1:E22"/>
  <sheetViews>
    <sheetView workbookViewId="0"/>
  </sheetViews>
  <sheetFormatPr defaultColWidth="8.77734375" defaultRowHeight="14.4"/>
  <cols>
    <col min="1" max="1" width="14.21875" style="8" customWidth="1"/>
    <col min="2" max="2" width="25.77734375" style="8" customWidth="1"/>
    <col min="3" max="3" width="20.77734375" style="8" customWidth="1"/>
    <col min="4" max="4" width="84.77734375" style="8" customWidth="1"/>
    <col min="5" max="5" width="17.77734375" style="8" customWidth="1"/>
    <col min="6" max="11" width="8.77734375" style="8" customWidth="1"/>
    <col min="12" max="16384" width="8.77734375" style="8"/>
  </cols>
  <sheetData>
    <row r="1" spans="1:5" ht="21" customHeight="1">
      <c r="A1" s="165" t="s">
        <v>1380</v>
      </c>
      <c r="B1" s="165" t="s">
        <v>1381</v>
      </c>
      <c r="C1" s="188" t="s">
        <v>1382</v>
      </c>
      <c r="D1" s="165" t="s">
        <v>152</v>
      </c>
      <c r="E1" s="165" t="s">
        <v>1383</v>
      </c>
    </row>
    <row r="2" spans="1:5" ht="63" customHeight="1">
      <c r="A2" s="545" t="str">
        <f>_xlfn.CONCAT('P1-OrgScope'!B137,"(",'P1-OrgScope'!B138,")")</f>
        <v>All projects(AP)</v>
      </c>
      <c r="B2" s="190" t="str">
        <f>'Project&amp;Support'!B3</f>
        <v>p1LTMS</v>
      </c>
      <c r="C2" s="191">
        <f>'Project&amp;Support'!AB3</f>
        <v>5</v>
      </c>
      <c r="D2" s="190" t="str">
        <f>'Project&amp;Support'!C3</f>
        <v>LiWen Transportation Management System (LTMS) customizes and upgrades LMBUS to enable monitoring, intelligent vehicle matching, routing, tracking, and automated loading, while enhancing driver communication and optimizing on-site scheduling to improve overall transport efficiency.</v>
      </c>
      <c r="E2" s="545" t="str">
        <f>_xlfn.CONCAT(StartupInfo!B5,", ",StartupInfo!B6,", ",StartupInfo!B7,CHAR(13),CHAR(10),StartupInfo!B8,", ",StartupInfo!B9)</f>
        <v>901-912, Sun Yat-sen University Shenzhen Industry-Research Base Building, No. 1, Yuexing 4th Road, Keji South 10th Road, Nanshan District, Shenzhen_x000D_
Guangdong, 518057</v>
      </c>
    </row>
    <row r="3" spans="1:5" ht="63" customHeight="1">
      <c r="A3" s="516"/>
      <c r="B3" s="190" t="str">
        <f>'Project&amp;Support'!B4</f>
        <v>p2EBS</v>
      </c>
      <c r="C3" s="191">
        <f>'Project&amp;Support'!AB4</f>
        <v>6</v>
      </c>
      <c r="D3" s="190" t="str">
        <f>'Project&amp;Support'!C4</f>
        <v>The Electric Bicycle Supermarket (EBS) is a comprehensive e-commerce platform integrating sales, repair, recycling, and evaluation services, providing a convenient one-stop solution for users purchasing and maintaining electric bicycles.</v>
      </c>
      <c r="E3" s="516"/>
    </row>
    <row r="4" spans="1:5" ht="63" customHeight="1">
      <c r="A4" s="516"/>
      <c r="B4" s="190" t="str">
        <f>'Project&amp;Support'!B5</f>
        <v>p3BFARH</v>
      </c>
      <c r="C4" s="191">
        <f>'Project&amp;Support'!AB5</f>
        <v>6</v>
      </c>
      <c r="D4" s="190" t="str">
        <f>'Project&amp;Support'!C5</f>
        <v>The Big Foot Ant Rent House (BFARH) platform enables property listing, management, rental, and sales via Weixin Mini Programs, allowing agents and users to transact while managing commissions or points based on defined rules.</v>
      </c>
      <c r="E4" s="516"/>
    </row>
    <row r="5" spans="1:5" ht="63" customHeight="1">
      <c r="A5" s="516"/>
      <c r="B5" s="190" t="str">
        <f>'Project&amp;Support'!B6</f>
        <v>p4HWP</v>
      </c>
      <c r="C5" s="191">
        <f>'Project&amp;Support'!AB6</f>
        <v>6</v>
      </c>
      <c r="D5" s="190" t="str">
        <f>'Project&amp;Support'!C6</f>
        <v>The Huaguang Web Platform (HWP) modernizes the company website with improved visuals and interactivity, dynamic content management for non-technical users, enhanced animations, and optimized performance, SEO, and maintainability.</v>
      </c>
      <c r="E5" s="516"/>
    </row>
    <row r="6" spans="1:5" ht="42" hidden="1" customHeight="1">
      <c r="A6" s="516"/>
      <c r="B6" s="190" t="s">
        <v>1384</v>
      </c>
      <c r="C6" s="191">
        <f>'Project&amp;Support'!AB7</f>
        <v>1</v>
      </c>
      <c r="D6" s="190" t="str">
        <f>'Project&amp;Support'!C7</f>
        <v>The Configuration Management (CM) function, manages baselines for projects and the organisation.</v>
      </c>
      <c r="E6" s="516"/>
    </row>
    <row r="7" spans="1:5" ht="105" hidden="1" customHeight="1">
      <c r="A7" s="516"/>
      <c r="B7" s="190" t="str">
        <f>'Project&amp;Support'!B8</f>
        <v>S2-EPG</v>
      </c>
      <c r="C7" s="191">
        <f>'Project&amp;Support'!AB8</f>
        <v>1</v>
      </c>
      <c r="D7" s="190" t="str">
        <f>'Project&amp;Support'!C8</f>
        <v>The Engineering Process Group (EPG) provides process management capability including establishing processes, standards, process measurements, process performance  management and directing its implementation and adoption.</v>
      </c>
      <c r="E7" s="516"/>
    </row>
    <row r="8" spans="1:5" ht="63" hidden="1" customHeight="1">
      <c r="A8" s="516"/>
      <c r="B8" s="190" t="str">
        <f>'Project&amp;Support'!B9</f>
        <v>S3-HR</v>
      </c>
      <c r="C8" s="191">
        <f>'Project&amp;Support'!AB9</f>
        <v>1</v>
      </c>
      <c r="D8" s="190" t="str">
        <f>'Project&amp;Support'!C9</f>
        <v>The Human Resources (HR) function is responsible for training, skills and knowledge management. It maintains the records of staff training and training evaluation.</v>
      </c>
      <c r="E8" s="516"/>
    </row>
    <row r="9" spans="1:5" ht="42" hidden="1" customHeight="1">
      <c r="A9" s="516"/>
      <c r="B9" s="190" t="str">
        <f>'Project&amp;Support'!B10</f>
        <v>S4-QA</v>
      </c>
      <c r="C9" s="191">
        <f>'Project&amp;Support'!AB10</f>
        <v>1</v>
      </c>
      <c r="D9" s="190" t="str">
        <f>'Project&amp;Support'!C10</f>
        <v xml:space="preserve">The Quality Assurance (QA) team manage and performs process quality assurance. </v>
      </c>
      <c r="E9" s="516"/>
    </row>
    <row r="10" spans="1:5" ht="21" hidden="1" customHeight="1">
      <c r="A10" s="516"/>
      <c r="B10" s="190">
        <f>'Project&amp;Support'!B11</f>
        <v>0</v>
      </c>
      <c r="C10" s="191">
        <f>'Project&amp;Support'!AB11</f>
        <v>0</v>
      </c>
      <c r="D10" s="190">
        <f>'Project&amp;Support'!C11</f>
        <v>0</v>
      </c>
      <c r="E10" s="516"/>
    </row>
    <row r="11" spans="1:5" ht="21" hidden="1" customHeight="1">
      <c r="A11" s="517"/>
      <c r="B11" s="190">
        <f>'Project&amp;Support'!B12</f>
        <v>0</v>
      </c>
      <c r="C11" s="191">
        <f>'Project&amp;Support'!AB12</f>
        <v>0</v>
      </c>
      <c r="D11" s="190">
        <f>'Project&amp;Support'!C12</f>
        <v>0</v>
      </c>
      <c r="E11" s="517"/>
    </row>
    <row r="12" spans="1:5">
      <c r="A12" s="185"/>
      <c r="B12" s="185"/>
      <c r="C12" s="184"/>
      <c r="D12" s="185"/>
      <c r="E12" s="185"/>
    </row>
    <row r="13" spans="1:5">
      <c r="A13" s="185"/>
      <c r="B13" s="185"/>
      <c r="C13" s="184"/>
      <c r="D13" s="185"/>
      <c r="E13" s="185"/>
    </row>
    <row r="14" spans="1:5">
      <c r="A14" s="185"/>
      <c r="B14" s="185"/>
      <c r="C14" s="184"/>
      <c r="D14" s="185"/>
      <c r="E14" s="185"/>
    </row>
    <row r="15" spans="1:5" ht="21" customHeight="1">
      <c r="A15" s="165" t="s">
        <v>1380</v>
      </c>
      <c r="B15" s="165" t="s">
        <v>1385</v>
      </c>
      <c r="C15" s="188" t="s">
        <v>1382</v>
      </c>
      <c r="D15" s="165" t="s">
        <v>152</v>
      </c>
      <c r="E15" s="165"/>
    </row>
    <row r="16" spans="1:5" ht="42" customHeight="1">
      <c r="A16" s="544" t="s">
        <v>1386</v>
      </c>
      <c r="B16" s="190" t="str">
        <f>'Project&amp;Support'!B7</f>
        <v>S1-CM</v>
      </c>
      <c r="C16" s="192">
        <f>'Project&amp;Support'!AB7</f>
        <v>1</v>
      </c>
      <c r="D16" s="190" t="str">
        <f>'Project&amp;Support'!C7</f>
        <v>The Configuration Management (CM) function, manages baselines for projects and the organisation.</v>
      </c>
      <c r="E16" s="545" t="str">
        <f>StartupInfo!B11</f>
        <v>901-912, Sun Yat-sen University Shenzhen Industry-Research Base Building, No. 1, Yuexing 4th Road, Keji South 10th Road, Nanshan District, Shenzhen, Guangdong, 518057, China</v>
      </c>
    </row>
    <row r="17" spans="1:5" ht="105" customHeight="1">
      <c r="A17" s="516"/>
      <c r="B17" s="190" t="str">
        <f>'Project&amp;Support'!B8</f>
        <v>S2-EPG</v>
      </c>
      <c r="C17" s="192">
        <f>'Project&amp;Support'!AB8</f>
        <v>1</v>
      </c>
      <c r="D17" s="190" t="str">
        <f>'Project&amp;Support'!C8</f>
        <v>The Engineering Process Group (EPG) provides process management capability including establishing processes, standards, process measurements, process performance  management and directing its implementation and adoption.</v>
      </c>
      <c r="E17" s="516"/>
    </row>
    <row r="18" spans="1:5" ht="63" customHeight="1">
      <c r="A18" s="516"/>
      <c r="B18" s="190" t="str">
        <f>'Project&amp;Support'!B9</f>
        <v>S3-HR</v>
      </c>
      <c r="C18" s="192">
        <f>'Project&amp;Support'!AB9</f>
        <v>1</v>
      </c>
      <c r="D18" s="190" t="str">
        <f>'Project&amp;Support'!C9</f>
        <v>The Human Resources (HR) function is responsible for training, skills and knowledge management. It maintains the records of staff training and training evaluation.</v>
      </c>
      <c r="E18" s="516"/>
    </row>
    <row r="19" spans="1:5" ht="42" customHeight="1">
      <c r="A19" s="516"/>
      <c r="B19" s="190" t="str">
        <f>'Project&amp;Support'!B10</f>
        <v>S4-QA</v>
      </c>
      <c r="C19" s="192">
        <f>'Project&amp;Support'!AB10</f>
        <v>1</v>
      </c>
      <c r="D19" s="190" t="str">
        <f>'Project&amp;Support'!C10</f>
        <v xml:space="preserve">The Quality Assurance (QA) team manage and performs process quality assurance. </v>
      </c>
      <c r="E19" s="516"/>
    </row>
    <row r="20" spans="1:5" ht="126" hidden="1" customHeight="1">
      <c r="A20" s="516"/>
      <c r="B20" s="190">
        <f>'Project&amp;Support'!B11</f>
        <v>0</v>
      </c>
      <c r="C20" s="192">
        <f>'Project&amp;Support'!AB11</f>
        <v>0</v>
      </c>
      <c r="D20" s="190">
        <f>'Project&amp;Support'!C11</f>
        <v>0</v>
      </c>
      <c r="E20" s="516"/>
    </row>
    <row r="21" spans="1:5" ht="126" hidden="1" customHeight="1">
      <c r="A21" s="517"/>
      <c r="B21" s="190">
        <f>'Project&amp;Support'!B12</f>
        <v>0</v>
      </c>
      <c r="C21" s="192">
        <f>'Project&amp;Support'!AB12</f>
        <v>0</v>
      </c>
      <c r="D21" s="190">
        <f>'Project&amp;Support'!C12</f>
        <v>0</v>
      </c>
      <c r="E21" s="517"/>
    </row>
    <row r="22" spans="1:5">
      <c r="A22" s="187"/>
      <c r="B22" s="186"/>
      <c r="C22" s="189"/>
      <c r="D22" s="186"/>
      <c r="E22" s="186"/>
    </row>
  </sheetData>
  <mergeCells count="4">
    <mergeCell ref="A16:A21"/>
    <mergeCell ref="E2:E11"/>
    <mergeCell ref="E16:E21"/>
    <mergeCell ref="A2:A11"/>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0"/>
  <dimension ref="B2:E13"/>
  <sheetViews>
    <sheetView workbookViewId="0"/>
  </sheetViews>
  <sheetFormatPr defaultColWidth="8.77734375" defaultRowHeight="15.6"/>
  <cols>
    <col min="1" max="1" width="8.77734375" style="311" customWidth="1"/>
    <col min="2" max="2" width="39.77734375" style="311" customWidth="1"/>
    <col min="3" max="3" width="40.21875" style="311" customWidth="1"/>
    <col min="4" max="4" width="64.21875" style="311" customWidth="1"/>
    <col min="5" max="5" width="39.77734375" style="311" customWidth="1"/>
    <col min="6" max="11" width="8.77734375" style="311" customWidth="1"/>
    <col min="12" max="16384" width="8.77734375" style="311"/>
  </cols>
  <sheetData>
    <row r="2" spans="2:5">
      <c r="B2" s="309" t="s">
        <v>1387</v>
      </c>
      <c r="C2" s="309" t="s">
        <v>1388</v>
      </c>
      <c r="D2" s="309" t="s">
        <v>1389</v>
      </c>
      <c r="E2" s="309" t="s">
        <v>150</v>
      </c>
    </row>
    <row r="3" spans="2:5" s="180" customFormat="1" ht="30" hidden="1" customHeight="1">
      <c r="B3" s="331" t="s">
        <v>290</v>
      </c>
      <c r="C3" s="331" t="str">
        <f>'Agreement 3'!B30</f>
        <v>Sheng Zhou</v>
      </c>
      <c r="D3" s="331"/>
      <c r="E3" s="332">
        <f>'P1-OrgScope'!B91</f>
        <v>46171</v>
      </c>
    </row>
    <row r="4" spans="2:5" s="180" customFormat="1" ht="30" customHeight="1">
      <c r="B4" s="331" t="s">
        <v>1390</v>
      </c>
      <c r="C4" s="331" t="str">
        <f>'Agreement 3'!B7</f>
        <v>Dr Pieter van Zyl</v>
      </c>
      <c r="D4" s="331"/>
      <c r="E4" s="332">
        <f t="shared" ref="E4:E13" si="0">E3</f>
        <v>46171</v>
      </c>
    </row>
    <row r="5" spans="2:5" s="180" customFormat="1" ht="30" customHeight="1">
      <c r="B5" s="331" t="s">
        <v>832</v>
      </c>
      <c r="C5" s="331" t="str">
        <f>'P1-Personnel'!B13</f>
        <v>ATM-1</v>
      </c>
      <c r="D5" s="331"/>
      <c r="E5" s="332">
        <f t="shared" si="0"/>
        <v>46171</v>
      </c>
    </row>
    <row r="6" spans="2:5" s="180" customFormat="1" ht="30" customHeight="1">
      <c r="B6" s="331" t="s">
        <v>832</v>
      </c>
      <c r="C6" s="331" t="str">
        <f>'P1-Personnel'!B14</f>
        <v>ATM-2</v>
      </c>
      <c r="D6" s="331"/>
      <c r="E6" s="332">
        <f t="shared" si="0"/>
        <v>46171</v>
      </c>
    </row>
    <row r="7" spans="2:5" s="180" customFormat="1" ht="30" customHeight="1">
      <c r="B7" s="331" t="s">
        <v>832</v>
      </c>
      <c r="C7" s="331" t="str">
        <f>'P1-Personnel'!B15</f>
        <v>ATM-3</v>
      </c>
      <c r="D7" s="331"/>
      <c r="E7" s="332">
        <f t="shared" si="0"/>
        <v>46171</v>
      </c>
    </row>
    <row r="8" spans="2:5" s="180" customFormat="1" ht="30" customHeight="1">
      <c r="B8" s="331" t="s">
        <v>832</v>
      </c>
      <c r="C8" s="331" t="str">
        <f>'P1-Personnel'!B16</f>
        <v>ATM-4</v>
      </c>
      <c r="D8" s="331"/>
      <c r="E8" s="332">
        <f t="shared" si="0"/>
        <v>46171</v>
      </c>
    </row>
    <row r="9" spans="2:5" s="180" customFormat="1" ht="30" customHeight="1">
      <c r="B9" s="331" t="s">
        <v>832</v>
      </c>
      <c r="C9" s="331" t="str">
        <f>'P1-Personnel'!B17</f>
        <v>ATM-5</v>
      </c>
      <c r="D9" s="331"/>
      <c r="E9" s="332">
        <f t="shared" si="0"/>
        <v>46171</v>
      </c>
    </row>
    <row r="10" spans="2:5" s="180" customFormat="1" ht="30" customHeight="1">
      <c r="B10" s="331" t="s">
        <v>832</v>
      </c>
      <c r="C10" s="331" t="str">
        <f>'P1-Personnel'!B18</f>
        <v>ATM-6</v>
      </c>
      <c r="D10" s="331"/>
      <c r="E10" s="332">
        <f t="shared" si="0"/>
        <v>46171</v>
      </c>
    </row>
    <row r="11" spans="2:5" s="180" customFormat="1" ht="30" customHeight="1">
      <c r="B11" s="331" t="s">
        <v>832</v>
      </c>
      <c r="C11" s="331" t="str">
        <f>'P1-Personnel'!B19</f>
        <v>ATM-7</v>
      </c>
      <c r="D11" s="331"/>
      <c r="E11" s="332">
        <f t="shared" si="0"/>
        <v>46171</v>
      </c>
    </row>
    <row r="12" spans="2:5" s="180" customFormat="1" ht="30" customHeight="1">
      <c r="B12" s="331" t="s">
        <v>832</v>
      </c>
      <c r="C12" s="331" t="str">
        <f>'P1-Personnel'!B20</f>
        <v>ATM-8</v>
      </c>
      <c r="D12" s="331"/>
      <c r="E12" s="332">
        <f t="shared" si="0"/>
        <v>46171</v>
      </c>
    </row>
    <row r="13" spans="2:5" s="180" customFormat="1" ht="30" customHeight="1">
      <c r="B13" s="331" t="s">
        <v>832</v>
      </c>
      <c r="C13" s="331" t="str">
        <f>'P1-Personnel'!B21</f>
        <v>ATM-9</v>
      </c>
      <c r="D13" s="331"/>
      <c r="E13" s="332">
        <f t="shared" si="0"/>
        <v>46171</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1"/>
  <dimension ref="B1:M108"/>
  <sheetViews>
    <sheetView workbookViewId="0"/>
  </sheetViews>
  <sheetFormatPr defaultColWidth="8.77734375" defaultRowHeight="15.6"/>
  <cols>
    <col min="1" max="1" width="8.77734375" style="311" customWidth="1"/>
    <col min="2" max="2" width="9.44140625" style="311" customWidth="1"/>
    <col min="3" max="3" width="54.5546875" style="180" customWidth="1"/>
    <col min="4" max="4" width="61" style="180" customWidth="1"/>
    <col min="5" max="10" width="8.77734375" style="311" customWidth="1"/>
    <col min="11" max="16384" width="8.77734375" style="311"/>
  </cols>
  <sheetData>
    <row r="1" spans="2:13">
      <c r="E1" s="310"/>
      <c r="F1" s="310"/>
      <c r="G1" s="310"/>
      <c r="H1" s="310"/>
      <c r="I1" s="310"/>
      <c r="J1" s="310"/>
      <c r="K1" s="310"/>
      <c r="L1" s="310"/>
      <c r="M1" s="310"/>
    </row>
    <row r="2" spans="2:13">
      <c r="B2" s="546" t="s">
        <v>1391</v>
      </c>
      <c r="C2" s="519"/>
      <c r="D2" s="519"/>
      <c r="E2" s="310"/>
      <c r="F2" s="310"/>
      <c r="G2" s="310"/>
      <c r="H2" s="310"/>
      <c r="I2" s="310"/>
      <c r="J2" s="310"/>
      <c r="K2" s="310"/>
      <c r="L2" s="310"/>
      <c r="M2" s="310"/>
    </row>
    <row r="3" spans="2:13" ht="31.2" customHeight="1">
      <c r="B3" s="336">
        <v>1</v>
      </c>
      <c r="C3" s="331" t="s">
        <v>1392</v>
      </c>
      <c r="D3" s="331" t="s">
        <v>1393</v>
      </c>
    </row>
    <row r="4" spans="2:13" ht="31.2" customHeight="1">
      <c r="B4" s="336">
        <v>2</v>
      </c>
      <c r="C4" s="331" t="s">
        <v>1394</v>
      </c>
      <c r="D4" s="331" t="s">
        <v>1395</v>
      </c>
    </row>
    <row r="5" spans="2:13" ht="31.2" customHeight="1">
      <c r="B5" s="336">
        <v>3</v>
      </c>
      <c r="C5" s="331" t="s">
        <v>1396</v>
      </c>
      <c r="D5" s="331" t="s">
        <v>1397</v>
      </c>
    </row>
    <row r="6" spans="2:13">
      <c r="B6" s="336">
        <v>4</v>
      </c>
      <c r="C6" s="331" t="s">
        <v>1398</v>
      </c>
      <c r="D6" s="331" t="s">
        <v>1399</v>
      </c>
    </row>
    <row r="7" spans="2:13" ht="31.2" customHeight="1">
      <c r="B7" s="336">
        <v>5</v>
      </c>
      <c r="C7" s="331" t="s">
        <v>1400</v>
      </c>
      <c r="D7" s="331" t="s">
        <v>1401</v>
      </c>
    </row>
    <row r="8" spans="2:13" hidden="1">
      <c r="B8" s="336">
        <v>6</v>
      </c>
      <c r="C8" s="331"/>
      <c r="D8" s="331"/>
    </row>
    <row r="9" spans="2:13" hidden="1">
      <c r="B9" s="336">
        <v>7</v>
      </c>
      <c r="C9" s="331"/>
      <c r="D9" s="331"/>
    </row>
    <row r="10" spans="2:13" hidden="1">
      <c r="B10" s="336">
        <v>8</v>
      </c>
      <c r="C10" s="331"/>
      <c r="D10" s="331"/>
    </row>
    <row r="11" spans="2:13" hidden="1">
      <c r="B11" s="336">
        <v>9</v>
      </c>
      <c r="C11" s="331"/>
      <c r="D11" s="331"/>
    </row>
    <row r="12" spans="2:13" hidden="1">
      <c r="B12" s="336">
        <v>10</v>
      </c>
      <c r="C12" s="331"/>
      <c r="D12" s="331"/>
    </row>
    <row r="13" spans="2:13" hidden="1">
      <c r="B13" s="336">
        <v>11</v>
      </c>
      <c r="C13" s="331"/>
      <c r="D13" s="331"/>
    </row>
    <row r="14" spans="2:13" hidden="1">
      <c r="B14" s="336">
        <v>12</v>
      </c>
      <c r="C14" s="331"/>
      <c r="D14" s="331"/>
    </row>
    <row r="15" spans="2:13" hidden="1">
      <c r="B15" s="336">
        <v>13</v>
      </c>
      <c r="C15" s="331"/>
      <c r="D15" s="331"/>
    </row>
    <row r="16" spans="2:13" hidden="1">
      <c r="B16" s="336">
        <v>14</v>
      </c>
      <c r="C16" s="331"/>
      <c r="D16" s="331"/>
    </row>
    <row r="17" spans="2:4">
      <c r="B17" s="179"/>
      <c r="D17" s="333"/>
    </row>
    <row r="18" spans="2:4">
      <c r="B18" s="546" t="s">
        <v>1402</v>
      </c>
      <c r="C18" s="519"/>
      <c r="D18" s="519"/>
    </row>
    <row r="19" spans="2:4" ht="31.2" customHeight="1">
      <c r="B19" s="336">
        <v>1</v>
      </c>
      <c r="C19" s="331" t="s">
        <v>1403</v>
      </c>
      <c r="D19" s="331" t="s">
        <v>1404</v>
      </c>
    </row>
    <row r="20" spans="2:4" ht="46.8" customHeight="1">
      <c r="B20" s="336">
        <v>2</v>
      </c>
      <c r="C20" s="331" t="s">
        <v>1405</v>
      </c>
      <c r="D20" s="331" t="s">
        <v>1406</v>
      </c>
    </row>
    <row r="21" spans="2:4" ht="46.8" customHeight="1">
      <c r="B21" s="336">
        <v>3</v>
      </c>
      <c r="C21" s="331" t="s">
        <v>1407</v>
      </c>
      <c r="D21" s="331" t="s">
        <v>1408</v>
      </c>
    </row>
    <row r="22" spans="2:4" ht="46.8" customHeight="1">
      <c r="B22" s="336">
        <v>4</v>
      </c>
      <c r="C22" s="331" t="s">
        <v>1409</v>
      </c>
      <c r="D22" s="331" t="s">
        <v>1410</v>
      </c>
    </row>
    <row r="23" spans="2:4" ht="46.8" customHeight="1">
      <c r="B23" s="336">
        <v>5</v>
      </c>
      <c r="C23" s="331" t="s">
        <v>1411</v>
      </c>
      <c r="D23" s="331" t="s">
        <v>1412</v>
      </c>
    </row>
    <row r="24" spans="2:4" hidden="1">
      <c r="B24" s="336">
        <v>6</v>
      </c>
      <c r="C24" s="331"/>
      <c r="D24" s="331"/>
    </row>
    <row r="25" spans="2:4" hidden="1">
      <c r="B25" s="336">
        <v>7</v>
      </c>
      <c r="C25" s="331"/>
      <c r="D25" s="331"/>
    </row>
    <row r="26" spans="2:4" hidden="1">
      <c r="B26" s="336">
        <v>8</v>
      </c>
      <c r="C26" s="331"/>
      <c r="D26" s="331"/>
    </row>
    <row r="27" spans="2:4" hidden="1">
      <c r="B27" s="336">
        <v>9</v>
      </c>
      <c r="C27" s="331"/>
      <c r="D27" s="331"/>
    </row>
    <row r="28" spans="2:4" hidden="1">
      <c r="B28" s="336">
        <v>10</v>
      </c>
      <c r="C28" s="331"/>
      <c r="D28" s="331"/>
    </row>
    <row r="29" spans="2:4" hidden="1">
      <c r="B29" s="336">
        <v>11</v>
      </c>
      <c r="C29" s="331"/>
      <c r="D29" s="331"/>
    </row>
    <row r="30" spans="2:4" hidden="1">
      <c r="B30" s="336">
        <v>12</v>
      </c>
      <c r="C30" s="331"/>
      <c r="D30" s="331"/>
    </row>
    <row r="31" spans="2:4" hidden="1">
      <c r="B31" s="336">
        <v>13</v>
      </c>
      <c r="C31" s="331"/>
      <c r="D31" s="331"/>
    </row>
    <row r="32" spans="2:4" hidden="1">
      <c r="B32" s="336">
        <v>14</v>
      </c>
      <c r="C32" s="331"/>
      <c r="D32" s="331"/>
    </row>
    <row r="33" spans="2:4">
      <c r="B33" s="178"/>
      <c r="C33" s="337"/>
      <c r="D33" s="334"/>
    </row>
    <row r="95" spans="2:4" s="335" customFormat="1">
      <c r="B95" s="311"/>
      <c r="C95" s="180"/>
      <c r="D95" s="180"/>
    </row>
    <row r="96" spans="2:4" s="335" customFormat="1">
      <c r="B96" s="311"/>
      <c r="C96" s="180"/>
      <c r="D96" s="180"/>
    </row>
    <row r="107" spans="2:4">
      <c r="B107" s="335"/>
      <c r="C107" s="333"/>
      <c r="D107" s="333"/>
    </row>
    <row r="108" spans="2:4">
      <c r="B108" s="335"/>
      <c r="C108" s="333"/>
      <c r="D108" s="333"/>
    </row>
  </sheetData>
  <mergeCells count="2">
    <mergeCell ref="B18:D18"/>
    <mergeCell ref="B2:D2"/>
  </mergeCell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9"/>
  <dimension ref="B2:AV259"/>
  <sheetViews>
    <sheetView topLeftCell="D5" workbookViewId="0">
      <selection activeCell="AG22" sqref="AG22"/>
    </sheetView>
  </sheetViews>
  <sheetFormatPr defaultRowHeight="14.4"/>
  <cols>
    <col min="2" max="2" width="22.44140625" customWidth="1"/>
    <col min="4" max="4" width="45.44140625" customWidth="1"/>
    <col min="5" max="5" width="14.44140625" customWidth="1"/>
    <col min="6" max="6" width="16.77734375" customWidth="1"/>
    <col min="8" max="8" width="34.21875" customWidth="1"/>
    <col min="18" max="18" width="21" customWidth="1"/>
    <col min="37" max="37" width="10.77734375" customWidth="1"/>
  </cols>
  <sheetData>
    <row r="2" spans="2:48">
      <c r="B2" s="9" t="s">
        <v>1413</v>
      </c>
    </row>
    <row r="4" spans="2:48">
      <c r="B4" s="10" t="s">
        <v>31</v>
      </c>
      <c r="D4" s="10" t="s">
        <v>699</v>
      </c>
      <c r="F4" s="10" t="s">
        <v>386</v>
      </c>
      <c r="H4" s="10" t="s">
        <v>68</v>
      </c>
      <c r="J4" s="10" t="s">
        <v>1414</v>
      </c>
      <c r="L4" s="10" t="s">
        <v>715</v>
      </c>
      <c r="N4" s="10" t="s">
        <v>54</v>
      </c>
      <c r="P4" s="10" t="s">
        <v>438</v>
      </c>
      <c r="R4" s="10" t="s">
        <v>921</v>
      </c>
      <c r="T4" s="10" t="s">
        <v>925</v>
      </c>
      <c r="V4" s="10" t="s">
        <v>932</v>
      </c>
      <c r="X4" s="10" t="s">
        <v>964</v>
      </c>
      <c r="Z4" s="10" t="s">
        <v>966</v>
      </c>
      <c r="AB4" s="10" t="s">
        <v>1415</v>
      </c>
      <c r="AD4" s="10" t="s">
        <v>993</v>
      </c>
      <c r="AF4" s="10" t="s">
        <v>1416</v>
      </c>
      <c r="AH4" s="10" t="s">
        <v>722</v>
      </c>
      <c r="AJ4" s="25" t="s">
        <v>133</v>
      </c>
      <c r="AL4" s="25" t="s">
        <v>1120</v>
      </c>
      <c r="AN4" s="25" t="s">
        <v>1417</v>
      </c>
      <c r="AP4" s="25" t="s">
        <v>1418</v>
      </c>
      <c r="AR4" s="25" t="s">
        <v>57</v>
      </c>
      <c r="AT4" s="25" t="s">
        <v>694</v>
      </c>
      <c r="AV4" s="25" t="s">
        <v>573</v>
      </c>
    </row>
    <row r="5" spans="2:48">
      <c r="B5" t="s">
        <v>1419</v>
      </c>
      <c r="D5" t="s">
        <v>1420</v>
      </c>
      <c r="E5" t="s">
        <v>243</v>
      </c>
      <c r="F5" t="s">
        <v>1421</v>
      </c>
      <c r="H5" t="s">
        <v>1422</v>
      </c>
      <c r="J5" t="s">
        <v>1423</v>
      </c>
      <c r="L5" t="s">
        <v>434</v>
      </c>
      <c r="N5" t="s">
        <v>1424</v>
      </c>
      <c r="P5" t="s">
        <v>1425</v>
      </c>
      <c r="R5" t="s">
        <v>1426</v>
      </c>
      <c r="T5" s="16" t="s">
        <v>1427</v>
      </c>
      <c r="V5" t="s">
        <v>1428</v>
      </c>
      <c r="X5" t="s">
        <v>965</v>
      </c>
      <c r="Z5" t="s">
        <v>1429</v>
      </c>
      <c r="AB5" t="s">
        <v>1430</v>
      </c>
      <c r="AD5" t="s">
        <v>805</v>
      </c>
      <c r="AF5" t="s">
        <v>1431</v>
      </c>
      <c r="AH5" t="s">
        <v>1432</v>
      </c>
      <c r="AJ5" s="16" t="s">
        <v>1433</v>
      </c>
      <c r="AL5" t="s">
        <v>893</v>
      </c>
      <c r="AN5" t="s">
        <v>517</v>
      </c>
      <c r="AP5" t="s">
        <v>386</v>
      </c>
      <c r="AR5" t="s">
        <v>1434</v>
      </c>
      <c r="AT5" t="s">
        <v>315</v>
      </c>
      <c r="AV5" t="s">
        <v>503</v>
      </c>
    </row>
    <row r="6" spans="2:48">
      <c r="B6" t="s">
        <v>1435</v>
      </c>
      <c r="D6" t="s">
        <v>1436</v>
      </c>
      <c r="E6" t="s">
        <v>243</v>
      </c>
      <c r="F6" t="s">
        <v>1437</v>
      </c>
      <c r="H6" t="s">
        <v>1422</v>
      </c>
      <c r="J6" t="s">
        <v>1438</v>
      </c>
      <c r="L6" t="s">
        <v>1439</v>
      </c>
      <c r="N6" t="s">
        <v>1440</v>
      </c>
      <c r="P6" t="s">
        <v>1441</v>
      </c>
      <c r="R6" t="s">
        <v>922</v>
      </c>
      <c r="T6" s="16" t="s">
        <v>926</v>
      </c>
      <c r="V6" t="s">
        <v>1442</v>
      </c>
      <c r="X6" t="s">
        <v>973</v>
      </c>
      <c r="Z6" t="s">
        <v>978</v>
      </c>
      <c r="AB6" t="s">
        <v>1443</v>
      </c>
      <c r="AD6" t="s">
        <v>1444</v>
      </c>
      <c r="AF6" t="s">
        <v>1445</v>
      </c>
      <c r="AH6" t="s">
        <v>1070</v>
      </c>
      <c r="AJ6" s="16" t="s">
        <v>824</v>
      </c>
      <c r="AL6" t="s">
        <v>899</v>
      </c>
      <c r="AN6" t="s">
        <v>526</v>
      </c>
      <c r="AP6" t="s">
        <v>1446</v>
      </c>
      <c r="AR6" t="s">
        <v>1298</v>
      </c>
      <c r="AT6" t="s">
        <v>369</v>
      </c>
      <c r="AV6" t="s">
        <v>1447</v>
      </c>
    </row>
    <row r="7" spans="2:48">
      <c r="B7" t="s">
        <v>1448</v>
      </c>
      <c r="D7" t="s">
        <v>1449</v>
      </c>
      <c r="E7" t="s">
        <v>243</v>
      </c>
      <c r="F7" t="s">
        <v>1450</v>
      </c>
      <c r="H7" t="s">
        <v>1451</v>
      </c>
      <c r="J7" t="s">
        <v>359</v>
      </c>
      <c r="L7" t="s">
        <v>701</v>
      </c>
      <c r="N7" t="s">
        <v>1452</v>
      </c>
      <c r="P7" t="s">
        <v>1453</v>
      </c>
      <c r="R7" t="s">
        <v>1090</v>
      </c>
      <c r="T7" s="16" t="s">
        <v>1454</v>
      </c>
      <c r="V7" t="s">
        <v>284</v>
      </c>
      <c r="X7" t="s">
        <v>975</v>
      </c>
      <c r="Z7" t="s">
        <v>1455</v>
      </c>
      <c r="AB7" t="s">
        <v>987</v>
      </c>
      <c r="AD7" t="s">
        <v>1456</v>
      </c>
      <c r="AF7" t="s">
        <v>1457</v>
      </c>
      <c r="AH7" t="s">
        <v>1458</v>
      </c>
      <c r="AJ7" s="16" t="s">
        <v>1459</v>
      </c>
      <c r="AL7" t="s">
        <v>903</v>
      </c>
      <c r="AR7" t="s">
        <v>1308</v>
      </c>
      <c r="AT7" t="s">
        <v>1460</v>
      </c>
      <c r="AV7" t="s">
        <v>1461</v>
      </c>
    </row>
    <row r="8" spans="2:48">
      <c r="B8" t="s">
        <v>1462</v>
      </c>
      <c r="D8" t="s">
        <v>1463</v>
      </c>
      <c r="E8" t="s">
        <v>243</v>
      </c>
      <c r="F8" t="s">
        <v>1464</v>
      </c>
      <c r="H8" t="s">
        <v>1451</v>
      </c>
      <c r="J8" t="s">
        <v>126</v>
      </c>
      <c r="L8" t="s">
        <v>1465</v>
      </c>
      <c r="N8" t="s">
        <v>1466</v>
      </c>
      <c r="T8" s="16" t="s">
        <v>1126</v>
      </c>
      <c r="V8" t="s">
        <v>1467</v>
      </c>
      <c r="X8" t="s">
        <v>977</v>
      </c>
      <c r="Z8" t="s">
        <v>1468</v>
      </c>
      <c r="AB8" t="s">
        <v>1469</v>
      </c>
      <c r="AD8" t="s">
        <v>218</v>
      </c>
      <c r="AF8" t="s">
        <v>1470</v>
      </c>
      <c r="AH8" t="s">
        <v>1471</v>
      </c>
      <c r="AJ8" s="16" t="s">
        <v>1472</v>
      </c>
      <c r="AL8" t="s">
        <v>218</v>
      </c>
      <c r="AR8" t="s">
        <v>1473</v>
      </c>
      <c r="AT8" t="s">
        <v>1474</v>
      </c>
      <c r="AV8" t="s">
        <v>1475</v>
      </c>
    </row>
    <row r="9" spans="2:48">
      <c r="B9" t="s">
        <v>1476</v>
      </c>
      <c r="D9" t="s">
        <v>1477</v>
      </c>
      <c r="E9" t="s">
        <v>243</v>
      </c>
      <c r="F9" t="s">
        <v>1478</v>
      </c>
      <c r="H9" t="s">
        <v>1479</v>
      </c>
      <c r="L9" t="s">
        <v>768</v>
      </c>
      <c r="N9" t="s">
        <v>1480</v>
      </c>
      <c r="T9" s="16" t="s">
        <v>1481</v>
      </c>
      <c r="V9" t="s">
        <v>528</v>
      </c>
      <c r="X9" t="s">
        <v>528</v>
      </c>
      <c r="Z9" t="s">
        <v>967</v>
      </c>
      <c r="AB9" t="s">
        <v>1482</v>
      </c>
      <c r="AD9" t="s">
        <v>1483</v>
      </c>
      <c r="AF9" t="s">
        <v>1484</v>
      </c>
      <c r="AH9" t="s">
        <v>528</v>
      </c>
      <c r="AJ9" s="16" t="s">
        <v>1485</v>
      </c>
      <c r="AL9" t="s">
        <v>1486</v>
      </c>
      <c r="AR9" t="s">
        <v>388</v>
      </c>
      <c r="AV9" t="s">
        <v>1487</v>
      </c>
    </row>
    <row r="10" spans="2:48">
      <c r="B10" t="s">
        <v>1488</v>
      </c>
      <c r="D10" t="s">
        <v>1489</v>
      </c>
      <c r="E10" t="s">
        <v>243</v>
      </c>
      <c r="L10" t="s">
        <v>528</v>
      </c>
      <c r="N10" t="s">
        <v>1490</v>
      </c>
      <c r="T10" s="16" t="s">
        <v>1491</v>
      </c>
      <c r="Z10" t="s">
        <v>981</v>
      </c>
      <c r="AB10" t="s">
        <v>1492</v>
      </c>
      <c r="AD10" t="s">
        <v>60</v>
      </c>
      <c r="AF10" t="s">
        <v>1493</v>
      </c>
      <c r="AJ10" s="16" t="s">
        <v>528</v>
      </c>
      <c r="AL10" t="s">
        <v>528</v>
      </c>
      <c r="AV10" t="s">
        <v>1494</v>
      </c>
    </row>
    <row r="11" spans="2:48">
      <c r="B11" t="s">
        <v>1495</v>
      </c>
      <c r="D11" t="s">
        <v>1496</v>
      </c>
      <c r="E11" t="s">
        <v>243</v>
      </c>
      <c r="N11" t="s">
        <v>1497</v>
      </c>
      <c r="T11" s="16" t="s">
        <v>528</v>
      </c>
      <c r="Z11" t="s">
        <v>1498</v>
      </c>
      <c r="AB11" t="s">
        <v>528</v>
      </c>
      <c r="AD11" t="s">
        <v>528</v>
      </c>
      <c r="AF11" t="s">
        <v>1499</v>
      </c>
      <c r="AV11" t="s">
        <v>1500</v>
      </c>
    </row>
    <row r="12" spans="2:48">
      <c r="B12" t="s">
        <v>1501</v>
      </c>
      <c r="D12" t="s">
        <v>1502</v>
      </c>
      <c r="E12" t="s">
        <v>243</v>
      </c>
      <c r="N12" t="s">
        <v>1503</v>
      </c>
      <c r="Z12" t="s">
        <v>1504</v>
      </c>
      <c r="AF12" t="s">
        <v>1505</v>
      </c>
      <c r="AV12" t="s">
        <v>1506</v>
      </c>
    </row>
    <row r="13" spans="2:48">
      <c r="B13" t="s">
        <v>1507</v>
      </c>
      <c r="D13" t="s">
        <v>1508</v>
      </c>
      <c r="E13" t="s">
        <v>243</v>
      </c>
      <c r="N13" t="s">
        <v>1509</v>
      </c>
      <c r="Z13" t="s">
        <v>1510</v>
      </c>
      <c r="AF13" t="s">
        <v>1511</v>
      </c>
      <c r="AV13" t="s">
        <v>1512</v>
      </c>
    </row>
    <row r="14" spans="2:48">
      <c r="B14" t="s">
        <v>1513</v>
      </c>
      <c r="D14" t="s">
        <v>1514</v>
      </c>
      <c r="E14" t="s">
        <v>243</v>
      </c>
      <c r="N14" t="s">
        <v>1515</v>
      </c>
      <c r="Z14" t="s">
        <v>1516</v>
      </c>
      <c r="AF14" t="s">
        <v>1517</v>
      </c>
      <c r="AV14" t="s">
        <v>1518</v>
      </c>
    </row>
    <row r="15" spans="2:48">
      <c r="B15" t="s">
        <v>1519</v>
      </c>
      <c r="D15" t="s">
        <v>1520</v>
      </c>
      <c r="E15" t="s">
        <v>243</v>
      </c>
      <c r="N15" t="s">
        <v>1521</v>
      </c>
      <c r="Z15" t="s">
        <v>1522</v>
      </c>
      <c r="AF15" t="s">
        <v>1523</v>
      </c>
      <c r="AV15" t="s">
        <v>1524</v>
      </c>
    </row>
    <row r="16" spans="2:48">
      <c r="B16" t="s">
        <v>1525</v>
      </c>
      <c r="D16" t="s">
        <v>1526</v>
      </c>
      <c r="E16" t="s">
        <v>243</v>
      </c>
      <c r="N16" t="s">
        <v>1527</v>
      </c>
      <c r="Z16" t="s">
        <v>1528</v>
      </c>
      <c r="AF16" t="s">
        <v>1529</v>
      </c>
    </row>
    <row r="17" spans="2:32">
      <c r="B17" t="s">
        <v>1530</v>
      </c>
      <c r="D17" t="s">
        <v>1531</v>
      </c>
      <c r="E17" t="s">
        <v>243</v>
      </c>
      <c r="N17" t="s">
        <v>1532</v>
      </c>
      <c r="Z17" t="s">
        <v>1533</v>
      </c>
      <c r="AF17" t="s">
        <v>1054</v>
      </c>
    </row>
    <row r="18" spans="2:32">
      <c r="B18" t="s">
        <v>1534</v>
      </c>
      <c r="D18" t="s">
        <v>1535</v>
      </c>
      <c r="E18" t="s">
        <v>243</v>
      </c>
      <c r="N18" t="s">
        <v>1536</v>
      </c>
      <c r="AF18" t="s">
        <v>1537</v>
      </c>
    </row>
    <row r="19" spans="2:32">
      <c r="B19" t="s">
        <v>1538</v>
      </c>
      <c r="D19" t="s">
        <v>1539</v>
      </c>
      <c r="E19" t="s">
        <v>243</v>
      </c>
      <c r="N19" t="s">
        <v>1540</v>
      </c>
      <c r="AF19" t="s">
        <v>528</v>
      </c>
    </row>
    <row r="20" spans="2:32">
      <c r="B20" t="s">
        <v>1541</v>
      </c>
      <c r="D20" t="s">
        <v>1542</v>
      </c>
      <c r="E20" t="s">
        <v>243</v>
      </c>
      <c r="N20" t="s">
        <v>1543</v>
      </c>
    </row>
    <row r="21" spans="2:32">
      <c r="B21" t="s">
        <v>1544</v>
      </c>
      <c r="D21" t="s">
        <v>1545</v>
      </c>
      <c r="E21" t="s">
        <v>243</v>
      </c>
      <c r="N21" t="s">
        <v>1546</v>
      </c>
    </row>
    <row r="22" spans="2:32">
      <c r="B22" t="s">
        <v>1547</v>
      </c>
      <c r="D22" t="s">
        <v>1548</v>
      </c>
      <c r="E22" t="s">
        <v>243</v>
      </c>
      <c r="N22" t="s">
        <v>1549</v>
      </c>
    </row>
    <row r="23" spans="2:32">
      <c r="B23" t="s">
        <v>1550</v>
      </c>
      <c r="D23" t="s">
        <v>1551</v>
      </c>
      <c r="E23" t="s">
        <v>243</v>
      </c>
      <c r="N23" t="s">
        <v>1552</v>
      </c>
    </row>
    <row r="24" spans="2:32">
      <c r="B24" t="s">
        <v>1553</v>
      </c>
      <c r="D24" t="s">
        <v>1554</v>
      </c>
      <c r="E24" t="s">
        <v>243</v>
      </c>
      <c r="N24" t="s">
        <v>1555</v>
      </c>
    </row>
    <row r="25" spans="2:32">
      <c r="B25" t="s">
        <v>1556</v>
      </c>
      <c r="D25" t="s">
        <v>1557</v>
      </c>
      <c r="E25" t="s">
        <v>243</v>
      </c>
      <c r="N25" t="s">
        <v>1558</v>
      </c>
    </row>
    <row r="26" spans="2:32">
      <c r="B26" t="s">
        <v>1559</v>
      </c>
      <c r="D26" t="s">
        <v>1560</v>
      </c>
      <c r="E26" t="s">
        <v>243</v>
      </c>
      <c r="N26" t="s">
        <v>1561</v>
      </c>
    </row>
    <row r="27" spans="2:32">
      <c r="B27" t="s">
        <v>1562</v>
      </c>
      <c r="D27" t="s">
        <v>1563</v>
      </c>
      <c r="E27" t="s">
        <v>243</v>
      </c>
      <c r="N27" t="s">
        <v>1564</v>
      </c>
    </row>
    <row r="28" spans="2:32">
      <c r="B28" t="s">
        <v>1565</v>
      </c>
      <c r="D28" t="s">
        <v>1566</v>
      </c>
      <c r="E28" t="s">
        <v>243</v>
      </c>
      <c r="N28" t="s">
        <v>1567</v>
      </c>
    </row>
    <row r="29" spans="2:32">
      <c r="B29" t="s">
        <v>1568</v>
      </c>
      <c r="D29" t="s">
        <v>1569</v>
      </c>
      <c r="E29" t="s">
        <v>243</v>
      </c>
      <c r="N29" t="s">
        <v>1570</v>
      </c>
    </row>
    <row r="30" spans="2:32">
      <c r="B30" t="s">
        <v>1571</v>
      </c>
      <c r="D30" t="s">
        <v>1572</v>
      </c>
      <c r="E30" t="s">
        <v>243</v>
      </c>
      <c r="N30" t="s">
        <v>1573</v>
      </c>
    </row>
    <row r="31" spans="2:32">
      <c r="B31" t="s">
        <v>1574</v>
      </c>
      <c r="D31" t="s">
        <v>1575</v>
      </c>
      <c r="E31" t="s">
        <v>243</v>
      </c>
      <c r="N31" t="s">
        <v>1576</v>
      </c>
    </row>
    <row r="32" spans="2:32">
      <c r="B32" t="s">
        <v>1577</v>
      </c>
      <c r="D32" t="s">
        <v>1578</v>
      </c>
      <c r="E32" t="s">
        <v>243</v>
      </c>
      <c r="N32" t="s">
        <v>1579</v>
      </c>
    </row>
    <row r="33" spans="2:31">
      <c r="B33" t="s">
        <v>1580</v>
      </c>
      <c r="D33" t="s">
        <v>1581</v>
      </c>
      <c r="E33" t="s">
        <v>243</v>
      </c>
      <c r="N33" t="s">
        <v>1582</v>
      </c>
    </row>
    <row r="34" spans="2:31">
      <c r="B34" t="s">
        <v>1583</v>
      </c>
      <c r="D34" t="s">
        <v>1584</v>
      </c>
      <c r="E34" t="s">
        <v>243</v>
      </c>
      <c r="N34" t="s">
        <v>1585</v>
      </c>
    </row>
    <row r="35" spans="2:31">
      <c r="B35" t="s">
        <v>1586</v>
      </c>
      <c r="D35" t="s">
        <v>1587</v>
      </c>
      <c r="E35" t="s">
        <v>243</v>
      </c>
      <c r="N35" t="s">
        <v>1588</v>
      </c>
    </row>
    <row r="36" spans="2:31">
      <c r="B36" t="s">
        <v>1589</v>
      </c>
      <c r="D36" t="s">
        <v>1590</v>
      </c>
      <c r="E36" t="s">
        <v>243</v>
      </c>
      <c r="N36" t="s">
        <v>1591</v>
      </c>
      <c r="U36" s="72" t="s">
        <v>1592</v>
      </c>
      <c r="V36" s="72">
        <v>1</v>
      </c>
      <c r="W36" s="72">
        <v>2</v>
      </c>
      <c r="X36" s="72">
        <v>3</v>
      </c>
      <c r="Y36" s="72">
        <v>4</v>
      </c>
      <c r="Z36" s="72">
        <v>5</v>
      </c>
    </row>
    <row r="37" spans="2:31">
      <c r="B37" t="s">
        <v>1593</v>
      </c>
      <c r="D37" t="s">
        <v>1594</v>
      </c>
      <c r="E37" t="s">
        <v>243</v>
      </c>
      <c r="N37" t="s">
        <v>1595</v>
      </c>
      <c r="U37" t="s">
        <v>535</v>
      </c>
      <c r="V37">
        <f t="shared" ref="V37:V56" si="0">AA37</f>
        <v>1</v>
      </c>
      <c r="W37">
        <f t="shared" ref="W37:W56" si="1">V37+AB37</f>
        <v>3</v>
      </c>
      <c r="X37">
        <f t="shared" ref="X37:X56" si="2">W37+AC37</f>
        <v>8</v>
      </c>
      <c r="Y37">
        <f t="shared" ref="Y37:Y56" si="3">X37+AD37</f>
        <v>10</v>
      </c>
      <c r="Z37">
        <f t="shared" ref="Z37:Z56" si="4">Y37+AE37</f>
        <v>11</v>
      </c>
      <c r="AA37">
        <v>1</v>
      </c>
      <c r="AB37">
        <v>2</v>
      </c>
      <c r="AC37">
        <v>5</v>
      </c>
      <c r="AD37">
        <v>2</v>
      </c>
      <c r="AE37">
        <v>1</v>
      </c>
    </row>
    <row r="38" spans="2:31">
      <c r="B38" t="s">
        <v>1596</v>
      </c>
      <c r="D38" t="s">
        <v>1597</v>
      </c>
      <c r="E38" t="s">
        <v>243</v>
      </c>
      <c r="N38" t="s">
        <v>1598</v>
      </c>
      <c r="U38" t="s">
        <v>536</v>
      </c>
      <c r="V38">
        <f t="shared" si="0"/>
        <v>1</v>
      </c>
      <c r="W38">
        <f t="shared" si="1"/>
        <v>7</v>
      </c>
      <c r="X38">
        <f t="shared" si="2"/>
        <v>7</v>
      </c>
      <c r="Y38">
        <f t="shared" si="3"/>
        <v>7</v>
      </c>
      <c r="Z38">
        <f t="shared" si="4"/>
        <v>7</v>
      </c>
      <c r="AA38">
        <v>1</v>
      </c>
      <c r="AB38">
        <v>6</v>
      </c>
    </row>
    <row r="39" spans="2:31">
      <c r="B39" t="s">
        <v>1599</v>
      </c>
      <c r="D39" t="s">
        <v>1600</v>
      </c>
      <c r="E39" t="s">
        <v>243</v>
      </c>
      <c r="N39" t="s">
        <v>1601</v>
      </c>
      <c r="U39" t="s">
        <v>537</v>
      </c>
      <c r="V39">
        <f t="shared" si="0"/>
        <v>2</v>
      </c>
      <c r="W39">
        <f t="shared" si="1"/>
        <v>7</v>
      </c>
      <c r="X39">
        <f t="shared" si="2"/>
        <v>8</v>
      </c>
      <c r="Y39">
        <f t="shared" si="3"/>
        <v>8</v>
      </c>
      <c r="Z39">
        <f t="shared" si="4"/>
        <v>8</v>
      </c>
      <c r="AA39">
        <v>2</v>
      </c>
      <c r="AB39">
        <v>5</v>
      </c>
      <c r="AC39">
        <v>1</v>
      </c>
    </row>
    <row r="40" spans="2:31">
      <c r="B40" t="s">
        <v>1602</v>
      </c>
      <c r="D40" t="s">
        <v>1603</v>
      </c>
      <c r="E40" t="s">
        <v>243</v>
      </c>
      <c r="N40" t="s">
        <v>1604</v>
      </c>
      <c r="U40" t="s">
        <v>538</v>
      </c>
      <c r="V40">
        <f t="shared" si="0"/>
        <v>1</v>
      </c>
      <c r="W40">
        <f t="shared" si="1"/>
        <v>4</v>
      </c>
      <c r="X40">
        <f t="shared" si="2"/>
        <v>6</v>
      </c>
      <c r="Y40">
        <f t="shared" si="3"/>
        <v>6</v>
      </c>
      <c r="Z40">
        <f t="shared" si="4"/>
        <v>6</v>
      </c>
      <c r="AA40">
        <v>1</v>
      </c>
      <c r="AB40">
        <v>3</v>
      </c>
      <c r="AC40">
        <v>2</v>
      </c>
    </row>
    <row r="41" spans="2:31">
      <c r="B41" t="s">
        <v>1605</v>
      </c>
      <c r="D41" t="s">
        <v>1606</v>
      </c>
      <c r="E41" t="s">
        <v>243</v>
      </c>
      <c r="N41" t="s">
        <v>1607</v>
      </c>
      <c r="U41" t="s">
        <v>539</v>
      </c>
      <c r="V41">
        <f t="shared" si="0"/>
        <v>1</v>
      </c>
      <c r="W41">
        <f t="shared" si="1"/>
        <v>5</v>
      </c>
      <c r="X41">
        <f t="shared" si="2"/>
        <v>7</v>
      </c>
      <c r="Y41">
        <f t="shared" si="3"/>
        <v>8</v>
      </c>
      <c r="Z41">
        <f t="shared" si="4"/>
        <v>8</v>
      </c>
      <c r="AA41">
        <v>1</v>
      </c>
      <c r="AB41">
        <v>4</v>
      </c>
      <c r="AC41">
        <v>2</v>
      </c>
      <c r="AD41">
        <v>1</v>
      </c>
    </row>
    <row r="42" spans="2:31">
      <c r="B42" t="s">
        <v>1608</v>
      </c>
      <c r="D42" t="s">
        <v>1609</v>
      </c>
      <c r="E42" t="s">
        <v>243</v>
      </c>
      <c r="N42" t="s">
        <v>1610</v>
      </c>
      <c r="U42" t="s">
        <v>540</v>
      </c>
      <c r="V42">
        <f t="shared" si="0"/>
        <v>1</v>
      </c>
      <c r="W42">
        <f t="shared" si="1"/>
        <v>3</v>
      </c>
      <c r="X42">
        <f t="shared" si="2"/>
        <v>6</v>
      </c>
      <c r="Y42">
        <f t="shared" si="3"/>
        <v>6</v>
      </c>
      <c r="Z42">
        <f t="shared" si="4"/>
        <v>6</v>
      </c>
      <c r="AA42">
        <v>1</v>
      </c>
      <c r="AB42">
        <v>2</v>
      </c>
      <c r="AC42">
        <v>3</v>
      </c>
    </row>
    <row r="43" spans="2:31">
      <c r="B43" t="s">
        <v>1611</v>
      </c>
      <c r="D43" t="s">
        <v>1612</v>
      </c>
      <c r="E43" t="s">
        <v>243</v>
      </c>
      <c r="N43" t="s">
        <v>1613</v>
      </c>
      <c r="U43" t="s">
        <v>542</v>
      </c>
      <c r="V43">
        <f t="shared" si="0"/>
        <v>2</v>
      </c>
      <c r="W43">
        <f t="shared" si="1"/>
        <v>6</v>
      </c>
      <c r="X43">
        <f t="shared" si="2"/>
        <v>10</v>
      </c>
      <c r="Y43">
        <f t="shared" si="3"/>
        <v>10</v>
      </c>
      <c r="Z43">
        <f t="shared" si="4"/>
        <v>10</v>
      </c>
      <c r="AA43">
        <v>2</v>
      </c>
      <c r="AB43">
        <v>4</v>
      </c>
      <c r="AC43">
        <v>4</v>
      </c>
    </row>
    <row r="44" spans="2:31">
      <c r="B44" t="s">
        <v>1614</v>
      </c>
      <c r="D44" t="s">
        <v>1615</v>
      </c>
      <c r="E44" t="s">
        <v>243</v>
      </c>
      <c r="N44" t="s">
        <v>1616</v>
      </c>
      <c r="U44" t="s">
        <v>541</v>
      </c>
      <c r="V44">
        <f t="shared" si="0"/>
        <v>2</v>
      </c>
      <c r="W44">
        <f t="shared" si="1"/>
        <v>8</v>
      </c>
      <c r="X44">
        <f t="shared" si="2"/>
        <v>14</v>
      </c>
      <c r="Y44">
        <f t="shared" si="3"/>
        <v>19</v>
      </c>
      <c r="Z44">
        <f t="shared" si="4"/>
        <v>22</v>
      </c>
      <c r="AA44">
        <v>2</v>
      </c>
      <c r="AB44">
        <v>6</v>
      </c>
      <c r="AC44">
        <v>6</v>
      </c>
      <c r="AD44">
        <v>5</v>
      </c>
      <c r="AE44">
        <v>3</v>
      </c>
    </row>
    <row r="45" spans="2:31">
      <c r="B45" t="s">
        <v>1617</v>
      </c>
      <c r="D45" t="s">
        <v>1618</v>
      </c>
      <c r="E45" t="s">
        <v>243</v>
      </c>
      <c r="N45" t="s">
        <v>1619</v>
      </c>
      <c r="U45" t="s">
        <v>543</v>
      </c>
      <c r="V45">
        <f t="shared" si="0"/>
        <v>1</v>
      </c>
      <c r="W45">
        <f t="shared" si="1"/>
        <v>3</v>
      </c>
      <c r="X45">
        <f t="shared" si="2"/>
        <v>9</v>
      </c>
      <c r="Y45">
        <f t="shared" si="3"/>
        <v>9</v>
      </c>
      <c r="Z45">
        <f t="shared" si="4"/>
        <v>9</v>
      </c>
      <c r="AA45">
        <v>1</v>
      </c>
      <c r="AB45">
        <v>2</v>
      </c>
      <c r="AC45">
        <v>6</v>
      </c>
    </row>
    <row r="46" spans="2:31">
      <c r="B46" t="s">
        <v>1620</v>
      </c>
      <c r="D46" t="s">
        <v>1621</v>
      </c>
      <c r="E46" t="s">
        <v>243</v>
      </c>
      <c r="N46" t="s">
        <v>1622</v>
      </c>
      <c r="U46" t="s">
        <v>545</v>
      </c>
      <c r="V46">
        <f t="shared" si="0"/>
        <v>1</v>
      </c>
      <c r="W46">
        <f t="shared" si="1"/>
        <v>4</v>
      </c>
      <c r="X46">
        <f t="shared" si="2"/>
        <v>11</v>
      </c>
      <c r="Y46">
        <f t="shared" si="3"/>
        <v>11</v>
      </c>
      <c r="Z46">
        <f t="shared" si="4"/>
        <v>11</v>
      </c>
      <c r="AA46">
        <v>1</v>
      </c>
      <c r="AB46">
        <v>3</v>
      </c>
      <c r="AC46">
        <v>7</v>
      </c>
    </row>
    <row r="47" spans="2:31">
      <c r="B47" t="s">
        <v>1623</v>
      </c>
      <c r="D47" t="s">
        <v>1624</v>
      </c>
      <c r="E47" t="s">
        <v>243</v>
      </c>
      <c r="N47" t="s">
        <v>1625</v>
      </c>
      <c r="U47" t="s">
        <v>546</v>
      </c>
      <c r="V47">
        <f t="shared" si="0"/>
        <v>3</v>
      </c>
      <c r="W47">
        <f t="shared" si="1"/>
        <v>5</v>
      </c>
      <c r="X47">
        <f t="shared" si="2"/>
        <v>11</v>
      </c>
      <c r="Y47">
        <f t="shared" si="3"/>
        <v>11</v>
      </c>
      <c r="Z47">
        <f t="shared" si="4"/>
        <v>11</v>
      </c>
      <c r="AA47">
        <v>3</v>
      </c>
      <c r="AB47">
        <v>2</v>
      </c>
      <c r="AC47">
        <v>6</v>
      </c>
    </row>
    <row r="48" spans="2:31">
      <c r="B48" t="s">
        <v>1626</v>
      </c>
      <c r="D48" t="s">
        <v>1627</v>
      </c>
      <c r="E48" t="s">
        <v>243</v>
      </c>
      <c r="N48" t="s">
        <v>1628</v>
      </c>
      <c r="U48" t="s">
        <v>548</v>
      </c>
      <c r="V48">
        <f t="shared" si="0"/>
        <v>1</v>
      </c>
      <c r="W48">
        <f t="shared" si="1"/>
        <v>7</v>
      </c>
      <c r="X48">
        <f t="shared" si="2"/>
        <v>10</v>
      </c>
      <c r="Y48">
        <f t="shared" si="3"/>
        <v>10</v>
      </c>
      <c r="Z48">
        <f t="shared" si="4"/>
        <v>10</v>
      </c>
      <c r="AA48">
        <v>1</v>
      </c>
      <c r="AB48">
        <v>6</v>
      </c>
      <c r="AC48">
        <v>3</v>
      </c>
    </row>
    <row r="49" spans="2:30">
      <c r="B49" t="s">
        <v>1629</v>
      </c>
      <c r="D49" t="s">
        <v>1630</v>
      </c>
      <c r="E49" t="s">
        <v>243</v>
      </c>
      <c r="N49" t="s">
        <v>1631</v>
      </c>
      <c r="U49" t="s">
        <v>544</v>
      </c>
      <c r="V49">
        <f t="shared" si="0"/>
        <v>2</v>
      </c>
      <c r="W49">
        <f t="shared" si="1"/>
        <v>10</v>
      </c>
      <c r="X49">
        <f t="shared" si="2"/>
        <v>14</v>
      </c>
      <c r="Y49">
        <f t="shared" si="3"/>
        <v>15</v>
      </c>
      <c r="Z49">
        <f t="shared" si="4"/>
        <v>15</v>
      </c>
      <c r="AA49">
        <v>2</v>
      </c>
      <c r="AB49">
        <v>8</v>
      </c>
      <c r="AC49">
        <v>4</v>
      </c>
      <c r="AD49">
        <v>1</v>
      </c>
    </row>
    <row r="50" spans="2:30">
      <c r="B50" t="s">
        <v>1632</v>
      </c>
      <c r="D50" t="s">
        <v>1633</v>
      </c>
      <c r="E50" t="s">
        <v>243</v>
      </c>
      <c r="N50" t="s">
        <v>1634</v>
      </c>
      <c r="U50" t="s">
        <v>547</v>
      </c>
      <c r="V50">
        <f t="shared" si="0"/>
        <v>1</v>
      </c>
      <c r="W50">
        <f t="shared" si="1"/>
        <v>5</v>
      </c>
      <c r="X50">
        <f t="shared" si="2"/>
        <v>6</v>
      </c>
      <c r="Y50">
        <f t="shared" si="3"/>
        <v>6</v>
      </c>
      <c r="Z50">
        <f t="shared" si="4"/>
        <v>6</v>
      </c>
      <c r="AA50">
        <v>1</v>
      </c>
      <c r="AB50">
        <v>4</v>
      </c>
      <c r="AC50">
        <v>1</v>
      </c>
    </row>
    <row r="51" spans="2:30">
      <c r="B51" t="s">
        <v>1635</v>
      </c>
      <c r="D51" t="s">
        <v>1636</v>
      </c>
      <c r="E51" t="s">
        <v>243</v>
      </c>
      <c r="N51" t="s">
        <v>1637</v>
      </c>
      <c r="U51" t="s">
        <v>426</v>
      </c>
      <c r="V51">
        <f t="shared" si="0"/>
        <v>1</v>
      </c>
      <c r="W51">
        <f t="shared" si="1"/>
        <v>5</v>
      </c>
      <c r="X51">
        <f t="shared" si="2"/>
        <v>6</v>
      </c>
      <c r="Y51">
        <f t="shared" si="3"/>
        <v>6</v>
      </c>
      <c r="Z51">
        <f t="shared" si="4"/>
        <v>6</v>
      </c>
      <c r="AA51">
        <v>1</v>
      </c>
      <c r="AB51">
        <v>4</v>
      </c>
      <c r="AC51">
        <v>1</v>
      </c>
    </row>
    <row r="52" spans="2:30">
      <c r="B52" t="s">
        <v>1638</v>
      </c>
      <c r="D52" t="s">
        <v>1639</v>
      </c>
      <c r="E52" t="s">
        <v>243</v>
      </c>
      <c r="N52" t="s">
        <v>1640</v>
      </c>
      <c r="U52" t="s">
        <v>549</v>
      </c>
      <c r="V52">
        <f t="shared" si="0"/>
        <v>1</v>
      </c>
      <c r="W52">
        <f t="shared" si="1"/>
        <v>7</v>
      </c>
      <c r="X52">
        <f t="shared" si="2"/>
        <v>14</v>
      </c>
      <c r="Y52">
        <f t="shared" si="3"/>
        <v>14</v>
      </c>
      <c r="Z52">
        <f t="shared" si="4"/>
        <v>14</v>
      </c>
      <c r="AA52">
        <v>1</v>
      </c>
      <c r="AB52">
        <v>6</v>
      </c>
      <c r="AC52">
        <v>7</v>
      </c>
    </row>
    <row r="53" spans="2:30">
      <c r="B53" t="s">
        <v>335</v>
      </c>
      <c r="D53" t="s">
        <v>1641</v>
      </c>
      <c r="E53" t="s">
        <v>243</v>
      </c>
      <c r="N53" t="s">
        <v>1642</v>
      </c>
      <c r="U53" t="s">
        <v>550</v>
      </c>
      <c r="V53">
        <f t="shared" si="0"/>
        <v>1</v>
      </c>
      <c r="W53">
        <f t="shared" si="1"/>
        <v>3</v>
      </c>
      <c r="X53">
        <f t="shared" si="2"/>
        <v>8</v>
      </c>
      <c r="Y53">
        <f t="shared" si="3"/>
        <v>8</v>
      </c>
      <c r="Z53">
        <f t="shared" si="4"/>
        <v>8</v>
      </c>
      <c r="AA53">
        <v>1</v>
      </c>
      <c r="AB53">
        <v>2</v>
      </c>
      <c r="AC53">
        <v>5</v>
      </c>
    </row>
    <row r="54" spans="2:30">
      <c r="B54" t="s">
        <v>1643</v>
      </c>
      <c r="D54" t="s">
        <v>1644</v>
      </c>
      <c r="E54" t="s">
        <v>243</v>
      </c>
      <c r="N54" t="s">
        <v>1645</v>
      </c>
      <c r="U54" t="s">
        <v>553</v>
      </c>
      <c r="V54">
        <f t="shared" si="0"/>
        <v>3</v>
      </c>
      <c r="W54">
        <f t="shared" si="1"/>
        <v>7</v>
      </c>
      <c r="X54">
        <f t="shared" si="2"/>
        <v>9</v>
      </c>
      <c r="Y54">
        <f t="shared" si="3"/>
        <v>9</v>
      </c>
      <c r="Z54">
        <f t="shared" si="4"/>
        <v>9</v>
      </c>
      <c r="AA54">
        <v>3</v>
      </c>
      <c r="AB54">
        <v>4</v>
      </c>
      <c r="AC54">
        <v>2</v>
      </c>
    </row>
    <row r="55" spans="2:30">
      <c r="B55" t="s">
        <v>1646</v>
      </c>
      <c r="D55" t="s">
        <v>1647</v>
      </c>
      <c r="E55" t="s">
        <v>243</v>
      </c>
      <c r="N55" t="s">
        <v>1648</v>
      </c>
      <c r="U55" t="s">
        <v>551</v>
      </c>
      <c r="V55">
        <f t="shared" si="0"/>
        <v>1</v>
      </c>
      <c r="W55">
        <f t="shared" si="1"/>
        <v>4</v>
      </c>
      <c r="X55">
        <f t="shared" si="2"/>
        <v>10</v>
      </c>
      <c r="Y55">
        <f t="shared" si="3"/>
        <v>10</v>
      </c>
      <c r="Z55">
        <f t="shared" si="4"/>
        <v>10</v>
      </c>
      <c r="AA55">
        <v>1</v>
      </c>
      <c r="AB55">
        <v>3</v>
      </c>
      <c r="AC55">
        <v>6</v>
      </c>
    </row>
    <row r="56" spans="2:30">
      <c r="B56" t="s">
        <v>1649</v>
      </c>
      <c r="D56" t="s">
        <v>1650</v>
      </c>
      <c r="E56" t="s">
        <v>243</v>
      </c>
      <c r="N56" t="s">
        <v>1651</v>
      </c>
      <c r="U56" t="s">
        <v>552</v>
      </c>
      <c r="V56">
        <f t="shared" si="0"/>
        <v>2</v>
      </c>
      <c r="W56">
        <f t="shared" si="1"/>
        <v>5</v>
      </c>
      <c r="X56">
        <f t="shared" si="2"/>
        <v>7</v>
      </c>
      <c r="Y56">
        <f t="shared" si="3"/>
        <v>7</v>
      </c>
      <c r="Z56">
        <f t="shared" si="4"/>
        <v>7</v>
      </c>
      <c r="AA56">
        <v>2</v>
      </c>
      <c r="AB56">
        <v>3</v>
      </c>
      <c r="AC56">
        <v>2</v>
      </c>
    </row>
    <row r="57" spans="2:30">
      <c r="B57" t="s">
        <v>1652</v>
      </c>
      <c r="D57" t="s">
        <v>1653</v>
      </c>
      <c r="E57" t="s">
        <v>243</v>
      </c>
      <c r="N57" t="s">
        <v>1654</v>
      </c>
    </row>
    <row r="58" spans="2:30">
      <c r="B58" t="s">
        <v>1655</v>
      </c>
      <c r="D58" t="s">
        <v>1656</v>
      </c>
      <c r="E58" t="s">
        <v>243</v>
      </c>
      <c r="N58" t="s">
        <v>1657</v>
      </c>
    </row>
    <row r="59" spans="2:30">
      <c r="B59" t="s">
        <v>1658</v>
      </c>
      <c r="D59" t="s">
        <v>500</v>
      </c>
      <c r="E59" t="s">
        <v>243</v>
      </c>
      <c r="N59" t="s">
        <v>1659</v>
      </c>
    </row>
    <row r="60" spans="2:30">
      <c r="B60" t="s">
        <v>1660</v>
      </c>
      <c r="D60" t="s">
        <v>1661</v>
      </c>
      <c r="E60" t="s">
        <v>243</v>
      </c>
      <c r="N60" t="s">
        <v>1662</v>
      </c>
    </row>
    <row r="61" spans="2:30">
      <c r="B61" t="s">
        <v>1663</v>
      </c>
      <c r="D61" t="s">
        <v>1664</v>
      </c>
      <c r="E61" t="s">
        <v>243</v>
      </c>
      <c r="N61" t="s">
        <v>1665</v>
      </c>
    </row>
    <row r="62" spans="2:30">
      <c r="B62" t="s">
        <v>1666</v>
      </c>
      <c r="D62" t="s">
        <v>1667</v>
      </c>
      <c r="E62" t="s">
        <v>243</v>
      </c>
      <c r="N62" t="s">
        <v>1668</v>
      </c>
    </row>
    <row r="63" spans="2:30">
      <c r="B63" t="s">
        <v>1669</v>
      </c>
      <c r="D63" t="s">
        <v>1670</v>
      </c>
      <c r="E63" t="s">
        <v>243</v>
      </c>
      <c r="N63" t="s">
        <v>1671</v>
      </c>
    </row>
    <row r="64" spans="2:30">
      <c r="B64" t="s">
        <v>1672</v>
      </c>
      <c r="D64" t="s">
        <v>1673</v>
      </c>
      <c r="E64" t="s">
        <v>243</v>
      </c>
      <c r="N64" t="s">
        <v>1674</v>
      </c>
    </row>
    <row r="65" spans="2:14">
      <c r="B65" t="s">
        <v>1675</v>
      </c>
      <c r="D65" t="s">
        <v>1676</v>
      </c>
      <c r="E65" t="s">
        <v>243</v>
      </c>
      <c r="N65" t="s">
        <v>1677</v>
      </c>
    </row>
    <row r="66" spans="2:14">
      <c r="B66" t="s">
        <v>1678</v>
      </c>
      <c r="D66" t="s">
        <v>1679</v>
      </c>
      <c r="E66" t="s">
        <v>243</v>
      </c>
      <c r="N66" t="s">
        <v>1680</v>
      </c>
    </row>
    <row r="67" spans="2:14">
      <c r="B67" t="s">
        <v>1681</v>
      </c>
      <c r="D67" t="s">
        <v>1682</v>
      </c>
      <c r="E67" t="s">
        <v>243</v>
      </c>
      <c r="N67" t="s">
        <v>1683</v>
      </c>
    </row>
    <row r="68" spans="2:14">
      <c r="B68" t="s">
        <v>1684</v>
      </c>
      <c r="D68" t="s">
        <v>1685</v>
      </c>
      <c r="E68" t="s">
        <v>243</v>
      </c>
      <c r="N68" t="s">
        <v>1686</v>
      </c>
    </row>
    <row r="69" spans="2:14">
      <c r="B69" t="s">
        <v>1687</v>
      </c>
      <c r="D69" t="s">
        <v>1688</v>
      </c>
      <c r="E69" t="s">
        <v>243</v>
      </c>
      <c r="N69" t="s">
        <v>1689</v>
      </c>
    </row>
    <row r="70" spans="2:14">
      <c r="B70" t="s">
        <v>1690</v>
      </c>
      <c r="D70" t="s">
        <v>1691</v>
      </c>
      <c r="E70" t="s">
        <v>243</v>
      </c>
      <c r="N70" t="s">
        <v>1692</v>
      </c>
    </row>
    <row r="71" spans="2:14">
      <c r="B71" t="s">
        <v>1693</v>
      </c>
      <c r="D71" t="s">
        <v>1694</v>
      </c>
      <c r="E71" t="s">
        <v>243</v>
      </c>
      <c r="N71" t="s">
        <v>1695</v>
      </c>
    </row>
    <row r="72" spans="2:14">
      <c r="B72" t="s">
        <v>1696</v>
      </c>
      <c r="D72" t="s">
        <v>1697</v>
      </c>
      <c r="E72" t="s">
        <v>243</v>
      </c>
      <c r="N72" t="s">
        <v>1698</v>
      </c>
    </row>
    <row r="73" spans="2:14">
      <c r="B73" t="s">
        <v>1699</v>
      </c>
      <c r="D73" t="s">
        <v>1700</v>
      </c>
      <c r="E73" t="s">
        <v>243</v>
      </c>
      <c r="N73" t="s">
        <v>1701</v>
      </c>
    </row>
    <row r="74" spans="2:14">
      <c r="B74" t="s">
        <v>1702</v>
      </c>
      <c r="D74" t="s">
        <v>1703</v>
      </c>
      <c r="E74" t="s">
        <v>243</v>
      </c>
      <c r="N74" t="s">
        <v>1704</v>
      </c>
    </row>
    <row r="75" spans="2:14">
      <c r="B75" t="s">
        <v>1705</v>
      </c>
      <c r="D75" t="s">
        <v>1706</v>
      </c>
      <c r="E75" t="s">
        <v>243</v>
      </c>
      <c r="N75" t="s">
        <v>1707</v>
      </c>
    </row>
    <row r="76" spans="2:14">
      <c r="B76" t="s">
        <v>1708</v>
      </c>
      <c r="D76" t="s">
        <v>1709</v>
      </c>
      <c r="E76" t="s">
        <v>243</v>
      </c>
      <c r="N76" t="s">
        <v>1710</v>
      </c>
    </row>
    <row r="77" spans="2:14">
      <c r="B77" t="s">
        <v>1711</v>
      </c>
      <c r="D77" t="s">
        <v>1712</v>
      </c>
      <c r="E77" t="s">
        <v>243</v>
      </c>
      <c r="N77" t="s">
        <v>1713</v>
      </c>
    </row>
    <row r="78" spans="2:14">
      <c r="B78" t="s">
        <v>1714</v>
      </c>
      <c r="D78" t="s">
        <v>1715</v>
      </c>
      <c r="E78" t="s">
        <v>243</v>
      </c>
      <c r="N78" t="s">
        <v>1716</v>
      </c>
    </row>
    <row r="79" spans="2:14">
      <c r="B79" t="s">
        <v>1717</v>
      </c>
      <c r="D79" t="s">
        <v>1718</v>
      </c>
      <c r="E79" t="s">
        <v>243</v>
      </c>
      <c r="N79" t="s">
        <v>1719</v>
      </c>
    </row>
    <row r="80" spans="2:14">
      <c r="B80" t="s">
        <v>1720</v>
      </c>
      <c r="D80" t="s">
        <v>1721</v>
      </c>
      <c r="E80" t="s">
        <v>243</v>
      </c>
      <c r="N80" t="s">
        <v>1722</v>
      </c>
    </row>
    <row r="81" spans="2:14">
      <c r="B81" t="s">
        <v>1723</v>
      </c>
      <c r="D81" t="s">
        <v>1724</v>
      </c>
      <c r="E81" t="s">
        <v>243</v>
      </c>
      <c r="N81" t="s">
        <v>1725</v>
      </c>
    </row>
    <row r="82" spans="2:14">
      <c r="B82" t="s">
        <v>1726</v>
      </c>
      <c r="D82" t="s">
        <v>1727</v>
      </c>
      <c r="E82" t="s">
        <v>243</v>
      </c>
      <c r="N82" t="s">
        <v>1728</v>
      </c>
    </row>
    <row r="83" spans="2:14">
      <c r="B83" t="s">
        <v>1729</v>
      </c>
      <c r="D83" t="s">
        <v>1730</v>
      </c>
      <c r="E83" t="s">
        <v>243</v>
      </c>
      <c r="N83" t="s">
        <v>1731</v>
      </c>
    </row>
    <row r="84" spans="2:14">
      <c r="B84" t="s">
        <v>1732</v>
      </c>
      <c r="D84" t="s">
        <v>1733</v>
      </c>
      <c r="E84" t="s">
        <v>243</v>
      </c>
      <c r="N84" t="s">
        <v>1734</v>
      </c>
    </row>
    <row r="85" spans="2:14">
      <c r="B85" t="s">
        <v>1735</v>
      </c>
      <c r="D85" t="s">
        <v>1736</v>
      </c>
      <c r="E85" t="s">
        <v>243</v>
      </c>
      <c r="N85" t="s">
        <v>1737</v>
      </c>
    </row>
    <row r="86" spans="2:14">
      <c r="B86" t="s">
        <v>1738</v>
      </c>
      <c r="D86" t="s">
        <v>1739</v>
      </c>
      <c r="E86" t="s">
        <v>243</v>
      </c>
      <c r="N86" t="s">
        <v>1740</v>
      </c>
    </row>
    <row r="87" spans="2:14">
      <c r="B87" t="s">
        <v>1741</v>
      </c>
      <c r="D87" t="s">
        <v>1742</v>
      </c>
      <c r="E87" t="s">
        <v>243</v>
      </c>
      <c r="N87" t="s">
        <v>1743</v>
      </c>
    </row>
    <row r="88" spans="2:14">
      <c r="B88" t="s">
        <v>1744</v>
      </c>
      <c r="D88" t="s">
        <v>1745</v>
      </c>
      <c r="E88" t="s">
        <v>243</v>
      </c>
      <c r="N88" t="s">
        <v>1746</v>
      </c>
    </row>
    <row r="89" spans="2:14">
      <c r="B89" t="s">
        <v>1747</v>
      </c>
      <c r="D89" t="s">
        <v>1748</v>
      </c>
      <c r="E89" t="s">
        <v>243</v>
      </c>
      <c r="N89" t="s">
        <v>1749</v>
      </c>
    </row>
    <row r="90" spans="2:14">
      <c r="B90" t="s">
        <v>1750</v>
      </c>
      <c r="D90" t="s">
        <v>1751</v>
      </c>
      <c r="E90" t="s">
        <v>243</v>
      </c>
      <c r="N90" t="s">
        <v>1752</v>
      </c>
    </row>
    <row r="91" spans="2:14">
      <c r="B91" t="s">
        <v>1753</v>
      </c>
      <c r="D91" t="s">
        <v>1754</v>
      </c>
      <c r="E91" t="s">
        <v>243</v>
      </c>
      <c r="N91" t="s">
        <v>1755</v>
      </c>
    </row>
    <row r="92" spans="2:14">
      <c r="B92" t="s">
        <v>1756</v>
      </c>
      <c r="D92" t="s">
        <v>1757</v>
      </c>
      <c r="E92" t="s">
        <v>243</v>
      </c>
      <c r="N92" t="s">
        <v>1758</v>
      </c>
    </row>
    <row r="93" spans="2:14">
      <c r="B93" t="s">
        <v>1759</v>
      </c>
      <c r="N93" t="s">
        <v>1760</v>
      </c>
    </row>
    <row r="94" spans="2:14">
      <c r="B94" t="s">
        <v>1761</v>
      </c>
      <c r="N94" t="s">
        <v>1762</v>
      </c>
    </row>
    <row r="95" spans="2:14">
      <c r="B95" t="s">
        <v>1763</v>
      </c>
      <c r="N95" t="s">
        <v>1764</v>
      </c>
    </row>
    <row r="96" spans="2:14">
      <c r="B96" t="s">
        <v>1765</v>
      </c>
      <c r="N96" t="s">
        <v>1766</v>
      </c>
    </row>
    <row r="97" spans="2:14">
      <c r="B97" t="s">
        <v>1767</v>
      </c>
      <c r="N97" t="s">
        <v>1768</v>
      </c>
    </row>
    <row r="98" spans="2:14">
      <c r="B98" t="s">
        <v>1769</v>
      </c>
      <c r="N98" t="s">
        <v>1770</v>
      </c>
    </row>
    <row r="99" spans="2:14">
      <c r="B99" t="s">
        <v>1771</v>
      </c>
      <c r="N99" t="s">
        <v>1772</v>
      </c>
    </row>
    <row r="100" spans="2:14">
      <c r="B100" t="s">
        <v>1773</v>
      </c>
      <c r="N100" t="s">
        <v>1774</v>
      </c>
    </row>
    <row r="101" spans="2:14">
      <c r="B101" t="s">
        <v>1775</v>
      </c>
      <c r="N101" t="s">
        <v>1776</v>
      </c>
    </row>
    <row r="102" spans="2:14">
      <c r="B102" t="s">
        <v>1777</v>
      </c>
      <c r="N102" t="s">
        <v>1778</v>
      </c>
    </row>
    <row r="103" spans="2:14">
      <c r="B103" t="s">
        <v>1779</v>
      </c>
      <c r="N103" t="s">
        <v>1780</v>
      </c>
    </row>
    <row r="104" spans="2:14">
      <c r="B104" t="s">
        <v>1781</v>
      </c>
      <c r="N104" t="s">
        <v>1782</v>
      </c>
    </row>
    <row r="105" spans="2:14">
      <c r="B105" t="s">
        <v>1783</v>
      </c>
      <c r="N105" t="s">
        <v>1784</v>
      </c>
    </row>
    <row r="106" spans="2:14">
      <c r="B106" t="s">
        <v>1785</v>
      </c>
      <c r="N106" t="s">
        <v>1786</v>
      </c>
    </row>
    <row r="107" spans="2:14">
      <c r="B107" t="s">
        <v>1787</v>
      </c>
      <c r="N107" t="s">
        <v>1788</v>
      </c>
    </row>
    <row r="108" spans="2:14">
      <c r="B108" t="s">
        <v>1789</v>
      </c>
      <c r="N108" t="s">
        <v>383</v>
      </c>
    </row>
    <row r="109" spans="2:14">
      <c r="B109" t="s">
        <v>1790</v>
      </c>
      <c r="N109" t="s">
        <v>1791</v>
      </c>
    </row>
    <row r="110" spans="2:14">
      <c r="B110" t="s">
        <v>1792</v>
      </c>
      <c r="N110" t="s">
        <v>1793</v>
      </c>
    </row>
    <row r="111" spans="2:14">
      <c r="B111" t="s">
        <v>1794</v>
      </c>
      <c r="N111" t="s">
        <v>1795</v>
      </c>
    </row>
    <row r="112" spans="2:14">
      <c r="B112" t="s">
        <v>1796</v>
      </c>
      <c r="N112" t="s">
        <v>1797</v>
      </c>
    </row>
    <row r="113" spans="2:14">
      <c r="B113" t="s">
        <v>1798</v>
      </c>
      <c r="N113" t="s">
        <v>1799</v>
      </c>
    </row>
    <row r="114" spans="2:14">
      <c r="B114" t="s">
        <v>1800</v>
      </c>
      <c r="N114" t="s">
        <v>1801</v>
      </c>
    </row>
    <row r="115" spans="2:14">
      <c r="B115" t="s">
        <v>1802</v>
      </c>
      <c r="N115" t="s">
        <v>1803</v>
      </c>
    </row>
    <row r="116" spans="2:14">
      <c r="B116" t="s">
        <v>1804</v>
      </c>
      <c r="N116" t="s">
        <v>1805</v>
      </c>
    </row>
    <row r="117" spans="2:14">
      <c r="B117" t="s">
        <v>1806</v>
      </c>
      <c r="N117" t="s">
        <v>1807</v>
      </c>
    </row>
    <row r="118" spans="2:14">
      <c r="B118" t="s">
        <v>1808</v>
      </c>
      <c r="N118" t="s">
        <v>1809</v>
      </c>
    </row>
    <row r="119" spans="2:14">
      <c r="B119" t="s">
        <v>1810</v>
      </c>
      <c r="N119" t="s">
        <v>1811</v>
      </c>
    </row>
    <row r="120" spans="2:14">
      <c r="B120" t="s">
        <v>1812</v>
      </c>
      <c r="N120" t="s">
        <v>1813</v>
      </c>
    </row>
    <row r="121" spans="2:14">
      <c r="B121" t="s">
        <v>1814</v>
      </c>
      <c r="N121" t="s">
        <v>1815</v>
      </c>
    </row>
    <row r="122" spans="2:14">
      <c r="B122" t="s">
        <v>1816</v>
      </c>
      <c r="N122" t="s">
        <v>1817</v>
      </c>
    </row>
    <row r="123" spans="2:14">
      <c r="B123" t="s">
        <v>1818</v>
      </c>
      <c r="N123" t="s">
        <v>1819</v>
      </c>
    </row>
    <row r="124" spans="2:14">
      <c r="B124" t="s">
        <v>1820</v>
      </c>
      <c r="N124" t="s">
        <v>1821</v>
      </c>
    </row>
    <row r="125" spans="2:14">
      <c r="B125" t="s">
        <v>1822</v>
      </c>
      <c r="N125" t="s">
        <v>1823</v>
      </c>
    </row>
    <row r="126" spans="2:14">
      <c r="B126" t="s">
        <v>1824</v>
      </c>
      <c r="N126" t="s">
        <v>1825</v>
      </c>
    </row>
    <row r="127" spans="2:14">
      <c r="B127" t="s">
        <v>1826</v>
      </c>
      <c r="N127" t="s">
        <v>1827</v>
      </c>
    </row>
    <row r="128" spans="2:14">
      <c r="B128" t="s">
        <v>1828</v>
      </c>
      <c r="N128" t="s">
        <v>1829</v>
      </c>
    </row>
    <row r="129" spans="2:14">
      <c r="B129" t="s">
        <v>1830</v>
      </c>
      <c r="N129" t="s">
        <v>1831</v>
      </c>
    </row>
    <row r="130" spans="2:14">
      <c r="B130" t="s">
        <v>1832</v>
      </c>
      <c r="N130" t="s">
        <v>1833</v>
      </c>
    </row>
    <row r="131" spans="2:14">
      <c r="B131" t="s">
        <v>1834</v>
      </c>
      <c r="N131" t="s">
        <v>1835</v>
      </c>
    </row>
    <row r="132" spans="2:14">
      <c r="B132" t="s">
        <v>1836</v>
      </c>
      <c r="N132" t="s">
        <v>1837</v>
      </c>
    </row>
    <row r="133" spans="2:14">
      <c r="B133" t="s">
        <v>1838</v>
      </c>
      <c r="N133" t="s">
        <v>1839</v>
      </c>
    </row>
    <row r="134" spans="2:14">
      <c r="B134" t="s">
        <v>1840</v>
      </c>
      <c r="N134" t="s">
        <v>1841</v>
      </c>
    </row>
    <row r="135" spans="2:14">
      <c r="B135" t="s">
        <v>1842</v>
      </c>
      <c r="N135" t="s">
        <v>1843</v>
      </c>
    </row>
    <row r="136" spans="2:14">
      <c r="B136" t="s">
        <v>1844</v>
      </c>
      <c r="N136" t="s">
        <v>1845</v>
      </c>
    </row>
    <row r="137" spans="2:14">
      <c r="B137" t="s">
        <v>1846</v>
      </c>
      <c r="N137" t="s">
        <v>1847</v>
      </c>
    </row>
    <row r="138" spans="2:14">
      <c r="B138" t="s">
        <v>1848</v>
      </c>
      <c r="N138" t="s">
        <v>1849</v>
      </c>
    </row>
    <row r="139" spans="2:14">
      <c r="B139" t="s">
        <v>1850</v>
      </c>
      <c r="N139" t="s">
        <v>1851</v>
      </c>
    </row>
    <row r="140" spans="2:14">
      <c r="B140" t="s">
        <v>1852</v>
      </c>
      <c r="N140" t="s">
        <v>1853</v>
      </c>
    </row>
    <row r="141" spans="2:14">
      <c r="B141" t="s">
        <v>1854</v>
      </c>
      <c r="N141" t="s">
        <v>1855</v>
      </c>
    </row>
    <row r="142" spans="2:14">
      <c r="B142" t="s">
        <v>1856</v>
      </c>
      <c r="N142" t="s">
        <v>1857</v>
      </c>
    </row>
    <row r="143" spans="2:14">
      <c r="B143" t="s">
        <v>1858</v>
      </c>
      <c r="N143" t="s">
        <v>1859</v>
      </c>
    </row>
    <row r="144" spans="2:14">
      <c r="B144" t="s">
        <v>1860</v>
      </c>
    </row>
    <row r="145" spans="2:2">
      <c r="B145" t="s">
        <v>1861</v>
      </c>
    </row>
    <row r="146" spans="2:2">
      <c r="B146" t="s">
        <v>1862</v>
      </c>
    </row>
    <row r="147" spans="2:2">
      <c r="B147" t="s">
        <v>1863</v>
      </c>
    </row>
    <row r="148" spans="2:2">
      <c r="B148" t="s">
        <v>1864</v>
      </c>
    </row>
    <row r="149" spans="2:2">
      <c r="B149" t="s">
        <v>1865</v>
      </c>
    </row>
    <row r="150" spans="2:2">
      <c r="B150" t="s">
        <v>1866</v>
      </c>
    </row>
    <row r="151" spans="2:2">
      <c r="B151" t="s">
        <v>1867</v>
      </c>
    </row>
    <row r="152" spans="2:2">
      <c r="B152" t="s">
        <v>1868</v>
      </c>
    </row>
    <row r="153" spans="2:2">
      <c r="B153" t="s">
        <v>1869</v>
      </c>
    </row>
    <row r="154" spans="2:2">
      <c r="B154" t="s">
        <v>1870</v>
      </c>
    </row>
    <row r="155" spans="2:2">
      <c r="B155" t="s">
        <v>1871</v>
      </c>
    </row>
    <row r="156" spans="2:2">
      <c r="B156" t="s">
        <v>1872</v>
      </c>
    </row>
    <row r="157" spans="2:2">
      <c r="B157" t="s">
        <v>1873</v>
      </c>
    </row>
    <row r="158" spans="2:2">
      <c r="B158" t="s">
        <v>1874</v>
      </c>
    </row>
    <row r="159" spans="2:2">
      <c r="B159" t="s">
        <v>1875</v>
      </c>
    </row>
    <row r="160" spans="2:2">
      <c r="B160" t="s">
        <v>1876</v>
      </c>
    </row>
    <row r="161" spans="2:2">
      <c r="B161" t="s">
        <v>1877</v>
      </c>
    </row>
    <row r="162" spans="2:2">
      <c r="B162" t="s">
        <v>1878</v>
      </c>
    </row>
    <row r="163" spans="2:2">
      <c r="B163" t="s">
        <v>1879</v>
      </c>
    </row>
    <row r="164" spans="2:2">
      <c r="B164" t="s">
        <v>1880</v>
      </c>
    </row>
    <row r="165" spans="2:2">
      <c r="B165" t="s">
        <v>1881</v>
      </c>
    </row>
    <row r="166" spans="2:2">
      <c r="B166" t="s">
        <v>1882</v>
      </c>
    </row>
    <row r="167" spans="2:2">
      <c r="B167" t="s">
        <v>1883</v>
      </c>
    </row>
    <row r="168" spans="2:2">
      <c r="B168" t="s">
        <v>1884</v>
      </c>
    </row>
    <row r="169" spans="2:2">
      <c r="B169" t="s">
        <v>1885</v>
      </c>
    </row>
    <row r="170" spans="2:2">
      <c r="B170" t="s">
        <v>1886</v>
      </c>
    </row>
    <row r="171" spans="2:2">
      <c r="B171" t="s">
        <v>1887</v>
      </c>
    </row>
    <row r="172" spans="2:2">
      <c r="B172" t="s">
        <v>1888</v>
      </c>
    </row>
    <row r="173" spans="2:2">
      <c r="B173" t="s">
        <v>1889</v>
      </c>
    </row>
    <row r="174" spans="2:2">
      <c r="B174" t="s">
        <v>1890</v>
      </c>
    </row>
    <row r="175" spans="2:2">
      <c r="B175" t="s">
        <v>1891</v>
      </c>
    </row>
    <row r="176" spans="2:2">
      <c r="B176" t="s">
        <v>1892</v>
      </c>
    </row>
    <row r="177" spans="2:2">
      <c r="B177" t="s">
        <v>1893</v>
      </c>
    </row>
    <row r="178" spans="2:2">
      <c r="B178" t="s">
        <v>1894</v>
      </c>
    </row>
    <row r="179" spans="2:2">
      <c r="B179" t="s">
        <v>1895</v>
      </c>
    </row>
    <row r="180" spans="2:2">
      <c r="B180" t="s">
        <v>1896</v>
      </c>
    </row>
    <row r="181" spans="2:2">
      <c r="B181" t="s">
        <v>1897</v>
      </c>
    </row>
    <row r="182" spans="2:2">
      <c r="B182" t="s">
        <v>1898</v>
      </c>
    </row>
    <row r="183" spans="2:2">
      <c r="B183" t="s">
        <v>1899</v>
      </c>
    </row>
    <row r="184" spans="2:2">
      <c r="B184" t="s">
        <v>1900</v>
      </c>
    </row>
    <row r="185" spans="2:2">
      <c r="B185" t="s">
        <v>1901</v>
      </c>
    </row>
    <row r="186" spans="2:2">
      <c r="B186" t="s">
        <v>1902</v>
      </c>
    </row>
    <row r="187" spans="2:2">
      <c r="B187" t="s">
        <v>1903</v>
      </c>
    </row>
    <row r="188" spans="2:2">
      <c r="B188" t="s">
        <v>1904</v>
      </c>
    </row>
    <row r="189" spans="2:2">
      <c r="B189" t="s">
        <v>1905</v>
      </c>
    </row>
    <row r="190" spans="2:2">
      <c r="B190" t="s">
        <v>1906</v>
      </c>
    </row>
    <row r="191" spans="2:2">
      <c r="B191" t="s">
        <v>1907</v>
      </c>
    </row>
    <row r="192" spans="2:2">
      <c r="B192" t="s">
        <v>1908</v>
      </c>
    </row>
    <row r="193" spans="2:2">
      <c r="B193" t="s">
        <v>1909</v>
      </c>
    </row>
    <row r="194" spans="2:2">
      <c r="B194" t="s">
        <v>1910</v>
      </c>
    </row>
    <row r="195" spans="2:2">
      <c r="B195" t="s">
        <v>1911</v>
      </c>
    </row>
    <row r="196" spans="2:2">
      <c r="B196" t="s">
        <v>1912</v>
      </c>
    </row>
    <row r="197" spans="2:2">
      <c r="B197" t="s">
        <v>1913</v>
      </c>
    </row>
    <row r="198" spans="2:2">
      <c r="B198" t="s">
        <v>1914</v>
      </c>
    </row>
    <row r="199" spans="2:2">
      <c r="B199" t="s">
        <v>1915</v>
      </c>
    </row>
    <row r="200" spans="2:2">
      <c r="B200" t="s">
        <v>1916</v>
      </c>
    </row>
    <row r="201" spans="2:2">
      <c r="B201" t="s">
        <v>1917</v>
      </c>
    </row>
    <row r="202" spans="2:2">
      <c r="B202" t="s">
        <v>1918</v>
      </c>
    </row>
    <row r="203" spans="2:2">
      <c r="B203" t="s">
        <v>1919</v>
      </c>
    </row>
    <row r="204" spans="2:2">
      <c r="B204" t="s">
        <v>1920</v>
      </c>
    </row>
    <row r="205" spans="2:2">
      <c r="B205" t="s">
        <v>1921</v>
      </c>
    </row>
    <row r="206" spans="2:2">
      <c r="B206" t="s">
        <v>1922</v>
      </c>
    </row>
    <row r="207" spans="2:2">
      <c r="B207" t="s">
        <v>1923</v>
      </c>
    </row>
    <row r="208" spans="2:2">
      <c r="B208" t="s">
        <v>1924</v>
      </c>
    </row>
    <row r="209" spans="2:2">
      <c r="B209" t="s">
        <v>1925</v>
      </c>
    </row>
    <row r="210" spans="2:2">
      <c r="B210" t="s">
        <v>1926</v>
      </c>
    </row>
    <row r="211" spans="2:2">
      <c r="B211" t="s">
        <v>1927</v>
      </c>
    </row>
    <row r="212" spans="2:2">
      <c r="B212" t="s">
        <v>1928</v>
      </c>
    </row>
    <row r="213" spans="2:2">
      <c r="B213" t="s">
        <v>1929</v>
      </c>
    </row>
    <row r="214" spans="2:2">
      <c r="B214" t="s">
        <v>1930</v>
      </c>
    </row>
    <row r="215" spans="2:2">
      <c r="B215" t="s">
        <v>1931</v>
      </c>
    </row>
    <row r="216" spans="2:2">
      <c r="B216" t="s">
        <v>1932</v>
      </c>
    </row>
    <row r="217" spans="2:2">
      <c r="B217" t="s">
        <v>1933</v>
      </c>
    </row>
    <row r="218" spans="2:2">
      <c r="B218" t="s">
        <v>1934</v>
      </c>
    </row>
    <row r="219" spans="2:2">
      <c r="B219" t="s">
        <v>1935</v>
      </c>
    </row>
    <row r="220" spans="2:2">
      <c r="B220" t="s">
        <v>1936</v>
      </c>
    </row>
    <row r="221" spans="2:2">
      <c r="B221" t="s">
        <v>1937</v>
      </c>
    </row>
    <row r="222" spans="2:2">
      <c r="B222" t="s">
        <v>1938</v>
      </c>
    </row>
    <row r="223" spans="2:2">
      <c r="B223" t="s">
        <v>1939</v>
      </c>
    </row>
    <row r="224" spans="2:2">
      <c r="B224" t="s">
        <v>1940</v>
      </c>
    </row>
    <row r="225" spans="2:2">
      <c r="B225" t="s">
        <v>1941</v>
      </c>
    </row>
    <row r="226" spans="2:2">
      <c r="B226" t="s">
        <v>1942</v>
      </c>
    </row>
    <row r="227" spans="2:2">
      <c r="B227" t="s">
        <v>1943</v>
      </c>
    </row>
    <row r="228" spans="2:2">
      <c r="B228" t="s">
        <v>1944</v>
      </c>
    </row>
    <row r="229" spans="2:2">
      <c r="B229" t="s">
        <v>1945</v>
      </c>
    </row>
    <row r="230" spans="2:2">
      <c r="B230" t="s">
        <v>1946</v>
      </c>
    </row>
    <row r="231" spans="2:2">
      <c r="B231" t="s">
        <v>1947</v>
      </c>
    </row>
    <row r="232" spans="2:2">
      <c r="B232" t="s">
        <v>1948</v>
      </c>
    </row>
    <row r="233" spans="2:2">
      <c r="B233" t="s">
        <v>1949</v>
      </c>
    </row>
    <row r="234" spans="2:2">
      <c r="B234" t="s">
        <v>1950</v>
      </c>
    </row>
    <row r="235" spans="2:2">
      <c r="B235" t="s">
        <v>1951</v>
      </c>
    </row>
    <row r="236" spans="2:2">
      <c r="B236" t="s">
        <v>1952</v>
      </c>
    </row>
    <row r="237" spans="2:2">
      <c r="B237" t="s">
        <v>1953</v>
      </c>
    </row>
    <row r="238" spans="2:2">
      <c r="B238" t="s">
        <v>1954</v>
      </c>
    </row>
    <row r="239" spans="2:2">
      <c r="B239" t="s">
        <v>1955</v>
      </c>
    </row>
    <row r="240" spans="2:2">
      <c r="B240" t="s">
        <v>1956</v>
      </c>
    </row>
    <row r="241" spans="2:2">
      <c r="B241" t="s">
        <v>1957</v>
      </c>
    </row>
    <row r="242" spans="2:2">
      <c r="B242" t="s">
        <v>1958</v>
      </c>
    </row>
    <row r="243" spans="2:2">
      <c r="B243" t="s">
        <v>1959</v>
      </c>
    </row>
    <row r="244" spans="2:2">
      <c r="B244" t="s">
        <v>1960</v>
      </c>
    </row>
    <row r="245" spans="2:2">
      <c r="B245" t="s">
        <v>1961</v>
      </c>
    </row>
    <row r="246" spans="2:2">
      <c r="B246" t="s">
        <v>1962</v>
      </c>
    </row>
    <row r="247" spans="2:2">
      <c r="B247" t="s">
        <v>1963</v>
      </c>
    </row>
    <row r="248" spans="2:2">
      <c r="B248" t="s">
        <v>1964</v>
      </c>
    </row>
    <row r="249" spans="2:2">
      <c r="B249" t="s">
        <v>1965</v>
      </c>
    </row>
    <row r="250" spans="2:2">
      <c r="B250" t="s">
        <v>1966</v>
      </c>
    </row>
    <row r="251" spans="2:2">
      <c r="B251" t="s">
        <v>1967</v>
      </c>
    </row>
    <row r="252" spans="2:2">
      <c r="B252" t="s">
        <v>1968</v>
      </c>
    </row>
    <row r="253" spans="2:2">
      <c r="B253" t="s">
        <v>1969</v>
      </c>
    </row>
    <row r="254" spans="2:2">
      <c r="B254" t="s">
        <v>1970</v>
      </c>
    </row>
    <row r="255" spans="2:2">
      <c r="B255" t="s">
        <v>1971</v>
      </c>
    </row>
    <row r="256" spans="2:2">
      <c r="B256" t="s">
        <v>1972</v>
      </c>
    </row>
    <row r="257" spans="2:2">
      <c r="B257" t="s">
        <v>1973</v>
      </c>
    </row>
    <row r="258" spans="2:2">
      <c r="B258" t="s">
        <v>1974</v>
      </c>
    </row>
    <row r="259" spans="2:2">
      <c r="B259" t="s">
        <v>1975</v>
      </c>
    </row>
  </sheetData>
  <autoFilter ref="AT5:AT8" xr:uid="{00000000-0009-0000-0000-000039000000}">
    <sortState xmlns:xlrd2="http://schemas.microsoft.com/office/spreadsheetml/2017/richdata2" ref="AT6:AT8">
      <sortCondition ref="AT6:AT8"/>
    </sortState>
  </autoFilter>
  <hyperlinks>
    <hyperlink ref="B2" r:id="rId1" xr:uid="{00000000-0004-0000-3900-000000000000}"/>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2"/>
  <dimension ref="A1:C23"/>
  <sheetViews>
    <sheetView workbookViewId="0"/>
  </sheetViews>
  <sheetFormatPr defaultColWidth="8.77734375" defaultRowHeight="14.4"/>
  <cols>
    <col min="1" max="1" width="13.21875" style="16" customWidth="1"/>
    <col min="2" max="3" width="25.77734375" style="16" customWidth="1"/>
    <col min="4" max="9" width="8.77734375" style="16" customWidth="1"/>
    <col min="10" max="16384" width="8.77734375" style="16"/>
  </cols>
  <sheetData>
    <row r="1" spans="1:3">
      <c r="A1" s="16" t="s">
        <v>1976</v>
      </c>
    </row>
    <row r="2" spans="1:3">
      <c r="A2" s="16" t="s">
        <v>1977</v>
      </c>
      <c r="B2" s="16" t="s">
        <v>1978</v>
      </c>
      <c r="C2" s="16" t="s">
        <v>1979</v>
      </c>
    </row>
    <row r="3" spans="1:3">
      <c r="A3" s="16" t="s">
        <v>549</v>
      </c>
      <c r="B3" s="16" t="s">
        <v>1239</v>
      </c>
      <c r="C3" s="16" t="s">
        <v>1260</v>
      </c>
    </row>
    <row r="4" spans="1:3">
      <c r="A4" s="16" t="s">
        <v>547</v>
      </c>
      <c r="B4" s="16" t="s">
        <v>1240</v>
      </c>
      <c r="C4" s="16" t="s">
        <v>1240</v>
      </c>
    </row>
    <row r="5" spans="1:3">
      <c r="A5" s="16" t="s">
        <v>552</v>
      </c>
      <c r="B5" s="16" t="s">
        <v>1241</v>
      </c>
      <c r="C5" s="16" t="s">
        <v>1241</v>
      </c>
    </row>
    <row r="6" spans="1:3">
      <c r="A6" s="16" t="s">
        <v>426</v>
      </c>
      <c r="B6" s="16" t="s">
        <v>1242</v>
      </c>
      <c r="C6" s="16" t="s">
        <v>1261</v>
      </c>
    </row>
    <row r="7" spans="1:3">
      <c r="A7" s="16" t="s">
        <v>551</v>
      </c>
      <c r="B7" s="16" t="s">
        <v>1243</v>
      </c>
      <c r="C7" s="16" t="s">
        <v>1262</v>
      </c>
    </row>
    <row r="8" spans="1:3">
      <c r="A8" s="16" t="s">
        <v>548</v>
      </c>
      <c r="B8" s="16" t="s">
        <v>1244</v>
      </c>
      <c r="C8" s="16" t="s">
        <v>1244</v>
      </c>
    </row>
    <row r="9" spans="1:3">
      <c r="A9" s="16" t="s">
        <v>538</v>
      </c>
      <c r="B9" s="16" t="s">
        <v>1245</v>
      </c>
      <c r="C9" s="16" t="s">
        <v>1245</v>
      </c>
    </row>
    <row r="10" spans="1:3">
      <c r="A10" s="16" t="s">
        <v>544</v>
      </c>
      <c r="B10" s="16" t="s">
        <v>1246</v>
      </c>
      <c r="C10" s="16" t="s">
        <v>1263</v>
      </c>
    </row>
    <row r="11" spans="1:3">
      <c r="A11" s="16" t="s">
        <v>542</v>
      </c>
      <c r="B11" s="16" t="s">
        <v>1247</v>
      </c>
      <c r="C11" s="16" t="s">
        <v>1264</v>
      </c>
    </row>
    <row r="12" spans="1:3">
      <c r="A12" s="16" t="s">
        <v>550</v>
      </c>
      <c r="B12" s="16" t="s">
        <v>1248</v>
      </c>
      <c r="C12" s="16" t="s">
        <v>1265</v>
      </c>
    </row>
    <row r="13" spans="1:3">
      <c r="A13" s="16" t="s">
        <v>543</v>
      </c>
      <c r="B13" s="16" t="s">
        <v>100</v>
      </c>
      <c r="C13" s="16" t="s">
        <v>1266</v>
      </c>
    </row>
    <row r="14" spans="1:3">
      <c r="A14" s="16" t="s">
        <v>535</v>
      </c>
      <c r="B14" s="16" t="s">
        <v>101</v>
      </c>
      <c r="C14" s="16" t="s">
        <v>1267</v>
      </c>
    </row>
    <row r="15" spans="1:3">
      <c r="A15" s="16" t="s">
        <v>537</v>
      </c>
      <c r="B15" s="16" t="s">
        <v>102</v>
      </c>
      <c r="C15" s="16" t="s">
        <v>1268</v>
      </c>
    </row>
    <row r="16" spans="1:3">
      <c r="A16" s="16" t="s">
        <v>536</v>
      </c>
      <c r="B16" s="16" t="s">
        <v>103</v>
      </c>
      <c r="C16" s="16" t="s">
        <v>1269</v>
      </c>
    </row>
    <row r="17" spans="1:3">
      <c r="A17" s="16" t="s">
        <v>546</v>
      </c>
      <c r="B17" s="16" t="s">
        <v>104</v>
      </c>
      <c r="C17" s="16" t="s">
        <v>1254</v>
      </c>
    </row>
    <row r="18" spans="1:3">
      <c r="A18" s="16" t="s">
        <v>545</v>
      </c>
      <c r="B18" s="16" t="s">
        <v>31</v>
      </c>
      <c r="C18" s="16" t="s">
        <v>101</v>
      </c>
    </row>
    <row r="19" spans="1:3">
      <c r="A19" s="16" t="s">
        <v>541</v>
      </c>
      <c r="B19" s="16" t="s">
        <v>1259</v>
      </c>
      <c r="C19" s="16" t="s">
        <v>1255</v>
      </c>
    </row>
    <row r="20" spans="1:3">
      <c r="A20" s="16" t="s">
        <v>539</v>
      </c>
      <c r="C20" s="16" t="s">
        <v>103</v>
      </c>
    </row>
    <row r="21" spans="1:3">
      <c r="A21" s="16" t="s">
        <v>540</v>
      </c>
      <c r="C21" s="16" t="s">
        <v>104</v>
      </c>
    </row>
    <row r="22" spans="1:3">
      <c r="C22" s="16" t="s">
        <v>1270</v>
      </c>
    </row>
    <row r="23" spans="1:3">
      <c r="C23" s="16" t="s">
        <v>1980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45484b46a277026026ff9b53ca67925b">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52261f3f84922f81c6d5fc67edbfcfe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33DF895-C8C2-4034-92D5-4A329A6250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4CFC36F-C785-487C-BDAB-377B2E5D7609}">
  <ds:schemaRefs>
    <ds:schemaRef ds:uri="http://schemas.microsoft.com/sharepoint/v3/contenttype/forms"/>
  </ds:schemaRefs>
</ds:datastoreItem>
</file>

<file path=customXml/itemProps3.xml><?xml version="1.0" encoding="utf-8"?>
<ds:datastoreItem xmlns:ds="http://schemas.openxmlformats.org/officeDocument/2006/customXml" ds:itemID="{A3BA09AB-5D4C-4291-9AB0-F2D52B0ED70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60</vt:i4>
      </vt:variant>
      <vt:variant>
        <vt:lpstr>Named Ranges</vt:lpstr>
      </vt:variant>
      <vt:variant>
        <vt:i4>37</vt:i4>
      </vt:variant>
    </vt:vector>
  </HeadingPairs>
  <TitlesOfParts>
    <vt:vector size="97" baseType="lpstr">
      <vt:lpstr>_FieldMap</vt:lpstr>
      <vt:lpstr>Copyright</vt:lpstr>
      <vt:lpstr>Automation</vt:lpstr>
      <vt:lpstr>Release</vt:lpstr>
      <vt:lpstr>Guide</vt:lpstr>
      <vt:lpstr>Control</vt:lpstr>
      <vt:lpstr>Emails</vt:lpstr>
      <vt:lpstr>RR</vt:lpstr>
      <vt:lpstr>Agreement 3</vt:lpstr>
      <vt:lpstr>Planning</vt:lpstr>
      <vt:lpstr>MDD Appraisal Tool</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C_LogisticalRequirments</vt:lpstr>
      <vt:lpstr>C_AppraisalConstraints</vt:lpstr>
      <vt:lpstr>C_RiskIdentification</vt:lpstr>
      <vt:lpstr>C_COI</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2026-04-24T09:49:59Z</cp:lastPrinted>
  <dcterms:created xsi:type="dcterms:W3CDTF">2020-09-22T13:41:36Z</dcterms:created>
  <dcterms:modified xsi:type="dcterms:W3CDTF">2026-05-08T06:39:19Z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MediaServiceImageTags">
    <vt:lpwstr/>
  </property>
</Properties>
</file>