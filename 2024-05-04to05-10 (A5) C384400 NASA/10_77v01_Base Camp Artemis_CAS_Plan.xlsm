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3-23to04-29 (A5) C384400 MoonBase\"/>
    </mc:Choice>
  </mc:AlternateContent>
  <xr:revisionPtr revIDLastSave="0" documentId="13_ncr:1_{6470830D-2086-49E5-87D6-B8570E7445B0}" xr6:coauthVersionLast="47" xr6:coauthVersionMax="47" xr10:uidLastSave="{00000000-0000-0000-0000-000000000000}"/>
  <bookViews>
    <workbookView xWindow="-108" yWindow="-108" windowWidth="23256" windowHeight="12456" tabRatio="859" firstSheet="1"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 i="1" l="1"/>
  <c r="B60" i="19" l="1"/>
  <c r="A4" i="75" s="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s="1"/>
  <c r="B31" i="74" s="1"/>
  <c r="B22" i="74"/>
  <c r="B23" i="74"/>
  <c r="B24" i="74"/>
  <c r="B25" i="74"/>
  <c r="B26" i="74"/>
  <c r="B27" i="74"/>
  <c r="B28" i="74"/>
  <c r="B29" i="74"/>
  <c r="B21" i="74"/>
  <c r="B9" i="85"/>
  <c r="B110" i="15"/>
  <c r="B99" i="15"/>
  <c r="B23" i="1"/>
  <c r="B56" i="19" s="1"/>
  <c r="H7" i="85"/>
  <c r="V9" i="85"/>
  <c r="I9" i="85"/>
  <c r="H9" i="85"/>
  <c r="D9" i="85"/>
  <c r="A9" i="85"/>
  <c r="V8" i="85"/>
  <c r="G8" i="85"/>
  <c r="F8" i="85"/>
  <c r="E8" i="85"/>
  <c r="V7" i="85"/>
  <c r="B7" i="85"/>
  <c r="V6" i="85"/>
  <c r="Y6" i="85" s="1"/>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B1" i="74"/>
  <c r="A1" i="82"/>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s="1"/>
  <c r="B8" i="24"/>
  <c r="B21" i="15" s="1"/>
  <c r="B4" i="24"/>
  <c r="B2" i="74" s="1"/>
  <c r="B57" i="19"/>
  <c r="A15" i="52"/>
  <c r="I13" i="52"/>
  <c r="I12" i="52"/>
  <c r="J11" i="52"/>
  <c r="B16" i="47"/>
  <c r="B17" i="47"/>
  <c r="B18" i="47"/>
  <c r="D18" i="44"/>
  <c r="D19" i="44"/>
  <c r="B8" i="44"/>
  <c r="B18" i="44"/>
  <c r="B19" i="44"/>
  <c r="C8" i="44"/>
  <c r="C18" i="44"/>
  <c r="C19" i="44"/>
  <c r="A4" i="44"/>
  <c r="A8" i="44"/>
  <c r="A18" i="44"/>
  <c r="A19" i="44"/>
  <c r="A3" i="44"/>
  <c r="B13" i="47"/>
  <c r="B33" i="47" s="1"/>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A15" i="35"/>
  <c r="E4" i="35"/>
  <c r="E17" i="35"/>
  <c r="E36" i="35"/>
  <c r="E55" i="35"/>
  <c r="E74" i="35"/>
  <c r="E93" i="35"/>
  <c r="B82" i="15"/>
  <c r="B31" i="19"/>
  <c r="B48" i="19"/>
  <c r="B7" i="46" s="1"/>
  <c r="B23" i="15"/>
  <c r="B19" i="15"/>
  <c r="B22" i="15"/>
  <c r="B55" i="24"/>
  <c r="B54" i="24"/>
  <c r="I8" i="85" s="1"/>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83" i="15"/>
  <c r="B20" i="47"/>
  <c r="B42" i="19"/>
  <c r="I3" i="52" s="1"/>
  <c r="J11" i="35"/>
  <c r="C4" i="35"/>
  <c r="C4" i="52"/>
  <c r="C17" i="52"/>
  <c r="C36" i="52"/>
  <c r="C55" i="52"/>
  <c r="C74" i="52"/>
  <c r="C93" i="52"/>
  <c r="M11" i="35"/>
  <c r="D4" i="35"/>
  <c r="D4" i="52"/>
  <c r="D17" i="52"/>
  <c r="D36" i="52"/>
  <c r="D55" i="52"/>
  <c r="D74" i="52"/>
  <c r="D93" i="52"/>
  <c r="B6" i="15"/>
  <c r="A2" i="75"/>
  <c r="I4" i="35"/>
  <c r="C16" i="35" s="1"/>
  <c r="C62" i="15"/>
  <c r="C4" i="44"/>
  <c r="B3" i="44"/>
  <c r="I4" i="52"/>
  <c r="C16" i="52" s="1"/>
  <c r="E4" i="52"/>
  <c r="E17" i="52"/>
  <c r="E36" i="52"/>
  <c r="E55" i="52"/>
  <c r="E74" i="52"/>
  <c r="E93" i="52"/>
  <c r="B4" i="44"/>
  <c r="A22" i="44"/>
  <c r="B47" i="19"/>
  <c r="B21" i="47" s="1"/>
  <c r="B22" i="47"/>
  <c r="G24" i="47" s="1"/>
  <c r="C2" i="15"/>
  <c r="C15" i="15"/>
  <c r="C30" i="15"/>
  <c r="K3" i="35"/>
  <c r="L3" i="35" s="1"/>
  <c r="B81" i="15"/>
  <c r="B66" i="15"/>
  <c r="C17" i="35"/>
  <c r="C36" i="35"/>
  <c r="C55" i="35"/>
  <c r="C74" i="35"/>
  <c r="C93" i="35"/>
  <c r="D17" i="35"/>
  <c r="D36" i="35"/>
  <c r="D55" i="35"/>
  <c r="D74" i="35"/>
  <c r="D93" i="35"/>
  <c r="C5" i="82"/>
  <c r="C4" i="82" s="1"/>
  <c r="B41" i="19"/>
  <c r="A2" i="35" s="1"/>
  <c r="I3" i="35"/>
  <c r="C3" i="35" s="1"/>
  <c r="B2" i="76"/>
  <c r="C2" i="76" s="1"/>
  <c r="D2" i="76" s="1"/>
  <c r="E2" i="76" s="1"/>
  <c r="F2" i="76" s="1"/>
  <c r="G2" i="76" s="1"/>
  <c r="I5" i="52"/>
  <c r="I6" i="52" s="1"/>
  <c r="B51" i="19"/>
  <c r="B53" i="19" s="1"/>
  <c r="B88" i="15" s="1"/>
  <c r="D27" i="47" s="1"/>
  <c r="D28" i="47" s="1"/>
  <c r="D29" i="47" s="1"/>
  <c r="T4" i="82"/>
  <c r="T5" i="82"/>
  <c r="T6" i="82" s="1"/>
  <c r="T7" i="82" s="1"/>
  <c r="T8" i="82" s="1"/>
  <c r="A3" i="82" s="1"/>
  <c r="D5" i="82"/>
  <c r="F5" i="82" s="1"/>
  <c r="D4" i="82"/>
  <c r="E2" i="79" l="1"/>
  <c r="B11" i="24"/>
  <c r="E16" i="79" s="1"/>
  <c r="G23" i="47"/>
  <c r="G27" i="47"/>
  <c r="B87" i="15"/>
  <c r="E3" i="80" s="1"/>
  <c r="E4" i="80" s="1"/>
  <c r="E5" i="80" s="1"/>
  <c r="E6" i="80" s="1"/>
  <c r="E7" i="80" s="1"/>
  <c r="E8" i="80" s="1"/>
  <c r="E9" i="80" s="1"/>
  <c r="E10" i="80" s="1"/>
  <c r="E11" i="80" s="1"/>
  <c r="E12" i="80" s="1"/>
  <c r="E13" i="80" s="1"/>
  <c r="B35" i="19"/>
  <c r="B38" i="19"/>
  <c r="H5" i="82"/>
  <c r="F4" i="82"/>
  <c r="C54" i="52"/>
  <c r="I7" i="52"/>
  <c r="L4" i="35"/>
  <c r="J3" i="35"/>
  <c r="A3" i="35" s="1"/>
  <c r="F3" i="35" s="1"/>
  <c r="C35" i="52"/>
  <c r="A2" i="52"/>
  <c r="I5" i="35"/>
  <c r="B152" i="18"/>
  <c r="B22" i="76"/>
  <c r="C22" i="76" s="1"/>
  <c r="D22" i="76" s="1"/>
  <c r="E22" i="76" s="1"/>
  <c r="F22" i="76" s="1"/>
  <c r="G22" i="76" s="1"/>
  <c r="E5" i="82"/>
  <c r="B15" i="83"/>
  <c r="B24" i="47"/>
  <c r="K3" i="52"/>
  <c r="L3" i="52" s="1"/>
  <c r="B49" i="19"/>
  <c r="B84" i="15" s="1"/>
  <c r="B6" i="19"/>
  <c r="B28" i="24"/>
  <c r="B31" i="24" s="1"/>
  <c r="B8" i="74" s="1"/>
  <c r="B20" i="15"/>
  <c r="B35" i="15"/>
  <c r="B17" i="15"/>
  <c r="B3" i="46"/>
  <c r="B14" i="24"/>
  <c r="B38" i="24" l="1"/>
  <c r="B4" i="74"/>
  <c r="B39" i="19"/>
  <c r="B80" i="18"/>
  <c r="B76" i="18"/>
  <c r="B36" i="19"/>
  <c r="L4" i="52"/>
  <c r="J3" i="52"/>
  <c r="A3" i="52" s="1"/>
  <c r="F3" i="52" s="1"/>
  <c r="I6" i="35"/>
  <c r="C35" i="35"/>
  <c r="J4" i="35"/>
  <c r="A16" i="35" s="1"/>
  <c r="F16" i="35" s="1"/>
  <c r="L5" i="35"/>
  <c r="C3" i="52"/>
  <c r="E4" i="82"/>
  <c r="G5" i="82"/>
  <c r="I8" i="52"/>
  <c r="C73" i="52"/>
  <c r="H4" i="82"/>
  <c r="J5" i="82"/>
  <c r="B70" i="15" l="1"/>
  <c r="B91" i="18"/>
  <c r="B92" i="18" s="1"/>
  <c r="B101" i="18"/>
  <c r="B102" i="18" s="1"/>
  <c r="B74" i="15"/>
  <c r="C34" i="82"/>
  <c r="J5" i="35"/>
  <c r="A35" i="35" s="1"/>
  <c r="F35" i="35" s="1"/>
  <c r="L6" i="35"/>
  <c r="I7" i="35"/>
  <c r="C54" i="35"/>
  <c r="J4" i="82"/>
  <c r="L5" i="82"/>
  <c r="C92" i="52"/>
  <c r="I9" i="52"/>
  <c r="C35" i="82"/>
  <c r="G4" i="82"/>
  <c r="I5" i="82"/>
  <c r="J4" i="52"/>
  <c r="A16" i="52" s="1"/>
  <c r="F16" i="52" s="1"/>
  <c r="L5" i="52"/>
  <c r="B75" i="15" l="1"/>
  <c r="B106" i="15" s="1"/>
  <c r="B105" i="15"/>
  <c r="B94" i="15"/>
  <c r="B71" i="15"/>
  <c r="B95" i="15" s="1"/>
  <c r="K5" i="82"/>
  <c r="I4" i="82"/>
  <c r="C73" i="35"/>
  <c r="I8" i="35"/>
  <c r="L7" i="35"/>
  <c r="J6" i="35"/>
  <c r="A54" i="35" s="1"/>
  <c r="F54" i="35" s="1"/>
  <c r="J5" i="52"/>
  <c r="A35" i="52" s="1"/>
  <c r="F35" i="52" s="1"/>
  <c r="L6" i="52"/>
  <c r="N5" i="82"/>
  <c r="L4" i="82"/>
  <c r="J6" i="52" l="1"/>
  <c r="A54" i="52" s="1"/>
  <c r="F54" i="52" s="1"/>
  <c r="L7" i="52"/>
  <c r="L8" i="35"/>
  <c r="J7" i="35"/>
  <c r="A73" i="35" s="1"/>
  <c r="F73" i="35" s="1"/>
  <c r="N4" i="82"/>
  <c r="P5" i="82"/>
  <c r="P4" i="82" s="1"/>
  <c r="I9" i="35"/>
  <c r="C92" i="35"/>
  <c r="M5" i="82"/>
  <c r="K4" i="82"/>
  <c r="O5" i="82" l="1"/>
  <c r="O4" i="82" s="1"/>
  <c r="M4" i="82"/>
  <c r="J8" i="35"/>
  <c r="A92" i="35" s="1"/>
  <c r="F92" i="35" s="1"/>
  <c r="L9" i="35"/>
  <c r="J9" i="35" s="1"/>
  <c r="L8" i="52"/>
  <c r="J7" i="52"/>
  <c r="A73" i="52" s="1"/>
  <c r="F73" i="52"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<sst xmlns="http://schemas.openxmlformats.org/spreadsheetml/2006/main" count="4612" uniqueCount="1816">
  <si>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</si>
  <si>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</si>
  <si>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</si>
  <si>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</si>
  <si>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</si>
  <si>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</si>
  <si>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</si>
  <si>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</si>
  <si>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</si>
  <si>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</si>
  <si>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</si>
  <si>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</si>
  <si>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</si>
  <si>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</si>
  <si>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</si>
  <si>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</si>
  <si>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</si>
  <si>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</si>
  <si>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</si>
  <si>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</si>
  <si>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</si>
  <si>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</si>
  <si>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</si>
  <si>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</si>
  <si>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</si>
  <si>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</si>
  <si>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</si>
  <si>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</si>
  <si>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</si>
  <si>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</si>
  <si>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</si>
  <si>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</si>
  <si>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</si>
  <si>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</si>
  <si>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</si>
  <si>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</si>
  <si>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</si>
  <si>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</si>
  <si>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</si>
  <si>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</si>
  <si>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</si>
  <si>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</si>
  <si>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</si>
  <si>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</si>
  <si>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</si>
  <si>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</si>
  <si>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</si>
  <si>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</si>
  <si>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</si>
  <si>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</si>
  <si>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</si>
  <si>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</si>
  <si>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</si>
  <si>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</si>
  <si>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</si>
  <si>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</si>
  <si>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</si>
  <si>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</si>
  <si>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</si>
  <si>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</si>
  <si>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</si>
  <si>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</si>
  <si>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</si>
  <si>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</si>
  <si>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</si>
  <si>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</si>
  <si>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</si>
  <si>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</si>
  <si>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</si>
  <si>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</si>
  <si>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</si>
  <si>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</si>
  <si>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</si>
  <si>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</si>
  <si>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</si>
  <si>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</si>
  <si>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</si>
  <si>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</si>
  <si>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</si>
  <si>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</si>
  <si>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</si>
  <si>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</si>
  <si>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</si>
  <si>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</si>
  <si>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</si>
  <si>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</si>
  <si>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</si>
  <si>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</si>
  <si>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</si>
  <si>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</si>
  <si>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</si>
  <si>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</si>
  <si>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</si>
  <si>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</si>
  <si>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</si>
  <si>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</si>
  <si>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</si>
  <si>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</si>
  <si>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</si>
  <si>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</si>
  <si>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</si>
  <si>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</si>
  <si>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</si>
  <si>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</si>
  <si>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</si>
  <si>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</si>
  <si>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</si>
  <si>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</si>
  <si>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</si>
  <si>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</si>
  <si>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</si>
  <si>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</si>
  <si>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</si>
  <si>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</si>
  <si>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</si>
  <si>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</si>
  <si>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</si>
  <si>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</si>
  <si>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</si>
  <si>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</si>
  <si>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</si>
  <si>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</si>
  <si>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</si>
  <si>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</si>
  <si>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</si>
  <si>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</si>
  <si>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</si>
  <si>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</si>
  <si>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</si>
  <si>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</si>
  <si>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</si>
  <si>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</si>
  <si>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</si>
  <si>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</si>
  <si>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</si>
  <si>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</si>
  <si>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</si>
  <si>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</si>
  <si>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</si>
  <si>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</si>
  <si>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</si>
  <si>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</si>
  <si>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</si>
  <si>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</si>
  <si>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</si>
  <si>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</si>
  <si>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</si>
  <si>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</si>
  <si>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</si>
  <si>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</si>
  <si>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</si>
  <si>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</si>
  <si>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</si>
  <si>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</si>
  <si>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</si>
  <si>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</si>
  <si>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</si>
  <si>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</si>
  <si>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</si>
  <si>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</si>
  <si>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</si>
  <si>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</si>
  <si>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</si>
  <si>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</si>
  <si>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</si>
  <si>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</si>
  <si>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</si>
  <si>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</si>
  <si>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</si>
  <si>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</si>
  <si>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</si>
  <si>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</si>
  <si>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</si>
  <si>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</si>
  <si>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</si>
  <si>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</si>
  <si>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</si>
  <si>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</si>
  <si>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</si>
  <si>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</si>
  <si>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</si>
  <si>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</si>
  <si>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</si>
  <si>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</si>
  <si>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</si>
  <si>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</si>
  <si>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</si>
  <si>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</si>
  <si>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</si>
  <si>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</si>
  <si>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</si>
  <si>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</si>
  <si>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</si>
  <si>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</si>
  <si>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</si>
  <si>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</si>
  <si>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</si>
  <si>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</si>
  <si>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</si>
  <si>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</si>
  <si>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</si>
  <si>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</si>
  <si>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</si>
  <si>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</si>
  <si>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</si>
  <si>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</si>
  <si>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</si>
  <si>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</si>
  <si>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</si>
  <si>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</si>
  <si>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</si>
  <si>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</si>
  <si>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</si>
  <si>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</si>
  <si>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</si>
  <si>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</si>
  <si>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</si>
  <si>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</si>
  <si>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</si>
  <si>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</si>
  <si>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</si>
  <si>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</si>
  <si>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</si>
  <si>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</si>
  <si>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</si>
  <si>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</si>
  <si>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</si>
  <si>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</si>
  <si>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</si>
  <si>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</si>
  <si>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</si>
  <si>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</si>
  <si>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</si>
  <si>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</si>
  <si>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</si>
  <si>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</si>
  <si>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</si>
  <si>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</si>
  <si>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</si>
  <si>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</si>
  <si>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</si>
  <si>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</si>
  <si>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</si>
  <si>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</si>
  <si>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</si>
  <si>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</si>
  <si>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</si>
  <si>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</si>
  <si>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</si>
  <si>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</si>
  <si>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</si>
  <si>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</si>
  <si>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</si>
  <si>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</si>
  <si>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</si>
  <si>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</si>
  <si>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</si>
  <si>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</si>
  <si>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</si>
  <si>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</si>
  <si>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</si>
  <si>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</si>
  <si>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</si>
  <si>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</si>
  <si>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</si>
  <si>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</si>
  <si>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</si>
  <si>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</si>
  <si>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</si>
  <si>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</si>
  <si>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</si>
  <si>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</si>
  <si>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</si>
  <si>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</si>
  <si>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</si>
  <si>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</si>
  <si>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</si>
  <si>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</si>
  <si>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</si>
  <si>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</si>
  <si>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</si>
  <si>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</si>
  <si>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</si>
  <si>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</si>
  <si>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</si>
  <si>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</si>
  <si>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</si>
  <si>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</si>
  <si>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</si>
  <si>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</si>
  <si>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</si>
  <si>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</si>
  <si>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</si>
  <si>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</si>
  <si>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</si>
  <si>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</si>
  <si>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</si>
  <si>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</si>
  <si>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</si>
  <si>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</si>
  <si>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</si>
  <si>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</si>
  <si>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</si>
  <si>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</si>
  <si>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</si>
  <si>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</si>
  <si>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</si>
  <si>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</si>
  <si>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</si>
  <si>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</si>
  <si>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</si>
  <si>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</si>
  <si>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</si>
  <si>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</si>
  <si>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</si>
  <si>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</si>
  <si>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</si>
  <si>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</si>
  <si>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</si>
  <si>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</si>
  <si>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</si>
  <si>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</si>
  <si>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</si>
  <si>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</si>
  <si>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</si>
  <si>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</si>
  <si>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</si>
  <si>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</si>
  <si>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</si>
  <si>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</si>
  <si>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</si>
  <si>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</si>
  <si>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</si>
  <si>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</si>
  <si>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</si>
  <si>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</si>
  <si>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</si>
  <si>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</si>
  <si>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</si>
  <si>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</si>
  <si>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</si>
  <si>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</si>
  <si>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</si>
  <si>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</si>
  <si>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</si>
  <si>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</si>
  <si>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</si>
  <si>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</si>
  <si>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</si>
  <si>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</si>
  <si>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</si>
  <si>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</si>
  <si>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</si>
  <si>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</si>
  <si>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</si>
  <si>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</si>
  <si>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</si>
  <si>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</si>
  <si>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</si>
  <si>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</si>
  <si>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</si>
  <si>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</si>
  <si>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</si>
  <si>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</si>
  <si>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</si>
  <si>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</si>
  <si>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</si>
  <si>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</si>
  <si>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</si>
  <si>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</si>
  <si>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</si>
  <si>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</si>
  <si>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</si>
  <si>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</si>
  <si>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</si>
  <si>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</si>
  <si>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</si>
  <si>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</si>
  <si>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</si>
  <si>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</si>
  <si>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</si>
  <si>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</si>
  <si>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</si>
  <si>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</si>
  <si>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</si>
  <si>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</si>
  <si>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</si>
  <si>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</si>
  <si>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</si>
  <si>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</si>
  <si>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</si>
  <si>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</si>
  <si>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</si>
  <si>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</si>
  <si>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</si>
  <si>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</si>
  <si>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</si>
  <si>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</si>
  <si>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</si>
  <si>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</si>
  <si>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</si>
  <si>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</si>
  <si>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</si>
  <si>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</si>
  <si>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</si>
  <si>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</si>
  <si>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</si>
  <si>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</si>
  <si>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</si>
  <si>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</si>
  <si>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</si>
  <si>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</si>
  <si>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</si>
  <si>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</si>
  <si>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</si>
  <si>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</si>
  <si>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</si>
  <si>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</si>
  <si>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</si>
  <si>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</si>
  <si>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</si>
  <si>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</si>
  <si>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</si>
  <si>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</si>
  <si>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</si>
  <si>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</si>
  <si>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</si>
  <si>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</si>
  <si>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</si>
  <si>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</si>
  <si>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</si>
  <si>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</si>
  <si>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</si>
  <si>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</si>
  <si>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</si>
  <si>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</si>
  <si>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</si>
  <si>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</si>
  <si>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</si>
  <si>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</si>
  <si>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</si>
  <si>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</si>
  <si>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</si>
  <si>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</si>
  <si>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</si>
  <si>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</si>
  <si>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</si>
  <si>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</si>
  <si>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</si>
  <si>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</si>
  <si>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</si>
  <si>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</si>
  <si>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</si>
  <si>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</si>
  <si>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</si>
  <si>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</si>
  <si>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</si>
  <si>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</si>
  <si>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</si>
  <si>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</si>
  <si>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</si>
  <si>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</si>
  <si>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</si>
  <si>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</si>
  <si>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</si>
  <si>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</si>
  <si>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</si>
  <si>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</si>
  <si>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</si>
  <si>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</si>
  <si>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</si>
  <si>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</si>
  <si>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</si>
  <si>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</si>
  <si>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</si>
  <si>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</si>
  <si>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</si>
  <si>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</si>
  <si>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</si>
  <si>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</si>
  <si>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</si>
  <si>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</si>
  <si>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</si>
  <si>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</si>
  <si>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</si>
  <si>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</si>
  <si>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</si>
  <si>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</si>
  <si>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</si>
  <si>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</si>
  <si>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</si>
  <si>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</si>
  <si>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</si>
  <si>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</si>
  <si>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</si>
  <si>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</si>
  <si>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</si>
  <si>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</si>
  <si>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</si>
  <si>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</si>
  <si>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</si>
  <si>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</si>
  <si>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</si>
  <si>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</si>
  <si>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</si>
  <si>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</si>
  <si>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</si>
  <si>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</si>
  <si>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</si>
  <si>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</si>
  <si>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</si>
  <si>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</si>
  <si>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</si>
  <si>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</si>
  <si>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</si>
  <si>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</si>
  <si>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</si>
  <si>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</si>
  <si>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</si>
  <si>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</si>
  <si>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</si>
  <si>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</si>
  <si>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</si>
  <si>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</si>
  <si>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</si>
  <si>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</si>
  <si>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</si>
  <si>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</si>
  <si>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</si>
  <si>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</si>
  <si>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</si>
  <si>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</si>
  <si>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</si>
  <si>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</si>
  <si>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</si>
  <si>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</si>
  <si>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</si>
  <si>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</si>
  <si>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</si>
  <si>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</si>
  <si>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</si>
  <si>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</si>
  <si>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</si>
  <si>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</si>
  <si>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</si>
  <si>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</si>
  <si>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</si>
  <si>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</si>
  <si>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</si>
  <si>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</si>
  <si>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</si>
  <si>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</si>
  <si>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</si>
  <si>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</si>
  <si>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</si>
  <si>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</si>
  <si>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</si>
  <si>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</si>
  <si>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</si>
  <si>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</si>
  <si>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</si>
  <si>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</si>
  <si>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</si>
  <si>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</si>
  <si>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</si>
  <si>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</si>
  <si>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</si>
  <si>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</si>
  <si>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</si>
  <si>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</si>
  <si>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</si>
  <si>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</si>
  <si>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</si>
  <si>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</si>
  <si>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</si>
  <si>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</si>
  <si>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</si>
  <si>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</si>
  <si>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</si>
  <si>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</si>
  <si>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</si>
  <si>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</si>
  <si>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</si>
  <si>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</si>
  <si>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</si>
  <si>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</si>
  <si>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</si>
  <si>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</si>
  <si>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</si>
  <si>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</si>
  <si>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</si>
  <si>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</si>
  <si>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</si>
  <si>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</si>
  <si>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</si>
  <si>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</si>
  <si>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</si>
  <si>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</si>
  <si>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</si>
  <si>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</si>
  <si>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</si>
  <si>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</si>
  <si>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</si>
  <si>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</si>
  <si>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</si>
  <si>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</si>
  <si>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</si>
  <si>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</si>
  <si>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</si>
  <si>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</si>
  <si>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</si>
  <si>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</si>
  <si>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</si>
  <si>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</si>
  <si>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</si>
  <si>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</si>
  <si>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</si>
  <si>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</si>
  <si>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</si>
  <si>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</si>
  <si>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</si>
  <si>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</si>
  <si>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</si>
  <si>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</si>
  <si>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</si>
  <si>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</si>
  <si>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</si>
  <si>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</si>
  <si>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</si>
  <si>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</si>
  <si>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</si>
  <si>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</si>
  <si>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</si>
  <si>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</si>
  <si>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</si>
  <si>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</si>
  <si>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</si>
  <si>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</si>
  <si>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</si>
  <si>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</si>
  <si>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</si>
  <si>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</si>
  <si>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</si>
  <si>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</si>
  <si>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</si>
  <si>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</si>
  <si>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</si>
  <si>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</si>
  <si>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</si>
  <si>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</si>
  <si>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</si>
  <si>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</si>
  <si>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</si>
  <si>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</si>
  <si>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</si>
  <si>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</si>
  <si>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</si>
  <si>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</si>
  <si>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</si>
  <si>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</si>
  <si>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</si>
  <si>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</si>
  <si>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</si>
  <si>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</si>
  <si>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</si>
  <si>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</si>
  <si>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</si>
  <si>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</si>
  <si>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</si>
  <si>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</si>
  <si>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</si>
  <si>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</si>
  <si>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</si>
  <si>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</si>
  <si>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</si>
  <si>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</si>
  <si>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</si>
  <si>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</si>
  <si>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</si>
  <si>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</si>
  <si>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</si>
  <si>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</si>
  <si>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</si>
  <si>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</si>
  <si>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</si>
  <si>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</si>
  <si>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</si>
  <si>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</si>
  <si>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</si>
  <si>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</si>
  <si>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</si>
  <si>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</si>
  <si>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</si>
  <si>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</si>
  <si>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</si>
  <si>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</si>
  <si>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</si>
  <si>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</si>
  <si>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</si>
  <si>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</si>
  <si>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</si>
  <si>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</si>
  <si>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</si>
  <si>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</si>
  <si>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</si>
  <si>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</si>
  <si>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</si>
  <si>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</si>
  <si>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</si>
  <si>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</si>
  <si>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</si>
  <si>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</si>
  <si>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</si>
  <si>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</si>
  <si>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</si>
  <si>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</si>
  <si>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</si>
  <si>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</si>
  <si>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</si>
  <si>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</si>
  <si>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</si>
  <si>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</si>
  <si>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</si>
  <si>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</si>
  <si>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</si>
  <si>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</si>
  <si>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</si>
  <si>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</si>
  <si>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</si>
  <si>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</si>
  <si>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</si>
  <si>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</si>
  <si>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</si>
  <si>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</si>
  <si>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</si>
  <si>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</si>
  <si>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</si>
  <si>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</si>
  <si>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</si>
  <si>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</si>
  <si>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</si>
  <si>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</si>
  <si>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</si>
  <si>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</si>
  <si>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</si>
  <si>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</si>
  <si>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</si>
  <si>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</si>
  <si>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</si>
  <si>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</si>
  <si>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</si>
  <si>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</si>
  <si>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</si>
  <si>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</si>
  <si>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</si>
  <si>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</si>
  <si>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</si>
  <si>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</si>
  <si>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</si>
  <si>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</si>
  <si>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</si>
  <si>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</si>
  <si>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</si>
  <si>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</si>
  <si>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</si>
  <si>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</si>
  <si>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</si>
  <si>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</si>
  <si>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</si>
  <si>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</si>
  <si>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</si>
  <si>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</si>
  <si>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</si>
  <si>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</si>
  <si>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</si>
  <si>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</si>
  <si>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</si>
  <si>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</si>
  <si>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</si>
  <si>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</si>
  <si>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</si>
  <si>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</si>
  <si>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</si>
  <si>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</si>
  <si>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</si>
  <si>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</si>
  <si>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</si>
  <si>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</si>
  <si>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</si>
  <si>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</si>
  <si>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</si>
  <si>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</si>
  <si>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</si>
  <si>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</si>
  <si>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</si>
  <si>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</si>
  <si>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</si>
  <si>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</si>
  <si>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</si>
  <si>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</si>
  <si>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</si>
  <si>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</si>
  <si>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</si>
  <si>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</si>
  <si>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</si>
  <si>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</si>
  <si>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</si>
  <si>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</si>
  <si>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</si>
  <si>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</si>
  <si>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</si>
  <si>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</si>
  <si>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</si>
  <si>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</si>
  <si>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</si>
  <si>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</si>
  <si>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</si>
  <si>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</si>
  <si>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</si>
  <si>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</si>
  <si>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</si>
  <si>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</si>
  <si>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</si>
  <si>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</si>
  <si>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</si>
  <si>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</si>
  <si>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</si>
  <si>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</si>
  <si>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</si>
  <si>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</si>
  <si>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</si>
  <si>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</si>
  <si>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</si>
  <si>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</si>
  <si>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</si>
  <si>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</si>
  <si>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</si>
  <si>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</si>
  <si>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</si>
  <si>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</si>
  <si>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</si>
  <si>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</si>
  <si>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</si>
  <si>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</si>
  <si>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</si>
  <si>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</si>
  <si>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</si>
  <si>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</si>
  <si>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</si>
  <si>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</si>
  <si>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</si>
  <si>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</si>
  <si>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</si>
  <si>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</si>
  <si>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</si>
  <si>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</si>
  <si>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</si>
  <si>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</si>
  <si>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</si>
  <si>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</si>
  <si>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</si>
  <si>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</si>
  <si>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</si>
  <si>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</si>
  <si>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</si>
  <si>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</si>
  <si>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</si>
  <si>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</si>
  <si>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</si>
  <si>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</si>
  <si>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</si>
  <si>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</si>
  <si>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</si>
  <si>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</si>
  <si>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</si>
  <si>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</si>
  <si>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</si>
  <si>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</si>
  <si>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</si>
  <si>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</si>
  <si>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</si>
  <si>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</si>
  <si>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</si>
  <si>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</si>
  <si>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</si>
  <si>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</si>
  <si>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</si>
  <si>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</si>
  <si>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</si>
  <si>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</si>
  <si>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</si>
  <si>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</si>
  <si>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</si>
  <si>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</si>
  <si>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</si>
  <si>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</si>
  <si>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</si>
  <si>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</si>
  <si>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</si>
  <si>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</si>
  <si>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</si>
  <si>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</si>
  <si>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</si>
  <si>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</si>
  <si>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</si>
  <si>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</si>
  <si>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</si>
  <si>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</si>
  <si>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</si>
  <si>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</si>
  <si>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</si>
  <si>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</si>
  <si>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</si>
  <si>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</si>
  <si>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</si>
  <si>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</si>
  <si>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</si>
  <si>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</si>
  <si>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</si>
  <si>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</si>
  <si>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</si>
  <si>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</si>
  <si>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</si>
  <si>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</si>
  <si>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</si>
  <si>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</si>
  <si>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</si>
  <si>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</si>
  <si>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</si>
  <si>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</si>
  <si>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</si>
  <si>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</si>
  <si>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</si>
  <si>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</si>
  <si>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</si>
  <si>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</si>
  <si>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</si>
  <si>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</si>
  <si>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</si>
  <si>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</si>
  <si>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</si>
  <si>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</si>
  <si>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</si>
  <si>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</si>
  <si>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</si>
  <si>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</si>
  <si>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</si>
  <si>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</si>
  <si>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</si>
  <si>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</si>
  <si>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</si>
  <si>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</si>
  <si>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</si>
  <si>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</si>
  <si>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</si>
  <si>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</si>
  <si>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</si>
  <si>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</si>
  <si>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</si>
  <si>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</si>
  <si>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</si>
  <si>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</si>
  <si>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</si>
  <si>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</si>
  <si>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</si>
  <si>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</si>
  <si>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</si>
  <si>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</si>
  <si>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</si>
  <si>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</si>
  <si>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</si>
  <si>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</si>
  <si>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</si>
  <si>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</si>
  <si>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</si>
  <si>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</si>
  <si>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</si>
  <si>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</si>
  <si>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</si>
  <si>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</si>
  <si>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</si>
  <si>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</si>
  <si>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</si>
  <si>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</si>
  <si>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</si>
  <si>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</si>
  <si>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</si>
  <si>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</si>
  <si>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</si>
  <si>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</si>
  <si>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</si>
  <si>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</si>
  <si>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</si>
  <si>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</si>
  <si>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</si>
  <si>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</si>
  <si>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</si>
  <si>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</si>
  <si>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</si>
  <si>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</si>
  <si>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</si>
  <si>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</si>
  <si>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</si>
  <si>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</si>
  <si>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</si>
  <si>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</si>
  <si>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</si>
  <si>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</si>
  <si>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</si>
  <si>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</si>
  <si>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</si>
  <si>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</si>
  <si>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</si>
  <si>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</si>
  <si>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</si>
  <si>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</si>
  <si>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</si>
  <si>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</si>
  <si>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</si>
  <si>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</si>
  <si>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</si>
  <si>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</si>
  <si>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</si>
  <si>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</si>
  <si>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</si>
  <si>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</si>
  <si>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</si>
  <si>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</si>
  <si>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</si>
  <si>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</si>
  <si>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</si>
  <si>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</si>
  <si>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</si>
  <si>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</si>
  <si>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</si>
  <si>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</si>
  <si>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</si>
  <si>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</si>
  <si>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</si>
  <si>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</si>
  <si>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</si>
  <si>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</si>
  <si>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</si>
  <si>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</si>
  <si>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</si>
  <si>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</si>
  <si>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</si>
  <si>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</si>
  <si>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</si>
  <si>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</si>
  <si>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</si>
  <si>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</si>
  <si>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</si>
  <si>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</si>
  <si>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</si>
  <si>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</si>
  <si>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</si>
  <si>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</si>
  <si>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</si>
  <si>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</si>
  <si>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</si>
  <si>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</si>
  <si>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</si>
  <si>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</si>
  <si>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</si>
  <si>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</si>
  <si>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</si>
  <si>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</si>
  <si>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</si>
  <si>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</si>
  <si>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</si>
  <si>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</si>
  <si>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</si>
  <si>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</si>
  <si>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</si>
  <si>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</si>
  <si>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</si>
  <si>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</si>
  <si>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</si>
  <si>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</si>
  <si>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</si>
  <si>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</si>
  <si>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</si>
  <si>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</si>
  <si>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</si>
  <si>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</si>
  <si>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</si>
  <si>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</si>
  <si>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</si>
  <si>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</si>
  <si>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</si>
  <si>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</si>
  <si>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</si>
  <si>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</si>
  <si>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</si>
  <si>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</si>
  <si>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</si>
  <si>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</si>
  <si>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</si>
  <si>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</si>
  <si>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</si>
  <si>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</si>
  <si>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</si>
  <si>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</si>
  <si>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</si>
  <si>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</si>
  <si>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</si>
  <si>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</si>
  <si>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</si>
  <si>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</si>
  <si>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</si>
  <si>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</si>
  <si>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</si>
  <si>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</si>
  <si>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</si>
  <si>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</si>
  <si>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</si>
  <si>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</si>
  <si>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</si>
  <si>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</si>
  <si>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</si>
  <si>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</si>
  <si>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</si>
  <si>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</si>
  <si>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</si>
  <si>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</si>
  <si>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</si>
  <si>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</si>
  <si>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</si>
  <si>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</si>
  <si>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</si>
  <si>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</si>
  <si>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</si>
  <si>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</si>
  <si>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</si>
  <si>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</si>
  <si>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</si>
  <si>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</si>
  <si>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</si>
  <si>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</si>
  <si>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</si>
  <si>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</si>
  <si>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</si>
  <si>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</si>
  <si>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</si>
  <si>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</si>
  <si>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</si>
  <si>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</si>
  <si>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</si>
  <si>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</si>
  <si>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</si>
  <si>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</si>
  <si>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</si>
  <si>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</si>
  <si>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</si>
  <si>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</si>
  <si>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</si>
  <si>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</si>
  <si>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</si>
  <si>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</si>
  <si>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</si>
  <si>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</si>
  <si>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</si>
  <si>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</si>
  <si>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</si>
  <si>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</si>
  <si>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</si>
  <si>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</si>
  <si>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</si>
  <si>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</si>
  <si>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</si>
  <si>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</si>
  <si>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</si>
  <si>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</si>
  <si>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</si>
  <si>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</si>
  <si>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</si>
  <si>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</si>
  <si>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</si>
  <si>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</si>
  <si>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</si>
  <si>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</si>
  <si>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</si>
  <si>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</si>
  <si>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</si>
  <si>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</si>
  <si>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</si>
  <si>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</si>
  <si>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</si>
  <si>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</si>
  <si>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</si>
  <si>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</si>
  <si>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</si>
  <si>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</si>
  <si>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</si>
  <si>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</si>
  <si>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</si>
  <si>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</si>
  <si>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</si>
  <si>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</si>
  <si>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</si>
  <si>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</si>
  <si>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</si>
  <si>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</si>
  <si>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</si>
  <si>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</si>
  <si>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</si>
  <si>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</si>
  <si>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</si>
  <si>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</si>
  <si>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</si>
  <si>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</si>
  <si>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</si>
  <si>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</si>
  <si>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</si>
  <si>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</si>
  <si>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</si>
  <si>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</si>
  <si>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</si>
  <si>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</si>
  <si>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</si>
  <si>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</si>
  <si>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</si>
  <si>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</si>
  <si>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</si>
  <si>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</si>
  <si>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</si>
  <si>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</si>
  <si>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</si>
  <si>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</si>
  <si>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</si>
  <si>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</si>
  <si>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</si>
  <si>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</si>
  <si>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</si>
  <si>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</si>
  <si>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</si>
  <si>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</si>
  <si>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</si>
  <si>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</si>
  <si>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</si>
  <si>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</si>
  <si>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</si>
  <si>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</si>
  <si>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</si>
  <si>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</si>
  <si>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</si>
  <si>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</si>
  <si>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</si>
  <si>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</si>
  <si>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</si>
  <si>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</si>
  <si>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</si>
  <si>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</si>
  <si>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</si>
  <si>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</si>
  <si>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</si>
  <si>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</si>
  <si>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</si>
  <si>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</si>
  <si>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</si>
  <si>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</si>
  <si>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</si>
  <si>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</si>
  <si>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</si>
  <si>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</si>
  <si>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</si>
  <si>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</si>
  <si>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</si>
  <si>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</si>
  <si>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</si>
  <si>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</si>
  <si>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</si>
  <si>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</si>
  <si>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</si>
  <si>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</si>
  <si>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</si>
  <si>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</si>
  <si>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</si>
  <si>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</si>
  <si>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</si>
  <si>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</si>
  <si>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</si>
  <si>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</si>
  <si>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</si>
  <si>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</si>
  <si>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</si>
  <si>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</si>
  <si>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</si>
  <si>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</si>
  <si>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</si>
  <si>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</si>
  <si>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</si>
  <si>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</si>
  <si>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</si>
  <si>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</si>
  <si>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</si>
  <si>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</si>
  <si>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</si>
  <si>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</si>
  <si>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</si>
  <si>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</si>
  <si>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</si>
  <si>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</si>
  <si>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</si>
  <si>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</si>
  <si>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</si>
  <si>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</si>
  <si>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</si>
  <si>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</si>
  <si>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</si>
  <si>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</si>
  <si>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</si>
  <si>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</si>
  <si>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</si>
  <si>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</si>
  <si>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</si>
  <si>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</si>
  <si>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</si>
  <si>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</si>
  <si>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</si>
  <si>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</si>
  <si>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</si>
  <si>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</si>
  <si>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</si>
  <si>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</si>
  <si>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</si>
  <si>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</si>
  <si>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</si>
  <si>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</si>
  <si>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</si>
  <si>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</si>
  <si>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</si>
  <si>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</si>
  <si>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</si>
  <si>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</si>
  <si>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</si>
  <si>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</si>
  <si>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</si>
  <si>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</si>
  <si>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</si>
  <si>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</si>
  <si>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</si>
  <si>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</si>
  <si>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</si>
  <si>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</si>
  <si>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</si>
  <si>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</si>
  <si>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</si>
  <si>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</si>
  <si>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</si>
  <si>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</si>
  <si>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</si>
  <si>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</si>
  <si>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</si>
  <si>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</si>
  <si>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</si>
  <si>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</si>
  <si>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</si>
  <si>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</si>
  <si>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</si>
  <si>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</si>
  <si>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</si>
  <si>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</si>
  <si>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</si>
  <si>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</si>
  <si>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</si>
  <si>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</si>
  <si>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</si>
  <si>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</si>
  <si>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</si>
  <si>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</si>
  <si>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</si>
  <si>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</si>
  <si>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</si>
  <si>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</si>
  <si>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</si>
  <si>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</si>
  <si>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</si>
  <si>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</si>
  <si>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</si>
  <si>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</si>
  <si>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</si>
  <si>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</si>
  <si>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</si>
  <si>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</si>
  <si>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</si>
  <si>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</si>
  <si>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</si>
  <si>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</si>
  <si>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</si>
  <si>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</si>
  <si>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</si>
  <si>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</si>
  <si>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</si>
  <si>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</si>
  <si>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</si>
  <si>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</si>
  <si>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</si>
  <si>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</si>
  <si>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</si>
  <si>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</si>
  <si>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</si>
  <si>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</si>
  <si>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</si>
  <si>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</si>
  <si>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</si>
  <si>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</si>
  <si>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</si>
  <si>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</si>
  <si>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</si>
  <si>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</si>
  <si>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</si>
  <si>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</si>
  <si>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</si>
  <si>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</si>
  <si>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</si>
  <si>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</si>
  <si>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</si>
  <si>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</si>
  <si>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</si>
  <si>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</si>
  <si>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</si>
  <si>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</si>
  <si>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</si>
  <si>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</si>
  <si>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</si>
  <si>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</si>
  <si>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</si>
  <si>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</si>
  <si>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</si>
  <si>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</si>
  <si>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</si>
  <si>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</si>
  <si>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</si>
  <si>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</si>
  <si>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</si>
  <si>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</si>
  <si>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</si>
  <si>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</si>
  <si>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</si>
  <si>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</si>
  <si>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</si>
  <si>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</si>
  <si>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</si>
  <si>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</si>
  <si>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</si>
  <si>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</si>
  <si>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</si>
  <si>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</si>
  <si>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</si>
  <si>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</si>
  <si>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</si>
  <si>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</si>
  <si>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</si>
  <si>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</si>
  <si>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</si>
  <si>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</si>
  <si>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</si>
  <si>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</si>
  <si>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</si>
  <si>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</si>
  <si>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</si>
  <si>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</si>
  <si>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</si>
  <si>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</si>
  <si>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</si>
  <si>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</si>
  <si>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</si>
  <si>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</si>
  <si>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</si>
  <si>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</si>
  <si>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</si>
  <si>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</si>
  <si>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</si>
  <si>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</si>
  <si>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</si>
  <si>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+0000 1111 3333</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</si>
  <si>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</si>
  <si>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</si>
  <si>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</si>
  <si>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</si>
  <si>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</si>
  <si>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</si>
  <si>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</si>
  <si>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</si>
  <si>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</si>
  <si>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</si>
  <si>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</si>
  <si>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</si>
  <si>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</si>
  <si>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</si>
  <si>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</si>
  <si>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</si>
  <si>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</si>
  <si>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</si>
  <si>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</si>
  <si>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</si>
  <si>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</si>
  <si>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</si>
  <si>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</si>
  <si>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</si>
  <si>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</si>
  <si>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</si>
  <si>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</si>
  <si>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</si>
  <si>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</si>
  <si>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</si>
  <si>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</si>
  <si>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</si>
  <si>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</si>
  <si>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</si>
  <si>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</si>
  <si>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</si>
  <si>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</si>
  <si>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</si>
  <si>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</si>
  <si>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</si>
  <si>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</si>
  <si>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</si>
  <si>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</si>
  <si>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</si>
  <si>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</si>
  <si>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</si>
  <si>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</si>
  <si>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</si>
  <si>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</si>
  <si>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</si>
  <si>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</si>
  <si>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</si>
  <si>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</si>
  <si>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</si>
  <si>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</si>
  <si>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</si>
  <si>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</si>
  <si>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</si>
  <si>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</si>
  <si>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</si>
  <si>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</si>
  <si>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</si>
  <si>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</si>
  <si>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</si>
  <si>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</si>
  <si>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</si>
  <si>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</si>
  <si>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</si>
  <si>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</si>
  <si>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</si>
  <si>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</si>
  <si>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</si>
  <si>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</si>
  <si>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</si>
  <si>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</si>
  <si>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</si>
  <si>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</si>
  <si>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</si>
  <si>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</si>
  <si>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</si>
  <si>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</si>
  <si>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</si>
  <si>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</si>
  <si>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</si>
  <si>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</si>
  <si>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</si>
  <si>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</si>
  <si>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</si>
  <si>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</si>
  <si>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</si>
  <si>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</si>
  <si>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</si>
  <si>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</si>
  <si>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</si>
  <si>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</si>
  <si>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</si>
  <si>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</si>
  <si>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</si>
  <si>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</si>
  <si>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</si>
  <si>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</si>
  <si>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</si>
  <si>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</si>
  <si>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</si>
  <si>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</si>
  <si>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</si>
  <si>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</si>
  <si>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</si>
  <si>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</si>
  <si>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</si>
  <si>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</si>
  <si>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</si>
  <si>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</si>
  <si>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</si>
  <si>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</si>
  <si>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</si>
  <si>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</si>
  <si>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</si>
  <si>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</si>
  <si>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</si>
  <si>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</si>
  <si>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</si>
  <si>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</si>
  <si>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</si>
  <si>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</si>
  <si>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</si>
  <si>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</si>
  <si>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</si>
  <si>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</si>
  <si>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</si>
  <si>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</si>
  <si>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</si>
  <si>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</si>
  <si>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</si>
  <si>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</si>
  <si>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</si>
  <si>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</si>
  <si>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</si>
  <si>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</si>
  <si>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</si>
  <si>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</si>
  <si>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</si>
  <si>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</si>
  <si>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</si>
  <si>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</si>
  <si>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</si>
  <si>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</si>
  <si>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</si>
  <si>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</si>
  <si>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</si>
  <si>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</si>
  <si>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</si>
  <si>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</si>
  <si>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</si>
  <si>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</si>
  <si>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</si>
  <si>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</si>
  <si>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</si>
  <si>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</si>
  <si>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</si>
  <si>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</si>
  <si>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</si>
  <si>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</si>
  <si>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</si>
  <si>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</si>
  <si>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</si>
  <si>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</si>
  <si>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</si>
  <si>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</si>
  <si>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</si>
  <si>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</si>
  <si>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</si>
  <si>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</si>
  <si>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</si>
  <si>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</si>
  <si>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</si>
  <si>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</si>
  <si>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</si>
  <si>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</si>
  <si>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</si>
  <si>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</si>
  <si>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</si>
  <si>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</si>
  <si>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</si>
  <si>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</si>
  <si>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</si>
  <si>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</si>
  <si>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</si>
  <si>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</si>
  <si>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</si>
  <si>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</si>
  <si>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</si>
  <si>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</si>
  <si>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</si>
  <si>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</si>
  <si>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</si>
  <si>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</si>
  <si>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</si>
  <si>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</si>
  <si>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</si>
  <si>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</si>
  <si>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</si>
  <si>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</si>
  <si>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</si>
  <si>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</si>
  <si>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</si>
  <si>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</si>
  <si>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</si>
  <si>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</si>
  <si>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</si>
  <si>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</si>
  <si>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</si>
  <si>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</si>
  <si>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</si>
  <si>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</si>
  <si>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</si>
  <si>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</si>
  <si>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</si>
  <si>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</si>
  <si>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</si>
  <si>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</si>
  <si>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</si>
  <si>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</si>
  <si>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</si>
  <si>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</si>
  <si>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</si>
  <si>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</si>
  <si>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</si>
  <si>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</si>
  <si>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</si>
  <si>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</si>
  <si>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</si>
  <si>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</si>
  <si>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</si>
  <si>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</si>
  <si>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</si>
  <si>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</si>
  <si>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</si>
  <si>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</si>
  <si>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</si>
  <si>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</si>
  <si>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</si>
  <si>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</si>
  <si>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</si>
  <si>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</si>
  <si>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</si>
  <si>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</si>
  <si>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</si>
  <si>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</si>
  <si>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</si>
  <si>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</si>
  <si>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</si>
  <si>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</si>
  <si>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</si>
  <si>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</si>
  <si>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</si>
  <si>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</si>
  <si>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</si>
  <si>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</si>
  <si>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</si>
  <si>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</si>
  <si>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</si>
  <si>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</si>
  <si>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</si>
  <si>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</si>
  <si>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</si>
  <si>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</si>
  <si>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</si>
  <si>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</si>
  <si>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</si>
  <si>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</si>
  <si>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</si>
  <si>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</si>
  <si>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</si>
  <si>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</si>
  <si>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</si>
  <si>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</si>
  <si>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</si>
  <si>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</si>
  <si>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</si>
  <si>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</si>
  <si>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</si>
  <si>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</si>
  <si>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</si>
  <si>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</si>
  <si>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</si>
  <si>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</si>
  <si>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</si>
  <si>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</si>
  <si>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</si>
  <si>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</si>
  <si>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</si>
  <si>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</si>
  <si>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</si>
  <si>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</si>
  <si>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</si>
  <si>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</si>
  <si>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</si>
  <si>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</si>
  <si>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</si>
  <si>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</si>
  <si>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</si>
  <si>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</si>
  <si>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</si>
  <si>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</si>
  <si>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</si>
  <si>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</si>
  <si>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</si>
  <si>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</si>
  <si>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</si>
  <si>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</si>
  <si>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</si>
  <si>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</si>
  <si>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</si>
  <si>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</si>
  <si>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</si>
  <si>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</si>
  <si>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</si>
  <si>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</si>
  <si>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</si>
  <si>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</si>
  <si>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</si>
  <si>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</si>
  <si>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</si>
  <si>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</si>
  <si>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</si>
  <si>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</si>
  <si>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</si>
  <si>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</si>
  <si>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</si>
  <si>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</si>
  <si>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</si>
  <si>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</si>
  <si>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+1 202-358-1110</t>
  </si>
  <si>
    <t>ella.harper@nasa.gov</t>
  </si>
  <si>
    <t>lingua.bridges@ris.com</t>
  </si>
  <si>
    <t>Lingua Bridges</t>
  </si>
  <si>
    <t>2024-05-04to05-10 (A5) C384400 NASA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</si>
</sst>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1570</v>
      </c>
      <c r="G16" s="125"/>
      <c r="H16" s="125"/>
      <c r="I16" s="125"/>
      <c r="J16" s="125"/>
      <c r="K16" s="125"/>
      <c r="L16" s="125"/>
      <c r="M16" s="125"/>
      <c r="N16" s="125"/>
      <c r="O16" s="125"/>
      <c r="P16" s="8"/>
      <c r="Q16" s="8"/>
      <c r="R16" s="8"/>
      <c r="S16" s="8"/>
    </row>
    <row r="17" spans="1:19" ht="28.8">
      <c r="A17" s="40">
        <v>50</v>
      </c>
      <c r="B17" s="41">
        <v>44314</v>
      </c>
      <c r="C17" s="40" t="s">
        <v>823</v>
      </c>
      <c r="D17" s="52" t="s">
        <v>1569</v>
      </c>
      <c r="G17" s="125"/>
      <c r="H17" s="125"/>
      <c r="I17" s="125"/>
      <c r="J17" s="125"/>
      <c r="K17" s="125"/>
      <c r="L17" s="125"/>
      <c r="M17" s="125"/>
      <c r="N17" s="125"/>
      <c r="O17" s="125"/>
      <c r="P17" s="8"/>
      <c r="Q17" s="8"/>
      <c r="R17" s="8"/>
      <c r="S17" s="8"/>
    </row>
    <row r="18" spans="1:19" ht="28.8">
      <c r="A18" s="40">
        <v>51</v>
      </c>
      <c r="B18" s="41">
        <v>44318</v>
      </c>
      <c r="C18" s="40" t="s">
        <v>823</v>
      </c>
      <c r="D18" s="52" t="s">
        <v>1576</v>
      </c>
      <c r="G18" s="125"/>
      <c r="H18" s="125"/>
      <c r="I18" s="125"/>
      <c r="J18" s="125"/>
      <c r="K18" s="125"/>
      <c r="L18" s="125"/>
      <c r="M18" s="125"/>
      <c r="N18" s="125"/>
      <c r="O18" s="125"/>
      <c r="P18" s="8"/>
      <c r="Q18" s="8"/>
      <c r="R18" s="8"/>
      <c r="S18" s="8"/>
    </row>
    <row r="19" spans="1:19">
      <c r="A19" s="40">
        <v>52</v>
      </c>
      <c r="B19" s="41">
        <v>44324</v>
      </c>
      <c r="C19" s="40" t="s">
        <v>823</v>
      </c>
      <c r="D19" s="52" t="s">
        <v>1577</v>
      </c>
      <c r="G19" s="125"/>
      <c r="H19" s="125"/>
      <c r="I19" s="125"/>
      <c r="J19" s="125"/>
      <c r="K19" s="125"/>
      <c r="L19" s="125"/>
      <c r="M19" s="125"/>
    </row>
    <row r="20" spans="1:19" ht="28.8">
      <c r="A20" s="40">
        <v>53</v>
      </c>
      <c r="B20" s="41">
        <v>44343</v>
      </c>
      <c r="C20" s="40" t="s">
        <v>823</v>
      </c>
      <c r="D20" s="52" t="s">
        <v>1579</v>
      </c>
    </row>
    <row r="21" spans="1:19">
      <c r="A21" s="40">
        <v>53</v>
      </c>
      <c r="B21" s="41">
        <v>44354</v>
      </c>
      <c r="C21" s="40" t="s">
        <v>1583</v>
      </c>
      <c r="D21" s="52" t="s">
        <v>1591</v>
      </c>
    </row>
    <row r="22" spans="1:19">
      <c r="A22" s="40">
        <v>56</v>
      </c>
      <c r="B22" s="41">
        <v>44463</v>
      </c>
      <c r="C22" s="40" t="s">
        <v>823</v>
      </c>
      <c r="D22" s="52" t="s">
        <v>1590</v>
      </c>
    </row>
    <row r="23" spans="1:19">
      <c r="A23" s="40">
        <v>57</v>
      </c>
      <c r="B23" s="41">
        <v>44566</v>
      </c>
      <c r="C23" s="40" t="s">
        <v>1583</v>
      </c>
      <c r="D23" s="52" t="s">
        <v>1592</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1536</v>
      </c>
      <c r="C2" s="91" t="s">
        <v>1537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1523</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1648</v>
      </c>
      <c r="B1" s="393"/>
    </row>
    <row r="2" spans="1:3" s="46" customFormat="1" ht="15.6">
      <c r="A2" s="47" t="s">
        <v>1641</v>
      </c>
      <c r="B2" s="47" t="s">
        <v>1649</v>
      </c>
      <c r="C2" s="45"/>
    </row>
    <row r="3" spans="1:3" s="46" customFormat="1" ht="15.6">
      <c r="A3" s="45" t="s">
        <v>1650</v>
      </c>
      <c r="B3" s="394" t="str">
        <f>'Agreement 3'!B43</f>
        <v>lingua.bridges@ris.com</v>
      </c>
      <c r="C3" s="45"/>
    </row>
    <row r="4" spans="1:3" s="46" customFormat="1" ht="15.6">
      <c r="A4" s="45" t="s">
        <v>1651</v>
      </c>
      <c r="B4" s="394" t="str">
        <f>_xlfn.CONCAT('Agreement 3'!B31,"; ",'Agreement 3'!B37)</f>
        <v>bill.nelson@nasa.gov; ella.harper@nasa.gov</v>
      </c>
      <c r="C4" s="45"/>
    </row>
    <row r="5" spans="1:3" s="16" customFormat="1">
      <c r="A5" s="16" t="s">
        <v>1642</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27</v>
      </c>
      <c r="B6" s="161" t="str">
        <f>'Agreement 3'!B39</f>
        <v>Lingua Bridges</v>
      </c>
    </row>
    <row r="7" spans="1:3" s="16" customFormat="1">
      <c r="B7" s="161"/>
    </row>
    <row r="8" spans="1:3" s="16" customFormat="1">
      <c r="A8" s="16" t="s">
        <v>1652</v>
      </c>
      <c r="B8" s="161" t="str">
        <f>'Agreement 3'!B28</f>
        <v>Bill Nelson</v>
      </c>
    </row>
    <row r="9" spans="1:3" s="16" customFormat="1">
      <c r="A9" s="16" t="s">
        <v>1653</v>
      </c>
      <c r="B9" s="161" t="str">
        <f>'Agreement 3'!B16</f>
        <v>NASA</v>
      </c>
    </row>
    <row r="10" spans="1:3" s="16" customFormat="1">
      <c r="A10" s="16" t="s">
        <v>1654</v>
      </c>
      <c r="B10" s="161" t="str">
        <f>'Agreement 3'!B29</f>
        <v>Administrator of NASA</v>
      </c>
    </row>
    <row r="11" spans="1:3" s="16" customFormat="1">
      <c r="A11" s="16" t="s">
        <v>1655</v>
      </c>
      <c r="B11" s="161" t="str">
        <f>'Agreement 3'!B30</f>
        <v>+1 202-358-0001</v>
      </c>
    </row>
    <row r="12" spans="1:3" s="16" customFormat="1">
      <c r="A12" s="16" t="s">
        <v>1656</v>
      </c>
      <c r="B12" s="161" t="str">
        <f>'Agreement 3'!B31</f>
        <v>bill.nelson@nasa.gov</v>
      </c>
    </row>
    <row r="13" spans="1:3" s="16" customFormat="1">
      <c r="B13" s="161"/>
    </row>
    <row r="14" spans="1:3" s="16" customFormat="1">
      <c r="A14" s="16" t="s">
        <v>1657</v>
      </c>
      <c r="B14" s="161" t="str">
        <f>'Agreement 3'!B33</f>
        <v>Ella Harper</v>
      </c>
    </row>
    <row r="15" spans="1:3" s="16" customFormat="1">
      <c r="A15" s="16" t="s">
        <v>1658</v>
      </c>
      <c r="B15" s="16">
        <f ca="1">Planning!B42-TODAY()</f>
        <v>41</v>
      </c>
    </row>
    <row r="16" spans="1:3" s="16" customFormat="1"/>
    <row r="17" spans="1:3" s="46" customFormat="1" ht="15.6">
      <c r="A17" s="47" t="s">
        <v>1659</v>
      </c>
      <c r="B17" s="47" t="s">
        <v>1660</v>
      </c>
      <c r="C17" s="45"/>
    </row>
    <row r="18" spans="1:3" s="16" customFormat="1">
      <c r="A18" s="16" t="s">
        <v>1661</v>
      </c>
      <c r="B18" s="16" t="str">
        <f>_xlfn.CONCAT('P1-Personnel'!B13,"; ",'P1-Personnel'!B14)</f>
        <v>ATM-1; ATM-2</v>
      </c>
    </row>
    <row r="19" spans="1:3" s="16" customFormat="1">
      <c r="A19" s="16" t="s">
        <v>1642</v>
      </c>
      <c r="B19" s="16" t="str">
        <f>_xlfn.CONCAT('Agreement 3'!B16, " (CASID",'Agreement 3'!B5,") | CAS review before submission")</f>
        <v>NASA (CASID384400) | CAS review before submission</v>
      </c>
    </row>
    <row r="20" spans="1:3" s="16" customFormat="1">
      <c r="A20" s="16" t="s">
        <v>1662</v>
      </c>
      <c r="B20" s="16" t="e">
        <f>_xlfn.CONCAT('P1-OrgScope'!#REF!," and ",'P1-OrgScope'!#REF!)</f>
        <v>#REF!</v>
      </c>
    </row>
    <row r="21" spans="1:3" s="16" customFormat="1">
      <c r="A21" s="16" t="s">
        <v>1663</v>
      </c>
      <c r="B21" s="16" t="str">
        <f>Planning!B7</f>
        <v>2024-05-04to05-10 (A5) C384400 NASA</v>
      </c>
    </row>
    <row r="22" spans="1:3" s="16" customFormat="1">
      <c r="A22" s="16" t="s">
        <v>27</v>
      </c>
      <c r="B22" s="161" t="str">
        <f>'Agreement 3'!B39</f>
        <v>Lingua Bridges</v>
      </c>
    </row>
    <row r="23" spans="1:3" s="16" customFormat="1"/>
    <row r="24" spans="1:3" s="46" customFormat="1" ht="15.6">
      <c r="A24" s="47" t="s">
        <v>1664</v>
      </c>
      <c r="B24" s="47" t="s">
        <v>1665</v>
      </c>
      <c r="C24" s="45"/>
    </row>
    <row r="25" spans="1:3" s="16" customFormat="1">
      <c r="A25" s="16" t="s">
        <v>1650</v>
      </c>
      <c r="B25" s="161" t="str">
        <f>'Agreement 3'!B43</f>
        <v>lingua.bridges@ris.com</v>
      </c>
    </row>
    <row r="26" spans="1:3" s="16" customFormat="1">
      <c r="A26" s="16" t="s">
        <v>1666</v>
      </c>
      <c r="B26" s="16" t="e">
        <f>_xlfn.CONCAT('Agreement 3'!B31,"; ",'Agreement 3'!B37,"; ",'P1-OrgScope'!#REF!,"; ",'P1-OrgScope'!#REF!)</f>
        <v>#REF!</v>
      </c>
    </row>
    <row r="27" spans="1:3" s="16" customFormat="1">
      <c r="A27" s="16" t="s">
        <v>1642</v>
      </c>
      <c r="B27" s="16" t="str">
        <f>_xlfn.CONCAT('Agreement 3'!B16," (CASID",'Agreement 3'!B5,") | Random sample and OEdb")</f>
        <v>NASA (CASID384400) | Random sample and OEdb</v>
      </c>
    </row>
    <row r="28" spans="1:3" s="16" customFormat="1">
      <c r="A28" s="16" t="s">
        <v>1667</v>
      </c>
      <c r="B28" s="161" t="str">
        <f>'Agreement 3'!B39</f>
        <v>Lingua Bridges</v>
      </c>
    </row>
    <row r="29" spans="1:3" s="16" customFormat="1">
      <c r="A29" s="16" t="s">
        <v>1668</v>
      </c>
      <c r="B29" s="161" t="str">
        <f>'Agreement 3'!B33</f>
        <v>Ella Harper</v>
      </c>
    </row>
    <row r="30" spans="1:3" s="16" customFormat="1"/>
    <row r="31" spans="1:3" s="16" customFormat="1">
      <c r="A31" s="16" t="s">
        <v>1669</v>
      </c>
      <c r="B31" s="16" t="e">
        <f>'P1-OrgScope'!#REF!</f>
        <v>#REF!</v>
      </c>
    </row>
    <row r="32" spans="1:3" s="16" customFormat="1"/>
    <row r="33" spans="1:3" s="46" customFormat="1" ht="15.6">
      <c r="A33" s="47" t="s">
        <v>1645</v>
      </c>
      <c r="B33" s="47" t="s">
        <v>1670</v>
      </c>
      <c r="C33" s="45"/>
    </row>
    <row r="34" spans="1:3" s="16" customFormat="1">
      <c r="A34" s="16" t="s">
        <v>1671</v>
      </c>
      <c r="B34" s="161" t="e">
        <f>_xlfn.CONCAT('P1-OrgScope'!#REF!,"; ",'P1-OrgScope'!#REF!,"; ",'P1-OrgScope'!#REF!,"; ",'P1-OrgScope'!#REF!,"; ",'P1-OrgScope'!#REF!,"; ",'P1-OrgScope'!#REF!,"; ",'P1-OrgScope'!#REF!,"; ",'P1-OrgScope'!#REF!,"; ",'P1-OrgScope'!#REF!,"; ",'P1-OrgScope'!#REF!,"; ",'P1-OrgScope'!#REF!,"; ",'P1-OrgScope'!#REF!)</f>
        <v>#REF!</v>
      </c>
    </row>
    <row r="35" spans="1:3" s="16" customFormat="1">
      <c r="A35" s="16" t="s">
        <v>1642</v>
      </c>
      <c r="B35" s="161" t="str">
        <f>_xlfn.CONCAT('Agreement 3'!B16," (CASID",'Agreement 3'!B5,") | Please sign CAS documents")</f>
        <v>NASA (CASID384400) | Please sign CAS documents</v>
      </c>
    </row>
    <row r="36" spans="1:3" s="16" customFormat="1">
      <c r="B36" s="161"/>
    </row>
    <row r="37" spans="1:3" s="16" customFormat="1">
      <c r="A37" s="16" t="s">
        <v>1652</v>
      </c>
      <c r="B37" s="161" t="str">
        <f>'Agreement 3'!B28</f>
        <v>Bill Nelson</v>
      </c>
    </row>
    <row r="38" spans="1:3" s="16" customFormat="1">
      <c r="A38" s="16" t="s">
        <v>1672</v>
      </c>
      <c r="B38" s="161" t="str">
        <f>_xlfn.CONCAT("https://cmmiinstitute.com/appraisals-sys/appraisals/",'Agreement 3'!B5,"/roles-responsibilities")</f>
        <v>https://cmmiinstitute.com/appraisals-sys/appraisals/384400/roles-responsibilities</v>
      </c>
    </row>
    <row r="39" spans="1:3" s="16" customFormat="1">
      <c r="A39" s="16" t="s">
        <v>1646</v>
      </c>
      <c r="B39" s="161" t="str">
        <f>_xlfn.CONCAT("https://cmmiinstitute.com/appraisals-sys/appraisals/",'Agreement 3'!B5,"/confidentiality-agreement")</f>
        <v>https://cmmiinstitute.com/appraisals-sys/appraisals/384400/confidentiality-agreement</v>
      </c>
    </row>
    <row r="40" spans="1:3" s="16" customFormat="1">
      <c r="A40" s="16" t="s">
        <v>1647</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1673</v>
      </c>
      <c r="B42" s="161" t="str">
        <f>_xlfn.CONCAT('Agreement 3'!B33," and ",'Agreement 3'!B39)</f>
        <v>Ella Harper and Lingua Bridges</v>
      </c>
    </row>
    <row r="43" spans="1:3" s="16" customFormat="1">
      <c r="A43" s="16" t="s">
        <v>1646</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1674</v>
      </c>
      <c r="B45" s="161" t="e">
        <f>_xlfn.CONCAT('P1-OrgScope'!#REF!,", ",'P1-OrgScope'!#REF!,", ",'P1-OrgScope'!#REF!,", ",'P1-OrgScope'!#REF!,", ",'P1-OrgScope'!#REF!,", ",'P1-OrgScope'!#REF!,", ",'P1-OrgScope'!#REF!,", ",'P1-OrgScope'!#REF!,", and ",'P1-OrgScope'!#REF!)</f>
        <v>#REF!</v>
      </c>
    </row>
    <row r="46" spans="1:3" s="16" customFormat="1">
      <c r="A46" s="16" t="s">
        <v>1646</v>
      </c>
      <c r="B46" s="161" t="str">
        <f>_xlfn.CONCAT("https://cmmiinstitute.com/appraisals-sys/appraisals/",'Agreement 3'!B5,"/confidentiality-agreement")</f>
        <v>https://cmmiinstitute.com/appraisals-sys/appraisals/384400/confidentiality-agreement</v>
      </c>
    </row>
    <row r="47" spans="1:3" s="16" customFormat="1">
      <c r="A47" s="16" t="s">
        <v>1647</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1643</v>
      </c>
      <c r="B49" s="47" t="s">
        <v>1675</v>
      </c>
      <c r="C49" s="45"/>
    </row>
    <row r="50" spans="1:3" s="16" customFormat="1">
      <c r="A50" s="16" t="s">
        <v>1676</v>
      </c>
      <c r="B50" s="161" t="str">
        <f>'Agreement 3'!B31</f>
        <v>bill.nelson@nasa.gov</v>
      </c>
    </row>
    <row r="51" spans="1:3" s="16" customFormat="1">
      <c r="A51" s="16" t="s">
        <v>1677</v>
      </c>
      <c r="B51" s="16" t="e">
        <f>_xlfn.CONCAT('Agreement 3'!B43,"; ",'Agreement 3'!B37,"; ",'P1-OrgScope'!#REF!,"; ",'P1-OrgScope'!#REF!,"; ",'P1-OrgScope'!#REF!,"; ",'P1-OrgScope'!#REF!,"; ",'P1-OrgScope'!#REF!,"; ",'P1-OrgScope'!#REF!,"; ",'P1-OrgScope'!#REF!,"; ",'P1-OrgScope'!#REF!,"; ",'P1-OrgScope'!#REF!)</f>
        <v>#REF!</v>
      </c>
    </row>
    <row r="52" spans="1:3" s="16" customFormat="1">
      <c r="A52" s="16" t="s">
        <v>1642</v>
      </c>
      <c r="B52" s="16" t="str">
        <f>_xlfn.CONCAT('Agreement 3'!B16," (CASID",'Agreement 3'!B5,") | Readiness review completed")</f>
        <v>NASA (CASID384400) | Readiness review completed</v>
      </c>
    </row>
    <row r="53" spans="1:3" s="16" customFormat="1">
      <c r="A53" s="16" t="s">
        <v>1644</v>
      </c>
      <c r="B53" s="161" t="str">
        <f>'Agreement 3'!B28</f>
        <v>Bill Nelson</v>
      </c>
    </row>
    <row r="54" spans="1:3" s="16" customFormat="1">
      <c r="A54" s="16" t="s">
        <v>1684</v>
      </c>
      <c r="B54" s="161" t="str">
        <f>_xlfn.CONCAT("https://cmmiinstitute.com/appraisals-sys/appraisals/",'Agreement 3'!B5,"/roles-responsibilities")</f>
        <v>https://cmmiinstitute.com/appraisals-sys/appraisals/384400/roles-responsibilities</v>
      </c>
    </row>
    <row r="55" spans="1:3" s="16" customFormat="1">
      <c r="A55" s="16" t="s">
        <v>1686</v>
      </c>
      <c r="B55" s="161" t="str">
        <f>_xlfn.CONCAT("https://cmmiinstitute.com/appraisals-sys/appraisals/",'Agreement 3'!B5,"/confidentiality-agreement")</f>
        <v>https://cmmiinstitute.com/appraisals-sys/appraisals/384400/confidentiality-agreement</v>
      </c>
    </row>
    <row r="56" spans="1:3" s="16" customFormat="1">
      <c r="A56" s="16" t="s">
        <v>1685</v>
      </c>
      <c r="B56" s="161" t="str">
        <f>_xlfn.CONCAT("https://cmmiinstitute.com/appraisals-sys/appraisals/",'Agreement 3'!B5,"/appraisal-plan-summary")</f>
        <v>https://cmmiinstitute.com/appraisals-sys/appraisals/384400/appraisal-plan-summary</v>
      </c>
    </row>
    <row r="57" spans="1:3" s="16" customFormat="1">
      <c r="A57" s="16" t="s">
        <v>1702</v>
      </c>
      <c r="B57" s="161" t="str">
        <f>_xlfn.CONCAT("https://cmmiinstitute.com/appraisals-sys/appraisals/",'Agreement 3'!B5,"/sign-final-findings")</f>
        <v>https://cmmiinstitute.com/appraisals-sys/appraisals/384400/sign-final-findings</v>
      </c>
    </row>
    <row r="58" spans="1:3" s="16" customFormat="1">
      <c r="A58" s="16" t="s">
        <v>1703</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1659</v>
      </c>
      <c r="B60" s="47" t="s">
        <v>1679</v>
      </c>
      <c r="C60" s="45"/>
    </row>
    <row r="61" spans="1:3" s="16" customFormat="1">
      <c r="A61" s="16" t="s">
        <v>1661</v>
      </c>
      <c r="B61" s="16" t="e">
        <f>_xlfn.CONCAT('P1-OrgScope'!#REF!,"; ",'P1-OrgScope'!#REF!)</f>
        <v>#REF!</v>
      </c>
    </row>
    <row r="62" spans="1:3" s="16" customFormat="1">
      <c r="A62" s="16" t="s">
        <v>1642</v>
      </c>
      <c r="B62" s="16" t="str">
        <f>_xlfn.CONCAT('Agreement 3'!B16, " (CASID",'Agreement 3'!B5,") | CAS review before submission")</f>
        <v>NASA (CASID384400) | CAS review before submission</v>
      </c>
    </row>
    <row r="63" spans="1:3" s="16" customFormat="1">
      <c r="A63" s="16" t="s">
        <v>1662</v>
      </c>
      <c r="B63" s="16" t="e">
        <f>_xlfn.CONCAT('P1-OrgScope'!#REF!," and ",'P1-OrgScope'!#REF!,", please review the appraisal for me before I submitt it. The SPS file and CAS link is below.")</f>
        <v>#REF!</v>
      </c>
    </row>
    <row r="64" spans="1:3" s="16" customFormat="1">
      <c r="A64" s="16" t="s">
        <v>1663</v>
      </c>
      <c r="B64" s="16" t="str">
        <f>Planning!B7</f>
        <v>2024-05-04to05-10 (A5) C384400 NASA</v>
      </c>
    </row>
    <row r="65" spans="1:2" s="16" customFormat="1">
      <c r="A65" s="16" t="s">
        <v>1680</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1683</v>
      </c>
      <c r="C2" s="402">
        <v>0.3</v>
      </c>
      <c r="D2" s="402">
        <v>0.5</v>
      </c>
      <c r="E2" s="402">
        <v>1</v>
      </c>
    </row>
    <row r="3" spans="1:13">
      <c r="A3" s="16" t="s">
        <v>611</v>
      </c>
      <c r="B3" s="16" t="s">
        <v>1684</v>
      </c>
      <c r="C3" s="60" t="s">
        <v>388</v>
      </c>
      <c r="M3" s="29" t="str">
        <f>HYPERLINK(_xlfn.CONCAT("https://cmmiinstitute.com/appraisals-sys/appraisals/",'Agreement 3'!B5,"/roles-responsibilities"))</f>
        <v>https://cmmiinstitute.com/appraisals-sys/appraisals/384400/roles-responsibilities</v>
      </c>
    </row>
    <row r="4" spans="1:13">
      <c r="B4" s="16" t="s">
        <v>1685</v>
      </c>
      <c r="C4" s="60" t="s">
        <v>388</v>
      </c>
      <c r="M4" s="29" t="str">
        <f>HYPERLINK(_xlfn.CONCAT("https://cmmiinstitute.com/appraisals-sys/appraisals/",'Agreement 3'!B5,"/appraisal-plan-summary"))</f>
        <v>https://cmmiinstitute.com/appraisals-sys/appraisals/384400/appraisal-plan-summary</v>
      </c>
    </row>
    <row r="5" spans="1:13">
      <c r="B5" s="16" t="s">
        <v>1686</v>
      </c>
      <c r="C5" s="60" t="s">
        <v>388</v>
      </c>
      <c r="M5" s="29" t="str">
        <f>HYPERLINK(_xlfn.CONCAT("https://cmmiinstitute.com/appraisals-sys/appraisals/",'Agreement 3'!B5,"/confidentiality-agreement"))</f>
        <v>https://cmmiinstitute.com/appraisals-sys/appraisals/384400/confidentiality-agreement</v>
      </c>
    </row>
    <row r="6" spans="1:13">
      <c r="B6" s="16" t="s">
        <v>1687</v>
      </c>
      <c r="C6" s="60" t="s">
        <v>388</v>
      </c>
      <c r="M6" s="29" t="str">
        <f>HYPERLINK(_xlfn.CONCAT("https://cmmiinstitute.com/appraisals-sys/appraisals/",'Agreement 3'!B5,"/appraisal-team"))</f>
        <v>https://cmmiinstitute.com/appraisals-sys/appraisals/384400/appraisal-team</v>
      </c>
    </row>
    <row r="8" spans="1:13">
      <c r="A8" s="16" t="s">
        <v>586</v>
      </c>
      <c r="B8" s="16" t="s">
        <v>1684</v>
      </c>
      <c r="C8" s="60" t="s">
        <v>388</v>
      </c>
      <c r="M8" s="29" t="str">
        <f>HYPERLINK(_xlfn.CONCAT("https://cmmiinstitute.com/appraisals-sys/appraisals/",'Agreement 3'!B5,"/roles-responsibilities"))</f>
        <v>https://cmmiinstitute.com/appraisals-sys/appraisals/384400/roles-responsibilities</v>
      </c>
    </row>
    <row r="9" spans="1:13">
      <c r="B9" s="16" t="s">
        <v>1685</v>
      </c>
      <c r="C9" s="60" t="s">
        <v>388</v>
      </c>
      <c r="M9" s="29" t="str">
        <f>HYPERLINK(_xlfn.CONCAT("https://cmmiinstitute.com/appraisals-sys/appraisals/",'Agreement 3'!B5,"/appraisal-plan-summary"))</f>
        <v>https://cmmiinstitute.com/appraisals-sys/appraisals/384400/appraisal-plan-summary</v>
      </c>
    </row>
    <row r="10" spans="1:13">
      <c r="B10" s="16" t="s">
        <v>1686</v>
      </c>
      <c r="C10" s="60" t="s">
        <v>388</v>
      </c>
      <c r="M10" s="29" t="str">
        <f>HYPERLINK(_xlfn.CONCAT("https://cmmiinstitute.com/appraisals-sys/appraisals/",'Agreement 3'!B5,"/confidentiality-agreement"))</f>
        <v>https://cmmiinstitute.com/appraisals-sys/appraisals/384400/confidentiality-agreement</v>
      </c>
    </row>
    <row r="11" spans="1:13">
      <c r="B11" s="16" t="s">
        <v>1687</v>
      </c>
      <c r="C11" s="60" t="s">
        <v>388</v>
      </c>
      <c r="M11" s="29" t="str">
        <f>HYPERLINK(_xlfn.CONCAT("https://cmmiinstitute.com/appraisals-sys/appraisals/",'Agreement 3'!B5,"/appraisal-sponsor"))</f>
        <v>https://cmmiinstitute.com/appraisals-sys/appraisals/384400/appraisal-sponsor</v>
      </c>
    </row>
    <row r="12" spans="1:13">
      <c r="M12" s="29"/>
    </row>
    <row r="13" spans="1:13">
      <c r="A13" s="16" t="s">
        <v>1688</v>
      </c>
      <c r="B13" s="16" t="s">
        <v>1700</v>
      </c>
      <c r="C13" s="60" t="s">
        <v>388</v>
      </c>
      <c r="F13" s="60" t="s">
        <v>1695</v>
      </c>
      <c r="G13" s="60" t="s">
        <v>1696</v>
      </c>
      <c r="H13" s="60" t="s">
        <v>1697</v>
      </c>
      <c r="I13" s="60" t="s">
        <v>1698</v>
      </c>
      <c r="J13" s="60" t="s">
        <v>1699</v>
      </c>
    </row>
    <row r="14" spans="1:13">
      <c r="B14" s="16" t="s">
        <v>1701</v>
      </c>
      <c r="C14" s="60" t="s">
        <v>388</v>
      </c>
    </row>
    <row r="15" spans="1:13">
      <c r="B15" s="16" t="s">
        <v>1686</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https://cmmiinstitute.com/appraisals-sys/appraisals/384400/confidentiality-agreement</v>
      </c>
    </row>
    <row r="16" spans="1:13">
      <c r="B16" s="16" t="s">
        <v>1689</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https://cmmiinstitute.com/appraisals-sys/appraisals/384400/appraisal-plan-summary</v>
      </c>
    </row>
    <row r="17" spans="1:13">
      <c r="B17" s="16" t="s">
        <v>1687</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https://cmmiinstitute.com/appraisals-sys/appraisals/384400/appraisal-team</v>
      </c>
    </row>
    <row r="19" spans="1:13">
      <c r="A19" s="16" t="s">
        <v>1375</v>
      </c>
      <c r="B19" s="16" t="s">
        <v>1686</v>
      </c>
      <c r="C19" s="60" t="s">
        <v>388</v>
      </c>
      <c r="M19" s="29" t="str">
        <f>HYPERLINK(_xlfn.CONCAT("https://cmmiinstitute.com/appraisals-sys/appraisals/",'Agreement 3'!B5,"/confidentiality-agreement"))</f>
        <v>https://cmmiinstitute.com/appraisals-sys/appraisals/384400/confidentiality-agreement</v>
      </c>
    </row>
    <row r="20" spans="1:13">
      <c r="B20" s="16" t="s">
        <v>1687</v>
      </c>
      <c r="C20" s="60" t="s">
        <v>388</v>
      </c>
      <c r="M20" s="29" t="str">
        <f>HYPERLINK(_xlfn.CONCAT("https://cmmiinstitute.com/appraisals-sys/appraisals/",'Agreement 3'!B5,"/appraisal-team"))</f>
        <v>https://cmmiinstitute.com/appraisals-sys/appraisals/384400/appraisal-team</v>
      </c>
    </row>
    <row r="22" spans="1:13">
      <c r="A22" s="16" t="s">
        <v>1374</v>
      </c>
      <c r="B22" s="16" t="s">
        <v>1686</v>
      </c>
      <c r="C22" s="60" t="s">
        <v>388</v>
      </c>
      <c r="M22" s="29" t="str">
        <f>HYPERLINK(_xlfn.CONCAT("https://cmmiinstitute.com/appraisals-sys/appraisals/",'Agreement 3'!B5,"/confidentiality-agreement"))</f>
        <v>https://cmmiinstitute.com/appraisals-sys/appraisals/384400/confidentiality-agreement</v>
      </c>
    </row>
    <row r="23" spans="1:13">
      <c r="B23" s="16" t="s">
        <v>1687</v>
      </c>
      <c r="C23" s="60" t="s">
        <v>388</v>
      </c>
      <c r="M23" s="29" t="str">
        <f>HYPERLINK(_xlfn.CONCAT("https://cmmiinstitute.com/appraisals-sys/appraisals/",'Agreement 3'!B5,"/appraisal-team"))</f>
        <v>https://cmmiinstitute.com/appraisals-sys/appraisals/384400/appraisal-team</v>
      </c>
    </row>
    <row r="25" spans="1:13">
      <c r="A25" s="16" t="s">
        <v>1690</v>
      </c>
      <c r="B25" s="16" t="s">
        <v>1691</v>
      </c>
    </row>
    <row r="28" spans="1:13">
      <c r="A28" s="16" t="s">
        <v>1692</v>
      </c>
      <c r="B28" s="16" t="s">
        <v>1693</v>
      </c>
    </row>
    <row r="30" spans="1:13">
      <c r="A30" s="16" t="s">
        <v>1694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0" workbookViewId="0">
      <selection activeCell="B41" sqref="B41"/>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1530</v>
      </c>
      <c r="B5" s="4">
        <v>384400</v>
      </c>
    </row>
    <row r="6" spans="1:2">
      <c r="A6" s="5" t="s">
        <v>3</v>
      </c>
      <c r="B6" s="5"/>
    </row>
    <row r="7" spans="1:2">
      <c r="A7" s="2" t="s">
        <v>4</v>
      </c>
      <c r="B7" s="6" t="s">
        <v>1780</v>
      </c>
    </row>
    <row r="8" spans="1:2">
      <c r="A8" s="2" t="s">
        <v>5</v>
      </c>
      <c r="B8" s="6" t="s">
        <v>6</v>
      </c>
    </row>
    <row r="9" spans="1:2">
      <c r="A9" s="2" t="s">
        <v>7</v>
      </c>
      <c r="B9" s="6" t="s">
        <v>1800</v>
      </c>
    </row>
    <row r="10" spans="1:2" ht="55.2">
      <c r="A10" s="2" t="s">
        <v>8</v>
      </c>
      <c r="B10" s="6" t="s">
        <v>1472</v>
      </c>
    </row>
    <row r="11" spans="1:2">
      <c r="A11" s="2" t="s">
        <v>1086</v>
      </c>
      <c r="B11" s="6" t="s">
        <v>1473</v>
      </c>
    </row>
    <row r="12" spans="1:2">
      <c r="A12" s="2" t="s">
        <v>9</v>
      </c>
      <c r="B12" s="6" t="s">
        <v>1474</v>
      </c>
    </row>
    <row r="13" spans="1:2">
      <c r="A13" s="2" t="s">
        <v>10</v>
      </c>
      <c r="B13" s="6" t="s">
        <v>1475</v>
      </c>
    </row>
    <row r="14" spans="1:2">
      <c r="A14" s="2" t="s">
        <v>11</v>
      </c>
      <c r="B14" s="6" t="s">
        <v>1476</v>
      </c>
    </row>
    <row r="15" spans="1:2">
      <c r="A15" s="5" t="s">
        <v>12</v>
      </c>
      <c r="B15" s="5"/>
    </row>
    <row r="16" spans="1:2">
      <c r="A16" s="2" t="s">
        <v>13</v>
      </c>
      <c r="B16" s="6" t="s">
        <v>1808</v>
      </c>
    </row>
    <row r="17" spans="1:3">
      <c r="A17" s="2" t="s">
        <v>14</v>
      </c>
      <c r="B17" s="6" t="s">
        <v>1808</v>
      </c>
    </row>
    <row r="18" spans="1:3">
      <c r="A18" s="2" t="s">
        <v>15</v>
      </c>
      <c r="B18" s="6" t="s">
        <v>1810</v>
      </c>
    </row>
    <row r="19" spans="1:3">
      <c r="A19" s="2" t="s">
        <v>16</v>
      </c>
      <c r="B19" s="6" t="s">
        <v>1809</v>
      </c>
    </row>
    <row r="20" spans="1:3">
      <c r="A20" s="2" t="s">
        <v>17</v>
      </c>
      <c r="B20" s="6" t="s">
        <v>1801</v>
      </c>
    </row>
    <row r="21" spans="1:3">
      <c r="A21" s="5" t="s">
        <v>19</v>
      </c>
      <c r="B21" s="5"/>
    </row>
    <row r="22" spans="1:3">
      <c r="A22" s="2" t="s">
        <v>20</v>
      </c>
      <c r="B22" s="6">
        <v>45018</v>
      </c>
    </row>
    <row r="23" spans="1:3">
      <c r="A23" s="2" t="s">
        <v>21</v>
      </c>
      <c r="B23" s="407" t="str">
        <f>_xlfn.CONCAT("Conduct ",Planning!B16," appraisal in ",TEXT('Agreement 3'!B25,"mmmm yyyy"))</f>
        <v>Conduct Maturity Level 5 appraisal in May 2024</v>
      </c>
      <c r="C23" t="s">
        <v>1779</v>
      </c>
    </row>
    <row r="24" spans="1:3">
      <c r="A24" s="2" t="s">
        <v>22</v>
      </c>
      <c r="B24" s="258">
        <v>45416</v>
      </c>
    </row>
    <row r="25" spans="1:3">
      <c r="A25" s="2" t="s">
        <v>23</v>
      </c>
      <c r="B25" s="6">
        <v>45418</v>
      </c>
    </row>
    <row r="26" spans="1:3">
      <c r="A26" s="2" t="s">
        <v>24</v>
      </c>
      <c r="B26" s="258">
        <v>45422</v>
      </c>
    </row>
    <row r="27" spans="1:3">
      <c r="A27" s="5" t="s">
        <v>25</v>
      </c>
      <c r="B27" s="22"/>
    </row>
    <row r="28" spans="1:3">
      <c r="A28" s="2" t="s">
        <v>4</v>
      </c>
      <c r="B28" s="6" t="s">
        <v>1802</v>
      </c>
    </row>
    <row r="29" spans="1:3">
      <c r="A29" s="2" t="s">
        <v>7</v>
      </c>
      <c r="B29" s="6" t="s">
        <v>1803</v>
      </c>
    </row>
    <row r="30" spans="1:3">
      <c r="A30" s="2" t="s">
        <v>9</v>
      </c>
      <c r="B30" s="258" t="s">
        <v>1804</v>
      </c>
    </row>
    <row r="31" spans="1:3">
      <c r="A31" s="2" t="s">
        <v>10</v>
      </c>
      <c r="B31" s="26" t="s">
        <v>1805</v>
      </c>
    </row>
    <row r="32" spans="1:3">
      <c r="A32" s="5" t="s">
        <v>26</v>
      </c>
      <c r="B32" s="5"/>
    </row>
    <row r="33" spans="1:5">
      <c r="A33" s="2" t="s">
        <v>4</v>
      </c>
      <c r="B33" s="273" t="s">
        <v>1806</v>
      </c>
    </row>
    <row r="34" spans="1:5">
      <c r="A34" s="2" t="s">
        <v>7</v>
      </c>
      <c r="B34" s="6" t="s">
        <v>1807</v>
      </c>
    </row>
    <row r="35" spans="1:5">
      <c r="A35" s="2" t="s">
        <v>5</v>
      </c>
      <c r="B35" s="363" t="str">
        <f>B16</f>
        <v>NASA</v>
      </c>
      <c r="C35" s="11"/>
    </row>
    <row r="36" spans="1:5">
      <c r="A36" s="2" t="s">
        <v>9</v>
      </c>
      <c r="B36" s="274" t="s">
        <v>1477</v>
      </c>
    </row>
    <row r="37" spans="1:5">
      <c r="A37" s="2" t="s">
        <v>10</v>
      </c>
      <c r="B37" s="275" t="s">
        <v>1812</v>
      </c>
    </row>
    <row r="38" spans="1:5">
      <c r="A38" s="5" t="s">
        <v>27</v>
      </c>
      <c r="B38" s="5"/>
    </row>
    <row r="39" spans="1:5">
      <c r="A39" s="2" t="s">
        <v>4</v>
      </c>
      <c r="B39" s="6" t="s">
        <v>1814</v>
      </c>
    </row>
    <row r="40" spans="1:5">
      <c r="A40" s="2" t="s">
        <v>5</v>
      </c>
      <c r="B40" s="6" t="s">
        <v>1309</v>
      </c>
    </row>
    <row r="41" spans="1:5">
      <c r="A41" s="2" t="s">
        <v>7</v>
      </c>
      <c r="B41" s="6" t="s">
        <v>418</v>
      </c>
    </row>
    <row r="42" spans="1:5">
      <c r="A42" s="2" t="s">
        <v>9</v>
      </c>
      <c r="B42" s="258" t="s">
        <v>1811</v>
      </c>
    </row>
    <row r="43" spans="1:5">
      <c r="A43" s="2" t="s">
        <v>10</v>
      </c>
      <c r="B43" s="79" t="s">
        <v>1813</v>
      </c>
    </row>
    <row r="44" spans="1:5">
      <c r="A44" s="7" t="s">
        <v>28</v>
      </c>
      <c r="B44" s="5"/>
    </row>
    <row r="45" spans="1:5">
      <c r="A45" s="2" t="s">
        <v>4</v>
      </c>
      <c r="B45" s="6" t="s">
        <v>1781</v>
      </c>
      <c r="D45" t="s">
        <v>1781</v>
      </c>
      <c r="E45" t="s">
        <v>1782</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abSelected="1"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NASA</v>
      </c>
      <c r="C3" s="11" t="s">
        <v>977</v>
      </c>
    </row>
    <row r="4" spans="1:23">
      <c r="A4" s="11" t="s">
        <v>698</v>
      </c>
      <c r="B4" s="11" t="s">
        <v>1808</v>
      </c>
    </row>
    <row r="6" spans="1:23">
      <c r="A6" s="11" t="s">
        <v>700</v>
      </c>
      <c r="B6" s="81" t="str">
        <f>CONCATENATE(TEXT(B42,"yyyy-mm-dd"),"to",TEXT(B51,"mm-dd")," (A",RIGHT(B16,1),") ","C",'Agreement 3'!B5, " ",Planning!B4)</f>
        <v>2024-05-04to05-10 (A5) C384400 NASA</v>
      </c>
      <c r="C6" s="11" t="s">
        <v>978</v>
      </c>
    </row>
    <row r="7" spans="1:23">
      <c r="A7" s="11" t="s">
        <v>701</v>
      </c>
      <c r="B7" s="11" t="s">
        <v>1815</v>
      </c>
    </row>
    <row r="9" spans="1:23">
      <c r="A9" s="11" t="s">
        <v>432</v>
      </c>
      <c r="B9" s="13" t="s">
        <v>518</v>
      </c>
      <c r="C9" s="11" t="s">
        <v>384</v>
      </c>
    </row>
    <row r="10" spans="1:23">
      <c r="B10" s="13"/>
    </row>
    <row r="12" spans="1:23" s="46" customFormat="1" ht="15.6">
      <c r="A12" s="47" t="s">
        <v>1764</v>
      </c>
      <c r="B12" s="47"/>
      <c r="C12" s="45"/>
    </row>
    <row r="13" spans="1:23" s="46" customFormat="1" ht="15.6">
      <c r="A13" s="403" t="s">
        <v>1749</v>
      </c>
      <c r="B13" s="45"/>
      <c r="C13" s="45"/>
    </row>
    <row r="14" spans="1:23">
      <c r="A14" s="11" t="s">
        <v>1749</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1753</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1754</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1755</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1756</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1757</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1758</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NASA - Base Camp Artemis (Q2) 2024</v>
      </c>
      <c r="C29" s="11" t="s">
        <v>977</v>
      </c>
    </row>
    <row r="30" spans="1:23">
      <c r="A30" s="11" t="s">
        <v>827</v>
      </c>
      <c r="B30" s="11" t="s">
        <v>1526</v>
      </c>
    </row>
    <row r="31" spans="1:23">
      <c r="A31" s="11" t="s">
        <v>745</v>
      </c>
      <c r="B31" s="82">
        <f>'Agreement 3'!B5</f>
        <v>384400</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45387</v>
      </c>
      <c r="C35" s="45"/>
    </row>
    <row r="36" spans="1:3" s="46" customFormat="1" ht="15.6" hidden="1">
      <c r="A36" s="46" t="s">
        <v>981</v>
      </c>
      <c r="B36" s="121">
        <f>B35</f>
        <v>45387</v>
      </c>
      <c r="C36" s="45" t="s">
        <v>978</v>
      </c>
    </row>
    <row r="37" spans="1:3" s="46" customFormat="1" ht="15.6">
      <c r="B37" s="84"/>
      <c r="C37" s="45"/>
    </row>
    <row r="38" spans="1:3" s="46" customFormat="1" ht="15.6">
      <c r="A38" s="46" t="s">
        <v>940</v>
      </c>
      <c r="B38" s="121">
        <f>B51-17</f>
        <v>45405</v>
      </c>
      <c r="C38" s="45"/>
    </row>
    <row r="39" spans="1:3" s="46" customFormat="1" ht="15.6" hidden="1">
      <c r="A39" s="46" t="s">
        <v>982</v>
      </c>
      <c r="B39" s="121">
        <f>B38</f>
        <v>45405</v>
      </c>
      <c r="C39" s="45" t="s">
        <v>978</v>
      </c>
    </row>
    <row r="40" spans="1:3" s="46" customFormat="1" ht="15.6">
      <c r="B40" s="84"/>
      <c r="C40" s="45"/>
    </row>
    <row r="41" spans="1:3" s="46" customFormat="1" ht="15.6">
      <c r="A41" s="46" t="s">
        <v>853</v>
      </c>
      <c r="B41" s="84">
        <f>B42-2</f>
        <v>45414</v>
      </c>
      <c r="C41" s="45"/>
    </row>
    <row r="42" spans="1:3" s="46" customFormat="1" ht="15.6">
      <c r="A42" s="46" t="s">
        <v>854</v>
      </c>
      <c r="B42" s="121">
        <f>B45-B44</f>
        <v>45416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45418</v>
      </c>
      <c r="C45" s="107"/>
    </row>
    <row r="46" spans="1:3" s="46" customFormat="1" ht="15.6">
      <c r="A46" s="46" t="s">
        <v>1100</v>
      </c>
      <c r="B46" s="46">
        <v>0</v>
      </c>
      <c r="C46" s="107"/>
    </row>
    <row r="47" spans="1:3" s="46" customFormat="1" ht="15.6">
      <c r="A47" s="46" t="s">
        <v>736</v>
      </c>
      <c r="B47" s="83">
        <f>B48-B46</f>
        <v>45422</v>
      </c>
      <c r="C47" s="107" t="s">
        <v>978</v>
      </c>
    </row>
    <row r="48" spans="1:3" s="46" customFormat="1" ht="15.6">
      <c r="A48" s="46" t="s">
        <v>857</v>
      </c>
      <c r="B48" s="83">
        <f>'Agreement 3'!B26</f>
        <v>45422</v>
      </c>
      <c r="C48" s="45" t="s">
        <v>977</v>
      </c>
    </row>
    <row r="49" spans="1:5" ht="15.6">
      <c r="A49" s="46" t="s">
        <v>400</v>
      </c>
      <c r="B49" s="35">
        <f>B48-B42+1-B43</f>
        <v>7</v>
      </c>
      <c r="C49" s="11" t="s">
        <v>978</v>
      </c>
    </row>
    <row r="50" spans="1:5" ht="15.6">
      <c r="A50" s="11" t="s">
        <v>1102</v>
      </c>
      <c r="B50" s="46">
        <v>0</v>
      </c>
    </row>
    <row r="51" spans="1:5">
      <c r="A51" s="11" t="s">
        <v>1101</v>
      </c>
      <c r="B51" s="204">
        <f>B50+B47</f>
        <v>45422</v>
      </c>
      <c r="C51" s="11" t="s">
        <v>978</v>
      </c>
    </row>
    <row r="52" spans="1:5" ht="15.6">
      <c r="A52" s="11" t="s">
        <v>1311</v>
      </c>
      <c r="B52" s="46">
        <v>21</v>
      </c>
    </row>
    <row r="53" spans="1:5">
      <c r="A53" s="11" t="s">
        <v>1103</v>
      </c>
      <c r="B53" s="204">
        <f>B51+B52-1</f>
        <v>45442</v>
      </c>
      <c r="C53" s="11" t="s">
        <v>978</v>
      </c>
    </row>
    <row r="55" spans="1:5" s="46" customFormat="1" ht="31.2">
      <c r="A55" s="47" t="s">
        <v>941</v>
      </c>
      <c r="B55" s="47"/>
      <c r="C55" s="45"/>
    </row>
    <row r="56" spans="1:5" s="46" customFormat="1" ht="15.6">
      <c r="A56" s="46" t="s">
        <v>942</v>
      </c>
      <c r="B56" s="51" t="str">
        <f>'Agreement 3'!B23</f>
        <v>Conduct Maturity Level 5 appraisal in May 2024</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NASA</v>
      </c>
      <c r="C3" s="45" t="s">
        <v>977</v>
      </c>
    </row>
    <row r="4" spans="1:3">
      <c r="A4" s="46" t="s">
        <v>14</v>
      </c>
      <c r="B4" s="51" t="str">
        <f>IF('Agreement 3'!B17&lt;&gt;"",'Agreement 3'!B17,"")</f>
        <v>NASA</v>
      </c>
      <c r="C4" s="45" t="s">
        <v>977</v>
      </c>
    </row>
    <row r="5" spans="1:3" s="11" customFormat="1" ht="14.4">
      <c r="A5" s="11" t="s">
        <v>31</v>
      </c>
      <c r="B5" s="11" t="s">
        <v>1528</v>
      </c>
    </row>
    <row r="6" spans="1:3" s="11" customFormat="1" ht="14.4">
      <c r="A6" s="11" t="s">
        <v>32</v>
      </c>
      <c r="B6" s="11" t="s">
        <v>1527</v>
      </c>
    </row>
    <row r="7" spans="1:3" s="11" customFormat="1">
      <c r="A7" s="11" t="s">
        <v>33</v>
      </c>
      <c r="B7" s="51" t="str">
        <f>'Agreement 3'!B18</f>
        <v>Base Camp Artemis</v>
      </c>
      <c r="C7" s="11" t="s">
        <v>977</v>
      </c>
    </row>
    <row r="8" spans="1:3" s="11" customFormat="1">
      <c r="A8" s="11" t="s">
        <v>34</v>
      </c>
      <c r="B8" s="51" t="str">
        <f>'Agreement 3'!B19</f>
        <v>South Pole</v>
      </c>
      <c r="C8" s="11" t="s">
        <v>977</v>
      </c>
    </row>
    <row r="9" spans="1:3" s="11" customFormat="1" ht="14.4">
      <c r="A9" s="11" t="s">
        <v>35</v>
      </c>
      <c r="B9" s="11" t="s">
        <v>1532</v>
      </c>
    </row>
    <row r="10" spans="1:3" s="11" customFormat="1" ht="14.4">
      <c r="A10" s="11" t="s">
        <v>17</v>
      </c>
      <c r="B10" s="13" t="s">
        <v>18</v>
      </c>
      <c r="C10" s="11" t="s">
        <v>384</v>
      </c>
    </row>
    <row r="11" spans="1:3" ht="31.2">
      <c r="A11" s="46" t="s">
        <v>832</v>
      </c>
      <c r="B11" s="78" t="str">
        <f>_xlfn.CONCAT(B5,", ",B6,", ",B7,", ",B8,", ",B9,", ",B10)</f>
        <v>Room 1, Dome 1, No. 1 First Street, Base Camp Artemis, South Pole, Planet04, China</v>
      </c>
      <c r="C11" s="45" t="s">
        <v>978</v>
      </c>
    </row>
    <row r="12" spans="1:3">
      <c r="A12" s="46" t="s">
        <v>833</v>
      </c>
      <c r="B12" s="259" t="s">
        <v>1529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organization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1478</v>
      </c>
    </row>
    <row r="21" spans="1:3" ht="86.4">
      <c r="A21" s="46" t="s">
        <v>839</v>
      </c>
      <c r="B21" s="255" t="s">
        <v>1531</v>
      </c>
    </row>
    <row r="22" spans="1:3" ht="31.2">
      <c r="A22" s="46" t="s">
        <v>840</v>
      </c>
      <c r="B22" s="50" t="s">
        <v>347</v>
      </c>
      <c r="C22" s="45" t="s">
        <v>384</v>
      </c>
    </row>
    <row r="23" spans="1:3">
      <c r="A23" s="46" t="s">
        <v>841</v>
      </c>
      <c r="B23" s="401" t="s">
        <v>1681</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Camp Artemis</v>
      </c>
      <c r="C27" s="11" t="s">
        <v>977</v>
      </c>
    </row>
    <row r="28" spans="1:3" s="11" customFormat="1">
      <c r="A28" s="11" t="s">
        <v>34</v>
      </c>
      <c r="B28" s="51" t="str">
        <f t="shared" si="0"/>
        <v>South Pole</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Camp Artemis, South Pole, Planet04, China</v>
      </c>
      <c r="C31" s="45" t="s">
        <v>978</v>
      </c>
    </row>
    <row r="33" spans="1:3">
      <c r="A33" s="47" t="s">
        <v>842</v>
      </c>
      <c r="B33" s="47"/>
    </row>
    <row r="34" spans="1:3">
      <c r="A34" s="46" t="s">
        <v>843</v>
      </c>
      <c r="B34" s="51" t="str">
        <f>'Agreement 3'!B29</f>
        <v>Administrator of NASA</v>
      </c>
      <c r="C34" s="45" t="s">
        <v>977</v>
      </c>
    </row>
    <row r="35" spans="1:3">
      <c r="A35" s="46" t="s">
        <v>844</v>
      </c>
      <c r="B35" s="51" t="str">
        <f>'Agreement 3'!B28</f>
        <v>Bill Nelson</v>
      </c>
      <c r="C35" s="45" t="s">
        <v>977</v>
      </c>
    </row>
    <row r="36" spans="1:3">
      <c r="A36" s="46" t="s">
        <v>845</v>
      </c>
      <c r="B36" s="51" t="str">
        <f>'Agreement 3'!B16</f>
        <v>NASA</v>
      </c>
      <c r="C36" s="45" t="s">
        <v>977</v>
      </c>
    </row>
    <row r="37" spans="1:3" ht="31.2">
      <c r="A37" s="46" t="s">
        <v>1055</v>
      </c>
      <c r="B37" s="50" t="s">
        <v>718</v>
      </c>
      <c r="C37" s="45" t="s">
        <v>384</v>
      </c>
    </row>
    <row r="38" spans="1:3" ht="31.2">
      <c r="A38" s="46" t="s">
        <v>846</v>
      </c>
      <c r="B38" s="48" t="str">
        <f>B11</f>
        <v>Room 1, Dome 1, No. 1 First Street, Base Camp Artemis, South Pole, Planet04, China</v>
      </c>
      <c r="C38" s="45" t="s">
        <v>978</v>
      </c>
    </row>
    <row r="39" spans="1:3">
      <c r="A39" s="46" t="s">
        <v>847</v>
      </c>
      <c r="B39" s="74" t="str">
        <f>'Agreement 3'!B31</f>
        <v>bill.nelson@nasa.gov</v>
      </c>
      <c r="C39" s="45" t="s">
        <v>977</v>
      </c>
    </row>
    <row r="40" spans="1:3">
      <c r="A40" s="46" t="s">
        <v>848</v>
      </c>
      <c r="B40" s="75" t="str">
        <f>'Agreement 3'!B30</f>
        <v>+1 202-358-0001</v>
      </c>
      <c r="C40" s="45" t="s">
        <v>977</v>
      </c>
    </row>
    <row r="42" spans="1:3">
      <c r="A42" s="47" t="s">
        <v>419</v>
      </c>
      <c r="B42" s="47"/>
    </row>
    <row r="43" spans="1:3">
      <c r="A43" s="46" t="s">
        <v>993</v>
      </c>
      <c r="B43" s="51" t="str">
        <f>'Agreement 3'!B33</f>
        <v>Ella Harper</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ella.harper@nasa.gov</v>
      </c>
      <c r="C46" s="45" t="s">
        <v>977</v>
      </c>
    </row>
    <row r="48" spans="1:3">
      <c r="A48" s="47" t="s">
        <v>27</v>
      </c>
      <c r="B48" s="47"/>
    </row>
    <row r="49" spans="1:3">
      <c r="A49" s="46" t="s">
        <v>13</v>
      </c>
      <c r="B49" s="51" t="str">
        <f>'Agreement 3'!B39</f>
        <v>Lingua Bridges</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+1 202-358-1110</v>
      </c>
      <c r="C54" s="45" t="s">
        <v>977</v>
      </c>
    </row>
    <row r="55" spans="1:3">
      <c r="A55" s="46" t="s">
        <v>851</v>
      </c>
      <c r="B55" s="74" t="str">
        <f>'Agreement 3'!B43</f>
        <v>lingua.bridges@ris.com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1573</v>
      </c>
      <c r="AF2" s="226" t="s">
        <v>1147</v>
      </c>
      <c r="AG2" s="226" t="s">
        <v>1574</v>
      </c>
      <c r="AH2" s="226" t="s">
        <v>1575</v>
      </c>
      <c r="AI2" s="226" t="s">
        <v>1124</v>
      </c>
      <c r="AJ2" s="227" t="s">
        <v>1148</v>
      </c>
    </row>
    <row r="3" spans="1:36" s="228" customFormat="1" ht="13.8">
      <c r="A3" s="229" t="s">
        <v>875</v>
      </c>
      <c r="B3" s="228" t="s">
        <v>1739</v>
      </c>
      <c r="C3" s="229" t="s">
        <v>1742</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1640</v>
      </c>
      <c r="AC3" s="233" t="s">
        <v>406</v>
      </c>
      <c r="AD3" s="233"/>
      <c r="AE3" s="233"/>
      <c r="AF3" s="233"/>
      <c r="AG3" s="233"/>
      <c r="AH3" s="233"/>
      <c r="AI3" s="233"/>
      <c r="AJ3" s="234"/>
    </row>
    <row r="4" spans="1:36" s="228" customFormat="1" ht="13.8">
      <c r="A4" s="229" t="s">
        <v>876</v>
      </c>
      <c r="B4" s="228" t="s">
        <v>1738</v>
      </c>
      <c r="C4" s="229" t="s">
        <v>1743</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1640</v>
      </c>
      <c r="AC4" s="233" t="s">
        <v>406</v>
      </c>
      <c r="AD4" s="233"/>
      <c r="AE4" s="233"/>
      <c r="AF4" s="233"/>
      <c r="AG4" s="233"/>
      <c r="AH4" s="233"/>
      <c r="AI4" s="233"/>
      <c r="AJ4" s="234"/>
    </row>
    <row r="5" spans="1:36" s="228" customFormat="1" ht="13.8">
      <c r="A5" s="229" t="s">
        <v>877</v>
      </c>
      <c r="B5" s="228" t="s">
        <v>1737</v>
      </c>
      <c r="C5" s="229" t="s">
        <v>1744</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1640</v>
      </c>
      <c r="AC5" s="233"/>
      <c r="AD5" s="233" t="s">
        <v>406</v>
      </c>
      <c r="AE5" s="233"/>
      <c r="AF5" s="233"/>
      <c r="AG5" s="233"/>
      <c r="AH5" s="233"/>
      <c r="AI5" s="233"/>
      <c r="AJ5" s="234"/>
    </row>
    <row r="6" spans="1:36" s="228" customFormat="1" ht="13.8">
      <c r="A6" s="229" t="s">
        <v>878</v>
      </c>
      <c r="B6" s="228" t="s">
        <v>1736</v>
      </c>
      <c r="C6" s="235" t="s">
        <v>1745</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1640</v>
      </c>
      <c r="AC6" s="233" t="s">
        <v>406</v>
      </c>
      <c r="AD6" s="233"/>
      <c r="AE6" s="233"/>
      <c r="AF6" s="233"/>
      <c r="AG6" s="233"/>
      <c r="AH6" s="233"/>
      <c r="AI6" s="233"/>
      <c r="AJ6" s="234"/>
    </row>
    <row r="7" spans="1:36" s="228" customFormat="1" ht="13.8">
      <c r="A7" s="229" t="s">
        <v>1730</v>
      </c>
      <c r="B7" s="228" t="s">
        <v>1735</v>
      </c>
      <c r="C7" s="235" t="s">
        <v>1746</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1640</v>
      </c>
      <c r="AC7" s="233"/>
      <c r="AD7" s="233" t="s">
        <v>406</v>
      </c>
      <c r="AE7" s="233"/>
      <c r="AF7" s="233"/>
      <c r="AG7" s="233"/>
      <c r="AH7" s="233"/>
      <c r="AI7" s="233"/>
      <c r="AJ7" s="234"/>
    </row>
    <row r="8" spans="1:36" s="228" customFormat="1" ht="13.8">
      <c r="A8" s="229" t="s">
        <v>1731</v>
      </c>
      <c r="B8" s="228" t="s">
        <v>1734</v>
      </c>
      <c r="C8" s="235" t="s">
        <v>1747</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1640</v>
      </c>
      <c r="AC8" s="233" t="s">
        <v>406</v>
      </c>
      <c r="AD8" s="233"/>
      <c r="AE8" s="233"/>
      <c r="AF8" s="233"/>
      <c r="AG8" s="233"/>
      <c r="AH8" s="233"/>
      <c r="AI8" s="233"/>
      <c r="AJ8" s="234"/>
    </row>
    <row r="9" spans="1:36" s="228" customFormat="1" ht="13.8">
      <c r="A9" s="229" t="s">
        <v>1732</v>
      </c>
      <c r="B9" s="228" t="s">
        <v>1733</v>
      </c>
      <c r="C9" s="235" t="s">
        <v>1748</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1640</v>
      </c>
      <c r="AC9" s="233"/>
      <c r="AD9" s="233" t="s">
        <v>406</v>
      </c>
      <c r="AE9" s="233"/>
      <c r="AF9" s="233"/>
      <c r="AG9" s="233"/>
      <c r="AH9" s="233"/>
      <c r="AI9" s="233"/>
      <c r="AJ9" s="234"/>
    </row>
    <row r="10" spans="1:36" s="228" customFormat="1" ht="27.6">
      <c r="A10" s="237" t="s">
        <v>880</v>
      </c>
      <c r="B10" s="237" t="s">
        <v>1636</v>
      </c>
      <c r="C10" s="237" t="s">
        <v>1740</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1637</v>
      </c>
      <c r="C11" s="237" t="s">
        <v>1484</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1640</v>
      </c>
      <c r="AC11" s="233"/>
      <c r="AD11" s="233"/>
      <c r="AE11" s="233"/>
      <c r="AF11" s="233" t="s">
        <v>406</v>
      </c>
      <c r="AG11" s="233" t="s">
        <v>406</v>
      </c>
      <c r="AH11" s="233"/>
      <c r="AI11" s="233"/>
      <c r="AJ11" s="234"/>
    </row>
    <row r="12" spans="1:36" s="228" customFormat="1" ht="41.4">
      <c r="A12" s="237" t="s">
        <v>882</v>
      </c>
      <c r="B12" s="237" t="s">
        <v>1638</v>
      </c>
      <c r="C12" s="237" t="s">
        <v>1485</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1639</v>
      </c>
      <c r="C13" s="237" t="s">
        <v>1486</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1568</v>
      </c>
    </row>
    <row r="27" spans="3:3" ht="40.5" customHeight="1">
      <c r="C27" s="11" t="s">
        <v>1539</v>
      </c>
    </row>
    <row r="28" spans="3:3" ht="40.5" customHeight="1">
      <c r="C28" s="11" t="s">
        <v>1538</v>
      </c>
    </row>
    <row r="29" spans="3:3" ht="40.5" customHeight="1">
      <c r="C29" s="11" t="s">
        <v>1741</v>
      </c>
    </row>
    <row r="30" spans="3:3" ht="40.5" customHeight="1">
      <c r="C30" s="11" t="s">
        <v>1540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1487</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1488</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1489</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1490</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1491</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1492</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1493</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1494</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1495</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1496</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1497</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1498</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1499</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1500</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1501</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1502</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1503</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1504</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1505</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1506</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1507</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1508</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1572</v>
      </c>
      <c r="D25" s="395" t="s">
        <v>1571</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1509</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1510</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1571</v>
      </c>
      <c r="B8" s="98" t="s">
        <v>968</v>
      </c>
      <c r="C8" s="57" t="s">
        <v>406</v>
      </c>
      <c r="D8" s="57"/>
      <c r="E8" s="57" t="s">
        <v>406</v>
      </c>
      <c r="F8" s="57"/>
      <c r="G8" s="57"/>
      <c r="H8" s="57"/>
      <c r="I8" s="57" t="s">
        <v>406</v>
      </c>
      <c r="J8" s="57"/>
      <c r="K8" s="57"/>
      <c r="L8" s="57"/>
      <c r="M8" s="57"/>
      <c r="N8" s="57"/>
      <c r="O8" s="57"/>
      <c r="P8" s="57"/>
      <c r="Q8" s="57"/>
      <c r="R8" s="57"/>
      <c r="S8" s="57"/>
      <c r="T8" s="57"/>
      <c r="U8" s="57"/>
      <c r="V8" s="57"/>
      <c r="W8" s="45" t="s">
        <v>1571</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1479</v>
      </c>
      <c r="B10">
        <v>5</v>
      </c>
      <c r="K10">
        <v>5</v>
      </c>
    </row>
    <row r="11" spans="1:11">
      <c r="A11" s="108" t="s">
        <v>1480</v>
      </c>
      <c r="C11">
        <v>5</v>
      </c>
      <c r="K11">
        <v>5</v>
      </c>
    </row>
    <row r="12" spans="1:11">
      <c r="A12" s="108" t="s">
        <v>1481</v>
      </c>
      <c r="D12">
        <v>5</v>
      </c>
      <c r="K12">
        <v>5</v>
      </c>
    </row>
    <row r="13" spans="1:11">
      <c r="A13" s="108" t="s">
        <v>1482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1487</v>
      </c>
      <c r="B5">
        <v>1</v>
      </c>
    </row>
    <row r="6" spans="1:14">
      <c r="A6" s="108" t="s">
        <v>1488</v>
      </c>
      <c r="B6">
        <v>1</v>
      </c>
    </row>
    <row r="7" spans="1:14">
      <c r="A7" s="108" t="s">
        <v>1489</v>
      </c>
      <c r="B7">
        <v>1</v>
      </c>
    </row>
    <row r="8" spans="1:14">
      <c r="A8" s="108" t="s">
        <v>1490</v>
      </c>
      <c r="B8">
        <v>1</v>
      </c>
    </row>
    <row r="9" spans="1:14">
      <c r="A9" s="108" t="s">
        <v>1491</v>
      </c>
      <c r="B9">
        <v>1</v>
      </c>
    </row>
    <row r="10" spans="1:14">
      <c r="A10" s="108" t="s">
        <v>1492</v>
      </c>
      <c r="B10">
        <v>1</v>
      </c>
    </row>
    <row r="11" spans="1:14">
      <c r="A11" s="108" t="s">
        <v>1493</v>
      </c>
      <c r="B11">
        <v>1</v>
      </c>
    </row>
    <row r="12" spans="1:14">
      <c r="A12" s="108" t="s">
        <v>1494</v>
      </c>
      <c r="B12">
        <v>1</v>
      </c>
    </row>
    <row r="13" spans="1:14">
      <c r="A13" s="108" t="s">
        <v>1495</v>
      </c>
      <c r="B13">
        <v>1</v>
      </c>
    </row>
    <row r="14" spans="1:14">
      <c r="A14" s="108" t="s">
        <v>1496</v>
      </c>
      <c r="B14">
        <v>1</v>
      </c>
    </row>
    <row r="15" spans="1:14">
      <c r="A15" s="108" t="s">
        <v>1497</v>
      </c>
      <c r="B15">
        <v>1</v>
      </c>
    </row>
    <row r="16" spans="1:14">
      <c r="A16" s="108" t="s">
        <v>1498</v>
      </c>
      <c r="B16">
        <v>1</v>
      </c>
    </row>
    <row r="17" spans="1:2">
      <c r="A17" s="108" t="s">
        <v>1499</v>
      </c>
      <c r="B17">
        <v>1</v>
      </c>
    </row>
    <row r="18" spans="1:2">
      <c r="A18" s="108" t="s">
        <v>1500</v>
      </c>
      <c r="B18">
        <v>1</v>
      </c>
    </row>
    <row r="19" spans="1:2">
      <c r="A19" s="108" t="s">
        <v>1501</v>
      </c>
      <c r="B19">
        <v>1</v>
      </c>
    </row>
    <row r="20" spans="1:2">
      <c r="A20" s="108" t="s">
        <v>1502</v>
      </c>
      <c r="B20">
        <v>1</v>
      </c>
    </row>
    <row r="21" spans="1:2">
      <c r="A21" s="108" t="s">
        <v>1503</v>
      </c>
      <c r="B21">
        <v>1</v>
      </c>
    </row>
    <row r="22" spans="1:2">
      <c r="A22" s="108" t="s">
        <v>1504</v>
      </c>
      <c r="B22">
        <v>1</v>
      </c>
    </row>
    <row r="23" spans="1:2">
      <c r="A23" s="108" t="s">
        <v>1505</v>
      </c>
      <c r="B23">
        <v>1</v>
      </c>
    </row>
    <row r="24" spans="1:2">
      <c r="A24" s="108" t="s">
        <v>1506</v>
      </c>
      <c r="B24">
        <v>1</v>
      </c>
    </row>
    <row r="25" spans="1:2">
      <c r="A25" s="108" t="s">
        <v>1507</v>
      </c>
      <c r="B25">
        <v>1</v>
      </c>
    </row>
    <row r="26" spans="1:2">
      <c r="A26" s="108" t="s">
        <v>1508</v>
      </c>
      <c r="B26">
        <v>1</v>
      </c>
    </row>
    <row r="27" spans="1:2">
      <c r="A27" s="108" t="s">
        <v>1572</v>
      </c>
      <c r="B27">
        <v>1</v>
      </c>
    </row>
    <row r="28" spans="1:2">
      <c r="A28" s="108" t="s">
        <v>1509</v>
      </c>
      <c r="B28">
        <v>1</v>
      </c>
    </row>
    <row r="29" spans="1:2">
      <c r="A29" s="108" t="s">
        <v>1510</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https://cmmiinstitute.com/appraisals-sys/appraisals/384400/name-and-type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organization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https://cmmiinstitute.com/appraisals-sys/appraisals/384400/organizations</v>
      </c>
    </row>
    <row r="16" spans="1:3">
      <c r="A16" s="11" t="s">
        <v>13</v>
      </c>
      <c r="B16" s="77" t="str">
        <f>'Agreement 3'!B16</f>
        <v>NASA</v>
      </c>
      <c r="C16" s="16" t="s">
        <v>977</v>
      </c>
    </row>
    <row r="17" spans="1:23">
      <c r="A17" s="11" t="s">
        <v>30</v>
      </c>
      <c r="B17" s="77" t="str">
        <f>StartupInfo!B4</f>
        <v>NASA</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Camp Artemis</v>
      </c>
      <c r="C20" s="16" t="s">
        <v>927</v>
      </c>
    </row>
    <row r="21" spans="1:23">
      <c r="A21" s="11" t="s">
        <v>34</v>
      </c>
      <c r="B21" s="77" t="str">
        <f>StartupInfo!B8</f>
        <v>South Pole</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https://cmmiinstitute.com/appraisals-sys/appraisals/384400/org-units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NASA(NASA)</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1764</v>
      </c>
      <c r="B44" s="28"/>
      <c r="C44" s="29"/>
    </row>
    <row r="45" spans="1:23" s="46" customFormat="1" ht="15.6">
      <c r="A45" s="403" t="s">
        <v>1749</v>
      </c>
      <c r="B45" s="45"/>
      <c r="C45" s="45"/>
    </row>
    <row r="46" spans="1:23">
      <c r="A46" s="11" t="s">
        <v>1749</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1753</v>
      </c>
      <c r="B51" s="255" t="str">
        <f>IF(Planning!B19&lt;&gt;"","x","")</f>
        <v>x</v>
      </c>
    </row>
    <row r="52" spans="1:23">
      <c r="A52" s="11" t="s">
        <v>1754</v>
      </c>
      <c r="B52" s="255" t="str">
        <f>IF(Planning!B20&lt;&gt;"","x","")</f>
        <v/>
      </c>
    </row>
    <row r="53" spans="1:23">
      <c r="A53" s="11" t="s">
        <v>1755</v>
      </c>
      <c r="B53" s="255" t="str">
        <f>IF(Planning!B21&lt;&gt;"","x","")</f>
        <v/>
      </c>
    </row>
    <row r="54" spans="1:23">
      <c r="A54" s="11" t="s">
        <v>1756</v>
      </c>
      <c r="B54" s="255" t="str">
        <f>IF(Planning!B22&lt;&gt;"","x","")</f>
        <v/>
      </c>
    </row>
    <row r="55" spans="1:23">
      <c r="A55" s="11" t="s">
        <v>1757</v>
      </c>
      <c r="B55" s="255" t="str">
        <f>IF(Planning!B23&lt;&gt;"","x","")</f>
        <v/>
      </c>
    </row>
    <row r="56" spans="1:23">
      <c r="A56" s="11" t="s">
        <v>1758</v>
      </c>
      <c r="B56" s="255" t="str">
        <f>IF(Planning!B24&lt;&gt;"","x","")</f>
        <v/>
      </c>
    </row>
    <row r="58" spans="1:23">
      <c r="A58" s="27" t="s">
        <v>751</v>
      </c>
      <c r="B58" s="28"/>
      <c r="C58" s="29"/>
    </row>
    <row r="59" spans="1:23">
      <c r="A59" s="32" t="s">
        <v>752</v>
      </c>
      <c r="B59" s="31" t="s">
        <v>1765</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https://cmmiinstitute.com/appraisals-sys/appraisals/384400/timeline</v>
      </c>
    </row>
    <row r="64" spans="1:23">
      <c r="A64" s="14" t="s">
        <v>390</v>
      </c>
    </row>
    <row r="65" spans="1:23">
      <c r="A65" s="11" t="s">
        <v>391</v>
      </c>
      <c r="B65" s="34">
        <f>'Agreement 3'!B22</f>
        <v>45018</v>
      </c>
      <c r="C65" s="16" t="s">
        <v>977</v>
      </c>
    </row>
    <row r="66" spans="1:23">
      <c r="A66" s="11" t="s">
        <v>392</v>
      </c>
      <c r="B66" s="34">
        <f>B81-1</f>
        <v>45415</v>
      </c>
      <c r="C66" s="16" t="s">
        <v>978</v>
      </c>
    </row>
    <row r="68" spans="1:23">
      <c r="A68" s="14" t="s">
        <v>393</v>
      </c>
      <c r="D68" s="30" t="s">
        <v>802</v>
      </c>
    </row>
    <row r="69" spans="1:23">
      <c r="A69" s="11" t="s">
        <v>394</v>
      </c>
      <c r="B69" s="34" t="s">
        <v>1766</v>
      </c>
    </row>
    <row r="70" spans="1:23">
      <c r="A70" s="11" t="s">
        <v>395</v>
      </c>
      <c r="B70" s="34">
        <f>Planning!B36</f>
        <v>45387</v>
      </c>
      <c r="C70" s="16" t="s">
        <v>938</v>
      </c>
    </row>
    <row r="71" spans="1:23">
      <c r="A71" s="11" t="s">
        <v>396</v>
      </c>
      <c r="B71" s="34">
        <f>B70</f>
        <v>45387</v>
      </c>
      <c r="C71" s="404" t="s">
        <v>978</v>
      </c>
    </row>
    <row r="72" spans="1:23">
      <c r="B72" s="404"/>
      <c r="C72" s="404"/>
    </row>
    <row r="73" spans="1:23">
      <c r="A73" s="14" t="s">
        <v>394</v>
      </c>
      <c r="B73" s="34" t="s">
        <v>1767</v>
      </c>
      <c r="C73" s="404"/>
    </row>
    <row r="74" spans="1:23">
      <c r="A74" s="11" t="s">
        <v>395</v>
      </c>
      <c r="B74" s="34">
        <f>Planning!B39</f>
        <v>45405</v>
      </c>
      <c r="C74" s="16" t="s">
        <v>938</v>
      </c>
    </row>
    <row r="75" spans="1:23">
      <c r="A75" s="11" t="s">
        <v>396</v>
      </c>
      <c r="B75" s="34">
        <f>B74</f>
        <v>45405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45416</v>
      </c>
      <c r="C81" s="16" t="s">
        <v>938</v>
      </c>
    </row>
    <row r="82" spans="1:4">
      <c r="A82" s="21" t="s">
        <v>706</v>
      </c>
      <c r="B82" s="34">
        <f>'Agreement 3'!B25</f>
        <v>45418</v>
      </c>
      <c r="C82" s="16" t="s">
        <v>977</v>
      </c>
    </row>
    <row r="83" spans="1:4">
      <c r="A83" s="11" t="s">
        <v>399</v>
      </c>
      <c r="B83" s="34">
        <f>Planning!B48</f>
        <v>45422</v>
      </c>
      <c r="C83" s="16" t="s">
        <v>938</v>
      </c>
    </row>
    <row r="84" spans="1:4">
      <c r="A84" s="11" t="s">
        <v>400</v>
      </c>
      <c r="B84" s="35">
        <f>Planning!B49</f>
        <v>7</v>
      </c>
      <c r="C84" s="16" t="s">
        <v>938</v>
      </c>
    </row>
    <row r="86" spans="1:4">
      <c r="A86" s="14" t="s">
        <v>401</v>
      </c>
    </row>
    <row r="87" spans="1:4">
      <c r="A87" s="11" t="s">
        <v>402</v>
      </c>
      <c r="B87" s="34">
        <f>Planning!B51</f>
        <v>45422</v>
      </c>
      <c r="C87" s="16" t="s">
        <v>938</v>
      </c>
    </row>
    <row r="88" spans="1:4">
      <c r="A88" s="11" t="s">
        <v>403</v>
      </c>
      <c r="B88" s="34">
        <f>Planning!B53</f>
        <v>45442</v>
      </c>
      <c r="C88" s="16" t="s">
        <v>938</v>
      </c>
    </row>
    <row r="90" spans="1:4">
      <c r="A90" s="27" t="s">
        <v>1768</v>
      </c>
      <c r="B90" s="28"/>
      <c r="C90" s="29" t="str">
        <f>HYPERLINK(_xlfn.CONCAT("https://cmmiinstitute.com/appraisals-sys/appraisals/",Planning!$B$31,"/timeline"))</f>
        <v>https://cmmiinstitute.com/appraisals-sys/appraisals/384400/timeline</v>
      </c>
    </row>
    <row r="92" spans="1:4">
      <c r="A92" s="14" t="s">
        <v>393</v>
      </c>
      <c r="D92" s="30" t="s">
        <v>802</v>
      </c>
    </row>
    <row r="93" spans="1:4">
      <c r="A93" s="11" t="s">
        <v>394</v>
      </c>
      <c r="B93" s="34" t="str">
        <f>B69</f>
        <v>30% Readiness review</v>
      </c>
    </row>
    <row r="94" spans="1:4">
      <c r="A94" s="11" t="s">
        <v>395</v>
      </c>
      <c r="B94" s="34">
        <f t="shared" ref="B94:B95" si="0">B70</f>
        <v>45387</v>
      </c>
      <c r="C94" s="16" t="s">
        <v>938</v>
      </c>
    </row>
    <row r="95" spans="1:4">
      <c r="A95" s="11" t="s">
        <v>396</v>
      </c>
      <c r="B95" s="34">
        <f t="shared" si="0"/>
        <v>45387</v>
      </c>
      <c r="C95" s="404" t="s">
        <v>978</v>
      </c>
    </row>
    <row r="96" spans="1:4">
      <c r="B96" s="111"/>
      <c r="C96" s="404"/>
    </row>
    <row r="97" spans="1:23" ht="100.8">
      <c r="A97" s="11" t="s">
        <v>725</v>
      </c>
      <c r="B97" s="21" t="s">
        <v>1775</v>
      </c>
      <c r="C97" s="404"/>
    </row>
    <row r="98" spans="1:23" ht="86.4">
      <c r="A98" s="11" t="s">
        <v>726</v>
      </c>
      <c r="B98" s="21" t="s">
        <v>1776</v>
      </c>
      <c r="C98" s="404"/>
    </row>
    <row r="99" spans="1:23">
      <c r="A99" s="11" t="s">
        <v>727</v>
      </c>
      <c r="B99" s="89" t="str">
        <f>_xlfn.CONCAT('P1-Personnel'!B9," and ",'P1-Personnel'!B13)</f>
        <v>Dr Pieter van Zyl and ATM-1</v>
      </c>
      <c r="C99" s="404" t="s">
        <v>978</v>
      </c>
    </row>
    <row r="100" spans="1:23">
      <c r="A100" s="11" t="s">
        <v>728</v>
      </c>
      <c r="B100" s="11" t="s">
        <v>1777</v>
      </c>
      <c r="C100" s="404"/>
    </row>
    <row r="101" spans="1:23">
      <c r="A101" s="11" t="s">
        <v>1769</v>
      </c>
      <c r="B101" s="11" t="s">
        <v>29</v>
      </c>
      <c r="C101" s="404"/>
    </row>
    <row r="102" spans="1:23">
      <c r="A102" s="11" t="s">
        <v>1770</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45405</v>
      </c>
      <c r="C105" s="16" t="s">
        <v>938</v>
      </c>
    </row>
    <row r="106" spans="1:23">
      <c r="A106" s="11" t="s">
        <v>396</v>
      </c>
      <c r="B106" s="34">
        <f t="shared" si="1"/>
        <v>45405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1778</v>
      </c>
      <c r="C108" s="404"/>
    </row>
    <row r="109" spans="1:23" ht="86.4">
      <c r="A109" s="11" t="s">
        <v>726</v>
      </c>
      <c r="B109" s="405" t="s">
        <v>1771</v>
      </c>
      <c r="C109" s="404"/>
    </row>
    <row r="110" spans="1:23">
      <c r="A110" s="11" t="s">
        <v>727</v>
      </c>
      <c r="B110" s="406" t="str">
        <f>_xlfn.CONCAT('P1-Personnel'!B9," and ",'P1-Personnel'!B13)</f>
        <v>Dr Pieter van Zyl and ATM-1</v>
      </c>
      <c r="C110" s="404" t="s">
        <v>978</v>
      </c>
    </row>
    <row r="111" spans="1:23">
      <c r="A111" s="11" t="s">
        <v>728</v>
      </c>
      <c r="B111" s="111" t="s">
        <v>1777</v>
      </c>
      <c r="C111" s="404"/>
    </row>
    <row r="112" spans="1:23">
      <c r="A112" s="11" t="s">
        <v>1769</v>
      </c>
      <c r="B112" s="111" t="s">
        <v>29</v>
      </c>
      <c r="C112" s="404"/>
    </row>
    <row r="113" spans="1:23">
      <c r="A113" s="11" t="s">
        <v>1770</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1772</v>
      </c>
    </row>
    <row r="143" spans="1:3">
      <c r="A143" s="219" t="s">
        <v>732</v>
      </c>
      <c r="B143" s="219" t="s">
        <v>1129</v>
      </c>
      <c r="C143" s="217"/>
    </row>
    <row r="144" spans="1:3" ht="15" thickBot="1">
      <c r="A144" s="220" t="s">
        <v>811</v>
      </c>
      <c r="B144" s="220" t="s">
        <v>812</v>
      </c>
      <c r="C144" s="217"/>
    </row>
    <row r="145" spans="1:3">
      <c r="A145" s="221" t="s">
        <v>731</v>
      </c>
      <c r="B145" s="221" t="s">
        <v>1773</v>
      </c>
      <c r="C145" s="217"/>
    </row>
    <row r="146" spans="1:3" ht="15" thickBot="1">
      <c r="A146" s="220" t="s">
        <v>811</v>
      </c>
      <c r="B146" s="220" t="s">
        <v>812</v>
      </c>
      <c r="C146" s="217"/>
    </row>
    <row r="147" spans="1:3">
      <c r="A147" s="221" t="s">
        <v>813</v>
      </c>
      <c r="B147" s="221" t="s">
        <v>1774</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https://cmmiinstitute.com/appraisals-sys/appraisals/384400/appraisal-sponsor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Bill Nelson</v>
      </c>
      <c r="C6" s="16" t="s">
        <v>980</v>
      </c>
      <c r="D6" s="78" t="str">
        <f>IF('Agreement 3'!B16="","",'Agreement 3'!B16)</f>
        <v>NASA</v>
      </c>
      <c r="E6" s="87" t="s">
        <v>718</v>
      </c>
      <c r="G6" s="16" t="s">
        <v>713</v>
      </c>
      <c r="H6" s="16" t="s">
        <v>1126</v>
      </c>
      <c r="I6" s="161" t="str">
        <f>'Agreement 3'!B30</f>
        <v>+1 202-358-0001</v>
      </c>
      <c r="V6" s="86" t="str">
        <f>IF('Agreement 3'!B31="","",'Agreement 3'!B31)</f>
        <v>bill.nelson@nasa.gov</v>
      </c>
      <c r="X6" s="49" t="s">
        <v>1533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Ella Harper</v>
      </c>
      <c r="C7" s="87" t="s">
        <v>980</v>
      </c>
      <c r="D7" s="78" t="str">
        <f>IF('Agreement 3'!B35="","",'Agreement 3'!B35)</f>
        <v>NASA</v>
      </c>
      <c r="E7" s="162" t="s">
        <v>718</v>
      </c>
      <c r="F7" s="78"/>
      <c r="G7" s="78" t="s">
        <v>713</v>
      </c>
      <c r="H7" s="87" t="str">
        <f>'Agreement 3'!B34</f>
        <v>Public Affairs Office NASA</v>
      </c>
      <c r="I7" s="78"/>
      <c r="J7" s="78"/>
      <c r="K7" s="78"/>
      <c r="L7" s="78"/>
      <c r="M7" s="78"/>
      <c r="N7" s="78"/>
      <c r="O7" s="78"/>
      <c r="P7" s="78"/>
      <c r="Q7" s="78"/>
      <c r="R7" s="78"/>
      <c r="S7" s="78"/>
      <c r="T7" s="78"/>
      <c r="U7" s="78"/>
      <c r="V7" s="85" t="str">
        <f>IF('Agreement 3'!B37="","",'Agreement 3'!B37)</f>
        <v>ella.harper@nasa.gov</v>
      </c>
      <c r="W7" s="78"/>
    </row>
    <row r="8" spans="1:36">
      <c r="A8" s="11" t="s">
        <v>418</v>
      </c>
      <c r="B8" s="88" t="str">
        <f>StartupInfo!B49</f>
        <v>Lingua Bridges</v>
      </c>
      <c r="C8" s="87" t="s">
        <v>977</v>
      </c>
      <c r="D8" s="87" t="str">
        <f>StartupInfo!B50</f>
        <v>Freelance</v>
      </c>
      <c r="E8" s="87" t="str">
        <f>StartupInfo!B51</f>
        <v>External</v>
      </c>
      <c r="F8" s="78" t="str">
        <f>StartupInfo!B52</f>
        <v>Other</v>
      </c>
      <c r="G8" s="78" t="str">
        <f>StartupInfo!B53</f>
        <v>Reports directly to the ATL</v>
      </c>
      <c r="H8" s="16" t="s">
        <v>1163</v>
      </c>
      <c r="I8" s="87" t="str">
        <f>StartupInfo!B54</f>
        <v>+1 202-358-1110</v>
      </c>
      <c r="J8" s="87"/>
      <c r="K8" s="87"/>
      <c r="L8" s="87"/>
      <c r="M8" s="87"/>
      <c r="N8" s="87"/>
      <c r="O8" s="87"/>
      <c r="P8" s="87"/>
      <c r="Q8" s="87"/>
      <c r="R8" s="87"/>
      <c r="S8" s="87"/>
      <c r="T8" s="87"/>
      <c r="U8" s="87"/>
      <c r="V8" s="86" t="str">
        <f>'Agreement 3'!B43</f>
        <v>lingua.bridges@ris.com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https://cmmiinstitute.com/appraisals-sys/appraisals/384400/appraisal-sponsor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1511</v>
      </c>
      <c r="C13" s="16" t="s">
        <v>1125</v>
      </c>
      <c r="D13" s="16" t="s">
        <v>6</v>
      </c>
      <c r="E13" s="16" t="s">
        <v>987</v>
      </c>
      <c r="F13" s="16" t="s">
        <v>1113</v>
      </c>
      <c r="H13" s="16" t="s">
        <v>947</v>
      </c>
      <c r="I13" s="16" t="s">
        <v>1515</v>
      </c>
      <c r="J13" s="16" t="s">
        <v>1048</v>
      </c>
      <c r="L13" s="16">
        <v>8</v>
      </c>
      <c r="M13" s="161">
        <v>44186</v>
      </c>
      <c r="O13" s="16">
        <v>7</v>
      </c>
      <c r="P13" s="16" t="s">
        <v>420</v>
      </c>
      <c r="Q13" s="16" t="s">
        <v>1029</v>
      </c>
      <c r="R13" s="16">
        <v>3</v>
      </c>
      <c r="S13" s="16">
        <v>0</v>
      </c>
      <c r="T13" s="16" t="s">
        <v>1030</v>
      </c>
      <c r="U13" s="16" t="s">
        <v>1678</v>
      </c>
      <c r="V13" s="29" t="s">
        <v>1519</v>
      </c>
      <c r="AA13" s="253"/>
    </row>
    <row r="14" spans="1:36">
      <c r="A14" s="11" t="s">
        <v>1082</v>
      </c>
      <c r="B14" s="207" t="s">
        <v>1512</v>
      </c>
      <c r="C14" s="16" t="s">
        <v>1125</v>
      </c>
      <c r="D14" s="16" t="s">
        <v>6</v>
      </c>
      <c r="E14" s="16" t="s">
        <v>987</v>
      </c>
      <c r="F14" s="16" t="s">
        <v>1113</v>
      </c>
      <c r="H14" s="16" t="s">
        <v>947</v>
      </c>
      <c r="I14" s="16" t="s">
        <v>1516</v>
      </c>
      <c r="J14" s="16" t="s">
        <v>1048</v>
      </c>
      <c r="L14" s="16">
        <v>8</v>
      </c>
      <c r="M14" s="161">
        <v>44186</v>
      </c>
      <c r="O14" s="16">
        <v>18</v>
      </c>
      <c r="P14" s="16" t="s">
        <v>420</v>
      </c>
      <c r="Q14" s="16" t="s">
        <v>1029</v>
      </c>
      <c r="R14" s="16">
        <v>14</v>
      </c>
      <c r="S14" s="16">
        <v>0</v>
      </c>
      <c r="T14" s="16" t="s">
        <v>1030</v>
      </c>
      <c r="U14" s="16" t="s">
        <v>1678</v>
      </c>
      <c r="V14" s="29" t="s">
        <v>1520</v>
      </c>
      <c r="AA14" s="253"/>
    </row>
    <row r="15" spans="1:36">
      <c r="A15" s="11" t="s">
        <v>1082</v>
      </c>
      <c r="B15" s="207" t="s">
        <v>1513</v>
      </c>
      <c r="C15" s="16" t="s">
        <v>1125</v>
      </c>
      <c r="D15" s="16" t="s">
        <v>6</v>
      </c>
      <c r="E15" s="16" t="s">
        <v>987</v>
      </c>
      <c r="F15" s="16" t="s">
        <v>1113</v>
      </c>
      <c r="H15" s="16" t="s">
        <v>947</v>
      </c>
      <c r="I15" s="16" t="s">
        <v>1517</v>
      </c>
      <c r="J15" s="16" t="s">
        <v>1028</v>
      </c>
      <c r="L15" s="16">
        <v>8</v>
      </c>
      <c r="M15" s="161">
        <v>44186</v>
      </c>
      <c r="O15" s="16">
        <v>20</v>
      </c>
      <c r="P15" s="16" t="s">
        <v>420</v>
      </c>
      <c r="Q15" s="16" t="s">
        <v>1029</v>
      </c>
      <c r="R15" s="16">
        <v>30</v>
      </c>
      <c r="S15" s="16">
        <v>5</v>
      </c>
      <c r="T15" s="16" t="s">
        <v>1030</v>
      </c>
      <c r="U15" s="16" t="s">
        <v>1678</v>
      </c>
      <c r="V15" s="29" t="s">
        <v>1521</v>
      </c>
      <c r="AA15" s="253"/>
    </row>
    <row r="16" spans="1:36">
      <c r="A16" s="11" t="s">
        <v>1082</v>
      </c>
      <c r="B16" s="207" t="s">
        <v>1514</v>
      </c>
      <c r="C16" s="16" t="s">
        <v>1125</v>
      </c>
      <c r="D16" s="16" t="s">
        <v>6</v>
      </c>
      <c r="E16" s="16" t="s">
        <v>987</v>
      </c>
      <c r="F16" s="16" t="s">
        <v>1113</v>
      </c>
      <c r="H16" s="16" t="s">
        <v>947</v>
      </c>
      <c r="I16" s="16" t="s">
        <v>1518</v>
      </c>
      <c r="J16" s="16" t="s">
        <v>1048</v>
      </c>
      <c r="L16" s="16">
        <v>8</v>
      </c>
      <c r="M16" s="161">
        <v>44186</v>
      </c>
      <c r="O16" s="16">
        <v>12</v>
      </c>
      <c r="P16" s="16" t="s">
        <v>420</v>
      </c>
      <c r="Q16" s="16" t="s">
        <v>1029</v>
      </c>
      <c r="R16" s="16">
        <v>10</v>
      </c>
      <c r="S16" s="16">
        <v>9</v>
      </c>
      <c r="T16" s="16" t="s">
        <v>1030</v>
      </c>
      <c r="U16" s="16" t="s">
        <v>1678</v>
      </c>
      <c r="V16" s="29" t="s">
        <v>1522</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1678</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1678</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1678</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1678</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1678</v>
      </c>
      <c r="V21" s="29" t="s">
        <v>1221</v>
      </c>
      <c r="AA21" s="253"/>
    </row>
    <row r="22" spans="1:27">
      <c r="B22" s="207"/>
      <c r="V22" s="29"/>
      <c r="AA22" s="253"/>
    </row>
    <row r="23" spans="1:27">
      <c r="A23" s="207" t="s">
        <v>948</v>
      </c>
      <c r="B23" s="207" t="s">
        <v>1535</v>
      </c>
      <c r="C23" s="16" t="s">
        <v>1125</v>
      </c>
      <c r="V23" s="29" t="s">
        <v>1534</v>
      </c>
      <c r="AA23" s="253"/>
    </row>
    <row r="24" spans="1:27">
      <c r="A24" s="11" t="s">
        <v>947</v>
      </c>
      <c r="B24" s="207"/>
      <c r="C24" s="16" t="s">
        <v>1125</v>
      </c>
      <c r="V24" s="29"/>
      <c r="AA24" s="253"/>
    </row>
    <row r="25" spans="1:27">
      <c r="A25" s="11" t="s">
        <v>1082</v>
      </c>
      <c r="B25" s="207" t="s">
        <v>1511</v>
      </c>
      <c r="C25" s="16" t="s">
        <v>1125</v>
      </c>
      <c r="D25" s="16" t="s">
        <v>6</v>
      </c>
      <c r="E25" s="16" t="s">
        <v>987</v>
      </c>
      <c r="F25" s="16" t="s">
        <v>1113</v>
      </c>
      <c r="H25" s="16" t="s">
        <v>947</v>
      </c>
      <c r="I25" s="16" t="s">
        <v>1515</v>
      </c>
      <c r="J25" s="16" t="s">
        <v>1048</v>
      </c>
      <c r="L25" s="16">
        <v>8</v>
      </c>
      <c r="M25" s="161">
        <v>44186</v>
      </c>
      <c r="O25" s="16">
        <v>7</v>
      </c>
      <c r="P25" s="16" t="s">
        <v>420</v>
      </c>
      <c r="Q25" s="16" t="s">
        <v>1029</v>
      </c>
      <c r="R25" s="16">
        <v>3</v>
      </c>
      <c r="S25" s="16">
        <v>0</v>
      </c>
      <c r="T25" s="16" t="s">
        <v>1030</v>
      </c>
      <c r="U25" s="16" t="s">
        <v>1678</v>
      </c>
      <c r="V25" s="29" t="s">
        <v>1519</v>
      </c>
      <c r="AA25" s="253"/>
    </row>
    <row r="27" spans="1:27">
      <c r="A27" s="27" t="s">
        <v>756</v>
      </c>
      <c r="B27" s="28"/>
      <c r="C27" s="29" t="str">
        <f>HYPERLINK(_xlfn.CONCAT("https://cmmiinstitute.com/appraisals-sys/appraisals/",Planning!$B$31,"/training-schedule"))</f>
        <v>https://cmmiinstitute.com/appraisals-sys/appraisals/384400/training-schedule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https://cmmiinstitute.com/appraisals-sys/appraisals/384400/team-member-experience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https://cmmiinstitute.com/appraisals-sys/appraisals/384400/roles-responsibilities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https://cmmiinstitute.com/appraisals-sys/appraisals/384400/appraisal-participants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https://cmmiinstitute.com/appraisals-sys/appraisals/384400/participants-responsibilities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1711</v>
      </c>
    </row>
    <row r="6" spans="1:3" s="16" customFormat="1">
      <c r="A6" s="16" t="s">
        <v>584</v>
      </c>
      <c r="B6" s="11" t="s">
        <v>1711</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1712</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1713</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1714</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1633</v>
      </c>
    </row>
    <row r="35" spans="1:3" s="16" customFormat="1" ht="28.8">
      <c r="A35" s="16" t="s">
        <v>582</v>
      </c>
      <c r="B35" s="11" t="s">
        <v>1634</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1705</v>
      </c>
    </row>
    <row r="41" spans="1:3" s="16" customFormat="1" ht="28.8">
      <c r="A41" s="16" t="s">
        <v>582</v>
      </c>
      <c r="B41" s="11" t="s">
        <v>1706</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45387</v>
      </c>
      <c r="C76" s="11" t="s">
        <v>938</v>
      </c>
    </row>
    <row r="77" spans="1:3">
      <c r="A77" s="11" t="s">
        <v>619</v>
      </c>
      <c r="B77" s="11" t="s">
        <v>722</v>
      </c>
    </row>
    <row r="79" spans="1:3">
      <c r="A79" s="11" t="s">
        <v>617</v>
      </c>
      <c r="B79" s="11" t="s">
        <v>723</v>
      </c>
    </row>
    <row r="80" spans="1:3">
      <c r="A80" s="11" t="s">
        <v>618</v>
      </c>
      <c r="B80" s="33">
        <f>Planning!B38</f>
        <v>45405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45387</v>
      </c>
      <c r="C91" s="11" t="s">
        <v>938</v>
      </c>
    </row>
    <row r="92" spans="1:3">
      <c r="A92" s="11" t="s">
        <v>396</v>
      </c>
      <c r="B92" s="33">
        <f>B91</f>
        <v>45387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45405</v>
      </c>
      <c r="C101" s="11" t="s">
        <v>938</v>
      </c>
    </row>
    <row r="102" spans="1:3">
      <c r="A102" s="11" t="s">
        <v>396</v>
      </c>
      <c r="B102" s="33">
        <f>B101</f>
        <v>45405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1798</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May 2024</v>
      </c>
    </row>
    <row r="154" spans="1:3">
      <c r="A154" s="19" t="s">
        <v>589</v>
      </c>
    </row>
    <row r="156" spans="1:3">
      <c r="A156" s="27" t="s">
        <v>792</v>
      </c>
      <c r="B156" s="28"/>
      <c r="C156" s="29"/>
    </row>
    <row r="157" spans="1:3">
      <c r="A157" s="14" t="s">
        <v>1386</v>
      </c>
      <c r="B157" s="14" t="s">
        <v>1541</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1542</v>
      </c>
    </row>
    <row r="166" spans="1:3">
      <c r="A166" s="11" t="s">
        <v>655</v>
      </c>
      <c r="B166" s="13" t="s">
        <v>428</v>
      </c>
      <c r="C166" s="11" t="s">
        <v>384</v>
      </c>
    </row>
    <row r="167" spans="1:3">
      <c r="A167" s="11" t="s">
        <v>661</v>
      </c>
      <c r="B167" s="11" t="s">
        <v>1543</v>
      </c>
    </row>
    <row r="168" spans="1:3" ht="28.8">
      <c r="A168" s="11" t="s">
        <v>662</v>
      </c>
      <c r="B168" s="11" t="s">
        <v>1544</v>
      </c>
    </row>
    <row r="169" spans="1:3">
      <c r="A169" s="11" t="s">
        <v>663</v>
      </c>
      <c r="B169" s="13" t="s">
        <v>670</v>
      </c>
      <c r="C169" s="11" t="s">
        <v>384</v>
      </c>
    </row>
    <row r="170" spans="1:3" ht="100.8">
      <c r="A170" s="11" t="s">
        <v>664</v>
      </c>
      <c r="B170" s="11" t="s">
        <v>1545</v>
      </c>
    </row>
    <row r="171" spans="1:3">
      <c r="A171" s="11" t="s">
        <v>665</v>
      </c>
      <c r="B171" s="13" t="s">
        <v>669</v>
      </c>
      <c r="C171" s="11" t="s">
        <v>384</v>
      </c>
    </row>
    <row r="173" spans="1:3">
      <c r="A173" s="14" t="s">
        <v>1388</v>
      </c>
      <c r="B173" s="14" t="s">
        <v>1546</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1799</v>
      </c>
    </row>
    <row r="179" spans="1:3">
      <c r="A179" s="11" t="s">
        <v>665</v>
      </c>
      <c r="B179" s="13" t="s">
        <v>1391</v>
      </c>
      <c r="C179" s="11" t="s">
        <v>384</v>
      </c>
    </row>
    <row r="181" spans="1:3">
      <c r="A181" s="14" t="s">
        <v>1392</v>
      </c>
      <c r="B181" s="14" t="s">
        <v>1547</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1564</v>
      </c>
    </row>
    <row r="187" spans="1:3">
      <c r="A187" s="11" t="s">
        <v>665</v>
      </c>
      <c r="B187" s="13" t="s">
        <v>1391</v>
      </c>
      <c r="C187" s="11" t="s">
        <v>384</v>
      </c>
    </row>
    <row r="189" spans="1:3">
      <c r="A189" s="14" t="s">
        <v>1395</v>
      </c>
      <c r="B189" s="14" t="s">
        <v>1548</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1565</v>
      </c>
    </row>
    <row r="195" spans="1:3">
      <c r="A195" s="11" t="s">
        <v>665</v>
      </c>
      <c r="B195" s="13" t="s">
        <v>1391</v>
      </c>
      <c r="C195" s="11" t="s">
        <v>384</v>
      </c>
    </row>
    <row r="197" spans="1:3" ht="28.8">
      <c r="A197" s="14" t="s">
        <v>1549</v>
      </c>
      <c r="B197" s="14" t="s">
        <v>1550</v>
      </c>
    </row>
    <row r="198" spans="1:3">
      <c r="A198" s="11" t="s">
        <v>655</v>
      </c>
      <c r="B198" s="13" t="s">
        <v>428</v>
      </c>
      <c r="C198" s="11" t="s">
        <v>384</v>
      </c>
    </row>
    <row r="199" spans="1:3">
      <c r="A199" s="11" t="s">
        <v>661</v>
      </c>
      <c r="B199" s="11" t="s">
        <v>1543</v>
      </c>
    </row>
    <row r="200" spans="1:3" ht="43.2">
      <c r="A200" s="11" t="s">
        <v>662</v>
      </c>
      <c r="B200" s="11" t="s">
        <v>1551</v>
      </c>
    </row>
    <row r="201" spans="1:3">
      <c r="A201" s="11" t="s">
        <v>663</v>
      </c>
      <c r="B201" s="13" t="s">
        <v>670</v>
      </c>
      <c r="C201" s="11" t="s">
        <v>384</v>
      </c>
    </row>
    <row r="202" spans="1:3" ht="115.2">
      <c r="A202" s="11" t="s">
        <v>664</v>
      </c>
      <c r="B202" s="11" t="s">
        <v>1552</v>
      </c>
    </row>
    <row r="203" spans="1:3">
      <c r="A203" s="11" t="s">
        <v>665</v>
      </c>
      <c r="B203" s="13" t="s">
        <v>1391</v>
      </c>
      <c r="C203" s="11" t="s">
        <v>384</v>
      </c>
    </row>
    <row r="206" spans="1:3">
      <c r="A206" s="14" t="s">
        <v>1553</v>
      </c>
      <c r="B206" s="14" t="s">
        <v>1708</v>
      </c>
    </row>
    <row r="207" spans="1:3">
      <c r="A207" s="11" t="s">
        <v>655</v>
      </c>
      <c r="B207" s="13" t="s">
        <v>428</v>
      </c>
      <c r="C207" s="11" t="s">
        <v>384</v>
      </c>
    </row>
    <row r="208" spans="1:3">
      <c r="A208" s="11" t="s">
        <v>661</v>
      </c>
      <c r="B208" s="11" t="s">
        <v>1543</v>
      </c>
    </row>
    <row r="209" spans="1:3" ht="28.8">
      <c r="A209" s="11" t="s">
        <v>662</v>
      </c>
      <c r="B209" s="11" t="s">
        <v>1709</v>
      </c>
    </row>
    <row r="210" spans="1:3">
      <c r="A210" s="11" t="s">
        <v>663</v>
      </c>
      <c r="B210" s="13" t="s">
        <v>1394</v>
      </c>
      <c r="C210" s="11" t="s">
        <v>384</v>
      </c>
    </row>
    <row r="211" spans="1:3" ht="43.2">
      <c r="A211" s="11" t="s">
        <v>664</v>
      </c>
      <c r="B211" s="11" t="s">
        <v>1710</v>
      </c>
    </row>
    <row r="212" spans="1:3">
      <c r="A212" s="11" t="s">
        <v>665</v>
      </c>
      <c r="B212" s="13" t="s">
        <v>1391</v>
      </c>
      <c r="C212" s="11" t="s">
        <v>384</v>
      </c>
    </row>
    <row r="214" spans="1:3">
      <c r="A214" s="14" t="s">
        <v>1554</v>
      </c>
      <c r="B214" s="14" t="s">
        <v>1717</v>
      </c>
    </row>
    <row r="215" spans="1:3">
      <c r="A215" s="11" t="s">
        <v>655</v>
      </c>
      <c r="B215" s="13" t="s">
        <v>428</v>
      </c>
      <c r="C215" s="11" t="s">
        <v>384</v>
      </c>
    </row>
    <row r="216" spans="1:3">
      <c r="A216" s="11" t="s">
        <v>661</v>
      </c>
      <c r="B216" s="11" t="s">
        <v>1543</v>
      </c>
    </row>
    <row r="217" spans="1:3" ht="28.8">
      <c r="A217" s="11" t="s">
        <v>662</v>
      </c>
      <c r="B217" s="11" t="s">
        <v>1718</v>
      </c>
    </row>
    <row r="218" spans="1:3">
      <c r="A218" s="11" t="s">
        <v>663</v>
      </c>
      <c r="B218" s="13" t="s">
        <v>670</v>
      </c>
      <c r="C218" s="11" t="s">
        <v>384</v>
      </c>
    </row>
    <row r="219" spans="1:3" ht="57.6">
      <c r="A219" s="11" t="s">
        <v>664</v>
      </c>
      <c r="B219" s="11" t="s">
        <v>1719</v>
      </c>
    </row>
    <row r="220" spans="1:3">
      <c r="A220" s="11" t="s">
        <v>665</v>
      </c>
      <c r="B220" s="13" t="s">
        <v>1391</v>
      </c>
      <c r="C220" s="11" t="s">
        <v>384</v>
      </c>
    </row>
    <row r="222" spans="1:3">
      <c r="A222" s="14" t="s">
        <v>1716</v>
      </c>
      <c r="B222" s="14" t="s">
        <v>1635</v>
      </c>
    </row>
    <row r="223" spans="1:3">
      <c r="A223" s="11" t="s">
        <v>655</v>
      </c>
      <c r="B223" s="13" t="s">
        <v>428</v>
      </c>
      <c r="C223" s="11" t="s">
        <v>384</v>
      </c>
    </row>
    <row r="224" spans="1:3">
      <c r="A224" s="11" t="s">
        <v>661</v>
      </c>
      <c r="B224" s="11" t="s">
        <v>1543</v>
      </c>
    </row>
    <row r="225" spans="1:3" ht="28.8">
      <c r="A225" s="11" t="s">
        <v>662</v>
      </c>
      <c r="B225" s="11" t="s">
        <v>1556</v>
      </c>
    </row>
    <row r="226" spans="1:3">
      <c r="A226" s="11" t="s">
        <v>663</v>
      </c>
      <c r="B226" s="13" t="s">
        <v>670</v>
      </c>
      <c r="C226" s="11" t="s">
        <v>384</v>
      </c>
    </row>
    <row r="227" spans="1:3" ht="129.6">
      <c r="A227" s="11" t="s">
        <v>664</v>
      </c>
      <c r="B227" s="11" t="s">
        <v>1557</v>
      </c>
    </row>
    <row r="228" spans="1:3">
      <c r="A228" s="11" t="s">
        <v>665</v>
      </c>
      <c r="B228" s="13" t="s">
        <v>1391</v>
      </c>
      <c r="C228" s="11" t="s">
        <v>384</v>
      </c>
    </row>
    <row r="230" spans="1:3">
      <c r="A230" s="14" t="s">
        <v>1555</v>
      </c>
      <c r="B230" s="14" t="s">
        <v>1720</v>
      </c>
    </row>
    <row r="231" spans="1:3">
      <c r="A231" s="11" t="s">
        <v>655</v>
      </c>
      <c r="B231" s="13" t="s">
        <v>428</v>
      </c>
      <c r="C231" s="11" t="s">
        <v>384</v>
      </c>
    </row>
    <row r="232" spans="1:3">
      <c r="A232" s="11" t="s">
        <v>661</v>
      </c>
      <c r="B232" s="11" t="s">
        <v>1543</v>
      </c>
    </row>
    <row r="233" spans="1:3">
      <c r="A233" s="11" t="s">
        <v>662</v>
      </c>
      <c r="B233" s="11" t="s">
        <v>1721</v>
      </c>
    </row>
    <row r="234" spans="1:3">
      <c r="A234" s="11" t="s">
        <v>663</v>
      </c>
      <c r="B234" s="13" t="s">
        <v>670</v>
      </c>
      <c r="C234" s="11" t="s">
        <v>384</v>
      </c>
    </row>
    <row r="235" spans="1:3" ht="43.2">
      <c r="A235" s="11" t="s">
        <v>664</v>
      </c>
      <c r="B235" s="11" t="s">
        <v>1722</v>
      </c>
    </row>
    <row r="236" spans="1:3">
      <c r="A236" s="11" t="s">
        <v>665</v>
      </c>
      <c r="B236" s="13" t="s">
        <v>669</v>
      </c>
      <c r="C236" s="11" t="s">
        <v>384</v>
      </c>
    </row>
    <row r="238" spans="1:3">
      <c r="A238" s="14" t="s">
        <v>1558</v>
      </c>
      <c r="B238" s="14" t="s">
        <v>1723</v>
      </c>
    </row>
    <row r="239" spans="1:3">
      <c r="A239" s="11" t="s">
        <v>655</v>
      </c>
      <c r="B239" s="13" t="s">
        <v>428</v>
      </c>
      <c r="C239" s="11" t="s">
        <v>384</v>
      </c>
    </row>
    <row r="240" spans="1:3">
      <c r="A240" s="11" t="s">
        <v>661</v>
      </c>
      <c r="B240" s="11" t="s">
        <v>1543</v>
      </c>
    </row>
    <row r="241" spans="1:3">
      <c r="A241" s="11" t="s">
        <v>662</v>
      </c>
      <c r="B241" s="11" t="s">
        <v>1724</v>
      </c>
    </row>
    <row r="242" spans="1:3">
      <c r="A242" s="11" t="s">
        <v>663</v>
      </c>
      <c r="B242" s="13" t="s">
        <v>670</v>
      </c>
      <c r="C242" s="11" t="s">
        <v>384</v>
      </c>
    </row>
    <row r="243" spans="1:3" ht="100.8">
      <c r="A243" s="11" t="s">
        <v>664</v>
      </c>
      <c r="B243" s="11" t="s">
        <v>1559</v>
      </c>
    </row>
    <row r="244" spans="1:3">
      <c r="A244" s="11" t="s">
        <v>665</v>
      </c>
      <c r="B244" s="13" t="s">
        <v>1391</v>
      </c>
      <c r="C244" s="11" t="s">
        <v>384</v>
      </c>
    </row>
    <row r="246" spans="1:3">
      <c r="A246" s="14" t="s">
        <v>1726</v>
      </c>
      <c r="B246" s="14" t="s">
        <v>1727</v>
      </c>
    </row>
    <row r="247" spans="1:3">
      <c r="A247" s="11" t="s">
        <v>655</v>
      </c>
      <c r="B247" s="13" t="s">
        <v>428</v>
      </c>
      <c r="C247" s="11" t="s">
        <v>384</v>
      </c>
    </row>
    <row r="248" spans="1:3">
      <c r="A248" s="11" t="s">
        <v>661</v>
      </c>
      <c r="B248" s="11" t="s">
        <v>1543</v>
      </c>
    </row>
    <row r="249" spans="1:3">
      <c r="A249" s="11" t="s">
        <v>662</v>
      </c>
      <c r="B249" s="11" t="s">
        <v>1728</v>
      </c>
    </row>
    <row r="250" spans="1:3">
      <c r="A250" s="11" t="s">
        <v>663</v>
      </c>
      <c r="B250" s="13" t="s">
        <v>670</v>
      </c>
      <c r="C250" s="11" t="s">
        <v>384</v>
      </c>
    </row>
    <row r="251" spans="1:3" ht="43.2">
      <c r="A251" s="11" t="s">
        <v>664</v>
      </c>
      <c r="B251" s="11" t="s">
        <v>1729</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1704</v>
      </c>
    </row>
    <row r="260" spans="1:3">
      <c r="A260" s="11" t="s">
        <v>688</v>
      </c>
      <c r="B260" s="13" t="s">
        <v>667</v>
      </c>
      <c r="C260" s="11" t="s">
        <v>384</v>
      </c>
    </row>
    <row r="261" spans="1:3" ht="100.8">
      <c r="A261" s="11" t="s">
        <v>689</v>
      </c>
      <c r="B261" s="11" t="s">
        <v>1725</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1715</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NASA planned and actual onsite schedule</v>
      </c>
      <c r="Q1" s="369"/>
    </row>
    <row r="3" spans="1:20" ht="19.95" customHeight="1">
      <c r="A3" s="426" t="str">
        <f>_xlfn.CONCAT("Week ",T8)</f>
        <v>Week 18</v>
      </c>
      <c r="B3" s="427"/>
      <c r="C3" s="371" t="s">
        <v>1596</v>
      </c>
      <c r="D3" s="372" t="s">
        <v>1597</v>
      </c>
      <c r="E3" s="371" t="s">
        <v>1596</v>
      </c>
      <c r="F3" s="372" t="s">
        <v>1597</v>
      </c>
      <c r="G3" s="371" t="s">
        <v>1596</v>
      </c>
      <c r="H3" s="372" t="s">
        <v>1597</v>
      </c>
      <c r="I3" s="371" t="s">
        <v>1596</v>
      </c>
      <c r="J3" s="372" t="s">
        <v>1597</v>
      </c>
      <c r="K3" s="371" t="s">
        <v>1596</v>
      </c>
      <c r="L3" s="372" t="s">
        <v>1597</v>
      </c>
      <c r="M3" s="371" t="s">
        <v>1596</v>
      </c>
      <c r="N3" s="372" t="s">
        <v>1597</v>
      </c>
      <c r="O3" s="371" t="s">
        <v>1596</v>
      </c>
      <c r="P3" s="372" t="s">
        <v>1597</v>
      </c>
      <c r="Q3" s="426" t="str">
        <f>_xlfn.CONCAT("Week ",AJ8)</f>
        <v xml:space="preserve">Week </v>
      </c>
      <c r="R3" s="427"/>
    </row>
    <row r="4" spans="1:20" ht="19.95" customHeight="1">
      <c r="A4" s="428"/>
      <c r="B4" s="429"/>
      <c r="C4" s="373">
        <f>C5</f>
        <v>45416</v>
      </c>
      <c r="D4" s="374">
        <f t="shared" ref="D4:P4" si="0">D5</f>
        <v>45416</v>
      </c>
      <c r="E4" s="373">
        <f t="shared" si="0"/>
        <v>45417</v>
      </c>
      <c r="F4" s="374">
        <f t="shared" si="0"/>
        <v>45417</v>
      </c>
      <c r="G4" s="373">
        <f t="shared" si="0"/>
        <v>45418</v>
      </c>
      <c r="H4" s="374">
        <f t="shared" si="0"/>
        <v>45418</v>
      </c>
      <c r="I4" s="373">
        <f t="shared" si="0"/>
        <v>45419</v>
      </c>
      <c r="J4" s="374">
        <f t="shared" si="0"/>
        <v>45419</v>
      </c>
      <c r="K4" s="373">
        <f t="shared" si="0"/>
        <v>45420</v>
      </c>
      <c r="L4" s="374">
        <f t="shared" si="0"/>
        <v>45420</v>
      </c>
      <c r="M4" s="373">
        <f t="shared" si="0"/>
        <v>45421</v>
      </c>
      <c r="N4" s="374">
        <f t="shared" si="0"/>
        <v>45421</v>
      </c>
      <c r="O4" s="373">
        <f t="shared" si="0"/>
        <v>45422</v>
      </c>
      <c r="P4" s="374">
        <f t="shared" si="0"/>
        <v>45422</v>
      </c>
      <c r="Q4" s="428"/>
      <c r="R4" s="429"/>
      <c r="T4" s="370">
        <f>C5</f>
        <v>45416</v>
      </c>
    </row>
    <row r="5" spans="1:20" ht="19.95" customHeight="1">
      <c r="A5" s="375" t="s">
        <v>1598</v>
      </c>
      <c r="B5" s="375" t="s">
        <v>1599</v>
      </c>
      <c r="C5" s="376">
        <f>Planning!B42</f>
        <v>45416</v>
      </c>
      <c r="D5" s="377">
        <f>C5</f>
        <v>45416</v>
      </c>
      <c r="E5" s="376">
        <f>C5+1</f>
        <v>45417</v>
      </c>
      <c r="F5" s="377">
        <f>D5+1</f>
        <v>45417</v>
      </c>
      <c r="G5" s="376">
        <f t="shared" ref="G5:P5" si="1">E5+1</f>
        <v>45418</v>
      </c>
      <c r="H5" s="377">
        <f t="shared" si="1"/>
        <v>45418</v>
      </c>
      <c r="I5" s="376">
        <f t="shared" si="1"/>
        <v>45419</v>
      </c>
      <c r="J5" s="377">
        <f t="shared" si="1"/>
        <v>45419</v>
      </c>
      <c r="K5" s="376">
        <f t="shared" si="1"/>
        <v>45420</v>
      </c>
      <c r="L5" s="377">
        <f t="shared" si="1"/>
        <v>45420</v>
      </c>
      <c r="M5" s="376">
        <f t="shared" si="1"/>
        <v>45421</v>
      </c>
      <c r="N5" s="377">
        <f t="shared" si="1"/>
        <v>45421</v>
      </c>
      <c r="O5" s="376">
        <f t="shared" si="1"/>
        <v>45422</v>
      </c>
      <c r="P5" s="377">
        <f t="shared" si="1"/>
        <v>45422</v>
      </c>
      <c r="Q5" s="375" t="s">
        <v>1598</v>
      </c>
      <c r="R5" s="375" t="s">
        <v>1599</v>
      </c>
      <c r="T5" s="370">
        <f>YEAR(T4)-1</f>
        <v>2023</v>
      </c>
    </row>
    <row r="6" spans="1:20" ht="19.95" customHeight="1">
      <c r="A6" s="378">
        <v>0.49999999999999994</v>
      </c>
      <c r="B6" s="378">
        <v>0.25</v>
      </c>
      <c r="C6" s="430"/>
      <c r="D6" s="389"/>
      <c r="E6" s="430"/>
      <c r="F6" s="389"/>
      <c r="G6" s="379" t="s">
        <v>1600</v>
      </c>
      <c r="H6" s="389"/>
      <c r="I6" s="379" t="s">
        <v>1600</v>
      </c>
      <c r="J6" s="389"/>
      <c r="K6" s="379" t="s">
        <v>1600</v>
      </c>
      <c r="L6" s="389"/>
      <c r="M6" s="379" t="s">
        <v>1600</v>
      </c>
      <c r="N6" s="389"/>
      <c r="O6" s="423" t="s">
        <v>1600</v>
      </c>
      <c r="P6" s="389"/>
      <c r="Q6" s="378">
        <v>0.49999999999999994</v>
      </c>
      <c r="R6" s="378">
        <v>0.25</v>
      </c>
      <c r="T6" s="370">
        <f>DATE(T5,12,31)</f>
        <v>45291</v>
      </c>
    </row>
    <row r="7" spans="1:20" ht="19.95" customHeight="1">
      <c r="A7" s="378">
        <v>0.52083333333333326</v>
      </c>
      <c r="B7" s="378">
        <v>0.27083333333333331</v>
      </c>
      <c r="C7" s="430"/>
      <c r="D7" s="390"/>
      <c r="E7" s="430"/>
      <c r="F7" s="390"/>
      <c r="G7" s="380" t="s">
        <v>1401</v>
      </c>
      <c r="H7" s="390"/>
      <c r="I7" s="431" t="s">
        <v>966</v>
      </c>
      <c r="J7" s="390"/>
      <c r="K7" s="432" t="s">
        <v>970</v>
      </c>
      <c r="L7" s="390"/>
      <c r="M7" s="422" t="s">
        <v>1605</v>
      </c>
      <c r="N7" s="390"/>
      <c r="O7" s="424"/>
      <c r="P7" s="390"/>
      <c r="Q7" s="378">
        <v>0.52083333333333326</v>
      </c>
      <c r="R7" s="378">
        <v>0.27083333333333331</v>
      </c>
      <c r="T7" s="370">
        <f>T4-T6</f>
        <v>125</v>
      </c>
    </row>
    <row r="8" spans="1:20" ht="19.95" customHeight="1">
      <c r="A8" s="378">
        <v>0.54166666666666663</v>
      </c>
      <c r="B8" s="378">
        <v>0.29166666666666663</v>
      </c>
      <c r="C8" s="432" t="s">
        <v>1616</v>
      </c>
      <c r="D8" s="390"/>
      <c r="E8" s="432" t="s">
        <v>1616</v>
      </c>
      <c r="F8" s="390"/>
      <c r="G8" s="437" t="s">
        <v>1409</v>
      </c>
      <c r="H8" s="390"/>
      <c r="I8" s="431"/>
      <c r="J8" s="390"/>
      <c r="K8" s="434"/>
      <c r="L8" s="390"/>
      <c r="M8" s="422"/>
      <c r="N8" s="390"/>
      <c r="O8" s="425"/>
      <c r="P8" s="390"/>
      <c r="Q8" s="378">
        <v>0.54166666666666663</v>
      </c>
      <c r="R8" s="378">
        <v>0.29166666666666663</v>
      </c>
      <c r="T8" s="370">
        <f>ROUNDUP(T7/7,0)</f>
        <v>18</v>
      </c>
    </row>
    <row r="9" spans="1:20" ht="19.95" customHeight="1">
      <c r="A9" s="378">
        <v>0.5625</v>
      </c>
      <c r="B9" s="378">
        <v>0.31249999999999994</v>
      </c>
      <c r="C9" s="433"/>
      <c r="D9" s="390"/>
      <c r="E9" s="433"/>
      <c r="F9" s="390"/>
      <c r="G9" s="437"/>
      <c r="H9" s="390"/>
      <c r="I9" s="431"/>
      <c r="J9" s="390"/>
      <c r="K9" s="380" t="s">
        <v>1601</v>
      </c>
      <c r="L9" s="390"/>
      <c r="M9" s="379" t="s">
        <v>595</v>
      </c>
      <c r="N9" s="390"/>
      <c r="O9" s="438" t="s">
        <v>1615</v>
      </c>
      <c r="P9" s="390"/>
      <c r="Q9" s="378">
        <v>0.5625</v>
      </c>
      <c r="R9" s="378">
        <v>0.31249999999999994</v>
      </c>
    </row>
    <row r="10" spans="1:20" ht="19.95" customHeight="1">
      <c r="A10" s="378">
        <v>0.58333333333333337</v>
      </c>
      <c r="B10" s="378">
        <v>0.33333333333333326</v>
      </c>
      <c r="C10" s="433"/>
      <c r="D10" s="390"/>
      <c r="E10" s="433"/>
      <c r="F10" s="390"/>
      <c r="G10" s="435" t="s">
        <v>1615</v>
      </c>
      <c r="H10" s="390"/>
      <c r="I10" s="438" t="s">
        <v>1615</v>
      </c>
      <c r="J10" s="390"/>
      <c r="K10" s="438" t="s">
        <v>1615</v>
      </c>
      <c r="L10" s="390"/>
      <c r="M10" s="438" t="s">
        <v>1615</v>
      </c>
      <c r="N10" s="390"/>
      <c r="O10" s="438"/>
      <c r="P10" s="390"/>
      <c r="Q10" s="378">
        <v>0.58333333333333337</v>
      </c>
      <c r="R10" s="378">
        <v>0.33333333333333326</v>
      </c>
    </row>
    <row r="11" spans="1:20" ht="19.95" customHeight="1">
      <c r="A11" s="378">
        <v>0.60416666666666674</v>
      </c>
      <c r="B11" s="378">
        <v>0.35416666666666657</v>
      </c>
      <c r="C11" s="433"/>
      <c r="D11" s="390"/>
      <c r="E11" s="433"/>
      <c r="F11" s="390"/>
      <c r="G11" s="436"/>
      <c r="H11" s="390"/>
      <c r="I11" s="438"/>
      <c r="J11" s="390"/>
      <c r="K11" s="438"/>
      <c r="L11" s="390"/>
      <c r="M11" s="438"/>
      <c r="N11" s="390"/>
      <c r="O11" s="439" t="s">
        <v>1623</v>
      </c>
      <c r="P11" s="390"/>
      <c r="Q11" s="378">
        <v>0.60416666666666674</v>
      </c>
      <c r="R11" s="378">
        <v>0.35416666666666657</v>
      </c>
    </row>
    <row r="12" spans="1:20" ht="19.95" customHeight="1">
      <c r="A12" s="378">
        <v>0.62500000000000011</v>
      </c>
      <c r="B12" s="378">
        <v>0.37499999999999989</v>
      </c>
      <c r="C12" s="433"/>
      <c r="D12" s="390"/>
      <c r="E12" s="433"/>
      <c r="F12" s="390"/>
      <c r="G12" s="432" t="s">
        <v>1604</v>
      </c>
      <c r="H12" s="390"/>
      <c r="I12" s="422" t="s">
        <v>966</v>
      </c>
      <c r="J12" s="390"/>
      <c r="K12" s="432" t="s">
        <v>1601</v>
      </c>
      <c r="L12" s="390"/>
      <c r="M12" s="423" t="s">
        <v>1622</v>
      </c>
      <c r="N12" s="390"/>
      <c r="O12" s="439"/>
      <c r="P12" s="390"/>
      <c r="Q12" s="378">
        <v>0.62500000000000011</v>
      </c>
      <c r="R12" s="378">
        <v>0.37499999999999989</v>
      </c>
    </row>
    <row r="13" spans="1:20" ht="19.95" customHeight="1">
      <c r="A13" s="378">
        <v>0.64583333333333348</v>
      </c>
      <c r="B13" s="378">
        <v>0.3958333333333332</v>
      </c>
      <c r="C13" s="433"/>
      <c r="D13" s="390"/>
      <c r="E13" s="433"/>
      <c r="F13" s="390"/>
      <c r="G13" s="433"/>
      <c r="H13" s="390"/>
      <c r="I13" s="422"/>
      <c r="J13" s="390"/>
      <c r="K13" s="433"/>
      <c r="L13" s="390"/>
      <c r="M13" s="424"/>
      <c r="N13" s="390"/>
      <c r="O13" s="423" t="s">
        <v>1607</v>
      </c>
      <c r="P13" s="390"/>
      <c r="Q13" s="378">
        <v>0.64583333333333348</v>
      </c>
      <c r="R13" s="378">
        <v>0.3958333333333332</v>
      </c>
    </row>
    <row r="14" spans="1:20" ht="19.95" customHeight="1">
      <c r="A14" s="378">
        <v>0.66666666666666685</v>
      </c>
      <c r="B14" s="378">
        <v>0.41666666666666652</v>
      </c>
      <c r="C14" s="433"/>
      <c r="D14" s="390"/>
      <c r="E14" s="433"/>
      <c r="F14" s="390"/>
      <c r="G14" s="433"/>
      <c r="H14" s="390"/>
      <c r="I14" s="422"/>
      <c r="J14" s="390"/>
      <c r="K14" s="433"/>
      <c r="L14" s="390"/>
      <c r="M14" s="425"/>
      <c r="N14" s="390"/>
      <c r="O14" s="424"/>
      <c r="P14" s="390"/>
      <c r="Q14" s="378">
        <v>0.66666666666666685</v>
      </c>
      <c r="R14" s="378">
        <v>0.41666666666666652</v>
      </c>
    </row>
    <row r="15" spans="1:20" ht="19.95" customHeight="1">
      <c r="A15" s="378">
        <v>0.68750000000000022</v>
      </c>
      <c r="B15" s="378">
        <v>0.4375</v>
      </c>
      <c r="C15" s="433"/>
      <c r="D15" s="390"/>
      <c r="E15" s="433"/>
      <c r="F15" s="390"/>
      <c r="G15" s="433"/>
      <c r="H15" s="390"/>
      <c r="I15" s="422"/>
      <c r="J15" s="390"/>
      <c r="K15" s="433"/>
      <c r="L15" s="390"/>
      <c r="M15" s="440" t="s">
        <v>1602</v>
      </c>
      <c r="N15" s="390"/>
      <c r="O15" s="424"/>
      <c r="P15" s="390"/>
      <c r="Q15" s="378">
        <v>0.68750000000000022</v>
      </c>
      <c r="R15" s="378">
        <v>0.4375</v>
      </c>
    </row>
    <row r="16" spans="1:20" ht="19.95" customHeight="1">
      <c r="A16" s="378">
        <v>0.70833333333333359</v>
      </c>
      <c r="B16" s="378">
        <v>0.45833333333333398</v>
      </c>
      <c r="C16" s="433"/>
      <c r="D16" s="390"/>
      <c r="E16" s="433"/>
      <c r="F16" s="390"/>
      <c r="G16" s="433"/>
      <c r="H16" s="390"/>
      <c r="I16" s="422"/>
      <c r="J16" s="390"/>
      <c r="K16" s="433"/>
      <c r="L16" s="390"/>
      <c r="M16" s="441"/>
      <c r="N16" s="390"/>
      <c r="O16" s="424"/>
      <c r="P16" s="390"/>
      <c r="Q16" s="378">
        <v>0.70833333333333359</v>
      </c>
      <c r="R16" s="378">
        <v>0.45833333333333398</v>
      </c>
    </row>
    <row r="17" spans="1:18" ht="19.95" customHeight="1">
      <c r="A17" s="378">
        <v>0.72916666666666696</v>
      </c>
      <c r="B17" s="378">
        <v>0.47916666666666702</v>
      </c>
      <c r="C17" s="433"/>
      <c r="D17" s="390"/>
      <c r="E17" s="433"/>
      <c r="F17" s="390"/>
      <c r="G17" s="434"/>
      <c r="H17" s="390"/>
      <c r="I17" s="423" t="s">
        <v>595</v>
      </c>
      <c r="J17" s="390"/>
      <c r="K17" s="433"/>
      <c r="L17" s="390"/>
      <c r="M17" s="442" t="s">
        <v>1603</v>
      </c>
      <c r="N17" s="390"/>
      <c r="O17" s="424"/>
      <c r="P17" s="390"/>
      <c r="Q17" s="378">
        <v>0.72916666666666696</v>
      </c>
      <c r="R17" s="378">
        <v>0.47916666666666702</v>
      </c>
    </row>
    <row r="18" spans="1:18" ht="19.95" customHeight="1">
      <c r="A18" s="378">
        <v>0.75</v>
      </c>
      <c r="B18" s="378">
        <v>0.5</v>
      </c>
      <c r="C18" s="433"/>
      <c r="D18" s="390"/>
      <c r="E18" s="433"/>
      <c r="F18" s="390"/>
      <c r="G18" s="379" t="s">
        <v>595</v>
      </c>
      <c r="H18" s="390"/>
      <c r="I18" s="425"/>
      <c r="J18" s="390"/>
      <c r="K18" s="433"/>
      <c r="L18" s="390"/>
      <c r="M18" s="443"/>
      <c r="N18" s="390"/>
      <c r="O18" s="424"/>
      <c r="P18" s="390"/>
      <c r="Q18" s="378">
        <v>0.75</v>
      </c>
      <c r="R18" s="378">
        <v>0.5</v>
      </c>
    </row>
    <row r="19" spans="1:18" ht="19.95" customHeight="1">
      <c r="A19" s="378">
        <v>0.77083333333333404</v>
      </c>
      <c r="B19" s="378">
        <v>0.52083333333333404</v>
      </c>
      <c r="C19" s="433"/>
      <c r="D19" s="390"/>
      <c r="E19" s="433"/>
      <c r="F19" s="390"/>
      <c r="G19" s="422" t="s">
        <v>1606</v>
      </c>
      <c r="H19" s="390"/>
      <c r="I19" s="422" t="s">
        <v>969</v>
      </c>
      <c r="J19" s="390"/>
      <c r="K19" s="433"/>
      <c r="L19" s="390"/>
      <c r="M19" s="423" t="s">
        <v>1797</v>
      </c>
      <c r="N19" s="390"/>
      <c r="O19" s="424"/>
      <c r="P19" s="390"/>
      <c r="Q19" s="378">
        <v>0.77083333333333404</v>
      </c>
      <c r="R19" s="378">
        <v>0.52083333333333404</v>
      </c>
    </row>
    <row r="20" spans="1:18" ht="19.95" customHeight="1">
      <c r="A20" s="381">
        <v>0.79166666666666696</v>
      </c>
      <c r="B20" s="381">
        <v>0.54166666666666696</v>
      </c>
      <c r="C20" s="433"/>
      <c r="D20" s="390"/>
      <c r="E20" s="433"/>
      <c r="F20" s="390"/>
      <c r="G20" s="422"/>
      <c r="H20" s="390"/>
      <c r="I20" s="422"/>
      <c r="J20" s="390"/>
      <c r="K20" s="434"/>
      <c r="L20" s="390"/>
      <c r="M20" s="424"/>
      <c r="N20" s="390"/>
      <c r="O20" s="424"/>
      <c r="P20" s="390"/>
      <c r="Q20" s="381">
        <v>0.79166666666666696</v>
      </c>
      <c r="R20" s="381">
        <v>0.54166666666666696</v>
      </c>
    </row>
    <row r="21" spans="1:18" ht="19.95" customHeight="1">
      <c r="A21" s="381">
        <v>0.8125</v>
      </c>
      <c r="B21" s="381">
        <v>0.5625</v>
      </c>
      <c r="C21" s="434"/>
      <c r="D21" s="390"/>
      <c r="E21" s="434"/>
      <c r="F21" s="390"/>
      <c r="G21" s="423" t="s">
        <v>1619</v>
      </c>
      <c r="H21" s="390"/>
      <c r="I21" s="454" t="s">
        <v>1619</v>
      </c>
      <c r="J21" s="390"/>
      <c r="K21" s="454" t="s">
        <v>1619</v>
      </c>
      <c r="L21" s="390"/>
      <c r="M21" s="424"/>
      <c r="N21" s="390"/>
      <c r="O21" s="425"/>
      <c r="P21" s="390"/>
      <c r="Q21" s="381">
        <v>0.8125</v>
      </c>
      <c r="R21" s="381">
        <v>0.5625</v>
      </c>
    </row>
    <row r="22" spans="1:18" ht="19.95" customHeight="1">
      <c r="A22" s="381">
        <v>0.83333333333333404</v>
      </c>
      <c r="B22" s="381">
        <v>0.58333333333333304</v>
      </c>
      <c r="C22" s="423" t="s">
        <v>1621</v>
      </c>
      <c r="D22" s="390"/>
      <c r="E22" s="423" t="s">
        <v>1621</v>
      </c>
      <c r="F22" s="390"/>
      <c r="G22" s="425"/>
      <c r="H22" s="390"/>
      <c r="I22" s="454"/>
      <c r="J22" s="390"/>
      <c r="K22" s="454"/>
      <c r="L22" s="390"/>
      <c r="M22" s="425"/>
      <c r="N22" s="390"/>
      <c r="O22" s="444" t="s">
        <v>1620</v>
      </c>
      <c r="P22" s="390"/>
      <c r="Q22" s="381">
        <v>0.83333333333333404</v>
      </c>
      <c r="R22" s="381">
        <v>0.58333333333333304</v>
      </c>
    </row>
    <row r="23" spans="1:18" ht="19.95" customHeight="1">
      <c r="A23" s="381">
        <v>0.85416666666666696</v>
      </c>
      <c r="B23" s="381">
        <v>0.60416666666666696</v>
      </c>
      <c r="C23" s="425"/>
      <c r="D23" s="390"/>
      <c r="E23" s="425"/>
      <c r="F23" s="390"/>
      <c r="G23" s="451" t="s">
        <v>1620</v>
      </c>
      <c r="H23" s="390"/>
      <c r="I23" s="430" t="s">
        <v>1620</v>
      </c>
      <c r="J23" s="390"/>
      <c r="K23" s="430" t="s">
        <v>1620</v>
      </c>
      <c r="L23" s="390"/>
      <c r="M23" s="430" t="s">
        <v>1620</v>
      </c>
      <c r="N23" s="390"/>
      <c r="O23" s="444"/>
      <c r="P23" s="390"/>
      <c r="Q23" s="381">
        <v>0.85416666666666696</v>
      </c>
      <c r="R23" s="381">
        <v>0.60416666666666696</v>
      </c>
    </row>
    <row r="24" spans="1:18" ht="19.95" customHeight="1">
      <c r="A24" s="381">
        <v>0.874999999999999</v>
      </c>
      <c r="B24" s="381">
        <v>0.624999999999999</v>
      </c>
      <c r="C24" s="444" t="s">
        <v>1620</v>
      </c>
      <c r="D24" s="390"/>
      <c r="E24" s="444" t="s">
        <v>1620</v>
      </c>
      <c r="F24" s="390"/>
      <c r="G24" s="452"/>
      <c r="H24" s="390"/>
      <c r="I24" s="430"/>
      <c r="J24" s="390"/>
      <c r="K24" s="430"/>
      <c r="L24" s="390"/>
      <c r="M24" s="430"/>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0"/>
      <c r="J25" s="391"/>
      <c r="K25" s="430"/>
      <c r="L25" s="391"/>
      <c r="M25" s="430"/>
      <c r="N25" s="391"/>
      <c r="O25" s="444"/>
      <c r="P25" s="391"/>
      <c r="Q25" s="381">
        <v>0.89583333333333204</v>
      </c>
      <c r="R25" s="381">
        <v>0.64583333333333204</v>
      </c>
    </row>
    <row r="33" spans="2:15" ht="16.05" customHeight="1">
      <c r="B33" s="382" t="s">
        <v>825</v>
      </c>
      <c r="C33" s="382" t="s">
        <v>826</v>
      </c>
      <c r="D33" s="445" t="s">
        <v>1608</v>
      </c>
      <c r="E33" s="446"/>
      <c r="F33" s="446"/>
      <c r="G33" s="447"/>
      <c r="H33" s="382" t="s">
        <v>1609</v>
      </c>
      <c r="L33" s="448" t="s">
        <v>1618</v>
      </c>
      <c r="M33" s="449"/>
      <c r="N33" s="449"/>
      <c r="O33" s="450"/>
    </row>
    <row r="34" spans="2:15" ht="16.05" customHeight="1">
      <c r="B34" s="383">
        <v>1</v>
      </c>
      <c r="C34" s="384">
        <f>Planning!B39</f>
        <v>45405</v>
      </c>
      <c r="D34" s="455" t="s">
        <v>1610</v>
      </c>
      <c r="E34" s="455"/>
      <c r="F34" s="455"/>
      <c r="G34" s="455"/>
      <c r="H34" s="385" t="s">
        <v>586</v>
      </c>
      <c r="L34" s="459" t="s">
        <v>1617</v>
      </c>
      <c r="M34" s="460"/>
      <c r="N34" s="460"/>
      <c r="O34" s="461"/>
    </row>
    <row r="35" spans="2:15" ht="16.05" customHeight="1">
      <c r="B35" s="383" t="s">
        <v>1611</v>
      </c>
      <c r="C35" s="384">
        <f>G5</f>
        <v>45418</v>
      </c>
      <c r="D35" s="455" t="s">
        <v>1612</v>
      </c>
      <c r="E35" s="455"/>
      <c r="F35" s="455"/>
      <c r="G35" s="455"/>
      <c r="H35" s="385" t="s">
        <v>611</v>
      </c>
      <c r="L35" s="462" t="s">
        <v>1613</v>
      </c>
      <c r="M35" s="463"/>
      <c r="N35" s="463"/>
      <c r="O35" s="464"/>
    </row>
    <row r="36" spans="2:15" ht="16.05" customHeight="1">
      <c r="B36" s="383"/>
      <c r="C36" s="384"/>
      <c r="D36" s="455"/>
      <c r="E36" s="455"/>
      <c r="F36" s="455"/>
      <c r="G36" s="455"/>
      <c r="H36" s="385"/>
      <c r="L36" s="465" t="s">
        <v>1614</v>
      </c>
      <c r="M36" s="466"/>
      <c r="N36" s="466"/>
      <c r="O36" s="467"/>
    </row>
    <row r="37" spans="2:15" ht="16.05" customHeight="1">
      <c r="B37" s="383"/>
      <c r="C37" s="384"/>
      <c r="D37" s="455"/>
      <c r="E37" s="455"/>
      <c r="F37" s="455"/>
      <c r="G37" s="455"/>
      <c r="H37" s="385"/>
      <c r="L37" s="456" t="s">
        <v>1615</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1578</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1479</v>
      </c>
      <c r="C2" t="s">
        <v>860</v>
      </c>
      <c r="D2" t="s">
        <v>1489</v>
      </c>
      <c r="E2" t="s">
        <v>1123</v>
      </c>
      <c r="F2" t="s">
        <v>875</v>
      </c>
      <c r="G2" t="s">
        <v>406</v>
      </c>
    </row>
    <row r="3" spans="1:7">
      <c r="A3" t="s">
        <v>875</v>
      </c>
      <c r="B3" t="s">
        <v>1479</v>
      </c>
      <c r="C3" t="s">
        <v>861</v>
      </c>
      <c r="D3" t="s">
        <v>1488</v>
      </c>
      <c r="E3" t="s">
        <v>890</v>
      </c>
      <c r="F3" t="s">
        <v>875</v>
      </c>
      <c r="G3" t="s">
        <v>406</v>
      </c>
    </row>
    <row r="4" spans="1:7">
      <c r="A4" t="s">
        <v>876</v>
      </c>
      <c r="B4" t="s">
        <v>1480</v>
      </c>
      <c r="C4" t="s">
        <v>862</v>
      </c>
      <c r="D4" t="s">
        <v>1492</v>
      </c>
      <c r="E4" t="s">
        <v>889</v>
      </c>
      <c r="F4" t="s">
        <v>876</v>
      </c>
      <c r="G4" t="s">
        <v>406</v>
      </c>
    </row>
    <row r="5" spans="1:7">
      <c r="A5" t="s">
        <v>876</v>
      </c>
      <c r="B5" t="s">
        <v>1480</v>
      </c>
      <c r="C5" t="s">
        <v>863</v>
      </c>
      <c r="D5" t="s">
        <v>1492</v>
      </c>
      <c r="E5" t="s">
        <v>889</v>
      </c>
      <c r="F5" t="s">
        <v>876</v>
      </c>
      <c r="G5" t="s">
        <v>406</v>
      </c>
    </row>
    <row r="6" spans="1:7">
      <c r="A6" t="s">
        <v>876</v>
      </c>
      <c r="B6" t="s">
        <v>1480</v>
      </c>
      <c r="C6" t="s">
        <v>864</v>
      </c>
      <c r="D6" t="s">
        <v>1494</v>
      </c>
      <c r="E6" t="s">
        <v>1123</v>
      </c>
      <c r="F6" t="s">
        <v>876</v>
      </c>
      <c r="G6" t="s">
        <v>406</v>
      </c>
    </row>
    <row r="7" spans="1:7">
      <c r="A7" t="s">
        <v>877</v>
      </c>
      <c r="B7" t="s">
        <v>1481</v>
      </c>
      <c r="C7" t="s">
        <v>869</v>
      </c>
      <c r="D7" t="s">
        <v>1501</v>
      </c>
      <c r="E7" t="s">
        <v>1324</v>
      </c>
      <c r="F7" t="s">
        <v>877</v>
      </c>
      <c r="G7" t="s">
        <v>406</v>
      </c>
    </row>
    <row r="8" spans="1:7">
      <c r="A8" t="s">
        <v>877</v>
      </c>
      <c r="B8" t="s">
        <v>1481</v>
      </c>
      <c r="C8" t="s">
        <v>870</v>
      </c>
      <c r="D8" t="s">
        <v>1501</v>
      </c>
      <c r="E8" t="s">
        <v>1324</v>
      </c>
      <c r="F8" t="s">
        <v>877</v>
      </c>
      <c r="G8" t="s">
        <v>406</v>
      </c>
    </row>
    <row r="9" spans="1:7">
      <c r="A9" t="s">
        <v>877</v>
      </c>
      <c r="B9" t="s">
        <v>1481</v>
      </c>
      <c r="C9" t="s">
        <v>871</v>
      </c>
      <c r="D9" t="s">
        <v>1501</v>
      </c>
      <c r="E9" t="s">
        <v>1324</v>
      </c>
      <c r="F9" t="s">
        <v>877</v>
      </c>
      <c r="G9" t="s">
        <v>406</v>
      </c>
    </row>
    <row r="10" spans="1:7">
      <c r="A10" t="s">
        <v>878</v>
      </c>
      <c r="B10" t="s">
        <v>1482</v>
      </c>
      <c r="C10" t="s">
        <v>868</v>
      </c>
      <c r="D10" t="s">
        <v>1506</v>
      </c>
      <c r="E10" t="s">
        <v>1324</v>
      </c>
      <c r="F10" t="s">
        <v>878</v>
      </c>
      <c r="G10" t="s">
        <v>406</v>
      </c>
    </row>
    <row r="11" spans="1:7">
      <c r="A11" t="s">
        <v>880</v>
      </c>
      <c r="B11" t="s">
        <v>1315</v>
      </c>
      <c r="C11" t="s">
        <v>732</v>
      </c>
      <c r="D11" t="s">
        <v>1507</v>
      </c>
      <c r="E11" t="s">
        <v>1323</v>
      </c>
      <c r="F11" t="s">
        <v>880</v>
      </c>
      <c r="G11" t="s">
        <v>406</v>
      </c>
    </row>
    <row r="12" spans="1:7">
      <c r="A12" t="s">
        <v>881</v>
      </c>
      <c r="B12" t="s">
        <v>1316</v>
      </c>
      <c r="C12" t="s">
        <v>872</v>
      </c>
      <c r="D12" t="s">
        <v>1572</v>
      </c>
      <c r="E12" t="s">
        <v>1571</v>
      </c>
      <c r="F12" t="s">
        <v>881</v>
      </c>
      <c r="G12" t="s">
        <v>406</v>
      </c>
    </row>
    <row r="13" spans="1:7">
      <c r="A13" t="s">
        <v>881</v>
      </c>
      <c r="B13" t="s">
        <v>1316</v>
      </c>
      <c r="C13" t="s">
        <v>873</v>
      </c>
      <c r="D13" t="s">
        <v>1508</v>
      </c>
      <c r="E13" t="s">
        <v>1325</v>
      </c>
      <c r="F13" t="s">
        <v>881</v>
      </c>
      <c r="G13" t="s">
        <v>406</v>
      </c>
    </row>
    <row r="14" spans="1:7">
      <c r="A14" t="s">
        <v>881</v>
      </c>
      <c r="B14" t="s">
        <v>1316</v>
      </c>
      <c r="C14" t="s">
        <v>865</v>
      </c>
      <c r="D14" t="s">
        <v>1572</v>
      </c>
      <c r="E14" t="s">
        <v>1571</v>
      </c>
      <c r="F14" t="s">
        <v>881</v>
      </c>
      <c r="G14" t="s">
        <v>406</v>
      </c>
    </row>
    <row r="15" spans="1:7">
      <c r="A15" t="s">
        <v>881</v>
      </c>
      <c r="B15" t="s">
        <v>1316</v>
      </c>
      <c r="C15" t="s">
        <v>866</v>
      </c>
      <c r="D15" t="s">
        <v>1508</v>
      </c>
      <c r="E15" t="s">
        <v>1325</v>
      </c>
      <c r="F15" t="s">
        <v>881</v>
      </c>
      <c r="G15" t="s">
        <v>406</v>
      </c>
    </row>
    <row r="16" spans="1:7">
      <c r="A16" t="s">
        <v>881</v>
      </c>
      <c r="B16" t="s">
        <v>1316</v>
      </c>
      <c r="C16" t="s">
        <v>867</v>
      </c>
      <c r="D16" t="s">
        <v>1508</v>
      </c>
      <c r="E16" t="s">
        <v>1325</v>
      </c>
      <c r="F16" t="s">
        <v>881</v>
      </c>
      <c r="G16" t="s">
        <v>406</v>
      </c>
    </row>
    <row r="17" spans="1:7">
      <c r="A17" t="s">
        <v>882</v>
      </c>
      <c r="B17" t="s">
        <v>1317</v>
      </c>
      <c r="C17" t="s">
        <v>734</v>
      </c>
      <c r="D17" t="s">
        <v>1509</v>
      </c>
      <c r="E17" t="s">
        <v>1322</v>
      </c>
      <c r="F17" t="s">
        <v>882</v>
      </c>
      <c r="G17" t="s">
        <v>406</v>
      </c>
    </row>
    <row r="18" spans="1:7">
      <c r="A18" t="s">
        <v>883</v>
      </c>
      <c r="B18" t="s">
        <v>1318</v>
      </c>
      <c r="C18" t="s">
        <v>814</v>
      </c>
      <c r="D18" t="s">
        <v>1510</v>
      </c>
      <c r="E18" t="s">
        <v>1206</v>
      </c>
      <c r="F18" t="s">
        <v>883</v>
      </c>
      <c r="G18" t="s">
        <v>406</v>
      </c>
    </row>
    <row r="19" spans="1:7">
      <c r="A19" t="s">
        <v>875</v>
      </c>
      <c r="B19" t="s">
        <v>1479</v>
      </c>
      <c r="C19" t="s">
        <v>861</v>
      </c>
      <c r="D19" t="s">
        <v>1489</v>
      </c>
      <c r="E19" t="s">
        <v>1123</v>
      </c>
      <c r="F19" t="s">
        <v>875</v>
      </c>
    </row>
    <row r="20" spans="1:7">
      <c r="A20" t="s">
        <v>876</v>
      </c>
      <c r="B20" t="s">
        <v>1480</v>
      </c>
      <c r="C20" t="s">
        <v>862</v>
      </c>
      <c r="D20" t="s">
        <v>1493</v>
      </c>
      <c r="E20" t="s">
        <v>890</v>
      </c>
      <c r="F20" t="s">
        <v>876</v>
      </c>
    </row>
    <row r="21" spans="1:7">
      <c r="A21" t="s">
        <v>876</v>
      </c>
      <c r="B21" t="s">
        <v>1480</v>
      </c>
      <c r="C21" t="s">
        <v>862</v>
      </c>
      <c r="D21" t="s">
        <v>1494</v>
      </c>
      <c r="E21" t="s">
        <v>1123</v>
      </c>
      <c r="F21" t="s">
        <v>876</v>
      </c>
    </row>
    <row r="22" spans="1:7">
      <c r="A22" t="s">
        <v>876</v>
      </c>
      <c r="B22" t="s">
        <v>1480</v>
      </c>
      <c r="C22" t="s">
        <v>862</v>
      </c>
      <c r="D22" t="s">
        <v>1496</v>
      </c>
      <c r="E22" t="s">
        <v>1324</v>
      </c>
      <c r="F22" t="s">
        <v>876</v>
      </c>
    </row>
    <row r="23" spans="1:7">
      <c r="A23" t="s">
        <v>876</v>
      </c>
      <c r="B23" t="s">
        <v>1480</v>
      </c>
      <c r="C23" t="s">
        <v>862</v>
      </c>
      <c r="D23" t="s">
        <v>1495</v>
      </c>
      <c r="E23" t="s">
        <v>1256</v>
      </c>
      <c r="F23" t="s">
        <v>876</v>
      </c>
    </row>
    <row r="24" spans="1:7">
      <c r="A24" t="s">
        <v>876</v>
      </c>
      <c r="B24" t="s">
        <v>1480</v>
      </c>
      <c r="C24" t="s">
        <v>864</v>
      </c>
      <c r="D24" t="s">
        <v>1495</v>
      </c>
      <c r="E24" t="s">
        <v>1256</v>
      </c>
      <c r="F24" t="s">
        <v>876</v>
      </c>
    </row>
    <row r="25" spans="1:7">
      <c r="A25" t="s">
        <v>881</v>
      </c>
      <c r="B25" t="s">
        <v>1316</v>
      </c>
      <c r="C25" t="s">
        <v>873</v>
      </c>
      <c r="D25" t="s">
        <v>1572</v>
      </c>
      <c r="E25" t="s">
        <v>1571</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1479</v>
      </c>
      <c r="C2" t="s">
        <v>860</v>
      </c>
      <c r="D2" t="s">
        <v>1489</v>
      </c>
      <c r="E2" t="s">
        <v>1123</v>
      </c>
      <c r="F2" t="s">
        <v>875</v>
      </c>
      <c r="G2" t="s">
        <v>406</v>
      </c>
      <c r="H2" s="268" t="str">
        <f t="shared" ref="H2" si="0">VLOOKUP(E2,tbl_RolePAlookup,2,FALSE)</f>
        <v>[4] Engineering</v>
      </c>
      <c r="I2" s="364">
        <f t="shared" ref="I2" si="1">VLOOKUP(C2,tbl_PAcount,L$1+1,FALSE)</f>
        <v>10</v>
      </c>
    </row>
    <row r="3" spans="1:13">
      <c r="A3" t="s">
        <v>875</v>
      </c>
      <c r="B3" t="s">
        <v>1479</v>
      </c>
      <c r="C3" t="s">
        <v>861</v>
      </c>
      <c r="D3" t="s">
        <v>1488</v>
      </c>
      <c r="E3" t="s">
        <v>890</v>
      </c>
      <c r="F3" t="s">
        <v>875</v>
      </c>
      <c r="G3" t="s">
        <v>406</v>
      </c>
      <c r="H3" s="268" t="str">
        <f t="shared" ref="H3:H18" si="2">VLOOKUP(E3,tbl_RolePAlookup,2,FALSE)</f>
        <v>[4] Engineering</v>
      </c>
      <c r="I3" s="364">
        <f t="shared" ref="I3:I18" si="3">VLOOKUP(C3,tbl_PAcount,L$1+1,FALSE)</f>
        <v>10</v>
      </c>
    </row>
    <row r="4" spans="1:13">
      <c r="A4" t="s">
        <v>876</v>
      </c>
      <c r="B4" t="s">
        <v>1480</v>
      </c>
      <c r="C4" t="s">
        <v>862</v>
      </c>
      <c r="D4" t="s">
        <v>1492</v>
      </c>
      <c r="E4" t="s">
        <v>889</v>
      </c>
      <c r="F4" t="s">
        <v>876</v>
      </c>
      <c r="G4" t="s">
        <v>406</v>
      </c>
      <c r="H4" s="268" t="str">
        <f t="shared" si="2"/>
        <v>[4] Engineering</v>
      </c>
      <c r="I4" s="364">
        <f t="shared" si="3"/>
        <v>6</v>
      </c>
    </row>
    <row r="5" spans="1:13">
      <c r="A5" t="s">
        <v>876</v>
      </c>
      <c r="B5" t="s">
        <v>1480</v>
      </c>
      <c r="C5" t="s">
        <v>863</v>
      </c>
      <c r="D5" t="s">
        <v>1492</v>
      </c>
      <c r="E5" t="s">
        <v>889</v>
      </c>
      <c r="F5" t="s">
        <v>876</v>
      </c>
      <c r="G5" t="s">
        <v>406</v>
      </c>
      <c r="H5" s="268" t="str">
        <f t="shared" si="2"/>
        <v>[4] Engineering</v>
      </c>
      <c r="I5" s="364">
        <f t="shared" si="3"/>
        <v>14</v>
      </c>
    </row>
    <row r="6" spans="1:13">
      <c r="A6" t="s">
        <v>876</v>
      </c>
      <c r="B6" t="s">
        <v>1480</v>
      </c>
      <c r="C6" t="s">
        <v>864</v>
      </c>
      <c r="D6" t="s">
        <v>1494</v>
      </c>
      <c r="E6" t="s">
        <v>1123</v>
      </c>
      <c r="F6" t="s">
        <v>876</v>
      </c>
      <c r="G6" t="s">
        <v>406</v>
      </c>
      <c r="H6" s="268" t="str">
        <f t="shared" si="2"/>
        <v>[4] Engineering</v>
      </c>
      <c r="I6" s="364">
        <f t="shared" si="3"/>
        <v>7</v>
      </c>
    </row>
    <row r="7" spans="1:13">
      <c r="A7" t="s">
        <v>877</v>
      </c>
      <c r="B7" t="s">
        <v>1481</v>
      </c>
      <c r="C7" t="s">
        <v>869</v>
      </c>
      <c r="D7" t="s">
        <v>1501</v>
      </c>
      <c r="E7" t="s">
        <v>1324</v>
      </c>
      <c r="F7" t="s">
        <v>877</v>
      </c>
      <c r="G7" t="s">
        <v>406</v>
      </c>
      <c r="H7" s="268" t="str">
        <f t="shared" si="2"/>
        <v>[3] Project Management</v>
      </c>
      <c r="I7" s="364">
        <f t="shared" si="3"/>
        <v>6</v>
      </c>
    </row>
    <row r="8" spans="1:13">
      <c r="A8" t="s">
        <v>877</v>
      </c>
      <c r="B8" t="s">
        <v>1481</v>
      </c>
      <c r="C8" t="s">
        <v>870</v>
      </c>
      <c r="D8" t="s">
        <v>1501</v>
      </c>
      <c r="E8" t="s">
        <v>1324</v>
      </c>
      <c r="F8" t="s">
        <v>877</v>
      </c>
      <c r="G8" t="s">
        <v>406</v>
      </c>
      <c r="H8" s="268" t="str">
        <f t="shared" si="2"/>
        <v>[3] Project Management</v>
      </c>
      <c r="I8" s="364">
        <f t="shared" si="3"/>
        <v>10</v>
      </c>
    </row>
    <row r="9" spans="1:13">
      <c r="A9" t="s">
        <v>877</v>
      </c>
      <c r="B9" t="s">
        <v>1481</v>
      </c>
      <c r="C9" t="s">
        <v>871</v>
      </c>
      <c r="D9" t="s">
        <v>1501</v>
      </c>
      <c r="E9" t="s">
        <v>1324</v>
      </c>
      <c r="F9" t="s">
        <v>877</v>
      </c>
      <c r="G9" t="s">
        <v>406</v>
      </c>
      <c r="H9" s="268" t="str">
        <f t="shared" si="2"/>
        <v>[3] Project Management</v>
      </c>
      <c r="I9" s="364">
        <f t="shared" si="3"/>
        <v>15</v>
      </c>
    </row>
    <row r="10" spans="1:13">
      <c r="A10" t="s">
        <v>878</v>
      </c>
      <c r="B10" t="s">
        <v>1482</v>
      </c>
      <c r="C10" t="s">
        <v>868</v>
      </c>
      <c r="D10" t="s">
        <v>1506</v>
      </c>
      <c r="E10" t="s">
        <v>1324</v>
      </c>
      <c r="F10" t="s">
        <v>878</v>
      </c>
      <c r="G10" t="s">
        <v>406</v>
      </c>
      <c r="H10" s="268" t="str">
        <f t="shared" si="2"/>
        <v>[3] Project Management</v>
      </c>
      <c r="I10" s="364">
        <f t="shared" si="3"/>
        <v>8</v>
      </c>
    </row>
    <row r="11" spans="1:13">
      <c r="A11" t="s">
        <v>880</v>
      </c>
      <c r="B11" t="s">
        <v>1315</v>
      </c>
      <c r="C11" t="s">
        <v>732</v>
      </c>
      <c r="D11" t="s">
        <v>1507</v>
      </c>
      <c r="E11" t="s">
        <v>1323</v>
      </c>
      <c r="F11" t="s">
        <v>880</v>
      </c>
      <c r="G11" t="s">
        <v>406</v>
      </c>
      <c r="H11" s="268" t="str">
        <f t="shared" si="2"/>
        <v>[5] Configuration Management</v>
      </c>
      <c r="I11" s="364">
        <f t="shared" si="3"/>
        <v>7</v>
      </c>
    </row>
    <row r="12" spans="1:13">
      <c r="A12" t="s">
        <v>881</v>
      </c>
      <c r="B12" t="s">
        <v>1316</v>
      </c>
      <c r="C12" t="s">
        <v>872</v>
      </c>
      <c r="D12" t="s">
        <v>1572</v>
      </c>
      <c r="E12" t="s">
        <v>1571</v>
      </c>
      <c r="F12" t="s">
        <v>881</v>
      </c>
      <c r="G12" t="s">
        <v>406</v>
      </c>
      <c r="H12" s="268" t="str">
        <f t="shared" si="2"/>
        <v>[6] Process Management</v>
      </c>
      <c r="I12" s="364">
        <f t="shared" si="3"/>
        <v>11</v>
      </c>
    </row>
    <row r="13" spans="1:13">
      <c r="A13" t="s">
        <v>881</v>
      </c>
      <c r="B13" t="s">
        <v>1316</v>
      </c>
      <c r="C13" t="s">
        <v>873</v>
      </c>
      <c r="D13" t="s">
        <v>1508</v>
      </c>
      <c r="E13" t="s">
        <v>1325</v>
      </c>
      <c r="F13" t="s">
        <v>881</v>
      </c>
      <c r="G13" t="s">
        <v>406</v>
      </c>
      <c r="H13" s="268" t="str">
        <f t="shared" si="2"/>
        <v>[6] Process Management</v>
      </c>
      <c r="I13" s="364">
        <f t="shared" si="3"/>
        <v>8</v>
      </c>
    </row>
    <row r="14" spans="1:13">
      <c r="A14" t="s">
        <v>881</v>
      </c>
      <c r="B14" t="s">
        <v>1316</v>
      </c>
      <c r="C14" t="s">
        <v>865</v>
      </c>
      <c r="D14" t="s">
        <v>1572</v>
      </c>
      <c r="E14" t="s">
        <v>1571</v>
      </c>
      <c r="F14" t="s">
        <v>881</v>
      </c>
      <c r="G14" t="s">
        <v>406</v>
      </c>
      <c r="H14" s="268" t="str">
        <f t="shared" si="2"/>
        <v>[6] Process Management</v>
      </c>
      <c r="I14" s="364">
        <f t="shared" si="3"/>
        <v>22</v>
      </c>
    </row>
    <row r="15" spans="1:13">
      <c r="A15" t="s">
        <v>881</v>
      </c>
      <c r="B15" t="s">
        <v>1316</v>
      </c>
      <c r="C15" t="s">
        <v>866</v>
      </c>
      <c r="D15" t="s">
        <v>1508</v>
      </c>
      <c r="E15" t="s">
        <v>1325</v>
      </c>
      <c r="F15" t="s">
        <v>881</v>
      </c>
      <c r="G15" t="s">
        <v>406</v>
      </c>
      <c r="H15" s="268" t="str">
        <f t="shared" si="2"/>
        <v>[6] Process Management</v>
      </c>
      <c r="I15" s="364">
        <f t="shared" si="3"/>
        <v>11</v>
      </c>
    </row>
    <row r="16" spans="1:13">
      <c r="A16" t="s">
        <v>881</v>
      </c>
      <c r="B16" t="s">
        <v>1316</v>
      </c>
      <c r="C16" t="s">
        <v>867</v>
      </c>
      <c r="D16" t="s">
        <v>1508</v>
      </c>
      <c r="E16" t="s">
        <v>1325</v>
      </c>
      <c r="F16" t="s">
        <v>881</v>
      </c>
      <c r="G16" t="s">
        <v>406</v>
      </c>
      <c r="H16" s="268" t="str">
        <f t="shared" si="2"/>
        <v>[6] Process Management</v>
      </c>
      <c r="I16" s="364">
        <f t="shared" si="3"/>
        <v>11</v>
      </c>
    </row>
    <row r="17" spans="1:9">
      <c r="A17" t="s">
        <v>882</v>
      </c>
      <c r="B17" t="s">
        <v>1317</v>
      </c>
      <c r="C17" t="s">
        <v>734</v>
      </c>
      <c r="D17" t="s">
        <v>1509</v>
      </c>
      <c r="E17" t="s">
        <v>1322</v>
      </c>
      <c r="F17" t="s">
        <v>882</v>
      </c>
      <c r="G17" t="s">
        <v>406</v>
      </c>
      <c r="H17" s="268" t="str">
        <f t="shared" si="2"/>
        <v>[7] Organisational Training</v>
      </c>
      <c r="I17" s="364">
        <f t="shared" si="3"/>
        <v>9</v>
      </c>
    </row>
    <row r="18" spans="1:9">
      <c r="A18" t="s">
        <v>883</v>
      </c>
      <c r="B18" t="s">
        <v>1318</v>
      </c>
      <c r="C18" t="s">
        <v>814</v>
      </c>
      <c r="D18" t="s">
        <v>1510</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1164</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02 May 2024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04 May 2024 to Sunday, 05 May 2024</v>
      </c>
      <c r="D3" s="488"/>
      <c r="E3" s="488"/>
      <c r="F3" s="485" t="str">
        <f>A3</f>
        <v>Day 1-2</v>
      </c>
      <c r="G3" s="485"/>
      <c r="H3" s="61"/>
      <c r="I3" s="117">
        <f>Planning!B42</f>
        <v>45416</v>
      </c>
      <c r="J3" s="118" t="str">
        <f>_xlfn.CONCAT("Day 1-",L3)</f>
        <v>Day 1-2</v>
      </c>
      <c r="K3" s="119">
        <f>Planning!B42+Planning!B44-1</f>
        <v>45417</v>
      </c>
      <c r="L3" s="112">
        <f>K3-I3+1</f>
        <v>2</v>
      </c>
      <c r="M3" s="63"/>
      <c r="N3" s="63"/>
      <c r="O3" s="63"/>
      <c r="P3" s="63"/>
    </row>
    <row r="4" spans="1:16" ht="28.8">
      <c r="A4" s="485" t="s">
        <v>908</v>
      </c>
      <c r="B4" s="485"/>
      <c r="C4" s="64" t="e">
        <f>J11</f>
        <v>#REF!</v>
      </c>
      <c r="D4" s="64" t="e">
        <f>M11</f>
        <v>#REF!</v>
      </c>
      <c r="E4" s="64" t="str">
        <f>CONCATENATE("LA team: ",'Agreement 3'!B7," and ATMs if applicable")</f>
        <v>LA team: Dr Pieter van Zyl and ATMs if applicable</v>
      </c>
      <c r="F4" s="485" t="s">
        <v>909</v>
      </c>
      <c r="G4" s="485"/>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45418</v>
      </c>
      <c r="D16" s="490"/>
      <c r="E16" s="490"/>
      <c r="F16" s="489" t="str">
        <f>A16</f>
        <v>Day 3</v>
      </c>
      <c r="G16" s="489"/>
      <c r="H16" s="61"/>
      <c r="I16" s="112"/>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963</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1580</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916</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45419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1581</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916</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45420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1582</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916</v>
      </c>
      <c r="D71" s="474"/>
      <c r="E71" s="474"/>
      <c r="F71" s="66">
        <v>0.47916666666666669</v>
      </c>
      <c r="G71" s="66">
        <v>0.5</v>
      </c>
      <c r="H71" s="70"/>
    </row>
    <row r="72" spans="1:8" ht="18" customHeight="1">
      <c r="A72" s="66">
        <v>0.75</v>
      </c>
      <c r="B72" s="66">
        <v>0.83333333333333337</v>
      </c>
      <c r="C72" s="474" t="s">
        <v>917</v>
      </c>
      <c r="D72" s="474"/>
      <c r="E72" s="474"/>
      <c r="F72" s="66">
        <v>0.5</v>
      </c>
      <c r="G72" s="66">
        <v>0.58333333333333337</v>
      </c>
      <c r="H72" s="70"/>
    </row>
    <row r="73" spans="1:8">
      <c r="A73" s="485" t="str">
        <f>J7</f>
        <v>Day 6</v>
      </c>
      <c r="B73" s="485"/>
      <c r="C73" s="488">
        <f>I7</f>
        <v>45421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45422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1589</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1588</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1165</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02 May 2024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04 May 2024 to Sunday, 05 May 2024</v>
      </c>
      <c r="D3" s="488"/>
      <c r="E3" s="488"/>
      <c r="F3" s="485" t="str">
        <f>A3</f>
        <v>Day 1-2</v>
      </c>
      <c r="G3" s="485"/>
      <c r="H3" s="61"/>
      <c r="I3" s="117">
        <f>Planning!B42</f>
        <v>45416</v>
      </c>
      <c r="J3" s="118" t="str">
        <f>_xlfn.CONCAT("Day 1-",L3)</f>
        <v>Day 1-2</v>
      </c>
      <c r="K3" s="119">
        <f>Planning!B42+Planning!B44-1</f>
        <v>45417</v>
      </c>
      <c r="L3" s="112">
        <f>K3-I3+1</f>
        <v>2</v>
      </c>
      <c r="M3" s="63"/>
      <c r="N3" s="63"/>
      <c r="O3" s="63"/>
      <c r="P3" s="63"/>
    </row>
    <row r="4" spans="1:16" ht="49.5" customHeight="1">
      <c r="A4" s="485" t="s">
        <v>908</v>
      </c>
      <c r="B4" s="485"/>
      <c r="C4" s="64" t="e">
        <f>'Schedule4-1P'!C4</f>
        <v>#REF!</v>
      </c>
      <c r="D4" s="64" t="e">
        <f>'Schedule4-1P'!D4</f>
        <v>#REF!</v>
      </c>
      <c r="E4" s="64" t="str">
        <f>'Schedule4-1P'!E4</f>
        <v>LA team: Dr Pieter van Zyl and ATMs if applicable</v>
      </c>
      <c r="F4" s="485" t="s">
        <v>909</v>
      </c>
      <c r="G4" s="485"/>
      <c r="H4" s="61"/>
      <c r="I4" s="117">
        <f>Planning!B45</f>
        <v>45418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45418</v>
      </c>
      <c r="D16" s="490"/>
      <c r="E16" s="490"/>
      <c r="F16" s="489" t="str">
        <f>A16</f>
        <v>Day 3</v>
      </c>
      <c r="G16" s="489"/>
      <c r="H16" s="61"/>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963</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965</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1099</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45419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966</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1099</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45420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1098</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45421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1098</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45422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1589</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1588</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45416</v>
      </c>
      <c r="C2" s="280">
        <f>B2+1</f>
        <v>45417</v>
      </c>
      <c r="D2" s="280">
        <f t="shared" ref="D2:G2" si="0">C2+1</f>
        <v>45418</v>
      </c>
      <c r="E2" s="280">
        <f t="shared" si="0"/>
        <v>45419</v>
      </c>
      <c r="F2" s="280">
        <f t="shared" si="0"/>
        <v>45420</v>
      </c>
      <c r="G2" s="280">
        <f t="shared" si="0"/>
        <v>45421</v>
      </c>
      <c r="H2" s="281" t="s">
        <v>1399</v>
      </c>
    </row>
    <row r="3" spans="1:8" ht="28.8">
      <c r="A3" s="282">
        <v>0.41666666666666702</v>
      </c>
      <c r="B3" s="522" t="s">
        <v>1400</v>
      </c>
      <c r="C3" s="283" t="s">
        <v>1401</v>
      </c>
      <c r="D3" s="284" t="s">
        <v>1402</v>
      </c>
      <c r="E3" s="284" t="s">
        <v>1402</v>
      </c>
      <c r="F3" s="509" t="s">
        <v>1403</v>
      </c>
      <c r="G3" s="509" t="s">
        <v>1404</v>
      </c>
      <c r="H3" s="285">
        <f t="shared" ref="H3:H19" si="1">+A3-0.25</f>
        <v>0.16666666666666702</v>
      </c>
    </row>
    <row r="4" spans="1:8">
      <c r="A4" s="282">
        <v>0.4375</v>
      </c>
      <c r="B4" s="522"/>
      <c r="C4" s="286" t="s">
        <v>1405</v>
      </c>
      <c r="D4" s="510" t="s">
        <v>1406</v>
      </c>
      <c r="E4" s="510" t="s">
        <v>1407</v>
      </c>
      <c r="F4" s="509"/>
      <c r="G4" s="509"/>
      <c r="H4" s="285">
        <f t="shared" si="1"/>
        <v>0.1875</v>
      </c>
    </row>
    <row r="5" spans="1:8">
      <c r="A5" s="282">
        <v>0.45833333333333398</v>
      </c>
      <c r="B5" s="523" t="s">
        <v>1408</v>
      </c>
      <c r="C5" s="521" t="s">
        <v>1409</v>
      </c>
      <c r="D5" s="510"/>
      <c r="E5" s="510"/>
      <c r="F5" s="509"/>
      <c r="G5" s="509"/>
      <c r="H5" s="285">
        <f t="shared" si="1"/>
        <v>0.20833333333333398</v>
      </c>
    </row>
    <row r="6" spans="1:8">
      <c r="A6" s="282">
        <v>0.47916666666666702</v>
      </c>
      <c r="B6" s="523"/>
      <c r="C6" s="521"/>
      <c r="D6" s="510"/>
      <c r="E6" s="510"/>
      <c r="F6" s="509"/>
      <c r="G6" s="283" t="s">
        <v>1405</v>
      </c>
      <c r="H6" s="285">
        <f t="shared" si="1"/>
        <v>0.22916666666666702</v>
      </c>
    </row>
    <row r="7" spans="1:8">
      <c r="A7" s="282">
        <v>0.5</v>
      </c>
      <c r="B7" s="523"/>
      <c r="C7" s="510" t="s">
        <v>1410</v>
      </c>
      <c r="D7" s="510"/>
      <c r="E7" s="510"/>
      <c r="F7" s="517" t="s">
        <v>915</v>
      </c>
      <c r="G7" s="517" t="s">
        <v>915</v>
      </c>
      <c r="H7" s="285">
        <f t="shared" si="1"/>
        <v>0.25</v>
      </c>
    </row>
    <row r="8" spans="1:8" ht="28.8">
      <c r="A8" s="282">
        <v>0.52083333333333404</v>
      </c>
      <c r="B8" s="287" t="s">
        <v>1400</v>
      </c>
      <c r="C8" s="510"/>
      <c r="D8" s="510"/>
      <c r="E8" s="510"/>
      <c r="F8" s="517"/>
      <c r="G8" s="517"/>
      <c r="H8" s="285">
        <f t="shared" si="1"/>
        <v>0.27083333333333404</v>
      </c>
    </row>
    <row r="9" spans="1:8">
      <c r="A9" s="282">
        <v>0.54166666666666696</v>
      </c>
      <c r="B9" s="516" t="s">
        <v>915</v>
      </c>
      <c r="C9" s="517" t="s">
        <v>915</v>
      </c>
      <c r="D9" s="517" t="s">
        <v>915</v>
      </c>
      <c r="E9" s="517" t="s">
        <v>915</v>
      </c>
      <c r="F9" s="283" t="s">
        <v>1405</v>
      </c>
      <c r="G9" s="521" t="s">
        <v>774</v>
      </c>
      <c r="H9" s="285">
        <f t="shared" si="1"/>
        <v>0.29166666666666696</v>
      </c>
    </row>
    <row r="10" spans="1:8">
      <c r="A10" s="282">
        <v>0.5625</v>
      </c>
      <c r="B10" s="516"/>
      <c r="C10" s="517"/>
      <c r="D10" s="517"/>
      <c r="E10" s="517"/>
      <c r="F10" s="521" t="s">
        <v>1411</v>
      </c>
      <c r="G10" s="521"/>
      <c r="H10" s="285">
        <f t="shared" si="1"/>
        <v>0.3125</v>
      </c>
    </row>
    <row r="11" spans="1:8">
      <c r="A11" s="282">
        <v>0.58333333333333304</v>
      </c>
      <c r="B11" s="522" t="s">
        <v>1412</v>
      </c>
      <c r="C11" s="510" t="s">
        <v>1413</v>
      </c>
      <c r="D11" s="510" t="s">
        <v>1414</v>
      </c>
      <c r="E11" s="510" t="s">
        <v>1415</v>
      </c>
      <c r="F11" s="521"/>
      <c r="G11" s="509" t="s">
        <v>1416</v>
      </c>
      <c r="H11" s="285">
        <f t="shared" si="1"/>
        <v>0.33333333333333304</v>
      </c>
    </row>
    <row r="12" spans="1:8">
      <c r="A12" s="282">
        <v>0.60416666666666696</v>
      </c>
      <c r="B12" s="522"/>
      <c r="C12" s="510"/>
      <c r="D12" s="510"/>
      <c r="E12" s="510"/>
      <c r="F12" s="521" t="s">
        <v>1417</v>
      </c>
      <c r="G12" s="509"/>
      <c r="H12" s="285">
        <f t="shared" si="1"/>
        <v>0.35416666666666696</v>
      </c>
    </row>
    <row r="13" spans="1:8">
      <c r="A13" s="282">
        <v>0.625</v>
      </c>
      <c r="B13" s="522"/>
      <c r="C13" s="510"/>
      <c r="D13" s="510" t="s">
        <v>1418</v>
      </c>
      <c r="E13" s="510"/>
      <c r="F13" s="521"/>
      <c r="G13" s="509"/>
      <c r="H13" s="285">
        <f t="shared" si="1"/>
        <v>0.375</v>
      </c>
    </row>
    <row r="14" spans="1:8">
      <c r="A14" s="282">
        <v>0.64583333333333304</v>
      </c>
      <c r="B14" s="522"/>
      <c r="C14" s="510"/>
      <c r="D14" s="510"/>
      <c r="E14" s="510"/>
      <c r="F14" s="509" t="s">
        <v>1404</v>
      </c>
      <c r="G14" s="524" t="s">
        <v>1419</v>
      </c>
      <c r="H14" s="285">
        <f t="shared" si="1"/>
        <v>0.39583333333333304</v>
      </c>
    </row>
    <row r="15" spans="1:8">
      <c r="A15" s="282">
        <v>0.66666666666666696</v>
      </c>
      <c r="B15" s="522"/>
      <c r="C15" s="286" t="s">
        <v>1405</v>
      </c>
      <c r="D15" s="510"/>
      <c r="E15" s="509" t="s">
        <v>1403</v>
      </c>
      <c r="F15" s="509"/>
      <c r="G15" s="524"/>
      <c r="H15" s="285">
        <f t="shared" si="1"/>
        <v>0.41666666666666696</v>
      </c>
    </row>
    <row r="16" spans="1:8">
      <c r="A16" s="282">
        <v>0.6875</v>
      </c>
      <c r="B16" s="522"/>
      <c r="C16" s="510" t="s">
        <v>1420</v>
      </c>
      <c r="D16" s="510" t="s">
        <v>1421</v>
      </c>
      <c r="E16" s="509"/>
      <c r="F16" s="509"/>
      <c r="G16" s="524"/>
      <c r="H16" s="285">
        <f t="shared" si="1"/>
        <v>0.4375</v>
      </c>
    </row>
    <row r="17" spans="1:8">
      <c r="A17" s="282">
        <v>0.70833333333333304</v>
      </c>
      <c r="B17" s="288" t="s">
        <v>1422</v>
      </c>
      <c r="C17" s="510"/>
      <c r="D17" s="510"/>
      <c r="E17" s="509"/>
      <c r="F17" s="509"/>
      <c r="G17" s="524"/>
      <c r="H17" s="285">
        <f t="shared" si="1"/>
        <v>0.45833333333333304</v>
      </c>
    </row>
    <row r="18" spans="1:8">
      <c r="A18" s="282">
        <v>0.72916666666666663</v>
      </c>
      <c r="B18" s="289" t="s">
        <v>1402</v>
      </c>
      <c r="C18" s="284" t="s">
        <v>1402</v>
      </c>
      <c r="D18" s="284" t="s">
        <v>1402</v>
      </c>
      <c r="E18" s="284" t="s">
        <v>1402</v>
      </c>
      <c r="F18" s="284" t="s">
        <v>1402</v>
      </c>
      <c r="G18" s="524"/>
      <c r="H18" s="285">
        <f t="shared" si="1"/>
        <v>0.47916666666666663</v>
      </c>
    </row>
    <row r="19" spans="1:8" ht="15" thickBot="1">
      <c r="A19" s="290">
        <v>0.75</v>
      </c>
      <c r="B19" s="518" t="s">
        <v>917</v>
      </c>
      <c r="C19" s="519"/>
      <c r="D19" s="519"/>
      <c r="E19" s="519"/>
      <c r="F19" s="519"/>
      <c r="G19" s="519"/>
      <c r="H19" s="291">
        <f t="shared" si="1"/>
        <v>0.5</v>
      </c>
    </row>
    <row r="21" spans="1:8" ht="15" thickBot="1">
      <c r="A21" s="8" t="s">
        <v>1423</v>
      </c>
    </row>
    <row r="22" spans="1:8">
      <c r="A22" s="278" t="s">
        <v>1398</v>
      </c>
      <c r="B22" s="279">
        <f>Planning!B42</f>
        <v>45416</v>
      </c>
      <c r="C22" s="279">
        <f>B22+1</f>
        <v>45417</v>
      </c>
      <c r="D22" s="279">
        <f t="shared" ref="D22:F22" si="2">C22+1</f>
        <v>45418</v>
      </c>
      <c r="E22" s="279">
        <f t="shared" si="2"/>
        <v>45419</v>
      </c>
      <c r="F22" s="279">
        <f t="shared" si="2"/>
        <v>45420</v>
      </c>
      <c r="G22" s="279">
        <f>F22+1</f>
        <v>45421</v>
      </c>
      <c r="H22" s="281" t="s">
        <v>1399</v>
      </c>
    </row>
    <row r="23" spans="1:8" ht="28.8">
      <c r="A23" s="282">
        <v>0.41666666666666702</v>
      </c>
      <c r="B23" s="522" t="s">
        <v>1400</v>
      </c>
      <c r="C23" s="283" t="s">
        <v>1401</v>
      </c>
      <c r="D23" s="284" t="s">
        <v>1402</v>
      </c>
      <c r="E23" s="284" t="s">
        <v>1402</v>
      </c>
      <c r="F23" s="511" t="s">
        <v>1403</v>
      </c>
      <c r="G23" s="511" t="s">
        <v>1404</v>
      </c>
      <c r="H23" s="285">
        <f t="shared" ref="H23:H39" si="3">+A23-0.25</f>
        <v>0.16666666666666702</v>
      </c>
    </row>
    <row r="24" spans="1:8">
      <c r="A24" s="282">
        <v>0.4375</v>
      </c>
      <c r="B24" s="522"/>
      <c r="C24" s="286" t="s">
        <v>1405</v>
      </c>
      <c r="D24" s="510" t="s">
        <v>1406</v>
      </c>
      <c r="E24" s="510" t="s">
        <v>1407</v>
      </c>
      <c r="F24" s="520"/>
      <c r="G24" s="520"/>
      <c r="H24" s="285">
        <f t="shared" si="3"/>
        <v>0.1875</v>
      </c>
    </row>
    <row r="25" spans="1:8">
      <c r="A25" s="282">
        <v>0.45833333333333398</v>
      </c>
      <c r="B25" s="523" t="s">
        <v>1408</v>
      </c>
      <c r="C25" s="521" t="s">
        <v>1409</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1410</v>
      </c>
      <c r="D27" s="510"/>
      <c r="E27" s="510"/>
      <c r="F27" s="520"/>
      <c r="G27" s="520"/>
      <c r="H27" s="285">
        <f t="shared" si="3"/>
        <v>0.25</v>
      </c>
    </row>
    <row r="28" spans="1:8" ht="28.8">
      <c r="A28" s="282">
        <v>0.52083333333333404</v>
      </c>
      <c r="B28" s="287" t="s">
        <v>1400</v>
      </c>
      <c r="C28" s="510"/>
      <c r="D28" s="510"/>
      <c r="E28" s="510"/>
      <c r="F28" s="512"/>
      <c r="G28" s="512"/>
      <c r="H28" s="285">
        <f t="shared" si="3"/>
        <v>0.27083333333333404</v>
      </c>
    </row>
    <row r="29" spans="1:8">
      <c r="A29" s="282">
        <v>0.54166666666666696</v>
      </c>
      <c r="B29" s="516" t="s">
        <v>915</v>
      </c>
      <c r="C29" s="517" t="s">
        <v>915</v>
      </c>
      <c r="D29" s="517" t="s">
        <v>915</v>
      </c>
      <c r="E29" s="517" t="s">
        <v>915</v>
      </c>
      <c r="F29" s="517" t="s">
        <v>915</v>
      </c>
      <c r="G29" s="517" t="s">
        <v>915</v>
      </c>
      <c r="H29" s="285">
        <f t="shared" si="3"/>
        <v>0.29166666666666696</v>
      </c>
    </row>
    <row r="30" spans="1:8">
      <c r="A30" s="282">
        <v>0.5625</v>
      </c>
      <c r="B30" s="516"/>
      <c r="C30" s="517"/>
      <c r="D30" s="517"/>
      <c r="E30" s="517"/>
      <c r="F30" s="517"/>
      <c r="G30" s="517"/>
      <c r="H30" s="285">
        <f t="shared" si="3"/>
        <v>0.3125</v>
      </c>
    </row>
    <row r="31" spans="1:8">
      <c r="A31" s="282">
        <v>0.58333333333333304</v>
      </c>
      <c r="B31" s="511" t="s">
        <v>1412</v>
      </c>
      <c r="C31" s="510" t="s">
        <v>1413</v>
      </c>
      <c r="D31" s="510" t="s">
        <v>1414</v>
      </c>
      <c r="E31" s="510" t="s">
        <v>1415</v>
      </c>
      <c r="F31" s="284" t="s">
        <v>1405</v>
      </c>
      <c r="G31" s="284" t="s">
        <v>1405</v>
      </c>
      <c r="H31" s="285">
        <f t="shared" si="3"/>
        <v>0.33333333333333304</v>
      </c>
    </row>
    <row r="32" spans="1:8">
      <c r="A32" s="282">
        <v>0.60416666666666696</v>
      </c>
      <c r="B32" s="520"/>
      <c r="C32" s="510"/>
      <c r="D32" s="510"/>
      <c r="E32" s="510"/>
      <c r="F32" s="521" t="s">
        <v>1411</v>
      </c>
      <c r="G32" s="521" t="s">
        <v>1587</v>
      </c>
      <c r="H32" s="285">
        <f t="shared" si="3"/>
        <v>0.35416666666666696</v>
      </c>
    </row>
    <row r="33" spans="1:8">
      <c r="A33" s="282">
        <v>0.625</v>
      </c>
      <c r="B33" s="520"/>
      <c r="C33" s="510"/>
      <c r="D33" s="510" t="s">
        <v>1418</v>
      </c>
      <c r="E33" s="510"/>
      <c r="F33" s="521"/>
      <c r="G33" s="521"/>
      <c r="H33" s="285">
        <f t="shared" si="3"/>
        <v>0.375</v>
      </c>
    </row>
    <row r="34" spans="1:8">
      <c r="A34" s="282">
        <v>0.64583333333333304</v>
      </c>
      <c r="B34" s="520"/>
      <c r="C34" s="510"/>
      <c r="D34" s="510"/>
      <c r="E34" s="510"/>
      <c r="F34" s="521" t="s">
        <v>1417</v>
      </c>
      <c r="G34" s="513" t="s">
        <v>1424</v>
      </c>
      <c r="H34" s="285">
        <f t="shared" si="3"/>
        <v>0.39583333333333304</v>
      </c>
    </row>
    <row r="35" spans="1:8">
      <c r="A35" s="282">
        <v>0.66666666666666696</v>
      </c>
      <c r="B35" s="512"/>
      <c r="C35" s="286" t="s">
        <v>1405</v>
      </c>
      <c r="D35" s="510"/>
      <c r="E35" s="509" t="s">
        <v>1403</v>
      </c>
      <c r="F35" s="521"/>
      <c r="G35" s="514"/>
      <c r="H35" s="285">
        <f t="shared" si="3"/>
        <v>0.41666666666666696</v>
      </c>
    </row>
    <row r="36" spans="1:8">
      <c r="A36" s="282">
        <v>0.6875</v>
      </c>
      <c r="B36" s="292" t="s">
        <v>1425</v>
      </c>
      <c r="C36" s="510" t="s">
        <v>1420</v>
      </c>
      <c r="D36" s="510" t="s">
        <v>1421</v>
      </c>
      <c r="E36" s="509"/>
      <c r="F36" s="511" t="s">
        <v>1404</v>
      </c>
      <c r="G36" s="513" t="s">
        <v>1426</v>
      </c>
      <c r="H36" s="285">
        <f t="shared" si="3"/>
        <v>0.4375</v>
      </c>
    </row>
    <row r="37" spans="1:8">
      <c r="A37" s="282">
        <v>0.70833333333333304</v>
      </c>
      <c r="B37" s="288" t="s">
        <v>1422</v>
      </c>
      <c r="C37" s="510"/>
      <c r="D37" s="510"/>
      <c r="E37" s="509"/>
      <c r="F37" s="512"/>
      <c r="G37" s="514"/>
      <c r="H37" s="285">
        <f t="shared" si="3"/>
        <v>0.45833333333333304</v>
      </c>
    </row>
    <row r="38" spans="1:8">
      <c r="A38" s="282">
        <v>0.72916666666666663</v>
      </c>
      <c r="B38" s="289" t="s">
        <v>1402</v>
      </c>
      <c r="C38" s="284" t="s">
        <v>1402</v>
      </c>
      <c r="D38" s="284" t="s">
        <v>1402</v>
      </c>
      <c r="E38" s="284" t="s">
        <v>1402</v>
      </c>
      <c r="F38" s="284" t="s">
        <v>1402</v>
      </c>
      <c r="G38" s="515"/>
      <c r="H38" s="285">
        <f t="shared" si="3"/>
        <v>0.47916666666666663</v>
      </c>
    </row>
    <row r="39" spans="1:8" ht="15" thickBot="1">
      <c r="A39" s="290">
        <v>0.75</v>
      </c>
      <c r="B39" s="518" t="s">
        <v>917</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Bill Nelson</v>
      </c>
      <c r="C2" s="109" t="str">
        <f>'Agreement 3'!B31</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1560</v>
      </c>
    </row>
    <row r="25" spans="1:24">
      <c r="C25" s="356" t="s">
        <v>1561</v>
      </c>
    </row>
    <row r="26" spans="1:24">
      <c r="C26" s="124" t="s">
        <v>1562</v>
      </c>
    </row>
    <row r="27" spans="1:24">
      <c r="C27" s="246" t="s">
        <v>1563</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1707</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1483</v>
      </c>
      <c r="E2" t="s">
        <v>388</v>
      </c>
      <c r="H2" t="s">
        <v>1313</v>
      </c>
      <c r="I2" t="s">
        <v>388</v>
      </c>
      <c r="J2" t="s">
        <v>1507</v>
      </c>
      <c r="K2" t="s">
        <v>1528</v>
      </c>
      <c r="L2" t="s">
        <v>1527</v>
      </c>
      <c r="M2" t="s">
        <v>1524</v>
      </c>
      <c r="N2" t="s">
        <v>1525</v>
      </c>
      <c r="O2" t="s">
        <v>1532</v>
      </c>
      <c r="P2" t="s">
        <v>18</v>
      </c>
    </row>
    <row r="3" spans="1:16">
      <c r="A3" t="s">
        <v>1316</v>
      </c>
      <c r="B3" t="s">
        <v>1299</v>
      </c>
      <c r="C3">
        <v>2</v>
      </c>
      <c r="D3" t="s">
        <v>1484</v>
      </c>
      <c r="E3" t="s">
        <v>388</v>
      </c>
      <c r="H3" t="s">
        <v>1313</v>
      </c>
      <c r="I3" t="s">
        <v>388</v>
      </c>
      <c r="J3" t="s">
        <v>1508</v>
      </c>
      <c r="K3" t="s">
        <v>1528</v>
      </c>
      <c r="L3" t="s">
        <v>1527</v>
      </c>
      <c r="M3" t="s">
        <v>1524</v>
      </c>
      <c r="N3" t="s">
        <v>1525</v>
      </c>
      <c r="O3" t="s">
        <v>1532</v>
      </c>
      <c r="P3" t="s">
        <v>18</v>
      </c>
    </row>
    <row r="4" spans="1:16">
      <c r="A4" t="s">
        <v>1317</v>
      </c>
      <c r="B4" t="s">
        <v>1299</v>
      </c>
      <c r="C4">
        <v>1</v>
      </c>
      <c r="D4" t="s">
        <v>1485</v>
      </c>
      <c r="E4" t="s">
        <v>388</v>
      </c>
      <c r="H4" t="s">
        <v>1313</v>
      </c>
      <c r="I4" t="s">
        <v>388</v>
      </c>
      <c r="J4" t="s">
        <v>1509</v>
      </c>
      <c r="K4" t="s">
        <v>1528</v>
      </c>
      <c r="L4" t="s">
        <v>1527</v>
      </c>
      <c r="M4" t="s">
        <v>1524</v>
      </c>
      <c r="N4" t="s">
        <v>1525</v>
      </c>
      <c r="O4" t="s">
        <v>1532</v>
      </c>
      <c r="P4" t="s">
        <v>18</v>
      </c>
    </row>
    <row r="5" spans="1:16">
      <c r="A5" t="s">
        <v>1318</v>
      </c>
      <c r="B5" t="s">
        <v>1299</v>
      </c>
      <c r="C5">
        <v>1</v>
      </c>
      <c r="D5" t="s">
        <v>1486</v>
      </c>
      <c r="E5" t="s">
        <v>388</v>
      </c>
      <c r="H5" t="s">
        <v>1313</v>
      </c>
      <c r="I5" t="s">
        <v>388</v>
      </c>
      <c r="J5" t="s">
        <v>1510</v>
      </c>
      <c r="K5" t="s">
        <v>1528</v>
      </c>
      <c r="L5" t="s">
        <v>1527</v>
      </c>
      <c r="M5" t="s">
        <v>1524</v>
      </c>
      <c r="N5" t="s">
        <v>1525</v>
      </c>
      <c r="O5" t="s">
        <v>1532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1783</v>
      </c>
      <c r="B1" s="409" t="s">
        <v>1292</v>
      </c>
      <c r="C1" s="409" t="s">
        <v>1275</v>
      </c>
      <c r="D1" s="409" t="s">
        <v>1276</v>
      </c>
      <c r="E1" s="409" t="s">
        <v>1784</v>
      </c>
      <c r="F1" s="409" t="s">
        <v>1294</v>
      </c>
      <c r="G1" s="409" t="s">
        <v>1279</v>
      </c>
      <c r="H1" s="409" t="s">
        <v>1280</v>
      </c>
      <c r="I1" s="409" t="s">
        <v>1296</v>
      </c>
      <c r="J1" s="409" t="s">
        <v>1785</v>
      </c>
      <c r="K1" s="409" t="s">
        <v>1786</v>
      </c>
      <c r="L1" s="409" t="s">
        <v>31</v>
      </c>
      <c r="M1" s="409" t="s">
        <v>32</v>
      </c>
      <c r="N1" s="409" t="s">
        <v>33</v>
      </c>
      <c r="O1" s="409" t="s">
        <v>34</v>
      </c>
      <c r="P1" s="409" t="s">
        <v>35</v>
      </c>
      <c r="Q1" s="409" t="s">
        <v>1787</v>
      </c>
      <c r="R1" s="409" t="s">
        <v>1788</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1739</v>
      </c>
      <c r="C2">
        <v>5</v>
      </c>
      <c r="D2" t="s">
        <v>1742</v>
      </c>
      <c r="E2" t="s">
        <v>388</v>
      </c>
      <c r="H2" t="s">
        <v>1313</v>
      </c>
      <c r="I2" t="s">
        <v>1302</v>
      </c>
      <c r="J2" t="s">
        <v>1118</v>
      </c>
      <c r="K2" s="271">
        <v>44021</v>
      </c>
      <c r="L2" s="271">
        <v>44260</v>
      </c>
      <c r="M2" t="s">
        <v>388</v>
      </c>
      <c r="N2" t="s">
        <v>1491</v>
      </c>
      <c r="O2" t="s">
        <v>1528</v>
      </c>
      <c r="P2" t="s">
        <v>1527</v>
      </c>
      <c r="Q2" t="s">
        <v>1524</v>
      </c>
      <c r="R2" t="s">
        <v>1525</v>
      </c>
      <c r="S2" t="s">
        <v>1532</v>
      </c>
      <c r="T2" t="s">
        <v>18</v>
      </c>
    </row>
    <row r="3" spans="1:20" ht="24" customHeight="1">
      <c r="A3" t="s">
        <v>1738</v>
      </c>
      <c r="C3">
        <v>5</v>
      </c>
      <c r="D3" t="s">
        <v>1743</v>
      </c>
      <c r="E3" t="s">
        <v>388</v>
      </c>
      <c r="H3" t="s">
        <v>1313</v>
      </c>
      <c r="I3" t="s">
        <v>1302</v>
      </c>
      <c r="J3" t="s">
        <v>1118</v>
      </c>
      <c r="K3" s="271">
        <v>44086</v>
      </c>
      <c r="L3" s="271">
        <v>44258</v>
      </c>
      <c r="M3" t="s">
        <v>388</v>
      </c>
      <c r="N3" t="s">
        <v>1496</v>
      </c>
      <c r="O3" t="s">
        <v>1528</v>
      </c>
      <c r="P3" t="s">
        <v>1527</v>
      </c>
      <c r="Q3" t="s">
        <v>1524</v>
      </c>
      <c r="R3" t="s">
        <v>1525</v>
      </c>
      <c r="S3" t="s">
        <v>1532</v>
      </c>
      <c r="T3" t="s">
        <v>18</v>
      </c>
    </row>
    <row r="4" spans="1:20" ht="24" customHeight="1">
      <c r="A4" t="s">
        <v>1737</v>
      </c>
      <c r="C4">
        <v>5</v>
      </c>
      <c r="D4" t="s">
        <v>1744</v>
      </c>
      <c r="E4" t="s">
        <v>388</v>
      </c>
      <c r="H4" t="s">
        <v>1313</v>
      </c>
      <c r="I4" t="s">
        <v>1302</v>
      </c>
      <c r="J4" t="s">
        <v>1118</v>
      </c>
      <c r="K4" s="271">
        <v>44062</v>
      </c>
      <c r="L4" s="271">
        <v>44247</v>
      </c>
      <c r="M4" t="s">
        <v>388</v>
      </c>
      <c r="N4" t="s">
        <v>1501</v>
      </c>
      <c r="O4" t="s">
        <v>1528</v>
      </c>
      <c r="P4" t="s">
        <v>1527</v>
      </c>
      <c r="Q4" t="s">
        <v>1524</v>
      </c>
      <c r="R4" t="s">
        <v>1525</v>
      </c>
      <c r="S4" t="s">
        <v>1532</v>
      </c>
      <c r="T4" t="s">
        <v>18</v>
      </c>
    </row>
    <row r="5" spans="1:20" ht="24" customHeight="1">
      <c r="A5" t="s">
        <v>1736</v>
      </c>
      <c r="C5">
        <v>5</v>
      </c>
      <c r="D5" t="s">
        <v>1745</v>
      </c>
      <c r="E5" t="s">
        <v>388</v>
      </c>
      <c r="H5" t="s">
        <v>1313</v>
      </c>
      <c r="I5" t="s">
        <v>1302</v>
      </c>
      <c r="J5" t="s">
        <v>1118</v>
      </c>
      <c r="K5" s="271">
        <v>44116</v>
      </c>
      <c r="L5" s="271">
        <v>44265</v>
      </c>
      <c r="M5" t="s">
        <v>388</v>
      </c>
      <c r="N5" t="s">
        <v>1506</v>
      </c>
      <c r="O5" t="s">
        <v>1528</v>
      </c>
      <c r="P5" t="s">
        <v>1527</v>
      </c>
      <c r="Q5" t="s">
        <v>1524</v>
      </c>
      <c r="R5" t="s">
        <v>1525</v>
      </c>
      <c r="S5" t="s">
        <v>1532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1789</v>
      </c>
      <c r="B1" s="408" t="s">
        <v>1790</v>
      </c>
      <c r="C1" s="408" t="s">
        <v>1275</v>
      </c>
      <c r="D1" s="408" t="s">
        <v>1276</v>
      </c>
      <c r="E1" s="408" t="s">
        <v>1791</v>
      </c>
      <c r="F1" s="408" t="s">
        <v>1278</v>
      </c>
      <c r="G1" s="408" t="s">
        <v>1279</v>
      </c>
      <c r="H1" s="408" t="s">
        <v>1280</v>
      </c>
      <c r="I1" s="408" t="s">
        <v>1792</v>
      </c>
      <c r="J1" s="408" t="s">
        <v>1793</v>
      </c>
      <c r="K1" s="408" t="s">
        <v>1794</v>
      </c>
      <c r="L1" s="408" t="s">
        <v>1286</v>
      </c>
      <c r="M1" s="408" t="s">
        <v>1795</v>
      </c>
      <c r="N1" s="408" t="s">
        <v>1786</v>
      </c>
      <c r="O1" s="408" t="s">
        <v>1288</v>
      </c>
      <c r="P1" s="408" t="s">
        <v>32</v>
      </c>
      <c r="Q1" s="408" t="s">
        <v>1289</v>
      </c>
      <c r="R1" s="408" t="s">
        <v>34</v>
      </c>
      <c r="S1" s="408" t="s">
        <v>35</v>
      </c>
      <c r="T1" s="408" t="s">
        <v>1796</v>
      </c>
      <c r="U1" s="408" t="s">
        <v>1788</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1489</v>
      </c>
      <c r="B2" t="s">
        <v>1123</v>
      </c>
      <c r="C2" t="s">
        <v>1313</v>
      </c>
    </row>
    <row r="3" spans="1:3">
      <c r="A3" t="s">
        <v>1488</v>
      </c>
      <c r="B3" t="s">
        <v>890</v>
      </c>
      <c r="C3" t="s">
        <v>1313</v>
      </c>
    </row>
    <row r="4" spans="1:3">
      <c r="A4" t="s">
        <v>1492</v>
      </c>
      <c r="B4" t="s">
        <v>889</v>
      </c>
      <c r="C4" t="s">
        <v>1313</v>
      </c>
    </row>
    <row r="5" spans="1:3">
      <c r="A5" t="s">
        <v>1494</v>
      </c>
      <c r="B5" t="s">
        <v>1123</v>
      </c>
      <c r="C5" t="s">
        <v>1313</v>
      </c>
    </row>
    <row r="6" spans="1:3">
      <c r="A6" t="s">
        <v>1501</v>
      </c>
      <c r="B6" t="s">
        <v>1324</v>
      </c>
      <c r="C6" t="s">
        <v>1313</v>
      </c>
    </row>
    <row r="7" spans="1:3">
      <c r="A7" t="s">
        <v>1506</v>
      </c>
      <c r="B7" t="s">
        <v>1324</v>
      </c>
      <c r="C7" t="s">
        <v>1313</v>
      </c>
    </row>
    <row r="8" spans="1:3">
      <c r="A8" t="s">
        <v>1507</v>
      </c>
      <c r="B8" t="s">
        <v>1323</v>
      </c>
      <c r="C8" t="s">
        <v>1313</v>
      </c>
    </row>
    <row r="9" spans="1:3">
      <c r="A9" t="s">
        <v>1508</v>
      </c>
      <c r="B9" t="s">
        <v>1325</v>
      </c>
      <c r="C9" t="s">
        <v>1313</v>
      </c>
    </row>
    <row r="10" spans="1:3">
      <c r="A10" t="s">
        <v>1509</v>
      </c>
      <c r="B10" t="s">
        <v>1322</v>
      </c>
      <c r="C10" t="s">
        <v>1313</v>
      </c>
    </row>
    <row r="11" spans="1:3">
      <c r="A11" t="s">
        <v>1510</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1479</v>
      </c>
      <c r="C1" t="s">
        <v>1480</v>
      </c>
      <c r="D1" t="s">
        <v>1481</v>
      </c>
      <c r="E1" t="s">
        <v>1482</v>
      </c>
      <c r="F1" t="s">
        <v>1315</v>
      </c>
      <c r="G1" t="s">
        <v>1316</v>
      </c>
      <c r="H1" t="s">
        <v>1317</v>
      </c>
      <c r="I1" t="s">
        <v>1318</v>
      </c>
    </row>
    <row r="2" spans="1:9">
      <c r="A2" t="s">
        <v>1489</v>
      </c>
      <c r="B2" t="s">
        <v>1271</v>
      </c>
    </row>
    <row r="3" spans="1:9">
      <c r="A3" t="s">
        <v>1488</v>
      </c>
      <c r="B3" t="s">
        <v>1271</v>
      </c>
    </row>
    <row r="4" spans="1:9">
      <c r="A4" t="s">
        <v>1492</v>
      </c>
      <c r="C4" t="s">
        <v>1271</v>
      </c>
    </row>
    <row r="5" spans="1:9">
      <c r="A5" t="s">
        <v>1494</v>
      </c>
      <c r="C5" t="s">
        <v>1271</v>
      </c>
    </row>
    <row r="6" spans="1:9">
      <c r="A6" t="s">
        <v>1501</v>
      </c>
      <c r="D6" t="s">
        <v>1271</v>
      </c>
    </row>
    <row r="7" spans="1:9">
      <c r="A7" t="s">
        <v>1506</v>
      </c>
      <c r="E7" t="s">
        <v>1271</v>
      </c>
    </row>
    <row r="8" spans="1:9">
      <c r="A8" t="s">
        <v>1507</v>
      </c>
      <c r="F8" t="s">
        <v>1271</v>
      </c>
    </row>
    <row r="9" spans="1:9">
      <c r="A9" t="s">
        <v>1508</v>
      </c>
      <c r="G9" t="s">
        <v>1271</v>
      </c>
    </row>
    <row r="10" spans="1:9">
      <c r="A10" t="s">
        <v>1509</v>
      </c>
      <c r="H10" t="s">
        <v>1271</v>
      </c>
    </row>
    <row r="11" spans="1:9">
      <c r="A11" t="s">
        <v>1510</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1489</v>
      </c>
      <c r="D2" t="s">
        <v>1271</v>
      </c>
      <c r="E2" t="s">
        <v>1271</v>
      </c>
      <c r="F2" t="s">
        <v>1271</v>
      </c>
      <c r="G2" t="s">
        <v>1271</v>
      </c>
    </row>
    <row r="3" spans="1:20">
      <c r="A3" t="s">
        <v>1488</v>
      </c>
      <c r="E3" t="s">
        <v>1271</v>
      </c>
      <c r="F3" t="s">
        <v>1271</v>
      </c>
    </row>
    <row r="4" spans="1:20">
      <c r="A4" t="s">
        <v>1492</v>
      </c>
      <c r="B4" t="s">
        <v>1271</v>
      </c>
      <c r="E4" t="s">
        <v>1271</v>
      </c>
    </row>
    <row r="5" spans="1:20">
      <c r="A5" t="s">
        <v>1494</v>
      </c>
      <c r="D5" t="s">
        <v>1271</v>
      </c>
      <c r="E5" t="s">
        <v>1271</v>
      </c>
      <c r="F5" t="s">
        <v>1271</v>
      </c>
      <c r="G5" t="s">
        <v>1271</v>
      </c>
    </row>
    <row r="6" spans="1:20">
      <c r="A6" t="s">
        <v>1501</v>
      </c>
      <c r="E6" t="s">
        <v>1271</v>
      </c>
      <c r="H6" t="s">
        <v>1271</v>
      </c>
      <c r="I6" t="s">
        <v>1271</v>
      </c>
      <c r="J6" t="s">
        <v>1271</v>
      </c>
      <c r="K6" t="s">
        <v>1271</v>
      </c>
      <c r="M6" t="s">
        <v>1271</v>
      </c>
      <c r="N6" t="s">
        <v>1271</v>
      </c>
    </row>
    <row r="7" spans="1:20">
      <c r="A7" t="s">
        <v>1506</v>
      </c>
      <c r="E7" t="s">
        <v>1271</v>
      </c>
      <c r="H7" t="s">
        <v>1271</v>
      </c>
      <c r="I7" t="s">
        <v>1271</v>
      </c>
      <c r="J7" t="s">
        <v>1271</v>
      </c>
      <c r="K7" t="s">
        <v>1271</v>
      </c>
      <c r="M7" t="s">
        <v>1271</v>
      </c>
      <c r="N7" t="s">
        <v>1271</v>
      </c>
    </row>
    <row r="8" spans="1:20">
      <c r="A8" t="s">
        <v>1507</v>
      </c>
      <c r="O8" t="s">
        <v>1271</v>
      </c>
    </row>
    <row r="9" spans="1:20">
      <c r="A9" t="s">
        <v>1508</v>
      </c>
      <c r="M9" t="s">
        <v>1271</v>
      </c>
      <c r="N9" t="s">
        <v>1271</v>
      </c>
      <c r="P9" t="s">
        <v>1271</v>
      </c>
      <c r="Q9" t="s">
        <v>1271</v>
      </c>
      <c r="R9" t="s">
        <v>1271</v>
      </c>
    </row>
    <row r="10" spans="1:20">
      <c r="A10" t="s">
        <v>1509</v>
      </c>
      <c r="L10" t="s">
        <v>1271</v>
      </c>
    </row>
    <row r="11" spans="1:20">
      <c r="A11" t="s">
        <v>1510</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1057</v>
      </c>
      <c r="C2" s="534" t="s">
        <v>1058</v>
      </c>
      <c r="D2" s="525" t="s">
        <v>1059</v>
      </c>
      <c r="E2" s="527"/>
      <c r="F2" s="528" t="s">
        <v>1060</v>
      </c>
      <c r="G2" s="530"/>
      <c r="H2" s="525" t="s">
        <v>1061</v>
      </c>
      <c r="I2" s="526"/>
      <c r="J2" s="526"/>
      <c r="K2" s="527"/>
      <c r="L2" s="528" t="s">
        <v>1062</v>
      </c>
      <c r="M2" s="529"/>
      <c r="N2" s="530"/>
      <c r="O2" s="179" t="s">
        <v>1063</v>
      </c>
      <c r="P2" s="180" t="s">
        <v>1064</v>
      </c>
      <c r="Q2" s="525" t="s">
        <v>1065</v>
      </c>
      <c r="R2" s="526"/>
      <c r="S2" s="527"/>
      <c r="T2" s="528" t="s">
        <v>1066</v>
      </c>
      <c r="U2" s="529"/>
      <c r="V2" s="530"/>
      <c r="W2" s="176" t="s">
        <v>1067</v>
      </c>
    </row>
    <row r="3" spans="2:28" ht="15.6">
      <c r="B3" s="535"/>
      <c r="C3" s="53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1068</v>
      </c>
      <c r="C5" s="183"/>
      <c r="D5" s="248"/>
      <c r="E5" s="248"/>
      <c r="F5" s="248"/>
      <c r="G5" s="248"/>
      <c r="H5" s="248"/>
      <c r="I5" s="248"/>
      <c r="J5" s="248"/>
      <c r="K5" s="248"/>
      <c r="L5" s="248"/>
      <c r="M5" s="248"/>
      <c r="N5" s="248"/>
      <c r="O5" s="248"/>
      <c r="P5" s="248"/>
      <c r="Q5" s="248"/>
      <c r="R5" s="248"/>
      <c r="S5" s="248"/>
      <c r="T5" s="248"/>
      <c r="U5" s="248"/>
      <c r="V5" s="248"/>
      <c r="W5" s="166" t="s">
        <v>1073</v>
      </c>
      <c r="Z5" s="388" t="s">
        <v>1626</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891</v>
      </c>
      <c r="Z7" s="8" t="s">
        <v>1624</v>
      </c>
      <c r="AB7" s="387" t="s">
        <v>1072</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1070</v>
      </c>
      <c r="Z8" s="8" t="s">
        <v>1625</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1632</v>
      </c>
    </row>
    <row r="11" spans="2:28" ht="15" customHeight="1">
      <c r="B11" s="532"/>
      <c r="C11" s="182">
        <v>2.1</v>
      </c>
      <c r="D11" s="183"/>
      <c r="E11" s="183"/>
      <c r="F11" s="183"/>
      <c r="G11" s="183"/>
      <c r="H11" s="183"/>
      <c r="I11" s="362" t="s">
        <v>1566</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1627</v>
      </c>
      <c r="AB12" s="386" t="s">
        <v>1069</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1628</v>
      </c>
      <c r="AB13" s="386" t="s">
        <v>1070</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1629</v>
      </c>
      <c r="AB14" s="386" t="s">
        <v>891</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1630</v>
      </c>
      <c r="AB15" s="386" t="s">
        <v>1071</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1631</v>
      </c>
      <c r="AB16" s="386" t="s">
        <v>1075</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7" t="s">
        <v>1057</v>
      </c>
      <c r="C49" s="537" t="s">
        <v>1058</v>
      </c>
      <c r="D49" s="538" t="s">
        <v>1059</v>
      </c>
      <c r="E49" s="538"/>
      <c r="F49" s="539" t="s">
        <v>1060</v>
      </c>
      <c r="G49" s="539"/>
      <c r="H49" s="538" t="s">
        <v>1061</v>
      </c>
      <c r="I49" s="538"/>
      <c r="J49" s="538"/>
      <c r="K49" s="538"/>
      <c r="L49" s="539" t="s">
        <v>1062</v>
      </c>
      <c r="M49" s="539"/>
      <c r="N49" s="539"/>
      <c r="O49" s="179" t="s">
        <v>1063</v>
      </c>
      <c r="P49" s="180" t="s">
        <v>1064</v>
      </c>
      <c r="Q49" s="538" t="s">
        <v>1065</v>
      </c>
      <c r="R49" s="538"/>
      <c r="S49" s="538"/>
      <c r="T49" s="539" t="s">
        <v>1066</v>
      </c>
      <c r="U49" s="539"/>
      <c r="V49" s="539"/>
    </row>
    <row r="50" spans="2:28" ht="93.6">
      <c r="B50" s="537"/>
      <c r="C50" s="53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1492</v>
      </c>
      <c r="B6">
        <v>2</v>
      </c>
    </row>
    <row r="7" spans="1:2">
      <c r="A7" s="106" t="s">
        <v>1323</v>
      </c>
      <c r="B7">
        <v>1</v>
      </c>
    </row>
    <row r="8" spans="1:2">
      <c r="A8" s="243" t="s">
        <v>1507</v>
      </c>
      <c r="B8">
        <v>1</v>
      </c>
    </row>
    <row r="9" spans="1:2">
      <c r="A9" s="106" t="s">
        <v>890</v>
      </c>
      <c r="B9">
        <v>1</v>
      </c>
    </row>
    <row r="10" spans="1:2">
      <c r="A10" s="243" t="s">
        <v>1488</v>
      </c>
      <c r="B10">
        <v>1</v>
      </c>
    </row>
    <row r="11" spans="1:2">
      <c r="A11" s="106" t="s">
        <v>1123</v>
      </c>
      <c r="B11">
        <v>2</v>
      </c>
    </row>
    <row r="12" spans="1:2">
      <c r="A12" s="243" t="s">
        <v>1489</v>
      </c>
      <c r="B12">
        <v>1</v>
      </c>
    </row>
    <row r="13" spans="1:2">
      <c r="A13" s="243" t="s">
        <v>1494</v>
      </c>
      <c r="B13">
        <v>1</v>
      </c>
    </row>
    <row r="14" spans="1:2">
      <c r="A14" s="106" t="s">
        <v>1324</v>
      </c>
      <c r="B14">
        <v>4</v>
      </c>
    </row>
    <row r="15" spans="1:2">
      <c r="A15" s="243" t="s">
        <v>1501</v>
      </c>
      <c r="B15">
        <v>3</v>
      </c>
    </row>
    <row r="16" spans="1:2">
      <c r="A16" s="243" t="s">
        <v>1506</v>
      </c>
      <c r="B16">
        <v>1</v>
      </c>
    </row>
    <row r="17" spans="1:2">
      <c r="A17" s="106" t="s">
        <v>1206</v>
      </c>
      <c r="B17">
        <v>1</v>
      </c>
    </row>
    <row r="18" spans="1:2">
      <c r="A18" s="243" t="s">
        <v>1510</v>
      </c>
      <c r="B18">
        <v>1</v>
      </c>
    </row>
    <row r="19" spans="1:2">
      <c r="A19" s="106" t="s">
        <v>1322</v>
      </c>
      <c r="B19">
        <v>1</v>
      </c>
    </row>
    <row r="20" spans="1:2">
      <c r="A20" s="243" t="s">
        <v>1509</v>
      </c>
      <c r="B20">
        <v>1</v>
      </c>
    </row>
    <row r="21" spans="1:2">
      <c r="A21" s="106" t="s">
        <v>1325</v>
      </c>
      <c r="B21">
        <v>5</v>
      </c>
    </row>
    <row r="22" spans="1:2">
      <c r="A22" s="243" t="s">
        <v>1508</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1492</v>
      </c>
    </row>
    <row r="5" spans="1:6">
      <c r="A5" s="106" t="s">
        <v>862</v>
      </c>
    </row>
    <row r="6" spans="1:6">
      <c r="A6" s="106" t="s">
        <v>863</v>
      </c>
    </row>
    <row r="7" spans="1:6">
      <c r="A7" s="108" t="s">
        <v>1507</v>
      </c>
    </row>
    <row r="8" spans="1:6">
      <c r="A8" s="106" t="s">
        <v>732</v>
      </c>
    </row>
    <row r="9" spans="1:6">
      <c r="A9" s="108" t="s">
        <v>1488</v>
      </c>
    </row>
    <row r="10" spans="1:6">
      <c r="A10" s="106" t="s">
        <v>861</v>
      </c>
    </row>
    <row r="11" spans="1:6">
      <c r="A11" s="108" t="s">
        <v>1489</v>
      </c>
    </row>
    <row r="12" spans="1:6">
      <c r="A12" s="106" t="s">
        <v>860</v>
      </c>
    </row>
    <row r="13" spans="1:6">
      <c r="A13" s="108" t="s">
        <v>1494</v>
      </c>
    </row>
    <row r="14" spans="1:6">
      <c r="A14" s="106" t="s">
        <v>864</v>
      </c>
    </row>
    <row r="15" spans="1:6">
      <c r="A15" s="108" t="s">
        <v>1510</v>
      </c>
    </row>
    <row r="16" spans="1:6">
      <c r="A16" s="106" t="s">
        <v>814</v>
      </c>
    </row>
    <row r="17" spans="1:1">
      <c r="A17" s="108" t="s">
        <v>1508</v>
      </c>
    </row>
    <row r="18" spans="1:1">
      <c r="A18" s="106" t="s">
        <v>872</v>
      </c>
    </row>
    <row r="19" spans="1:1">
      <c r="A19" s="106" t="s">
        <v>873</v>
      </c>
    </row>
    <row r="20" spans="1:1">
      <c r="A20" s="106" t="s">
        <v>865</v>
      </c>
    </row>
    <row r="21" spans="1:1">
      <c r="A21" s="106" t="s">
        <v>866</v>
      </c>
    </row>
    <row r="22" spans="1:1">
      <c r="A22" s="106" t="s">
        <v>867</v>
      </c>
    </row>
    <row r="23" spans="1:1">
      <c r="A23" s="108" t="s">
        <v>1501</v>
      </c>
    </row>
    <row r="24" spans="1:1">
      <c r="A24" s="106" t="s">
        <v>869</v>
      </c>
    </row>
    <row r="25" spans="1:1">
      <c r="A25" s="106" t="s">
        <v>870</v>
      </c>
    </row>
    <row r="26" spans="1:1">
      <c r="A26" s="106" t="s">
        <v>871</v>
      </c>
    </row>
    <row r="27" spans="1:1">
      <c r="A27" s="108" t="s">
        <v>1506</v>
      </c>
    </row>
    <row r="28" spans="1:1">
      <c r="A28" s="106" t="s">
        <v>868</v>
      </c>
    </row>
    <row r="29" spans="1:1">
      <c r="A29" s="108" t="s">
        <v>1509</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1479</v>
      </c>
    </row>
    <row r="7" spans="1:6">
      <c r="A7" s="106" t="s">
        <v>1489</v>
      </c>
    </row>
    <row r="8" spans="1:6">
      <c r="A8" s="106" t="s">
        <v>1488</v>
      </c>
    </row>
    <row r="9" spans="1:6">
      <c r="A9" s="108" t="s">
        <v>1480</v>
      </c>
    </row>
    <row r="10" spans="1:6">
      <c r="A10" s="106" t="s">
        <v>1492</v>
      </c>
    </row>
    <row r="11" spans="1:6">
      <c r="A11" s="106" t="s">
        <v>1494</v>
      </c>
    </row>
    <row r="12" spans="1:6">
      <c r="A12" s="108" t="s">
        <v>1481</v>
      </c>
    </row>
    <row r="13" spans="1:6">
      <c r="A13" s="106" t="s">
        <v>1501</v>
      </c>
    </row>
    <row r="14" spans="1:6">
      <c r="A14" s="108" t="s">
        <v>1482</v>
      </c>
    </row>
    <row r="15" spans="1:6">
      <c r="A15" s="106" t="s">
        <v>1506</v>
      </c>
    </row>
    <row r="16" spans="1:6">
      <c r="A16" s="108" t="s">
        <v>1315</v>
      </c>
    </row>
    <row r="17" spans="1:1">
      <c r="A17" s="106" t="s">
        <v>1507</v>
      </c>
    </row>
    <row r="18" spans="1:1">
      <c r="A18" s="108" t="s">
        <v>1316</v>
      </c>
    </row>
    <row r="19" spans="1:1">
      <c r="A19" s="106" t="s">
        <v>1508</v>
      </c>
    </row>
    <row r="20" spans="1:1">
      <c r="A20" s="108" t="s">
        <v>1317</v>
      </c>
    </row>
    <row r="21" spans="1:1">
      <c r="A21" s="106" t="s">
        <v>1509</v>
      </c>
    </row>
    <row r="22" spans="1:1">
      <c r="A22" s="108" t="s">
        <v>1318</v>
      </c>
    </row>
    <row r="23" spans="1:1">
      <c r="A23" s="106" t="s">
        <v>1510</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1501</v>
      </c>
    </row>
    <row r="8" spans="1:1">
      <c r="A8" s="106" t="s">
        <v>1506</v>
      </c>
    </row>
    <row r="9" spans="1:1">
      <c r="A9" s="108" t="s">
        <v>966</v>
      </c>
    </row>
    <row r="10" spans="1:1">
      <c r="A10" s="106" t="s">
        <v>1489</v>
      </c>
    </row>
    <row r="11" spans="1:1">
      <c r="A11" s="106" t="s">
        <v>1488</v>
      </c>
    </row>
    <row r="12" spans="1:1">
      <c r="A12" s="106" t="s">
        <v>1492</v>
      </c>
    </row>
    <row r="13" spans="1:1">
      <c r="A13" s="106" t="s">
        <v>1494</v>
      </c>
    </row>
    <row r="14" spans="1:1">
      <c r="A14" s="108" t="s">
        <v>967</v>
      </c>
    </row>
    <row r="15" spans="1:1">
      <c r="A15" s="106" t="s">
        <v>1507</v>
      </c>
    </row>
    <row r="16" spans="1:1">
      <c r="A16" s="108" t="s">
        <v>968</v>
      </c>
    </row>
    <row r="17" spans="1:1">
      <c r="A17" s="106" t="s">
        <v>1508</v>
      </c>
    </row>
    <row r="18" spans="1:1">
      <c r="A18" s="108" t="s">
        <v>969</v>
      </c>
    </row>
    <row r="19" spans="1:1">
      <c r="A19" s="106" t="s">
        <v>1509</v>
      </c>
    </row>
    <row r="20" spans="1:1">
      <c r="A20" s="108" t="s">
        <v>974</v>
      </c>
    </row>
    <row r="21" spans="1:1">
      <c r="A21" s="106" t="s">
        <v>1510</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NASA</v>
      </c>
      <c r="C2" s="541"/>
      <c r="D2" s="541"/>
      <c r="E2" s="541"/>
      <c r="F2" s="541"/>
      <c r="G2" s="541"/>
      <c r="H2" s="541"/>
      <c r="I2" s="541"/>
      <c r="J2" s="357"/>
      <c r="K2" s="357"/>
    </row>
    <row r="3" spans="1:11" ht="19.5" customHeight="1">
      <c r="B3" s="541" t="str">
        <f>StartupInfo!B4</f>
        <v>NASA</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10 May 2024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ID384400</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879</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735</v>
      </c>
      <c r="B20" s="144">
        <f>Planning!B45</f>
        <v>45418</v>
      </c>
      <c r="C20" s="135"/>
      <c r="E20" s="136"/>
    </row>
    <row r="21" spans="1:9" s="8" customFormat="1" ht="21">
      <c r="A21" s="134" t="s">
        <v>736</v>
      </c>
      <c r="B21" s="144">
        <f>Planning!B47</f>
        <v>45422</v>
      </c>
      <c r="C21" s="135"/>
      <c r="E21" s="136"/>
      <c r="G21" s="145" t="s">
        <v>1013</v>
      </c>
    </row>
    <row r="22" spans="1:9" s="8" customFormat="1" ht="21">
      <c r="A22" s="134" t="s">
        <v>737</v>
      </c>
      <c r="B22" s="144">
        <f>Planning!B48</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853</v>
      </c>
      <c r="B24" s="144">
        <f>Planning!B41</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1594</v>
      </c>
      <c r="C27" s="149" t="s">
        <v>1017</v>
      </c>
      <c r="D27" s="150">
        <f>'P1-OrgScope'!B88</f>
        <v>45442</v>
      </c>
      <c r="E27" s="136"/>
      <c r="G27" s="151" t="str">
        <f>G24</f>
        <v>10 May 2027</v>
      </c>
      <c r="H27" s="145" t="s">
        <v>1018</v>
      </c>
    </row>
    <row r="28" spans="1:9" s="8" customFormat="1" ht="15.6">
      <c r="A28" s="134"/>
      <c r="B28" s="149" t="s">
        <v>1682</v>
      </c>
      <c r="C28" s="149" t="s">
        <v>1019</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47" t="s">
        <v>1593</v>
      </c>
      <c r="C31" s="547"/>
      <c r="D31" s="547"/>
      <c r="E31" s="136"/>
      <c r="G31" s="154" t="s">
        <v>1369</v>
      </c>
    </row>
    <row r="32" spans="1:9" s="8" customFormat="1" ht="18">
      <c r="A32" s="134"/>
      <c r="B32" s="143"/>
      <c r="C32" s="135"/>
      <c r="E32" s="136"/>
      <c r="G32" s="8" t="str">
        <f>Schedule2!C15</f>
        <v>PAD</v>
      </c>
    </row>
    <row r="33" spans="1:8" s="8" customFormat="1" ht="15.6">
      <c r="A33" s="134"/>
      <c r="B33" s="153" t="str">
        <f>B13</f>
        <v>Sponsor: Bill Nelson</v>
      </c>
      <c r="C33" s="368" t="str">
        <f>_xlfn.CONCAT(G31,": ",G33)</f>
        <v>EPG: Surname, Process manager2</v>
      </c>
      <c r="E33" s="136"/>
      <c r="G33" s="8" t="str">
        <f>VLOOKUP(G32,Schedule2!C2:D18,2,FALSE)</f>
        <v>Surname, Process manager2</v>
      </c>
      <c r="H33" s="145" t="s">
        <v>1595</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NASA</v>
      </c>
      <c r="D1" s="333"/>
      <c r="J1" s="334"/>
    </row>
    <row r="2" spans="1:10">
      <c r="A2" s="335" t="str">
        <f>IF(StartupInfo!A4="","",StartupInfo!A4)</f>
        <v>Indigenous name</v>
      </c>
      <c r="B2" s="327" t="str">
        <f>IF(StartupInfo!B4="","",StartupInfo!B4)</f>
        <v>NASA</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Camp Artemis, South Pole,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Camp Artemis, South Pole, Planet04, China</v>
      </c>
    </row>
    <row r="9" spans="1:10">
      <c r="D9" s="365" t="str">
        <f>StartupInfo!B18</f>
        <v>R&amp;D Department</v>
      </c>
      <c r="E9" s="366" t="s">
        <v>1584</v>
      </c>
    </row>
    <row r="10" spans="1:10">
      <c r="A10" s="326" t="s">
        <v>954</v>
      </c>
      <c r="B10" s="327" t="str">
        <f>'Agreement 3'!B28</f>
        <v>Bill Nelson</v>
      </c>
    </row>
    <row r="11" spans="1:10">
      <c r="A11" s="335" t="s">
        <v>843</v>
      </c>
      <c r="B11" s="328" t="str">
        <f>'Agreement 3'!B29</f>
        <v>Administrator of NASA</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Ella Harper - NASA</v>
      </c>
    </row>
    <row r="31" spans="1:2">
      <c r="A31" s="335" t="s">
        <v>27</v>
      </c>
      <c r="B31" s="328" t="str">
        <f>_xlfn.CONCAT('P1-Personnel'!B8," - ",'P1-Personnel'!D8)</f>
        <v>Lingua Bridges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organization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V2.0 (CMMI-DEV) without SAM</v>
      </c>
      <c r="B2" s="549"/>
      <c r="C2" s="549"/>
      <c r="D2" s="548"/>
      <c r="E2" s="549"/>
      <c r="F2" s="549"/>
      <c r="G2" s="549"/>
      <c r="H2" s="549"/>
      <c r="I2" s="549"/>
      <c r="L2" s="267" t="s">
        <v>1261</v>
      </c>
      <c r="M2" s="267">
        <f>VALUE(RIGHT(Planning!B16,1))</f>
        <v>5</v>
      </c>
      <c r="N2" s="16" t="s">
        <v>1262</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5" t="s">
        <v>1438</v>
      </c>
      <c r="B20" s="317" t="s">
        <v>1585</v>
      </c>
      <c r="C20" s="287">
        <f t="shared" si="0"/>
        <v>4</v>
      </c>
      <c r="D20" s="321" t="s">
        <v>1585</v>
      </c>
      <c r="E20" s="322" t="str">
        <f t="shared" si="2"/>
        <v>x</v>
      </c>
      <c r="F20" s="322" t="str">
        <f t="shared" si="1"/>
        <v>x</v>
      </c>
      <c r="G20" s="322" t="str">
        <f t="shared" si="1"/>
        <v>x</v>
      </c>
      <c r="H20" s="322" t="str">
        <f t="shared" si="1"/>
        <v>x</v>
      </c>
      <c r="I20" s="322" t="str">
        <f t="shared" si="1"/>
        <v/>
      </c>
      <c r="M20" s="302">
        <v>4</v>
      </c>
    </row>
    <row r="21" spans="1:13" ht="20.7" customHeight="1">
      <c r="A21" s="55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Camp Artemis_x000D_
South Pole,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1586</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Camp Artemis, South Pole,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Bill Nelson</v>
      </c>
      <c r="D3" s="345"/>
      <c r="E3" s="346">
        <f>'P1-OrgScope'!B87</f>
        <v>45422</v>
      </c>
    </row>
    <row r="4" spans="2:5" s="187" customFormat="1" ht="30" customHeight="1">
      <c r="B4" s="345" t="s">
        <v>1083</v>
      </c>
      <c r="C4" s="345" t="str">
        <f>'Agreement 3'!B7</f>
        <v>Dr Pieter van Zyl</v>
      </c>
      <c r="D4" s="345"/>
      <c r="E4" s="346">
        <f>E3</f>
        <v>45422</v>
      </c>
    </row>
    <row r="5" spans="2:5" s="187" customFormat="1" ht="30" customHeight="1">
      <c r="B5" s="345" t="s">
        <v>1082</v>
      </c>
      <c r="C5" s="345" t="str">
        <f>'P1-Personnel'!B13</f>
        <v>ATM-1</v>
      </c>
      <c r="D5" s="345"/>
      <c r="E5" s="346">
        <f>E4</f>
        <v>45422</v>
      </c>
    </row>
    <row r="6" spans="2:5" s="187" customFormat="1" ht="30" customHeight="1">
      <c r="B6" s="345" t="s">
        <v>1082</v>
      </c>
      <c r="C6" s="345" t="str">
        <f>'P1-Personnel'!B14</f>
        <v>ATM-2</v>
      </c>
      <c r="D6" s="345"/>
      <c r="E6" s="346">
        <f>E5</f>
        <v>45422</v>
      </c>
    </row>
    <row r="7" spans="2:5" s="187" customFormat="1" ht="30" customHeight="1">
      <c r="B7" s="345" t="s">
        <v>1082</v>
      </c>
      <c r="C7" s="345" t="str">
        <f>'P1-Personnel'!B15</f>
        <v>ATM-3</v>
      </c>
      <c r="D7" s="345"/>
      <c r="E7" s="346">
        <f t="shared" ref="E7:E13" si="0">E6</f>
        <v>45422</v>
      </c>
    </row>
    <row r="8" spans="2:5" s="187" customFormat="1" ht="30" customHeight="1">
      <c r="B8" s="345" t="s">
        <v>1082</v>
      </c>
      <c r="C8" s="345" t="str">
        <f>'P1-Personnel'!B16</f>
        <v>ATM-4</v>
      </c>
      <c r="D8" s="345"/>
      <c r="E8" s="346">
        <f t="shared" si="0"/>
        <v>45422</v>
      </c>
    </row>
    <row r="9" spans="2:5" s="187" customFormat="1" ht="30" customHeight="1">
      <c r="B9" s="345" t="s">
        <v>1082</v>
      </c>
      <c r="C9" s="345" t="str">
        <f>'P1-Personnel'!B17</f>
        <v>ATM-5</v>
      </c>
      <c r="D9" s="345"/>
      <c r="E9" s="346">
        <f t="shared" si="0"/>
        <v>45422</v>
      </c>
    </row>
    <row r="10" spans="2:5" s="187" customFormat="1" ht="30" customHeight="1">
      <c r="B10" s="345" t="s">
        <v>1082</v>
      </c>
      <c r="C10" s="345" t="str">
        <f>'P1-Personnel'!B18</f>
        <v>ATM-6</v>
      </c>
      <c r="D10" s="345"/>
      <c r="E10" s="346">
        <f t="shared" si="0"/>
        <v>45422</v>
      </c>
    </row>
    <row r="11" spans="2:5" s="187" customFormat="1" ht="30" customHeight="1">
      <c r="B11" s="345" t="s">
        <v>1082</v>
      </c>
      <c r="C11" s="345" t="str">
        <f>'P1-Personnel'!B19</f>
        <v>ATM-7</v>
      </c>
      <c r="D11" s="345"/>
      <c r="E11" s="346">
        <f t="shared" si="0"/>
        <v>45422</v>
      </c>
    </row>
    <row r="12" spans="2:5" s="187" customFormat="1" ht="30" customHeight="1">
      <c r="B12" s="345" t="s">
        <v>1082</v>
      </c>
      <c r="C12" s="345" t="str">
        <f>'P1-Personnel'!B20</f>
        <v>ATM-8</v>
      </c>
      <c r="D12" s="345"/>
      <c r="E12" s="346">
        <f t="shared" si="0"/>
        <v>45422</v>
      </c>
    </row>
    <row r="13" spans="2:5" s="187" customFormat="1" ht="30" customHeight="1">
      <c r="B13" s="345" t="s">
        <v>1082</v>
      </c>
      <c r="C13" s="345" t="str">
        <f>'P1-Personnel'!B21</f>
        <v>ATM-9</v>
      </c>
      <c r="D13" s="345"/>
      <c r="E13" s="346">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1567</v>
      </c>
      <c r="AP4" s="25" t="s">
        <v>1750</v>
      </c>
      <c r="AR4" s="25" t="s">
        <v>1261</v>
      </c>
    </row>
    <row r="5" spans="2:44">
      <c r="B5" t="s">
        <v>36</v>
      </c>
      <c r="D5" t="s">
        <v>293</v>
      </c>
      <c r="E5" t="s">
        <v>406</v>
      </c>
      <c r="F5" t="s">
        <v>1759</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1751</v>
      </c>
    </row>
    <row r="6" spans="2:44">
      <c r="B6" t="s">
        <v>272</v>
      </c>
      <c r="D6" t="s">
        <v>294</v>
      </c>
      <c r="E6" t="s">
        <v>406</v>
      </c>
      <c r="F6" t="s">
        <v>1760</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1761</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1762</v>
      </c>
      <c r="H8" t="s">
        <v>411</v>
      </c>
      <c r="J8" t="s">
        <v>419</v>
      </c>
      <c r="L8" t="s">
        <v>426</v>
      </c>
      <c r="N8" t="s">
        <v>440</v>
      </c>
      <c r="T8" s="16" t="s">
        <v>601</v>
      </c>
      <c r="V8" t="s">
        <v>612</v>
      </c>
      <c r="X8" t="s">
        <v>625</v>
      </c>
      <c r="Z8" t="s">
        <v>630</v>
      </c>
      <c r="AB8" t="s">
        <v>649</v>
      </c>
      <c r="AD8" t="s">
        <v>658</v>
      </c>
      <c r="AF8" t="s">
        <v>675</v>
      </c>
      <c r="AH8" t="s">
        <v>695</v>
      </c>
      <c r="AJ8" s="16" t="s">
        <v>716</v>
      </c>
      <c r="AL8" t="s">
        <v>658</v>
      </c>
      <c r="AR8" t="s">
        <v>1752</v>
      </c>
    </row>
    <row r="9" spans="2:44">
      <c r="B9" t="s">
        <v>39</v>
      </c>
      <c r="D9" t="s">
        <v>297</v>
      </c>
      <c r="E9" t="s">
        <v>406</v>
      </c>
      <c r="F9" t="s">
        <v>1763</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2024-03-24T14:24:16Z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