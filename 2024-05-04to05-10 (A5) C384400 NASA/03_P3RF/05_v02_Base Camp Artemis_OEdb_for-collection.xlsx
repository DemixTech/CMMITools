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2.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3.xml" ContentType="application/vnd.openxmlformats-officedocument.drawing+xml"/>
  <Override PartName="/xl/ctrlProps/ctrlProp25.xml" ContentType="application/vnd.ms-excel.controlproperties+xml"/>
  <Override PartName="/xl/ctrlProps/ctrlProp26.xml" ContentType="application/vnd.ms-excel.controlproperties+xml"/>
  <Override PartName="/xl/drawings/drawing4.xml" ContentType="application/vnd.openxmlformats-officedocument.drawing+xml"/>
  <Override PartName="/xl/ctrlProps/ctrlProp27.xml" ContentType="application/vnd.ms-excel.controlproperties+xml"/>
  <Override PartName="/xl/ctrlProps/ctrlProp28.xml" ContentType="application/vnd.ms-excel.controlproperties+xml"/>
  <Override PartName="/xl/drawings/drawing5.xml" ContentType="application/vnd.openxmlformats-officedocument.drawing+xml"/>
  <Override PartName="/xl/ctrlProps/ctrlProp29.xml" ContentType="application/vnd.ms-excel.controlproperties+xml"/>
  <Override PartName="/xl/ctrlProps/ctrlProp3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demix365.sharepoint.com/sites/DemixGlobal/Shared Documents/10_BASE/2024-05-04to05-10 (A5) C384400 NASA/03_P3RF/"/>
    </mc:Choice>
  </mc:AlternateContent>
  <xr:revisionPtr revIDLastSave="0" documentId="8_{8EDA8102-0C79-45D0-9A05-BAC3630FE132}" xr6:coauthVersionLast="47" xr6:coauthVersionMax="47" xr10:uidLastSave="{00000000-0000-0000-0000-000000000000}"/>
  <bookViews>
    <workbookView xWindow="-120" yWindow="-16320" windowWidth="29040" windowHeight="15720" firstSheet="42" activeTab="54" xr2:uid="{5E70D45E-1FC1-4D58-B4EB-A0DC07D21E63}"/>
  </bookViews>
  <sheets>
    <sheet name="Tools" sheetId="74" r:id="rId1"/>
    <sheet name="TV_TS" sheetId="209" state="hidden" r:id="rId2"/>
    <sheet name="TV_PI" sheetId="210" state="hidden" r:id="rId3"/>
    <sheet name="TV_PR" sheetId="211" state="hidden" r:id="rId4"/>
    <sheet name="TV_VV" sheetId="212" state="hidden" r:id="rId5"/>
    <sheet name="TV_PQA" sheetId="213" state="hidden" r:id="rId6"/>
    <sheet name="TV_RDM" sheetId="214" state="hidden" r:id="rId7"/>
    <sheet name="TV_PCM" sheetId="215" state="hidden" r:id="rId8"/>
    <sheet name="TV_PAD" sheetId="216" state="hidden" r:id="rId9"/>
    <sheet name="TV_MPM" sheetId="217" state="hidden" r:id="rId10"/>
    <sheet name="TV_RSK" sheetId="218" state="hidden" r:id="rId11"/>
    <sheet name="TV_OT" sheetId="219" state="hidden" r:id="rId12"/>
    <sheet name="TV_MC" sheetId="220" state="hidden" r:id="rId13"/>
    <sheet name="TV_PLAN" sheetId="221" state="hidden" r:id="rId14"/>
    <sheet name="TV_EST" sheetId="222" state="hidden" r:id="rId15"/>
    <sheet name="TV_CAR" sheetId="223" state="hidden" r:id="rId16"/>
    <sheet name="TV_DAR" sheetId="224" state="hidden" r:id="rId17"/>
    <sheet name="TV_CM" sheetId="225" state="hidden" r:id="rId18"/>
    <sheet name="TV_II" sheetId="226" state="hidden" r:id="rId19"/>
    <sheet name="TV_GOV" sheetId="227" state="hidden" r:id="rId20"/>
    <sheet name="Tables" sheetId="147" state="hidden" r:id="rId21"/>
    <sheet name="Tasks" sheetId="237" state="hidden" r:id="rId22"/>
    <sheet name="FindingsDB" sheetId="76" r:id="rId23"/>
    <sheet name="QuestionsDB" sheetId="125" r:id="rId24"/>
    <sheet name="Working" sheetId="151" state="hidden" r:id="rId25"/>
    <sheet name="OpenClose" sheetId="97" r:id="rId26"/>
    <sheet name="tmp" sheetId="98" r:id="rId27"/>
    <sheet name="ou" sheetId="99" r:id="rId28"/>
    <sheet name="ou-gov&amp;ii" sheetId="100" r:id="rId29"/>
    <sheet name="Findings" sheetId="101" r:id="rId30"/>
    <sheet name="Template1" sheetId="102" r:id="rId31"/>
    <sheet name="Sheet1" sheetId="277" r:id="rId32"/>
    <sheet name="Template2" sheetId="103" r:id="rId33"/>
    <sheet name="ATM" sheetId="127" r:id="rId34"/>
    <sheet name="Processes" sheetId="169" r:id="rId35"/>
    <sheet name="PI" sheetId="278" r:id="rId36"/>
    <sheet name="TS" sheetId="279" r:id="rId37"/>
    <sheet name="PQA" sheetId="280" r:id="rId38"/>
    <sheet name="PR" sheetId="281" r:id="rId39"/>
    <sheet name="RDM" sheetId="282" r:id="rId40"/>
    <sheet name="VV" sheetId="283" r:id="rId41"/>
    <sheet name="MPM" sheetId="284" r:id="rId42"/>
    <sheet name="PAD" sheetId="285" r:id="rId43"/>
    <sheet name="PCM" sheetId="286" r:id="rId44"/>
    <sheet name="RSK" sheetId="287" r:id="rId45"/>
    <sheet name="OT" sheetId="288" r:id="rId46"/>
    <sheet name="EST" sheetId="289" r:id="rId47"/>
    <sheet name="MC" sheetId="290" r:id="rId48"/>
    <sheet name="PLAN" sheetId="291" r:id="rId49"/>
    <sheet name="CAR" sheetId="292" r:id="rId50"/>
    <sheet name="CM" sheetId="293" r:id="rId51"/>
    <sheet name="DAR" sheetId="294" r:id="rId52"/>
    <sheet name="SAM" sheetId="295" r:id="rId53"/>
    <sheet name="II" sheetId="296" r:id="rId54"/>
    <sheet name="GOV" sheetId="297" r:id="rId55"/>
  </sheets>
  <externalReferences>
    <externalReference r:id="rId56"/>
    <externalReference r:id="rId57"/>
    <externalReference r:id="rId58"/>
    <externalReference r:id="rId59"/>
  </externalReferences>
  <definedNames>
    <definedName name="_xlnm._FilterDatabase" localSheetId="29" hidden="1">Findings!$A$1:$C$30</definedName>
    <definedName name="_xlnm._FilterDatabase" localSheetId="22" hidden="1">FindingsDB!$A$4:$G$1675</definedName>
    <definedName name="_xlnm._FilterDatabase" localSheetId="23" hidden="1">QuestionsDB!$A$4:$I$10</definedName>
    <definedName name="_xlnm.Print_Area" localSheetId="27">ou!$A$1:$W$39</definedName>
    <definedName name="_xlnm.Print_Area" localSheetId="28">'ou-gov&amp;ii'!$A$1:$U$36</definedName>
    <definedName name="tbl_Application_domain">[1]TablesLookup!$A$2:$A$8</definedName>
    <definedName name="tbl_AppraisalArtifacts">[2]Tables!$AL$5:$AL$10</definedName>
    <definedName name="tbl_Business_Category">[3]TableLookup!$A$11:$A$15</definedName>
    <definedName name="tbl_CMMI_models">[3]TableLookup!$A$22:$A$25</definedName>
    <definedName name="tbl_COI">[2]Tables!$AF$5:$AF$19</definedName>
    <definedName name="tbl_CollectionApproach">[2]Tables!$R$5:$R$7</definedName>
    <definedName name="tbl_collectiontechnique">[2]Tables!$T$5:$T$11</definedName>
    <definedName name="tbl_constraints">[2]Tables!$AB$5:$AB$11</definedName>
    <definedName name="tbl_country">[2]Tables!$B$5:$B$258</definedName>
    <definedName name="tbl_Day_of_week">[3]TableLookup!$C$2:$D$8</definedName>
    <definedName name="tbl_equipment">[2]Tables!$Z$5:$Z$17</definedName>
    <definedName name="tbl_followon">[2]Tables!$AH$5:$AH$9</definedName>
    <definedName name="tbl_isic">[2]Tables!$D$5:$D$92</definedName>
    <definedName name="tbl_logisticalRequirement">[2]Tables!$X$5:$X$9</definedName>
    <definedName name="tbl_modelview">[2]Tables!$H$5:$H$9</definedName>
    <definedName name="tbl_PAcount">[2]Tables!$U$36:$Z$56</definedName>
    <definedName name="tbl_practiceCharacterization" localSheetId="20">Tables!$B$2:$B$6</definedName>
    <definedName name="tbl_practiceCharacterization" localSheetId="16">[4]Tables!$B$2:$B$6</definedName>
    <definedName name="tbl_practiceCharacterization" localSheetId="19">[4]Tables!$B$2:$B$6</definedName>
    <definedName name="tbl_practiceCharacterization" localSheetId="11">[4]Tables!$B$2:$B$6</definedName>
    <definedName name="tbl_practiceCharacterization" localSheetId="8">[4]Tables!$B$2:$B$6</definedName>
    <definedName name="tbl_practiceCharacterization" localSheetId="7">[4]Tables!$B$2:$B$6</definedName>
    <definedName name="tbl_practiceCharacterization" localSheetId="5">[4]Tables!$B$2:$B$6</definedName>
    <definedName name="tbl_practiceCharacterization">#REF!</definedName>
    <definedName name="tbl_practiceGroupRated" localSheetId="20">Tables!$B$9:$B$11</definedName>
    <definedName name="tbl_practiceGroupRated" localSheetId="16">[4]Tables!$B$9:$B$11</definedName>
    <definedName name="tbl_practiceGroupRated" localSheetId="19">[4]Tables!$B$9:$B$11</definedName>
    <definedName name="tbl_practiceGroupRated" localSheetId="11">[4]Tables!$B$9:$B$11</definedName>
    <definedName name="tbl_practiceGroupRated" localSheetId="8">[4]Tables!$B$9:$B$11</definedName>
    <definedName name="tbl_practiceGroupRated" localSheetId="7">[4]Tables!$B$9:$B$11</definedName>
    <definedName name="tbl_practiceGroupRated" localSheetId="5">[4]Tables!$B$9:$B$11</definedName>
    <definedName name="tbl_practiceGroupRated">#REF!</definedName>
    <definedName name="tbl_projectNames">'[2]Project&amp;Support'!$A$3:$B$59</definedName>
    <definedName name="tbl_reportingRelationship">[2]Tables!$AJ$5:$AJ$10</definedName>
    <definedName name="tbl_responsibleEntity">[2]Tables!$V$5:$V$9</definedName>
    <definedName name="tbl_riskCategory">[2]Tables!$AD$5:$AD$11</definedName>
    <definedName name="tbl_RolePAlookup">[2]StaffGuide!$A$3:$V$13</definedName>
    <definedName name="tbl_sampling">[2]Tables!$L$5:$L$10</definedName>
    <definedName name="tbl_Staff">Tables!$D$16:$D$38</definedName>
    <definedName name="tbl_StaffRole">Tables!$H$16:$H$26</definedName>
    <definedName name="tbl_StaffRoleX">Tables!$E$16:$H$26</definedName>
    <definedName name="tbl_StaffX">Tables!$A$16:$D$37</definedName>
    <definedName name="tbl_target">[2]Tables!$F$5:$F$9</definedName>
    <definedName name="tbl_TaskCodeX">Tables!$I$16:$L$26</definedName>
    <definedName name="tbl_TaskStatusX">Tables!$M$16:$P$19</definedName>
    <definedName name="tbl_timezone">[2]Tables!$N$5:$N$143</definedName>
    <definedName name="tbl_WorkTaskCode">Tables!$L$16:$L$26</definedName>
    <definedName name="tbl_WorkTaskStatus">Tables!$P$16:$P$19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99" l="1"/>
  <c r="H66" i="99" s="1"/>
  <c r="D26" i="99"/>
  <c r="H67" i="99" s="1"/>
  <c r="H61" i="99"/>
  <c r="M48" i="99"/>
  <c r="D5" i="99"/>
  <c r="D8" i="99"/>
  <c r="D9" i="99"/>
  <c r="H50" i="99" s="1"/>
  <c r="D10" i="99"/>
  <c r="H51" i="99" s="1"/>
  <c r="D17" i="99"/>
  <c r="H58" i="99" s="1"/>
  <c r="D18" i="99"/>
  <c r="H59" i="99" s="1"/>
  <c r="D19" i="99"/>
  <c r="H60" i="99" s="1"/>
  <c r="D20" i="99"/>
  <c r="C5" i="99"/>
  <c r="C8" i="99"/>
  <c r="G49" i="99" s="1"/>
  <c r="C9" i="99"/>
  <c r="G50" i="99" s="1"/>
  <c r="C10" i="99"/>
  <c r="G51" i="99" s="1"/>
  <c r="C11" i="99"/>
  <c r="G52" i="99" s="1"/>
  <c r="C12" i="99"/>
  <c r="G53" i="99" s="1"/>
  <c r="C17" i="99"/>
  <c r="G58" i="99" s="1"/>
  <c r="C18" i="99"/>
  <c r="G59" i="99" s="1"/>
  <c r="C19" i="99"/>
  <c r="G60" i="99" s="1"/>
  <c r="C25" i="99"/>
  <c r="C26" i="99"/>
  <c r="G67" i="99" s="1"/>
  <c r="D4" i="99"/>
  <c r="C4" i="99"/>
  <c r="C17" i="223"/>
  <c r="C16" i="223"/>
  <c r="C24" i="212"/>
  <c r="C23" i="212"/>
  <c r="C22" i="212"/>
  <c r="C21" i="212"/>
  <c r="C20" i="212"/>
  <c r="C19" i="212"/>
  <c r="C18" i="212"/>
  <c r="C17" i="212"/>
  <c r="C16" i="212"/>
  <c r="C25" i="209"/>
  <c r="C24" i="209"/>
  <c r="C23" i="209"/>
  <c r="C22" i="209"/>
  <c r="C21" i="209"/>
  <c r="C20" i="209"/>
  <c r="C19" i="209"/>
  <c r="C18" i="209"/>
  <c r="C17" i="209"/>
  <c r="C16" i="209"/>
  <c r="C20" i="218"/>
  <c r="C19" i="218"/>
  <c r="C18" i="218"/>
  <c r="C17" i="218"/>
  <c r="C16" i="218"/>
  <c r="C25" i="214"/>
  <c r="C24" i="214"/>
  <c r="C23" i="214"/>
  <c r="C22" i="214"/>
  <c r="C21" i="214"/>
  <c r="C20" i="214"/>
  <c r="C19" i="214"/>
  <c r="C18" i="214"/>
  <c r="C17" i="214"/>
  <c r="C16" i="214"/>
  <c r="C27" i="211"/>
  <c r="C26" i="211"/>
  <c r="C25" i="211"/>
  <c r="C24" i="211"/>
  <c r="C23" i="211"/>
  <c r="C22" i="211"/>
  <c r="C21" i="211"/>
  <c r="C20" i="211"/>
  <c r="C19" i="211"/>
  <c r="C18" i="211"/>
  <c r="C17" i="211"/>
  <c r="C16" i="211"/>
  <c r="C20" i="213"/>
  <c r="C19" i="213"/>
  <c r="C18" i="213"/>
  <c r="C17" i="213"/>
  <c r="C16" i="213"/>
  <c r="C22" i="221"/>
  <c r="C21" i="221"/>
  <c r="C20" i="221"/>
  <c r="C19" i="221"/>
  <c r="C18" i="221"/>
  <c r="C17" i="221"/>
  <c r="C26" i="210"/>
  <c r="C25" i="210"/>
  <c r="C24" i="210"/>
  <c r="C23" i="210"/>
  <c r="C22" i="210"/>
  <c r="C21" i="210"/>
  <c r="C20" i="210"/>
  <c r="C19" i="210"/>
  <c r="C18" i="210"/>
  <c r="C17" i="210"/>
  <c r="C16" i="210"/>
  <c r="C27" i="215"/>
  <c r="C26" i="215"/>
  <c r="C25" i="215"/>
  <c r="C23" i="215"/>
  <c r="C22" i="215"/>
  <c r="C20" i="215"/>
  <c r="C19" i="215"/>
  <c r="C18" i="215"/>
  <c r="C17" i="215"/>
  <c r="C16" i="215"/>
  <c r="C27" i="216"/>
  <c r="C26" i="216"/>
  <c r="C25" i="216"/>
  <c r="C24" i="216"/>
  <c r="C21" i="216"/>
  <c r="C20" i="216"/>
  <c r="C19" i="216"/>
  <c r="C25" i="219"/>
  <c r="C24" i="219"/>
  <c r="C23" i="219"/>
  <c r="C22" i="219"/>
  <c r="C21" i="219"/>
  <c r="C20" i="219"/>
  <c r="C19" i="219"/>
  <c r="C16" i="219"/>
  <c r="C22" i="217"/>
  <c r="C21" i="217"/>
  <c r="C20" i="217"/>
  <c r="C19" i="217"/>
  <c r="C18" i="217"/>
  <c r="C17" i="217"/>
  <c r="C16" i="217"/>
  <c r="C28" i="220"/>
  <c r="C26" i="220"/>
  <c r="C25" i="220"/>
  <c r="C24" i="220"/>
  <c r="C23" i="220"/>
  <c r="C22" i="220"/>
  <c r="C21" i="220"/>
  <c r="C20" i="220"/>
  <c r="C19" i="220"/>
  <c r="C18" i="220"/>
  <c r="C17" i="220"/>
  <c r="C16" i="220"/>
  <c r="C24" i="226"/>
  <c r="C23" i="226"/>
  <c r="C22" i="226"/>
  <c r="C21" i="226"/>
  <c r="C20" i="226"/>
  <c r="C19" i="226"/>
  <c r="C18" i="226"/>
  <c r="C17" i="226"/>
  <c r="C26" i="227"/>
  <c r="C25" i="227"/>
  <c r="C24" i="227"/>
  <c r="C23" i="227"/>
  <c r="C22" i="227"/>
  <c r="C18" i="227"/>
  <c r="C17" i="227"/>
  <c r="C16" i="227"/>
  <c r="C21" i="222"/>
  <c r="C20" i="222"/>
  <c r="C19" i="222"/>
  <c r="C18" i="222"/>
  <c r="C17" i="222"/>
  <c r="C16" i="222"/>
  <c r="C17" i="224"/>
  <c r="C16" i="224"/>
  <c r="C20" i="225"/>
  <c r="C19" i="225"/>
  <c r="C18" i="225"/>
  <c r="C17" i="225"/>
  <c r="C16" i="225"/>
  <c r="G11" i="237"/>
  <c r="F11" i="237"/>
  <c r="E11" i="237"/>
  <c r="C11" i="237"/>
  <c r="G10" i="237"/>
  <c r="F10" i="237"/>
  <c r="E10" i="237"/>
  <c r="C10" i="237"/>
  <c r="G9" i="237"/>
  <c r="F9" i="237"/>
  <c r="E9" i="237"/>
  <c r="C9" i="237"/>
  <c r="G8" i="237"/>
  <c r="F8" i="237"/>
  <c r="E8" i="237"/>
  <c r="C8" i="237"/>
  <c r="D37" i="147"/>
  <c r="D36" i="147"/>
  <c r="D35" i="147"/>
  <c r="D34" i="147"/>
  <c r="D33" i="147"/>
  <c r="D32" i="147"/>
  <c r="D31" i="147"/>
  <c r="D30" i="147"/>
  <c r="D29" i="147"/>
  <c r="D28" i="147"/>
  <c r="D27" i="147"/>
  <c r="D26" i="147"/>
  <c r="D25" i="147"/>
  <c r="D24" i="147"/>
  <c r="D23" i="147"/>
  <c r="D22" i="147"/>
  <c r="D21" i="147"/>
  <c r="D20" i="147"/>
  <c r="D19" i="147"/>
  <c r="D18" i="147"/>
  <c r="D17" i="147"/>
  <c r="D16" i="147"/>
  <c r="P19" i="147"/>
  <c r="P18" i="147"/>
  <c r="P17" i="147"/>
  <c r="P16" i="147"/>
  <c r="L25" i="147"/>
  <c r="L24" i="147"/>
  <c r="L23" i="147"/>
  <c r="L22" i="147"/>
  <c r="L21" i="147"/>
  <c r="L20" i="147"/>
  <c r="L19" i="147"/>
  <c r="L18" i="147"/>
  <c r="L17" i="147"/>
  <c r="L16" i="147"/>
  <c r="H25" i="147"/>
  <c r="H24" i="147"/>
  <c r="H23" i="147"/>
  <c r="H22" i="147"/>
  <c r="H21" i="147"/>
  <c r="H20" i="147"/>
  <c r="H19" i="147"/>
  <c r="H18" i="147"/>
  <c r="H17" i="147"/>
  <c r="H16" i="147"/>
  <c r="X15" i="127"/>
  <c r="W15" i="127"/>
  <c r="V15" i="127"/>
  <c r="U15" i="127"/>
  <c r="T15" i="127"/>
  <c r="S15" i="127"/>
  <c r="R15" i="127"/>
  <c r="Q15" i="127"/>
  <c r="P15" i="127"/>
  <c r="O15" i="127"/>
  <c r="N15" i="127"/>
  <c r="M15" i="127"/>
  <c r="L15" i="127"/>
  <c r="K15" i="127"/>
  <c r="J15" i="127"/>
  <c r="I15" i="127"/>
  <c r="H15" i="127"/>
  <c r="G15" i="127"/>
  <c r="F15" i="127"/>
  <c r="E15" i="127"/>
  <c r="D14" i="127"/>
  <c r="D13" i="127"/>
  <c r="D12" i="127"/>
  <c r="D11" i="127"/>
  <c r="D10" i="127"/>
  <c r="D9" i="127"/>
  <c r="D8" i="127"/>
  <c r="M11" i="216"/>
  <c r="M10" i="216"/>
  <c r="J75" i="99"/>
  <c r="J74" i="99"/>
  <c r="J73" i="99"/>
  <c r="C73" i="99"/>
  <c r="J72" i="99"/>
  <c r="C72" i="99"/>
  <c r="J71" i="99"/>
  <c r="J70" i="99"/>
  <c r="J69" i="99"/>
  <c r="J68" i="99"/>
  <c r="C68" i="99"/>
  <c r="V67" i="99"/>
  <c r="O67" i="99"/>
  <c r="M67" i="99"/>
  <c r="J67" i="99"/>
  <c r="C67" i="99"/>
  <c r="O66" i="99"/>
  <c r="M66" i="99"/>
  <c r="J66" i="99"/>
  <c r="G66" i="99"/>
  <c r="C66" i="99"/>
  <c r="R65" i="99"/>
  <c r="T64" i="99"/>
  <c r="R64" i="99"/>
  <c r="M64" i="99"/>
  <c r="L64" i="99"/>
  <c r="K64" i="99"/>
  <c r="J64" i="99"/>
  <c r="T63" i="99"/>
  <c r="S63" i="99"/>
  <c r="R63" i="99"/>
  <c r="M63" i="99"/>
  <c r="L63" i="99"/>
  <c r="K63" i="99"/>
  <c r="J63" i="99"/>
  <c r="C63" i="99"/>
  <c r="T62" i="99"/>
  <c r="S62" i="99"/>
  <c r="R62" i="99"/>
  <c r="O62" i="99"/>
  <c r="M62" i="99"/>
  <c r="L62" i="99"/>
  <c r="K62" i="99"/>
  <c r="J62" i="99"/>
  <c r="I62" i="99"/>
  <c r="C62" i="99"/>
  <c r="T61" i="99"/>
  <c r="S61" i="99"/>
  <c r="R61" i="99"/>
  <c r="O61" i="99"/>
  <c r="N61" i="99"/>
  <c r="M61" i="99"/>
  <c r="L61" i="99"/>
  <c r="K61" i="99"/>
  <c r="J61" i="99"/>
  <c r="I61" i="99"/>
  <c r="C61" i="99"/>
  <c r="V60" i="99"/>
  <c r="U60" i="99"/>
  <c r="T60" i="99"/>
  <c r="S60" i="99"/>
  <c r="R60" i="99"/>
  <c r="O60" i="99"/>
  <c r="N60" i="99"/>
  <c r="M60" i="99"/>
  <c r="L60" i="99"/>
  <c r="K60" i="99"/>
  <c r="J60" i="99"/>
  <c r="I60" i="99"/>
  <c r="F60" i="99"/>
  <c r="C60" i="99"/>
  <c r="V59" i="99"/>
  <c r="U59" i="99"/>
  <c r="T59" i="99"/>
  <c r="S59" i="99"/>
  <c r="R59" i="99"/>
  <c r="Q59" i="99"/>
  <c r="P59" i="99"/>
  <c r="O59" i="99"/>
  <c r="N59" i="99"/>
  <c r="M59" i="99"/>
  <c r="L59" i="99"/>
  <c r="K59" i="99"/>
  <c r="J59" i="99"/>
  <c r="I59" i="99"/>
  <c r="F59" i="99"/>
  <c r="E59" i="99"/>
  <c r="C59" i="99"/>
  <c r="V58" i="99"/>
  <c r="U58" i="99"/>
  <c r="T58" i="99"/>
  <c r="S58" i="99"/>
  <c r="R58" i="99"/>
  <c r="Q58" i="99"/>
  <c r="P58" i="99"/>
  <c r="O58" i="99"/>
  <c r="N58" i="99"/>
  <c r="M58" i="99"/>
  <c r="L58" i="99"/>
  <c r="K58" i="99"/>
  <c r="J58" i="99"/>
  <c r="I58" i="99"/>
  <c r="F58" i="99"/>
  <c r="E58" i="99"/>
  <c r="C58" i="99"/>
  <c r="O57" i="99"/>
  <c r="O56" i="99"/>
  <c r="R55" i="99"/>
  <c r="O55" i="99"/>
  <c r="N55" i="99"/>
  <c r="J55" i="99"/>
  <c r="D55" i="99"/>
  <c r="R54" i="99"/>
  <c r="O54" i="99"/>
  <c r="N54" i="99"/>
  <c r="J54" i="99"/>
  <c r="E54" i="99"/>
  <c r="D54" i="99"/>
  <c r="V53" i="99"/>
  <c r="R53" i="99"/>
  <c r="Q53" i="99"/>
  <c r="P53" i="99"/>
  <c r="O53" i="99"/>
  <c r="N53" i="99"/>
  <c r="J53" i="99"/>
  <c r="I53" i="99"/>
  <c r="E53" i="99"/>
  <c r="D53" i="99"/>
  <c r="V52" i="99"/>
  <c r="U52" i="99"/>
  <c r="T52" i="99"/>
  <c r="R52" i="99"/>
  <c r="Q52" i="99"/>
  <c r="P52" i="99"/>
  <c r="O52" i="99"/>
  <c r="N52" i="99"/>
  <c r="L52" i="99"/>
  <c r="J52" i="99"/>
  <c r="I52" i="99"/>
  <c r="F52" i="99"/>
  <c r="E52" i="99"/>
  <c r="D52" i="99"/>
  <c r="V51" i="99"/>
  <c r="U51" i="99"/>
  <c r="T51" i="99"/>
  <c r="S51" i="99"/>
  <c r="R51" i="99"/>
  <c r="Q51" i="99"/>
  <c r="P51" i="99"/>
  <c r="O51" i="99"/>
  <c r="N51" i="99"/>
  <c r="M51" i="99"/>
  <c r="L51" i="99"/>
  <c r="K51" i="99"/>
  <c r="J51" i="99"/>
  <c r="I51" i="99"/>
  <c r="F51" i="99"/>
  <c r="E51" i="99"/>
  <c r="D51" i="99"/>
  <c r="C51" i="99"/>
  <c r="V50" i="99"/>
  <c r="U50" i="99"/>
  <c r="T50" i="99"/>
  <c r="S50" i="99"/>
  <c r="R50" i="99"/>
  <c r="Q50" i="99"/>
  <c r="P50" i="99"/>
  <c r="O50" i="99"/>
  <c r="N50" i="99"/>
  <c r="M50" i="99"/>
  <c r="L50" i="99"/>
  <c r="K50" i="99"/>
  <c r="J50" i="99"/>
  <c r="I50" i="99"/>
  <c r="F50" i="99"/>
  <c r="E50" i="99"/>
  <c r="D50" i="99"/>
  <c r="C50" i="99"/>
  <c r="U49" i="99"/>
  <c r="T49" i="99"/>
  <c r="S49" i="99"/>
  <c r="R49" i="99"/>
  <c r="Q49" i="99"/>
  <c r="P49" i="99"/>
  <c r="O49" i="99"/>
  <c r="N49" i="99"/>
  <c r="M49" i="99"/>
  <c r="L49" i="99"/>
  <c r="K49" i="99"/>
  <c r="J49" i="99"/>
  <c r="I49" i="99"/>
  <c r="H49" i="99"/>
  <c r="F49" i="99"/>
  <c r="E49" i="99"/>
  <c r="D49" i="99"/>
  <c r="C49" i="99"/>
  <c r="V48" i="99"/>
  <c r="V47" i="99"/>
  <c r="U47" i="99"/>
  <c r="O47" i="99"/>
  <c r="M47" i="99"/>
  <c r="J47" i="99"/>
  <c r="I47" i="99"/>
  <c r="E47" i="99"/>
  <c r="V46" i="99"/>
  <c r="U46" i="99"/>
  <c r="T46" i="99"/>
  <c r="S46" i="99"/>
  <c r="R46" i="99"/>
  <c r="Q46" i="99"/>
  <c r="P46" i="99"/>
  <c r="O46" i="99"/>
  <c r="N46" i="99"/>
  <c r="M46" i="99"/>
  <c r="L46" i="99"/>
  <c r="K46" i="99"/>
  <c r="J46" i="99"/>
  <c r="I46" i="99"/>
  <c r="H46" i="99"/>
  <c r="G46" i="99"/>
  <c r="F46" i="99"/>
  <c r="E46" i="99"/>
  <c r="D46" i="99"/>
  <c r="C46" i="99"/>
  <c r="V45" i="99"/>
  <c r="U45" i="99"/>
  <c r="T45" i="99"/>
  <c r="S45" i="99"/>
  <c r="R45" i="99"/>
  <c r="Q45" i="99"/>
  <c r="P45" i="99"/>
  <c r="O45" i="99"/>
  <c r="N45" i="99"/>
  <c r="M45" i="99"/>
  <c r="L45" i="99"/>
  <c r="K45" i="99"/>
  <c r="J45" i="99"/>
  <c r="I45" i="99"/>
  <c r="H45" i="99"/>
  <c r="G45" i="99"/>
  <c r="F45" i="99"/>
  <c r="E45" i="99"/>
  <c r="D45" i="99"/>
  <c r="C45" i="99"/>
</calcChain>
</file>

<file path=xl/sharedStrings.xml><?xml version="1.0" encoding="utf-8"?>
<sst xmlns="http://schemas.openxmlformats.org/spreadsheetml/2006/main" count="9661" uniqueCount="2337">
  <si>
    <t>https://www.whatismyip.com/</t>
  </si>
  <si>
    <t>https://www.microsoft.com/en-us/sql-server/sql-server-downloads</t>
  </si>
  <si>
    <t>Characterisation and filtering</t>
  </si>
  <si>
    <t>PAs:</t>
  </si>
  <si>
    <t>RDM, TS, PI, VV, PR, CM, EST, PLAN, MC, RSK, PCM, PAD, MPM, CAR, OT, PQA, DAR, GOV, II</t>
  </si>
  <si>
    <t>Summarise at levels</t>
  </si>
  <si>
    <t>Summarise at PA level</t>
  </si>
  <si>
    <t>Summarise at Process level</t>
  </si>
  <si>
    <t>Summarise at PA instantiation level</t>
  </si>
  <si>
    <t>Clear all filters</t>
  </si>
  <si>
    <t>Clear all Level characterisations</t>
  </si>
  <si>
    <t>Set levels = 's'</t>
  </si>
  <si>
    <t>Set levels = 'FM'</t>
  </si>
  <si>
    <t>Clear PAs</t>
  </si>
  <si>
    <t>Set PA's = 'FM'</t>
  </si>
  <si>
    <t>Clear instantiations</t>
  </si>
  <si>
    <t>NOTE: KEEP SPACE BETWEEN PA AND x.y, for example CAR 1.1 (NOT CAR1.1)</t>
  </si>
  <si>
    <t>https://docs.microsoft.com/en-us/sql/connect/oledb/download-oledb-driver-for-sql-server?view=sql-server-ver15</t>
  </si>
  <si>
    <t>https://go.microsoft.com/fwlink/?linkid=866658</t>
  </si>
  <si>
    <t>https://translate.google.com/?sl=auto&amp;tl=en&amp;op=translate</t>
  </si>
  <si>
    <t>https://www.onlinedoctranslator.com/en/translationform</t>
  </si>
  <si>
    <t>TV sheets</t>
  </si>
  <si>
    <t>TS - TECHNICAL SOLUTION (TS)</t>
  </si>
  <si>
    <t>Intent</t>
  </si>
  <si>
    <t>Design and build solutions that meet customer requirements.</t>
  </si>
  <si>
    <t>Value</t>
  </si>
  <si>
    <t>Provides a cost-effective design and solution that meets customer requirements and reduces rework.</t>
  </si>
  <si>
    <t>Level 1</t>
  </si>
  <si>
    <t>Level 2</t>
  </si>
  <si>
    <t>Level 3</t>
  </si>
  <si>
    <t>some measurement in place</t>
  </si>
  <si>
    <t>achieve full intent; use local measures to analyse performance / data stored / actions taken</t>
  </si>
  <si>
    <t xml:space="preserve">use organisational standards and tailoring; contribute improvements; set performance objectives; proactive not reactive </t>
  </si>
  <si>
    <t>TS 1.1</t>
  </si>
  <si>
    <t>TS 2.1</t>
  </si>
  <si>
    <t>TS 2.2</t>
  </si>
  <si>
    <t>TS 2.3</t>
  </si>
  <si>
    <t>TS 3.1</t>
  </si>
  <si>
    <t>TS 3.2</t>
  </si>
  <si>
    <t>TS 3.3</t>
  </si>
  <si>
    <t>TS 3.4</t>
  </si>
  <si>
    <t>TS 3.5</t>
  </si>
  <si>
    <t>TS 3.6</t>
  </si>
  <si>
    <t>Practices</t>
  </si>
  <si>
    <t>Build solution to meet requirements.</t>
  </si>
  <si>
    <r>
      <rPr>
        <b/>
        <sz val="10"/>
        <rFont val="Calibri"/>
        <family val="2"/>
        <scheme val="minor"/>
      </rPr>
      <t>Design</t>
    </r>
    <r>
      <rPr>
        <sz val="10"/>
        <rFont val="Calibri"/>
        <family val="2"/>
        <scheme val="minor"/>
      </rPr>
      <t xml:space="preserve"> and build a solution to meet requirements. </t>
    </r>
  </si>
  <si>
    <t xml:space="preserve">Evaluate the design and address identified issues. </t>
  </si>
  <si>
    <t xml:space="preserve">	Provide guidance on use of the solution. </t>
  </si>
  <si>
    <t xml:space="preserve">Develop criteria for design decisions. </t>
  </si>
  <si>
    <t xml:space="preserve">Develop alternative solutions for selected components. </t>
  </si>
  <si>
    <t xml:space="preserve">Perform a build, buy, or reuse analysis. </t>
  </si>
  <si>
    <t xml:space="preserve">	Select solutions based on design criteria. </t>
  </si>
  <si>
    <t xml:space="preserve">Develop, keep updated, and use information needed to implement the design. </t>
  </si>
  <si>
    <t>Design solution interfaces or connections using established criteria.</t>
  </si>
  <si>
    <t>Example Work Products</t>
  </si>
  <si>
    <t>product or service;</t>
  </si>
  <si>
    <t xml:space="preserve">architecture;
component design (preliminary and detailed);
completed solution;
</t>
  </si>
  <si>
    <t>design evaluation issues;
design review meeting minutes;
updated design;
updated solution;</t>
  </si>
  <si>
    <t>guidance material;</t>
  </si>
  <si>
    <t>design criteria (cost, complexity, time, technology, resources, performance, etc.)</t>
  </si>
  <si>
    <t>alternative solutions;</t>
  </si>
  <si>
    <t>build, buy or re-use analysis;</t>
  </si>
  <si>
    <t>recorded solutions, evaluations and rationale;</t>
  </si>
  <si>
    <t>technical data package
requirements, design, test and traceability information;</t>
  </si>
  <si>
    <t>interface or connection - specification criteria (safety, security, performance etc);
- design specification;
- control documents;
rationale for design selection;</t>
  </si>
  <si>
    <t>Example Activities</t>
  </si>
  <si>
    <t>build a solution;</t>
  </si>
  <si>
    <t>define the architecture;
identify, develop or acquire effective design methods or tools;
evaluate COTS products;
develop a preliminary design;
develop a detailed design;
track requirements against design;
build the solution;</t>
  </si>
  <si>
    <t>determine what types of reviews to perform;
identify review participants;
send draft designs to reviewers;
conduct technical review;
record decisions, issues and concerns;
identify potential fixes;
communicate issues and decisions;
update the design;
review the solution;
revise components as necessary;</t>
  </si>
  <si>
    <t>develop and provide guidance material;</t>
  </si>
  <si>
    <t>analyse, develop, evaluate, use, update design criteria;
review and revise design criteria with stakeholders;</t>
  </si>
  <si>
    <t>develop, identify, record alternative solutions;
record requirements allocation for each alternative;
communicate results;</t>
  </si>
  <si>
    <t>perform a build buy or re-use analysis;
record analysis and communicate results;</t>
  </si>
  <si>
    <t>evaluate alternatives against criteria;
select solutions that satisfy criteria;
reassess and update criteria when necessary;
develop, use and update records of evaluations;</t>
  </si>
  <si>
    <t>record the information needed to implement the solution;
revise information as needed;</t>
  </si>
  <si>
    <t>define interface or connection criteria;
develop design alternatives;
identify internal and external interfaces or connections;
identify interfaces or connections between components and related processes;
identify user interfaces or connections;
record, update, use, communicate the criteria, design and selection rationale;</t>
  </si>
  <si>
    <r>
      <t xml:space="preserve">Standard Questions - </t>
    </r>
    <r>
      <rPr>
        <i/>
        <sz val="10"/>
        <color theme="1"/>
        <rFont val="Calibri"/>
        <family val="2"/>
        <scheme val="minor"/>
      </rPr>
      <t>explain how / what ? ...</t>
    </r>
  </si>
  <si>
    <t>- Describe how you design and build a solution to meet the requirements?</t>
  </si>
  <si>
    <t>- How do you evaluate the designs and how do you address identified issues?</t>
  </si>
  <si>
    <t>- What guidance material do you provide on the use of the solution?</t>
  </si>
  <si>
    <t>- What criteria do you develop for design decisions?</t>
  </si>
  <si>
    <t>- What alternative solutions for selected components do you make?</t>
  </si>
  <si>
    <t>- How do you perform, build, buy or re-use decisions?</t>
  </si>
  <si>
    <t>- How do you use criteria to select your solutions?
How do you select the solutions using the criteria?</t>
  </si>
  <si>
    <t>- What do you develop, keep updated, and use as the information needed to implement the design?</t>
  </si>
  <si>
    <t>How do you design solution interfaces (or connections) using established criteria?</t>
  </si>
  <si>
    <t>Questions</t>
  </si>
  <si>
    <t>如何设计和构建能够满足需求的解决方案？</t>
  </si>
  <si>
    <t>如何评估设计并解决已识别的问题？</t>
  </si>
  <si>
    <t>提供了哪些解决方案的使用指南？</t>
  </si>
  <si>
    <t>会制定哪些设计决策标准？</t>
  </si>
  <si>
    <t>会制定哪些针对选定组件的备选解决方案？</t>
  </si>
  <si>
    <t>如何执行构建、采购或复用分析？</t>
  </si>
  <si>
    <t>如何使用设计标准选择解决方案？</t>
  </si>
  <si>
    <t>如何制定、保持更新并采用实现设计所需的信息？</t>
  </si>
  <si>
    <t>如何使用既定标准来设计解决方案的接口或连接？</t>
  </si>
  <si>
    <t>Name</t>
  </si>
  <si>
    <t>link</t>
  </si>
  <si>
    <t>engl</t>
  </si>
  <si>
    <t>\PAs</t>
  </si>
  <si>
    <t>atm to complete</t>
  </si>
  <si>
    <t>x</t>
  </si>
  <si>
    <t>PI - PRODUCT INTEGRATION (PI)</t>
  </si>
  <si>
    <t>Integrate and deliver the solution that addresses functionality and quality requirements.</t>
  </si>
  <si>
    <t>Increases customers' satisfaction by giving them a solution that meets or exceeds their functionality and quality requirements.</t>
  </si>
  <si>
    <t>PI 1.1</t>
  </si>
  <si>
    <t>PI 2.1</t>
  </si>
  <si>
    <t>PI 2.2</t>
  </si>
  <si>
    <t>PI 2.3</t>
  </si>
  <si>
    <t>PI 2.4</t>
  </si>
  <si>
    <t>PI 2.5</t>
  </si>
  <si>
    <t>PI 2.6</t>
  </si>
  <si>
    <t>PI 3.1</t>
  </si>
  <si>
    <t>PI 3.2</t>
  </si>
  <si>
    <t>PI 3.3</t>
  </si>
  <si>
    <t xml:space="preserve">Assemble solutions and deliver to the customer. </t>
  </si>
  <si>
    <t xml:space="preserve">Develop, keep updated, and follow an integration strategy. </t>
  </si>
  <si>
    <t>Develop, keep updated, and use the integration environment.</t>
  </si>
  <si>
    <t xml:space="preserve">Develop, keep updated, and follow procedures and criteria for integrating solutions and components. </t>
  </si>
  <si>
    <t xml:space="preserve">Confirm, prior to integration, that each component has been properly identified and operates according to its requirements and design. </t>
  </si>
  <si>
    <t xml:space="preserve">Evaluate integrated components to ensure conformance to the solution's requirements and design. </t>
  </si>
  <si>
    <t xml:space="preserve">	Integrate solutions and components according to the integration strategy. </t>
  </si>
  <si>
    <t xml:space="preserve">Review and keep updated interface or connection descriptions for coverage, completeness, and consistency throughout the solution's life. </t>
  </si>
  <si>
    <t>Confirm, prior to integration, that component interfaces or connections comply with interface or connection descriptions.</t>
  </si>
  <si>
    <t xml:space="preserve">Evaluate integrated components for interface or connection compatibility. </t>
  </si>
  <si>
    <t>assembled solutions and related documentation;</t>
  </si>
  <si>
    <t>product integration strategy (includes detail of content);
recorded rationale for selection;
selected integration strategy;</t>
  </si>
  <si>
    <t xml:space="preserve">verified and validated environment;
build, buy or re-use analyses;
support documentation for the environment;
</t>
  </si>
  <si>
    <t>product integration procedures;
product integration criteria;</t>
  </si>
  <si>
    <t>acceptance documents or test criteria for each product component;
exception reports;</t>
  </si>
  <si>
    <t>integration evaluation reports;
interface or connection evaluation reports;
test  reports;
exception reports;</t>
  </si>
  <si>
    <t>integrated solution or components;
exception or test report</t>
  </si>
  <si>
    <t>interface or connection review results;
list of action items for updating interfaces or connections;
updated interface or connection descriptions;</t>
  </si>
  <si>
    <t>results of comparison to description of component interfaces or connections;
list of non-compliances;
list of action items for updating descriptions;
updated descriptions</t>
  </si>
  <si>
    <t>Interface or connection issues report;</t>
  </si>
  <si>
    <t>assemble solution;
record all necessary information to install and use;
use applicable methods to package and deliver;
deliver solution and related doc.;</t>
  </si>
  <si>
    <t>identify and record product components to be integrated;
identify how solutions and components will be verified and validated;
identify alternative integration strategies;
select best alternative;
periodically review strategy and revise;
record and communicate decision rationale and status;</t>
  </si>
  <si>
    <t xml:space="preserve">develop requirements for the integration environment;
develop verification and validation procedures and criteria;
decide whether to build, buy or re-use the environment;
develop or acquire an integration environment;
verify and validate the environment;
use the environment;
revise as needed;
communicate with stakeholders;
</t>
  </si>
  <si>
    <t xml:space="preserve">develop, use and update procedures for integration of product components;
develop, use and update criteria for integration and evaluation;
record, update and communicate product integration procedures and criteria; </t>
  </si>
  <si>
    <t>track the integration readiness status of the components;
ensure components are delivered as described in strategy and procedures;
confirm each component is correctly identified and received;
verify and validate each received component meets its requirements and design;
check the status of the current configuration against expected;
check all physical interfaces before integration;
communicate results with stakeholders;</t>
  </si>
  <si>
    <t>evaluate integrated components, interfaces and testing using the integration strategy, procedures and criteria;
record and communicate evaluation results;</t>
  </si>
  <si>
    <t xml:space="preserve">confirm readiness of the product integration environment;
integrate components according to the strategy, procedures and criteria;
update the product integration strategy, procedures and criteria as needed;
integrate and deliver the product and communicate results;
</t>
  </si>
  <si>
    <t>review with stakeholders and update interface or connection descriptions for coverage, completeness, and consistency;
resolve interface or connection issues;
update interface or connection descriptions and make accessible;</t>
  </si>
  <si>
    <t>compare interface or connection descriptions with component interfaces or connections and identify non-compliances;
address non-compliances and communicate results</t>
  </si>
  <si>
    <t>Evaluate integrated components for compatibility;
record and communicate the evaluation results;</t>
  </si>
  <si>
    <t>- Describe your integration strategy and how it is updated.</t>
  </si>
  <si>
    <t>- Describe your integration environment and how it is updated or maintained.</t>
  </si>
  <si>
    <t>- Describe the procedures and criteria you use to integrate components and solutions?</t>
  </si>
  <si>
    <t>- How do you ensure, prior to integration, that each component has been properly identified and operates according to its requirements and design?</t>
  </si>
  <si>
    <t>- How do you evaluate integrated components to ensure conformance to the solution's requirements and design?</t>
  </si>
  <si>
    <t>- Describe the integration of the components - how you follow the strategy?</t>
  </si>
  <si>
    <t>- How do you review and keep updated interface or connection descriptions for coverage, completeness, and consistency throughout the solution's life?</t>
  </si>
  <si>
    <t>- How do you confirm, prior to integration, that component interfaces or connections comply with interface or connection descriptions?</t>
  </si>
  <si>
    <t>- How do you evaluate integrated components for interface or connection compatibility?</t>
  </si>
  <si>
    <t>描述集成策略</t>
  </si>
  <si>
    <t>描述集成环境</t>
  </si>
  <si>
    <t>描述用于集成组件和解决方案的规程和准则</t>
  </si>
  <si>
    <t>在集成之前，如何确认每个组件已被正确识别、并按照其需求和设计正常工作？</t>
  </si>
  <si>
    <t>如何评价已集成的组件以确保其符合解决方案的需求和设计？</t>
  </si>
  <si>
    <t>描述下您是如何按照集成策略来集成组件的。</t>
  </si>
  <si>
    <t>在整个解决方案的生命周期中，如何评审并持续更新接口或连接描述的覆盖范围、完整性和一致性？</t>
  </si>
  <si>
    <t>在集成之前，如何确认组件的接口是符合接口描述的？</t>
  </si>
  <si>
    <t>如何评价已集成组件的接口的兼容性？</t>
  </si>
  <si>
    <t>Product Integration Plan</t>
  </si>
  <si>
    <t>Product Integration Phase Report</t>
  </si>
  <si>
    <t>PR -PEER REVIEWS (PR)</t>
  </si>
  <si>
    <t>Identify and address work product issues through reviews by the producer's peers or Subject Matter Experts (SMEs).</t>
  </si>
  <si>
    <t>Reduce cost and rework by uncovering issues or defects early.</t>
  </si>
  <si>
    <t>PR 1.1</t>
  </si>
  <si>
    <t>PR 2.1</t>
  </si>
  <si>
    <t>PR 2.2</t>
  </si>
  <si>
    <t>PR 2.3</t>
  </si>
  <si>
    <t>PR 2.4</t>
  </si>
  <si>
    <t>PR 3.1</t>
  </si>
  <si>
    <t>Practice</t>
  </si>
  <si>
    <t>Perform reviews of work products and record issues.</t>
  </si>
  <si>
    <t>Develop and keep updated procedures and supporting materials used to prepare for and perform peer reviews.</t>
  </si>
  <si>
    <t xml:space="preserve">Select work products to be peer reviewed. </t>
  </si>
  <si>
    <t xml:space="preserve">Prepare and perform peer reviews on selected work products using established procedures. </t>
  </si>
  <si>
    <t xml:space="preserve">	Resolve issues identified in peer reviews.</t>
  </si>
  <si>
    <t xml:space="preserve">Analyze results and data from peer reviews. </t>
  </si>
  <si>
    <t>list of issues from work product reviews;</t>
  </si>
  <si>
    <t>procedures for preparing and performing peer reviews;
supporting materials;</t>
  </si>
  <si>
    <t>work product selection criteria;
list of selected work products;</t>
  </si>
  <si>
    <t>list of work products;
schedule;
peer review results;</t>
  </si>
  <si>
    <t>resolution of issues;
results;</t>
  </si>
  <si>
    <t>analysis results;</t>
  </si>
  <si>
    <t>review work products to identify issues;
record results;</t>
  </si>
  <si>
    <t>record and update peer review procedures;
record and update related supporting materials;</t>
  </si>
  <si>
    <t>evaluate the criticality of the work product;
determine and record the review type to use;</t>
  </si>
  <si>
    <t>develop schedule;
follow procedures;
record results;
communicate results to stakeholders;</t>
  </si>
  <si>
    <t>resolve issues;
record resolutions and results and communicate to stakeholders;</t>
  </si>
  <si>
    <t>analyse the results of peer reviews;
record and communicate analysis results;
register improvements based on results;
take corrective action on the project based on the results of the peer reviews;
monitor the performance of processes for possible signals from peer review data;</t>
  </si>
  <si>
    <t>What procedures and supporting materials do you have in place to perform peer reviews?</t>
  </si>
  <si>
    <t>What work products have been selected to be reviewed?
How do you select work products to be peer reviewed?</t>
  </si>
  <si>
    <t>Explain how you prepare for and perform peer reviews.</t>
  </si>
  <si>
    <t>Explain how you resolve the issues identified in the peer reviews.</t>
  </si>
  <si>
    <t>Explain how you analyse the results and what do you do with the analysed data from the peer reviews?</t>
  </si>
  <si>
    <t>准备和执行同行评审的步骤有哪些</t>
  </si>
  <si>
    <t>选择进行同行评审的工作产品有哪些？</t>
  </si>
  <si>
    <t>同行评审的既定程序（从准备阶段到结束）有哪些？请描述</t>
  </si>
  <si>
    <t>如何解决同行评审中发现的问题</t>
  </si>
  <si>
    <t>如何分析从同行评审得到的结果和数据</t>
  </si>
  <si>
    <t>VV -VERIFICATION AND VALIDATION (VV)</t>
  </si>
  <si>
    <t>Verification and validation includes activities that:
Confirm selected solutions and components meet their requirements
Validate selected solutions and components fulfill their intended use in their target environment</t>
  </si>
  <si>
    <t>Verification and validation of selected solutions and components throughout the project increases the likelihood that the solution will satisfy the customer.</t>
  </si>
  <si>
    <t>VV 1.1</t>
  </si>
  <si>
    <t>VV 1.2</t>
  </si>
  <si>
    <t>VV 2.1</t>
  </si>
  <si>
    <t>VV 2.2</t>
  </si>
  <si>
    <t>VV 2.3</t>
  </si>
  <si>
    <t>VV 3.1</t>
  </si>
  <si>
    <t>VV 3.2</t>
  </si>
  <si>
    <t xml:space="preserve">	Perform verification to ensure the requirements are implemented and record and communicate results.</t>
  </si>
  <si>
    <t xml:space="preserve">Perform validation to ensure the solution will function as intended in its target environment and record and communicate results. </t>
  </si>
  <si>
    <t xml:space="preserve">Select components and methods for verification and validation. </t>
  </si>
  <si>
    <t xml:space="preserve">Develop, keep updated, and use the environment needed to support verification and validation. </t>
  </si>
  <si>
    <t xml:space="preserve">Develop, keep updated, and follow procedures for verification and validation. </t>
  </si>
  <si>
    <t xml:space="preserve">Develop, keep updated, and use criteria for verification and validation. </t>
  </si>
  <si>
    <t xml:space="preserve">Analyze and communicate verification and validation results. </t>
  </si>
  <si>
    <t>verfication results;
action items;</t>
  </si>
  <si>
    <t>validation results;
analysis results;</t>
  </si>
  <si>
    <t>list of solution components for verification and validation;
verfification and validation methods for each component;
list of requirements to be verified and validated;</t>
  </si>
  <si>
    <t>verification environment;
validation environment;</t>
  </si>
  <si>
    <t>verification procedures;
validation procedures;
verification and validation results;</t>
  </si>
  <si>
    <t>verification criteria;
validation criteria;</t>
  </si>
  <si>
    <t>results of actual vs expected (test results);
analysis results;
corrective actions;
improvement proposals;</t>
  </si>
  <si>
    <t>perform verification of selected work products and solns, against requirements;
record and communicate results of activities;
identify action items resulting from verification;</t>
  </si>
  <si>
    <t>validate selected work products and solns. with stakeholders throughout life cycle to ensure they function as intended;
analyse and communicate results of validation activities;</t>
  </si>
  <si>
    <t>select solution components for verification and validation;
identify requirements to be satisfied by each;
determine customer requirements and end user needs to be validated;
define, record and update verification and validation methods;
review validation selection, roles, responsibilities, constraints and methods with stakeholders;</t>
  </si>
  <si>
    <t>identify requirements for the verfification and validation environment;
identify customer-supplied solutions and components;
identify verification and validation resources, equipment and tools;
develop or acquire and keep the verification and validation environments updated;</t>
  </si>
  <si>
    <t>identify criteria for selecting work products and activities for verification and validation;
develop and keep updated procedures for verification and validation;
perform verification and validation in accordance with procedures;</t>
  </si>
  <si>
    <t>develop verification and validation criteria and refine them as work progresses;</t>
  </si>
  <si>
    <t>compare actual to expected results;
identify results that do not meet criteria for verification;
identify results that do not meet criteria for validation;
analyse results;
submit improvement proposals where process improvements are identified;
record and communicate analysis results and corrective actions to stakeholders;</t>
  </si>
  <si>
    <r>
      <t xml:space="preserve">Explain how you select the </t>
    </r>
    <r>
      <rPr>
        <u/>
        <sz val="10"/>
        <color theme="1"/>
        <rFont val="Calibri"/>
        <family val="2"/>
        <scheme val="minor"/>
      </rPr>
      <t>components</t>
    </r>
    <r>
      <rPr>
        <sz val="10"/>
        <color theme="1"/>
        <rFont val="Calibri"/>
        <family val="2"/>
        <scheme val="minor"/>
      </rPr>
      <t xml:space="preserve"> and the </t>
    </r>
    <r>
      <rPr>
        <u/>
        <sz val="10"/>
        <color theme="1"/>
        <rFont val="Calibri"/>
        <family val="2"/>
        <scheme val="minor"/>
      </rPr>
      <t>methods</t>
    </r>
    <r>
      <rPr>
        <sz val="10"/>
        <color theme="1"/>
        <rFont val="Calibri"/>
        <family val="2"/>
        <scheme val="minor"/>
      </rPr>
      <t xml:space="preserve"> for verification and validation.</t>
    </r>
  </si>
  <si>
    <r>
      <t xml:space="preserve">Explain how you develop and maintain the </t>
    </r>
    <r>
      <rPr>
        <u/>
        <sz val="10"/>
        <color theme="1"/>
        <rFont val="Calibri"/>
        <family val="2"/>
        <scheme val="minor"/>
      </rPr>
      <t>environment</t>
    </r>
    <r>
      <rPr>
        <sz val="10"/>
        <color theme="1"/>
        <rFont val="Calibri"/>
        <family val="2"/>
        <scheme val="minor"/>
      </rPr>
      <t xml:space="preserve"> needed to support verification and validation.</t>
    </r>
  </si>
  <si>
    <r>
      <t xml:space="preserve">How do you develop and maintain  the </t>
    </r>
    <r>
      <rPr>
        <u/>
        <sz val="10"/>
        <color theme="1"/>
        <rFont val="Calibri"/>
        <family val="2"/>
        <scheme val="minor"/>
      </rPr>
      <t>procedures</t>
    </r>
    <r>
      <rPr>
        <sz val="10"/>
        <color theme="1"/>
        <rFont val="Calibri"/>
        <family val="2"/>
        <scheme val="minor"/>
      </rPr>
      <t xml:space="preserve"> for verification and validation.</t>
    </r>
  </si>
  <si>
    <r>
      <t xml:space="preserve">How do you develop  and maintain the </t>
    </r>
    <r>
      <rPr>
        <u/>
        <sz val="10"/>
        <color theme="1"/>
        <rFont val="Calibri"/>
        <family val="2"/>
        <scheme val="minor"/>
      </rPr>
      <t>criteria</t>
    </r>
    <r>
      <rPr>
        <sz val="10"/>
        <color theme="1"/>
        <rFont val="Calibri"/>
        <family val="2"/>
        <scheme val="minor"/>
      </rPr>
      <t xml:space="preserve"> for verification and validation?</t>
    </r>
  </si>
  <si>
    <r>
      <t xml:space="preserve">How do you </t>
    </r>
    <r>
      <rPr>
        <u/>
        <sz val="10"/>
        <color theme="1"/>
        <rFont val="Calibri"/>
        <family val="2"/>
        <scheme val="minor"/>
      </rPr>
      <t>analyse</t>
    </r>
    <r>
      <rPr>
        <sz val="10"/>
        <color theme="1"/>
        <rFont val="Calibri"/>
        <family val="2"/>
        <scheme val="minor"/>
      </rPr>
      <t xml:space="preserve"> and </t>
    </r>
    <r>
      <rPr>
        <u/>
        <sz val="10"/>
        <color theme="1"/>
        <rFont val="Calibri"/>
        <family val="2"/>
        <scheme val="minor"/>
      </rPr>
      <t>communicate</t>
    </r>
    <r>
      <rPr>
        <sz val="10"/>
        <color theme="1"/>
        <rFont val="Calibri"/>
        <family val="2"/>
        <scheme val="minor"/>
      </rPr>
      <t xml:space="preserve"> the </t>
    </r>
    <r>
      <rPr>
        <u/>
        <sz val="10"/>
        <color theme="1"/>
        <rFont val="Calibri"/>
        <family val="2"/>
        <scheme val="minor"/>
      </rPr>
      <t>results</t>
    </r>
    <r>
      <rPr>
        <sz val="10"/>
        <color theme="1"/>
        <rFont val="Calibri"/>
        <family val="2"/>
        <scheme val="minor"/>
      </rPr>
      <t xml:space="preserve"> of verification and validation?</t>
    </r>
  </si>
  <si>
    <t>如何选择用于验证和确认的组件和方法？</t>
  </si>
  <si>
    <t>如何开发、使用并保持更新支持验证和确认所需的环境？</t>
  </si>
  <si>
    <t>这些(验证和确认的流程）是如何开发和维护的？</t>
  </si>
  <si>
    <t>这些（验证与确认的准则）是如何开发和维护的？</t>
  </si>
  <si>
    <t>如何使用和传达验证与确认的结果？</t>
  </si>
  <si>
    <t>PQA - PROCESS QUALITY ASSURANCE (PQA)</t>
  </si>
  <si>
    <t>Verify and enable improvement of the quality of the performed processes and resulting work products.</t>
  </si>
  <si>
    <t>Increases the consistent use and improvement of the processes to maximize business benefit and customer satisfaction.</t>
  </si>
  <si>
    <t>PQA 1.1</t>
  </si>
  <si>
    <t>PQA 2.1</t>
  </si>
  <si>
    <t>PQA 2.2</t>
  </si>
  <si>
    <t>PQA 2.3</t>
  </si>
  <si>
    <t>PQA 2.4</t>
  </si>
  <si>
    <t>PQA 3.1</t>
  </si>
  <si>
    <r>
      <rPr>
        <sz val="10"/>
        <rFont val="Calibri"/>
        <family val="2"/>
      </rPr>
      <t xml:space="preserve">	</t>
    </r>
    <r>
      <rPr>
        <b/>
        <sz val="10"/>
        <rFont val="Calibri"/>
        <family val="2"/>
      </rPr>
      <t>Identify and address</t>
    </r>
    <r>
      <rPr>
        <sz val="10"/>
        <rFont val="Calibri"/>
        <family val="2"/>
      </rPr>
      <t xml:space="preserve"> process and work product issues. </t>
    </r>
  </si>
  <si>
    <r>
      <rPr>
        <sz val="10"/>
        <rFont val="Calibri"/>
        <family val="2"/>
      </rPr>
      <t xml:space="preserve">Develop, keep updated, and follow a </t>
    </r>
    <r>
      <rPr>
        <b/>
        <sz val="10"/>
        <rFont val="Calibri"/>
        <family val="2"/>
      </rPr>
      <t>quality assurance approach and plan</t>
    </r>
    <r>
      <rPr>
        <sz val="10"/>
        <rFont val="Calibri"/>
        <family val="2"/>
      </rPr>
      <t xml:space="preserve"> based on historical quality data.</t>
    </r>
  </si>
  <si>
    <r>
      <rPr>
        <sz val="10"/>
        <rFont val="Calibri"/>
        <family val="2"/>
      </rPr>
      <t xml:space="preserve">	Throughout the project, </t>
    </r>
    <r>
      <rPr>
        <b/>
        <sz val="10"/>
        <rFont val="Calibri"/>
        <family val="2"/>
      </rPr>
      <t>objectively evaluate</t>
    </r>
    <r>
      <rPr>
        <sz val="10"/>
        <rFont val="Calibri"/>
        <family val="2"/>
      </rPr>
      <t xml:space="preserve"> selected performed processes and work products against the recorded process and applicable standards. </t>
    </r>
  </si>
  <si>
    <r>
      <rPr>
        <b/>
        <sz val="10"/>
        <rFont val="Calibri"/>
        <family val="2"/>
      </rPr>
      <t>Communicate</t>
    </r>
    <r>
      <rPr>
        <sz val="10"/>
        <rFont val="Calibri"/>
        <family val="2"/>
      </rPr>
      <t xml:space="preserve"> quality and non-compliance </t>
    </r>
    <r>
      <rPr>
        <b/>
        <sz val="10"/>
        <rFont val="Calibri"/>
        <family val="2"/>
      </rPr>
      <t>issues</t>
    </r>
    <r>
      <rPr>
        <sz val="10"/>
        <rFont val="Calibri"/>
        <family val="2"/>
      </rPr>
      <t xml:space="preserve"> and ensure their resolution. </t>
    </r>
  </si>
  <si>
    <r>
      <rPr>
        <sz val="10"/>
        <rFont val="Calibri"/>
        <family val="2"/>
      </rPr>
      <t xml:space="preserve">	</t>
    </r>
    <r>
      <rPr>
        <b/>
        <sz val="10"/>
        <rFont val="Calibri"/>
        <family val="2"/>
      </rPr>
      <t>Record and use results</t>
    </r>
    <r>
      <rPr>
        <sz val="10"/>
        <rFont val="Calibri"/>
        <family val="2"/>
      </rPr>
      <t xml:space="preserve"> of quality assurance activities. </t>
    </r>
  </si>
  <si>
    <r>
      <rPr>
        <sz val="10"/>
        <rFont val="Calibri"/>
        <family val="2"/>
      </rPr>
      <t xml:space="preserve">Identify and record </t>
    </r>
    <r>
      <rPr>
        <b/>
        <sz val="10"/>
        <rFont val="Calibri"/>
        <family val="2"/>
      </rPr>
      <t>opportunities for improvement</t>
    </r>
    <r>
      <rPr>
        <sz val="10"/>
        <rFont val="Calibri"/>
        <family val="2"/>
      </rPr>
      <t xml:space="preserve"> during quality assurance activities. </t>
    </r>
  </si>
  <si>
    <t>recorded issues;
addressed issues;</t>
  </si>
  <si>
    <t>Quality assurance approach and plan;</t>
  </si>
  <si>
    <t>criteria;
checklists;
evaluation reports;
non-compliance reports;
improvement proposals;</t>
  </si>
  <si>
    <t>quality trend analysis reports;
non-compliance resolutions;</t>
  </si>
  <si>
    <t>evaluation records;
quality assurance reports;
status reports of non-compliance issues and corrective actions;
reports of quality trends;</t>
  </si>
  <si>
    <t>improvement proposals;</t>
  </si>
  <si>
    <t>identify issues;
record issues;
resolve issues;</t>
  </si>
  <si>
    <t>develop, record and update the quality approach and plan;
identify areas for evaluation;
review, update and approve approach with stakeholders;</t>
  </si>
  <si>
    <t>develop and update clearly stated criteria for evaluations;
develop and update checklists based on process descriptions;
use the defined criteria and checklists to evaluate if performed processes follow process descriptions;
identify and record non-compliances;
leverage recorded best practices;</t>
  </si>
  <si>
    <t>communicate and resolve each non-compliance issue;
escalate non-compliance issues that cannot be resolved;
analyse to identify trends;
ensure stakeholders are aware of evaluation results;</t>
  </si>
  <si>
    <t>record and update information about quality assurance activities;</t>
  </si>
  <si>
    <t>record potential improvements observed during QA activities;
submit improvement proposals;</t>
  </si>
  <si>
    <r>
      <rPr>
        <sz val="10"/>
        <rFont val="Calibri"/>
        <family val="2"/>
      </rPr>
      <t xml:space="preserve">*How do you </t>
    </r>
    <r>
      <rPr>
        <b/>
        <sz val="10"/>
        <rFont val="Calibri"/>
        <family val="2"/>
      </rPr>
      <t>identify</t>
    </r>
    <r>
      <rPr>
        <sz val="10"/>
        <rFont val="Calibri"/>
        <family val="2"/>
      </rPr>
      <t xml:space="preserve"> which work products and processes you want to check for process quality assurance?</t>
    </r>
  </si>
  <si>
    <r>
      <rPr>
        <sz val="10"/>
        <rFont val="Calibri"/>
        <family val="2"/>
      </rPr>
      <t xml:space="preserve">*How do you develop the </t>
    </r>
    <r>
      <rPr>
        <b/>
        <sz val="10"/>
        <rFont val="Calibri"/>
        <family val="2"/>
      </rPr>
      <t>approach or plan</t>
    </r>
    <r>
      <rPr>
        <sz val="10"/>
        <rFont val="Calibri"/>
        <family val="2"/>
      </rPr>
      <t xml:space="preserve"> for quality assurance?
*What historical data do you use?</t>
    </r>
  </si>
  <si>
    <r>
      <rPr>
        <sz val="10"/>
        <rFont val="Calibri"/>
        <family val="2"/>
      </rPr>
      <t xml:space="preserve">*How do you </t>
    </r>
    <r>
      <rPr>
        <b/>
        <sz val="10"/>
        <rFont val="Calibri"/>
        <family val="2"/>
      </rPr>
      <t>evaluate</t>
    </r>
    <r>
      <rPr>
        <sz val="10"/>
        <rFont val="Calibri"/>
        <family val="2"/>
      </rPr>
      <t xml:space="preserve"> compliance  to the recorded processes and work products?
*What do you check for?</t>
    </r>
  </si>
  <si>
    <r>
      <rPr>
        <sz val="10"/>
        <rFont val="Calibri"/>
        <family val="2"/>
      </rPr>
      <t xml:space="preserve">* How do you </t>
    </r>
    <r>
      <rPr>
        <b/>
        <sz val="10"/>
        <rFont val="Calibri"/>
        <family val="2"/>
      </rPr>
      <t>communicate and address</t>
    </r>
    <r>
      <rPr>
        <sz val="10"/>
        <rFont val="Calibri"/>
        <family val="2"/>
      </rPr>
      <t xml:space="preserve"> the non-compliance issues that have been identified?</t>
    </r>
  </si>
  <si>
    <r>
      <rPr>
        <sz val="10"/>
        <rFont val="Calibri"/>
        <family val="2"/>
      </rPr>
      <t xml:space="preserve">*Where do you </t>
    </r>
    <r>
      <rPr>
        <b/>
        <sz val="10"/>
        <rFont val="Calibri"/>
        <family val="2"/>
      </rPr>
      <t>record</t>
    </r>
    <r>
      <rPr>
        <sz val="10"/>
        <rFont val="Calibri"/>
        <family val="2"/>
      </rPr>
      <t xml:space="preserve"> the results of quality assurance activities?
*How do you </t>
    </r>
    <r>
      <rPr>
        <b/>
        <sz val="10"/>
        <rFont val="Calibri"/>
        <family val="2"/>
      </rPr>
      <t>use</t>
    </r>
    <r>
      <rPr>
        <sz val="10"/>
        <rFont val="Calibri"/>
        <family val="2"/>
      </rPr>
      <t xml:space="preserve"> the results? What actions follow?
*Where does your function report to? 
*Repeat offenders?
*Who has accountability for taking action on results?
*Most common areas of non-compliance?</t>
    </r>
  </si>
  <si>
    <r>
      <rPr>
        <sz val="10"/>
        <rFont val="Calibri"/>
        <family val="2"/>
      </rPr>
      <t xml:space="preserve">*What do you do with the </t>
    </r>
    <r>
      <rPr>
        <b/>
        <sz val="10"/>
        <rFont val="Calibri"/>
        <family val="2"/>
      </rPr>
      <t>improvement opportunities</t>
    </r>
    <r>
      <rPr>
        <sz val="10"/>
        <rFont val="Calibri"/>
        <family val="2"/>
      </rPr>
      <t xml:space="preserve"> that you identify?
*Do you follow-up on the use of these opportunities identified?
*Effect of non-compliance on process performance baseline? Used by MA?</t>
    </r>
  </si>
  <si>
    <t>你是如何指定QA方法或计划的？使用到了哪些历史数据？</t>
  </si>
  <si>
    <t>“*您如何评估所记录过程和工作产品的合规性?
你检查什么?</t>
  </si>
  <si>
    <t>“*对于已发现的不符合项问题，你们如何沟通和解决的?”</t>
  </si>
  <si>
    <r>
      <t>*</t>
    </r>
    <r>
      <rPr>
        <sz val="10"/>
        <rFont val="宋体"/>
        <family val="3"/>
        <charset val="134"/>
      </rPr>
      <t>你们在哪里记录QA活动的结果</t>
    </r>
    <r>
      <rPr>
        <sz val="10"/>
        <rFont val="Calibri"/>
        <family val="2"/>
      </rPr>
      <t xml:space="preserve">?
</t>
    </r>
    <r>
      <rPr>
        <sz val="10"/>
        <rFont val="宋体"/>
        <family val="3"/>
        <charset val="134"/>
      </rPr>
      <t>你如何使用这些结果</t>
    </r>
    <r>
      <rPr>
        <sz val="10"/>
        <rFont val="Calibri"/>
        <family val="2"/>
      </rPr>
      <t>?</t>
    </r>
    <r>
      <rPr>
        <sz val="10"/>
        <rFont val="宋体"/>
        <family val="3"/>
        <charset val="134"/>
      </rPr>
      <t>遵循什么行动</t>
    </r>
    <r>
      <rPr>
        <sz val="10"/>
        <rFont val="Calibri"/>
        <family val="2"/>
      </rPr>
      <t>?
*</t>
    </r>
    <r>
      <rPr>
        <sz val="10"/>
        <rFont val="宋体"/>
        <family val="3"/>
        <charset val="134"/>
      </rPr>
      <t>你的职能部门向哪里报告</t>
    </r>
    <r>
      <rPr>
        <sz val="10"/>
        <rFont val="Calibri"/>
        <family val="2"/>
      </rPr>
      <t>?
*</t>
    </r>
    <r>
      <rPr>
        <sz val="10"/>
        <rFont val="宋体"/>
        <family val="3"/>
        <charset val="134"/>
      </rPr>
      <t>常出现的不符合项</t>
    </r>
    <r>
      <rPr>
        <sz val="10"/>
        <rFont val="Calibri"/>
        <family val="2"/>
      </rPr>
      <t xml:space="preserve">?
</t>
    </r>
    <r>
      <rPr>
        <sz val="10"/>
        <rFont val="宋体"/>
        <family val="3"/>
        <charset val="134"/>
      </rPr>
      <t>谁有责任根据结果采取行动</t>
    </r>
    <r>
      <rPr>
        <sz val="10"/>
        <rFont val="Calibri"/>
        <family val="2"/>
      </rPr>
      <t>?
*</t>
    </r>
    <r>
      <rPr>
        <sz val="10"/>
        <rFont val="宋体"/>
        <family val="3"/>
        <charset val="134"/>
      </rPr>
      <t>最常见的违规行为</t>
    </r>
    <r>
      <rPr>
        <sz val="10"/>
        <rFont val="Calibri"/>
        <family val="2"/>
      </rPr>
      <t>?</t>
    </r>
  </si>
  <si>
    <t>“*当你发现有改进的机会时，你会怎么做?”
*你会继续利用这些发现的机会吗?
*不合规对过程性能基线的影响?度量分析人员会使用这些（改进机会）嘛?</t>
  </si>
  <si>
    <t>RDM - REQUIREMENTS DEVELOPMENT AND MANAGEMENT (RDM)</t>
  </si>
  <si>
    <t>Elicit requirements, ensure common understanding by stakeholders, and align requirements, plans, and work products.</t>
  </si>
  <si>
    <t>Ensures that customer's needs and expectations are satisfied.</t>
  </si>
  <si>
    <t>RDM 1.1</t>
  </si>
  <si>
    <t>RDM 2.1</t>
  </si>
  <si>
    <t>RDM 2.2</t>
  </si>
  <si>
    <t>RDM 2.3</t>
  </si>
  <si>
    <t>RDM 2.4</t>
  </si>
  <si>
    <t>RDM 2.5</t>
  </si>
  <si>
    <t>RDM 2.6</t>
  </si>
  <si>
    <t>RDM 3.1</t>
  </si>
  <si>
    <t>RDM 3.2</t>
  </si>
  <si>
    <t>RDM 3.3</t>
  </si>
  <si>
    <t>RDM 3.4</t>
  </si>
  <si>
    <t>RDM 3.5</t>
  </si>
  <si>
    <t>RDM 3.6</t>
  </si>
  <si>
    <t>RDM 3.7</t>
  </si>
  <si>
    <t xml:space="preserve">Record requirements. </t>
  </si>
  <si>
    <r>
      <t xml:space="preserve">Elicit </t>
    </r>
    <r>
      <rPr>
        <b/>
        <sz val="10"/>
        <rFont val="Calibri"/>
        <family val="2"/>
        <scheme val="minor"/>
      </rPr>
      <t>stakeholder needs, expectations, constraints, and interfaces or connections</t>
    </r>
    <r>
      <rPr>
        <sz val="10"/>
        <rFont val="Calibri"/>
        <family val="2"/>
        <scheme val="minor"/>
      </rPr>
      <t xml:space="preserve">. </t>
    </r>
  </si>
  <si>
    <r>
      <t xml:space="preserve">Transform stakeholder needs, expectations, constraints, and interfaces or connections into </t>
    </r>
    <r>
      <rPr>
        <b/>
        <sz val="10"/>
        <rFont val="Calibri"/>
        <family val="2"/>
        <scheme val="minor"/>
      </rPr>
      <t>prioritized customer requirements</t>
    </r>
    <r>
      <rPr>
        <sz val="10"/>
        <rFont val="Calibri"/>
        <family val="2"/>
        <scheme val="minor"/>
      </rPr>
      <t xml:space="preserve">. </t>
    </r>
  </si>
  <si>
    <r>
      <t xml:space="preserve">Develop an understanding with the requirements providers on the </t>
    </r>
    <r>
      <rPr>
        <b/>
        <sz val="10"/>
        <rFont val="Calibri"/>
        <family val="2"/>
        <scheme val="minor"/>
      </rPr>
      <t>meaning of the requirements</t>
    </r>
    <r>
      <rPr>
        <sz val="10"/>
        <rFont val="Calibri"/>
        <family val="2"/>
        <scheme val="minor"/>
      </rPr>
      <t xml:space="preserve">. </t>
    </r>
  </si>
  <si>
    <r>
      <t xml:space="preserve">Obtain </t>
    </r>
    <r>
      <rPr>
        <b/>
        <sz val="10"/>
        <rFont val="Calibri"/>
        <family val="2"/>
        <scheme val="minor"/>
      </rPr>
      <t>commitment</t>
    </r>
    <r>
      <rPr>
        <sz val="10"/>
        <rFont val="Calibri"/>
        <family val="2"/>
        <scheme val="minor"/>
      </rPr>
      <t xml:space="preserve"> from project participants that they can implement the requirements.</t>
    </r>
  </si>
  <si>
    <r>
      <t xml:space="preserve">Develop, record, and maintain </t>
    </r>
    <r>
      <rPr>
        <b/>
        <sz val="10"/>
        <rFont val="Calibri"/>
        <family val="2"/>
        <scheme val="minor"/>
      </rPr>
      <t>bidirectional traceability</t>
    </r>
    <r>
      <rPr>
        <sz val="10"/>
        <rFont val="Calibri"/>
        <family val="2"/>
        <scheme val="minor"/>
      </rPr>
      <t xml:space="preserve"> among requirements and activities or work products. </t>
    </r>
  </si>
  <si>
    <r>
      <t xml:space="preserve">		Ensure that plans and activities or work products remain </t>
    </r>
    <r>
      <rPr>
        <b/>
        <sz val="10"/>
        <rFont val="Calibri"/>
        <family val="2"/>
        <scheme val="minor"/>
      </rPr>
      <t xml:space="preserve">consistent </t>
    </r>
    <r>
      <rPr>
        <sz val="10"/>
        <rFont val="Calibri"/>
        <family val="2"/>
        <scheme val="minor"/>
      </rPr>
      <t xml:space="preserve">with requirements. </t>
    </r>
  </si>
  <si>
    <r>
      <rPr>
        <b/>
        <sz val="10"/>
        <rFont val="Calibri"/>
        <family val="2"/>
        <scheme val="minor"/>
      </rPr>
      <t>Develop</t>
    </r>
    <r>
      <rPr>
        <sz val="10"/>
        <rFont val="Calibri"/>
        <family val="2"/>
        <scheme val="minor"/>
      </rPr>
      <t xml:space="preserve"> and keep </t>
    </r>
    <r>
      <rPr>
        <b/>
        <sz val="10"/>
        <rFont val="Calibri"/>
        <family val="2"/>
        <scheme val="minor"/>
      </rPr>
      <t>requirements</t>
    </r>
    <r>
      <rPr>
        <sz val="10"/>
        <rFont val="Calibri"/>
        <family val="2"/>
        <scheme val="minor"/>
      </rPr>
      <t xml:space="preserve"> updated for the </t>
    </r>
    <r>
      <rPr>
        <b/>
        <sz val="10"/>
        <rFont val="Calibri"/>
        <family val="2"/>
        <scheme val="minor"/>
      </rPr>
      <t>solution and its components</t>
    </r>
    <r>
      <rPr>
        <sz val="10"/>
        <rFont val="Calibri"/>
        <family val="2"/>
        <scheme val="minor"/>
      </rPr>
      <t xml:space="preserve">. </t>
    </r>
  </si>
  <si>
    <r>
      <t xml:space="preserve">Develop </t>
    </r>
    <r>
      <rPr>
        <b/>
        <sz val="10"/>
        <rFont val="Calibri"/>
        <family val="2"/>
        <scheme val="minor"/>
      </rPr>
      <t>operational concepts and scenarios</t>
    </r>
    <r>
      <rPr>
        <sz val="10"/>
        <rFont val="Calibri"/>
        <family val="2"/>
        <scheme val="minor"/>
      </rPr>
      <t xml:space="preserve">. </t>
    </r>
  </si>
  <si>
    <r>
      <rPr>
        <b/>
        <sz val="10"/>
        <rFont val="Calibri"/>
        <family val="2"/>
        <scheme val="minor"/>
      </rPr>
      <t>Allocate</t>
    </r>
    <r>
      <rPr>
        <sz val="10"/>
        <rFont val="Calibri"/>
        <family val="2"/>
        <scheme val="minor"/>
      </rPr>
      <t xml:space="preserve"> the requirements to be implemented. </t>
    </r>
  </si>
  <si>
    <r>
      <t xml:space="preserve">	Identify, develop, and keep updated </t>
    </r>
    <r>
      <rPr>
        <b/>
        <sz val="10"/>
        <rFont val="Calibri"/>
        <family val="2"/>
        <scheme val="minor"/>
      </rPr>
      <t>interface or connection</t>
    </r>
    <r>
      <rPr>
        <sz val="10"/>
        <rFont val="Calibri"/>
        <family val="2"/>
        <scheme val="minor"/>
      </rPr>
      <t xml:space="preserve"> requirements. </t>
    </r>
  </si>
  <si>
    <r>
      <t xml:space="preserve">Ensure that requirements are </t>
    </r>
    <r>
      <rPr>
        <b/>
        <sz val="10"/>
        <rFont val="Calibri"/>
        <family val="2"/>
        <scheme val="minor"/>
      </rPr>
      <t>necessary and sufficient</t>
    </r>
    <r>
      <rPr>
        <sz val="10"/>
        <rFont val="Calibri"/>
        <family val="2"/>
        <scheme val="minor"/>
      </rPr>
      <t>.</t>
    </r>
  </si>
  <si>
    <r>
      <rPr>
        <b/>
        <sz val="10"/>
        <rFont val="Calibri"/>
        <family val="2"/>
        <scheme val="minor"/>
      </rPr>
      <t>Balance</t>
    </r>
    <r>
      <rPr>
        <sz val="10"/>
        <rFont val="Calibri"/>
        <family val="2"/>
        <scheme val="minor"/>
      </rPr>
      <t xml:space="preserve"> stakeholder </t>
    </r>
    <r>
      <rPr>
        <b/>
        <sz val="10"/>
        <rFont val="Calibri"/>
        <family val="2"/>
        <scheme val="minor"/>
      </rPr>
      <t>needs and constraints</t>
    </r>
    <r>
      <rPr>
        <sz val="10"/>
        <rFont val="Calibri"/>
        <family val="2"/>
        <scheme val="minor"/>
      </rPr>
      <t xml:space="preserve"> </t>
    </r>
  </si>
  <si>
    <r>
      <rPr>
        <b/>
        <sz val="10"/>
        <rFont val="Calibri"/>
        <family val="2"/>
        <scheme val="minor"/>
      </rPr>
      <t>Validate</t>
    </r>
    <r>
      <rPr>
        <sz val="10"/>
        <rFont val="Calibri"/>
        <family val="2"/>
        <scheme val="minor"/>
      </rPr>
      <t xml:space="preserve"> requirements to ensure the resulting solution will perform as intended in the target environment. </t>
    </r>
  </si>
  <si>
    <t>list of requirements;
statement of work;
use cases;</t>
  </si>
  <si>
    <t>list of stakeholder needs, constraints, expectations;
list of interfaces or connections;</t>
  </si>
  <si>
    <t>prioritised customer requirements;
customer constraints;</t>
  </si>
  <si>
    <t>list of appropriate requirements providers;
criteria for evaluation and acceptance of requirements;
results of analyses against criteria;
- Recorded changes to requirements
- Set of approved requirements</t>
  </si>
  <si>
    <t>impact assessment;
recorded commitments that requirements can be met;</t>
  </si>
  <si>
    <t>records of bidirectional requirements traceability;</t>
  </si>
  <si>
    <t>records of inconsistencies between requirements, plans and work products;</t>
  </si>
  <si>
    <t>requirements;</t>
  </si>
  <si>
    <t>operational concepts and scenarios;</t>
  </si>
  <si>
    <t>requirement allocations;</t>
  </si>
  <si>
    <t>interface or connection requirements;
interface or connection requirements review results;
action items for updating interface or connection requirements;
- Updated interface or connection requirements</t>
  </si>
  <si>
    <t>requirements analysis results;</t>
  </si>
  <si>
    <t xml:space="preserve">analysis results;
proposed requirements changes;
</t>
  </si>
  <si>
    <t>selected validation techniques;
record of validation results;
updated requirements;</t>
  </si>
  <si>
    <t>record the requirements;</t>
  </si>
  <si>
    <t>demonstrations, interviews, questionnaires, scenarios, surveys, brainstorming, beta testing, use cases, business cases</t>
  </si>
  <si>
    <t>document customer requirements;
develop a prioritisation of customer requirements;</t>
  </si>
  <si>
    <t>develop criteria for identifying providers;
develop criteria for evaluation and acceptance of req.;
analyse req. to ensure criteria are met;
obtain commitments from providers and participants;
record changes;</t>
  </si>
  <si>
    <t>assess impact on existing commitments;
negotiate and record commitments;</t>
  </si>
  <si>
    <t>Develop, record, and maintain bidirectional traceability;</t>
  </si>
  <si>
    <t>review plans, activities for consistency with requirements;
record inconsistencies and sources;
initiate and record any corrective actions and communicate to stakeholders;</t>
  </si>
  <si>
    <t>develop, record, and update requirements in technical terms for solution selections and component design;
record bidirectional traceability;
review for impoact to architecture and design;
record prioritisation;
record nontechnical req.;
identify and record req. for external interfaces and connections;</t>
  </si>
  <si>
    <t>develop operational concepts and scenarios;
review and refine with stakeholders;</t>
  </si>
  <si>
    <t>allocate the requirements to be implemented;
record and update relationships;
review allocations and relationships;</t>
  </si>
  <si>
    <t xml:space="preserve">identify, record, update internal and external interface or connection requirements;
review for coverage and completeness with stakeholders;
</t>
  </si>
  <si>
    <t>perform a requirements analysis;
review results and update;</t>
  </si>
  <si>
    <t xml:space="preserve">analyse to ensure they balance;
review and negotiate trade-offs;
record and update changes with stakeholders;
</t>
  </si>
  <si>
    <t>identify and select validation techniques;
validate using techniques;
review and communicate results;
update requirements;</t>
  </si>
  <si>
    <t>- What requirements have you documented (or recorded)</t>
  </si>
  <si>
    <t>- (Explain) How do you elicit (extract) stakeholder needs, expectations, constraints, and interfaces (or connections)?</t>
  </si>
  <si>
    <t>- (Explain) How do you transform stakeholder needs, expectations, contains, and interfaces (or connections) into prioritized customer requirements?</t>
  </si>
  <si>
    <t>- (Explain) How do you developed and understanding with the requirements provider on the meaning of the requirements?</t>
  </si>
  <si>
    <t>- (Explain) How (or what) commitments do you obtain from project participants (developers, testers, etc) that they can implement the requirements?</t>
  </si>
  <si>
    <t>What bidirectional traceability do you develop and maintain among requirements, other work products or planned activities?</t>
  </si>
  <si>
    <t>How do you ensure that plans and activities (or work products to be delivered) are consistent with the requirements?</t>
  </si>
  <si>
    <t>How do you ensure that requirements are kept up to date for the solution (and its components)?</t>
  </si>
  <si>
    <t>- What operational concepts and scenarios do you develop for requirements?</t>
  </si>
  <si>
    <t>- How do you allocate requirements for implementation?</t>
  </si>
  <si>
    <t>- How do you identify, develop, and keep updated interfaces or connection requirements?</t>
  </si>
  <si>
    <t>- How do you ensure requirements are necessary and sufficient?</t>
  </si>
  <si>
    <t>- How do you balance stakeholder needs and constraints?</t>
  </si>
  <si>
    <t>- How do you validate requirements to ensure the resulting solution will perform as intended in the target environment?</t>
  </si>
  <si>
    <t>—(解释)您如何引出(获取)干系人的需求、期望、约束和接口(或连接)?</t>
  </si>
  <si>
    <t>—(解释)你如何将干系人的需求、期望、约束条件和接口(或连接)转换为优先级的客户需求?</t>
  </si>
  <si>
    <t>—(解释)你是如何开发需求并与需求提供者一起理解需求的含义的?</t>
  </si>
  <si>
    <t>—(解释)你如何(或什么)从项目参与者(开发人员、测试人员等)那里获得他们能够实现需求的承诺?</t>
  </si>
  <si>
    <t>在需求、其他工作产品或计划的活动中，您开发并维护什么样的双向追溯性?</t>
  </si>
  <si>
    <t>您如何确保计划和活动(或要交付的工作产品)与需求保持一致?</t>
  </si>
  <si>
    <t>您如何确保解决方案(及其组件)的需求是最新的?</t>
  </si>
  <si>
    <t>’—您针对需求开发了哪些操作概念和场景?</t>
  </si>
  <si>
    <t>—如何分配待实现的需求?</t>
  </si>
  <si>
    <t>—您如何识别、开发和更新接口或连接需求?</t>
  </si>
  <si>
    <t>—你如何确保需求是必要和充分的?</t>
  </si>
  <si>
    <t>——你如何平衡干系人的需求和约束条件?</t>
  </si>
  <si>
    <t>’—您如何验证需求，以确保最终解决方案在目标环境中能够按照预期的方式执行?</t>
  </si>
  <si>
    <t>PCM - PROCESS MANAGEMENT (PCM)</t>
  </si>
  <si>
    <t>Manages and implements the continuous improvement of processes and infrastructure to:
Support accomplishing business objectives
Identify and implement the most beneficial process improvements
Make the results of process improvement visible, accessible, and sustainable</t>
  </si>
  <si>
    <t>Ensures that processes, infrastructure, and their improvement contribute to successfully meeting business objectives.</t>
  </si>
  <si>
    <t>Level 4</t>
  </si>
  <si>
    <t>use measurement and analysis to control/ stabilise/ predict/ identify and reduce variance; set QPPOs to meet Bos</t>
  </si>
  <si>
    <t>PCM 1.1</t>
  </si>
  <si>
    <t>PCM 1.2</t>
  </si>
  <si>
    <t>PCM 1.3</t>
  </si>
  <si>
    <t>PCM 2.1</t>
  </si>
  <si>
    <t>PCM 2.2</t>
  </si>
  <si>
    <t>PCM 3.1</t>
  </si>
  <si>
    <t>PCM 3.2</t>
  </si>
  <si>
    <t>PCM 3.3</t>
  </si>
  <si>
    <t>PCM 3.4</t>
  </si>
  <si>
    <t>PCM 3.5</t>
  </si>
  <si>
    <t>PCM 3.6</t>
  </si>
  <si>
    <t>PCM 4.1</t>
  </si>
  <si>
    <t xml:space="preserve">Develop a support structure to provide process guidance, identify and fix process problems, and continuously improve processes. </t>
  </si>
  <si>
    <t xml:space="preserve">Appraise the current process implementation and identify strengths and weaknesses. </t>
  </si>
  <si>
    <t>Address improvement opportunities or process issues.</t>
  </si>
  <si>
    <r>
      <rPr>
        <b/>
        <sz val="10"/>
        <rFont val="Calibri"/>
        <family val="2"/>
      </rPr>
      <t>Identify improvements</t>
    </r>
    <r>
      <rPr>
        <sz val="10"/>
        <rFont val="Calibri"/>
        <family val="2"/>
      </rPr>
      <t xml:space="preserve"> to the processes and process assets. </t>
    </r>
  </si>
  <si>
    <r>
      <rPr>
        <sz val="10"/>
        <rFont val="Calibri"/>
        <family val="2"/>
      </rPr>
      <t xml:space="preserve">Develop, keep updated, and follow </t>
    </r>
    <r>
      <rPr>
        <b/>
        <sz val="10"/>
        <rFont val="Calibri"/>
        <family val="2"/>
      </rPr>
      <t xml:space="preserve">plans for </t>
    </r>
    <r>
      <rPr>
        <sz val="10"/>
        <rFont val="Calibri"/>
        <family val="2"/>
      </rPr>
      <t xml:space="preserve">implementing </t>
    </r>
    <r>
      <rPr>
        <b/>
        <sz val="10"/>
        <rFont val="Calibri"/>
        <family val="2"/>
      </rPr>
      <t>selected process improvements</t>
    </r>
    <r>
      <rPr>
        <sz val="10"/>
        <rFont val="Calibri"/>
        <family val="2"/>
      </rPr>
      <t>.</t>
    </r>
  </si>
  <si>
    <r>
      <rPr>
        <sz val="10"/>
        <rFont val="Calibri"/>
        <family val="2"/>
      </rPr>
      <t xml:space="preserve">	Develop, keep updated, and use </t>
    </r>
    <r>
      <rPr>
        <b/>
        <sz val="10"/>
        <rFont val="Calibri"/>
        <family val="2"/>
      </rPr>
      <t>process improvement objectives</t>
    </r>
    <r>
      <rPr>
        <sz val="10"/>
        <rFont val="Calibri"/>
        <family val="2"/>
      </rPr>
      <t xml:space="preserve"> traceable to the business objectives.</t>
    </r>
  </si>
  <si>
    <r>
      <rPr>
        <sz val="10"/>
        <rFont val="Calibri"/>
        <family val="2"/>
      </rPr>
      <t xml:space="preserve">	</t>
    </r>
    <r>
      <rPr>
        <b/>
        <sz val="10"/>
        <rFont val="Calibri"/>
        <family val="2"/>
      </rPr>
      <t>Identify</t>
    </r>
    <r>
      <rPr>
        <sz val="10"/>
        <rFont val="Calibri"/>
        <family val="2"/>
      </rPr>
      <t xml:space="preserve"> processes that are the </t>
    </r>
    <r>
      <rPr>
        <b/>
        <sz val="10"/>
        <rFont val="Calibri"/>
        <family val="2"/>
      </rPr>
      <t>largest contributors</t>
    </r>
    <r>
      <rPr>
        <sz val="10"/>
        <rFont val="Calibri"/>
        <family val="2"/>
      </rPr>
      <t xml:space="preserve"> to meeting business objectives.</t>
    </r>
  </si>
  <si>
    <r>
      <rPr>
        <sz val="10"/>
        <rFont val="Calibri"/>
        <family val="2"/>
      </rPr>
      <t xml:space="preserve">Explore and evaluate potential new processes, </t>
    </r>
    <r>
      <rPr>
        <b/>
        <sz val="10"/>
        <rFont val="Calibri"/>
        <family val="2"/>
      </rPr>
      <t>techniques, methods, and tools</t>
    </r>
    <r>
      <rPr>
        <sz val="10"/>
        <rFont val="Calibri"/>
        <family val="2"/>
      </rPr>
      <t xml:space="preserve"> to </t>
    </r>
    <r>
      <rPr>
        <b/>
        <sz val="10"/>
        <rFont val="Calibri"/>
        <family val="2"/>
      </rPr>
      <t>identify improvement opportunities</t>
    </r>
    <r>
      <rPr>
        <sz val="10"/>
        <rFont val="Calibri"/>
        <family val="2"/>
      </rPr>
      <t xml:space="preserve">. </t>
    </r>
  </si>
  <si>
    <r>
      <rPr>
        <sz val="10"/>
        <rFont val="Calibri"/>
        <family val="2"/>
      </rPr>
      <t>Provide support for</t>
    </r>
    <r>
      <rPr>
        <b/>
        <sz val="10"/>
        <rFont val="Calibri"/>
        <family val="2"/>
      </rPr>
      <t xml:space="preserve"> implementing, deploying, and sustaining process improvements</t>
    </r>
    <r>
      <rPr>
        <sz val="10"/>
        <rFont val="Calibri"/>
        <family val="2"/>
      </rPr>
      <t xml:space="preserve">. </t>
    </r>
  </si>
  <si>
    <r>
      <rPr>
        <sz val="10"/>
        <rFont val="Calibri"/>
        <family val="2"/>
      </rPr>
      <t xml:space="preserve">	</t>
    </r>
    <r>
      <rPr>
        <b/>
        <sz val="10"/>
        <rFont val="Calibri"/>
        <family val="2"/>
      </rPr>
      <t>Deploy</t>
    </r>
    <r>
      <rPr>
        <sz val="10"/>
        <rFont val="Calibri"/>
        <family val="2"/>
      </rPr>
      <t xml:space="preserve"> organizational </t>
    </r>
    <r>
      <rPr>
        <b/>
        <sz val="10"/>
        <rFont val="Calibri"/>
        <family val="2"/>
      </rPr>
      <t>standard processes</t>
    </r>
    <r>
      <rPr>
        <sz val="10"/>
        <rFont val="Calibri"/>
        <family val="2"/>
      </rPr>
      <t xml:space="preserve"> and process assets. </t>
    </r>
  </si>
  <si>
    <r>
      <rPr>
        <b/>
        <sz val="10"/>
        <rFont val="Calibri"/>
        <family val="2"/>
      </rPr>
      <t>Evaluate the effectiveness</t>
    </r>
    <r>
      <rPr>
        <sz val="10"/>
        <rFont val="Calibri"/>
        <family val="2"/>
      </rPr>
      <t xml:space="preserve"> of deployed improvements in achieving process improvement objectives. </t>
    </r>
  </si>
  <si>
    <r>
      <rPr>
        <sz val="10"/>
        <rFont val="Calibri"/>
        <family val="2"/>
      </rPr>
      <t>Use statistical and other quantitative techniques to</t>
    </r>
    <r>
      <rPr>
        <b/>
        <sz val="10"/>
        <rFont val="Calibri"/>
        <family val="2"/>
      </rPr>
      <t xml:space="preserve"> validate selected performance improvements</t>
    </r>
    <r>
      <rPr>
        <sz val="10"/>
        <rFont val="Calibri"/>
        <family val="2"/>
      </rPr>
      <t xml:space="preserve"> against proposed improvement exceptions, business objectives, or quality and process performance objectives.</t>
    </r>
  </si>
  <si>
    <t>process support structure - EPG;</t>
  </si>
  <si>
    <t>appraisal plan and schedule;
appraisal findings;</t>
  </si>
  <si>
    <t>action items;</t>
  </si>
  <si>
    <t>proposed improvement list;
recorded selection criteria;
list of selected improvements for implementation;</t>
  </si>
  <si>
    <t>process improvement plan;
action plan;
developed process assets;
status report;
recorded results;</t>
  </si>
  <si>
    <t xml:space="preserve">process improvement objectives traced to business objectives;
</t>
  </si>
  <si>
    <t>description of relationships between bus. obj., processes and process objs.and value;</t>
  </si>
  <si>
    <t xml:space="preserve">potential improvement opportunities;
</t>
  </si>
  <si>
    <t>plan for deployment;
implementation records;</t>
  </si>
  <si>
    <t>list of whether improvements will be deployed;
deployment status report;</t>
  </si>
  <si>
    <t>process improvement evaluation report;</t>
  </si>
  <si>
    <t>validation plans;
validation reports (may include PPBs)</t>
  </si>
  <si>
    <t>identify and apply a structure for supporting process related activities;
assign responsibilities for co-ordinating process related activities;</t>
  </si>
  <si>
    <t>obtain sponsorship and support for appraisal from snr mgt;
define scope of appraisal;
select or define the criteria and method for appraisal;
plan and schedule;
perform appraisal;
record and communicate findings;</t>
  </si>
  <si>
    <t>assign relevant personnel to address improvement opportunities and issues;
identify and record action items;
address opportunities and issues and communicate results;</t>
  </si>
  <si>
    <t>identify issues and improvements;
group and analyse proposed improvements;
record and update criteria for selecting improvements;
select proposed improvements for implementation;
review selections with stakeholders;
record proposed improvements and communicate results;</t>
  </si>
  <si>
    <t>select performance improvements to deploy;
develop plan;
ensure deployment is announced, well co-ordinated and supported;
manage progress, review, update;
develop or update process assets;
pilot improvements;
deploy improvements;
analyse and communicate results; 
record improvements;</t>
  </si>
  <si>
    <t>identify and record improvement objectives;
review with stakeholders;
monitor and update improvement objectives;</t>
  </si>
  <si>
    <t>review current business model, objectives, and environment;
review potential internal or external business changes;
identify and record relationships between objectives and processes;  
estimate value of each process contribution;
record, update, communicate results;</t>
  </si>
  <si>
    <t>identify, research, and record improvements;
use established criteria to decide which docs and measures to include in PAL;
analyse and evaluate potential process improvement opportunities;
record, update and communicate results;</t>
  </si>
  <si>
    <t>identify mechanisms needed to support process implementation and deployment;
ensure that implementation and deployment activities are planned and co-ordinated;
align multiple improvement activities;
obtain snr mgt commitment for visible support of deployment;
provide a migration approach;
review deployment results with stakeholders;
provide records about success, issues, obstacles;</t>
  </si>
  <si>
    <t>ensure sufficient support for deployment;
identify projects for deployment;
co-ordinate deployment of improved processes;
deply org. set of standard processes and assets to projects;
monitor deployment;
review results of objective evaluation;
identify, record and trackimplementation issues;
review results with stakeholders;</t>
  </si>
  <si>
    <t>analyse current improvement results against business, process, and performance objectives;
record results and communicate to stakeholders;
initiate and track corrective actions;</t>
  </si>
  <si>
    <t>plan the validation;
review plans with stakeholders;
perform each validationaccording to plan;
use statistical or other quant. methods to analyse validation results;
review, record and communicate results of validation analysis;</t>
  </si>
  <si>
    <t>What process support structure (for example an EPG) do you have in place?</t>
  </si>
  <si>
    <t>What appraisals do you do on your current processes?
- What appraisals (CMMI, COBIT, ISO) have you done on your current processes?</t>
  </si>
  <si>
    <t>What process improvement are registered?
- How do you collect improvements submitted internally within the organisation?</t>
  </si>
  <si>
    <t>How do you identify improvements in processes and process assets?
- How do you select the proposed improvements?</t>
  </si>
  <si>
    <t>What process improvement actions are followed to implement identified improvements?</t>
  </si>
  <si>
    <t>Explain how you link your process improvements to business objectives?</t>
  </si>
  <si>
    <t>How do you prioritise your process improvements?</t>
  </si>
  <si>
    <t>How do you evaluate potential new improvements opportunities. 
Improvements include new processes, techniques, methods and tools?</t>
  </si>
  <si>
    <t>What support is provided for implementing and deploying new process improvements?</t>
  </si>
  <si>
    <t>How are organisational standard processes and process assets deployed?</t>
  </si>
  <si>
    <t>How do you evaluate the effectiveness of improvements towards achieving business objectives?
How do you evaluate the non-statistically measured improvements (small improvements)?</t>
  </si>
  <si>
    <t>- How do you make use of statistical and other quantitative techniques to validate selected performance improvements against proposed improvement exceptions, business objectives, or quality and process performance objectives?</t>
  </si>
  <si>
    <t>你是如何评估你目前的工作流程的?
-你对目前的流程做过哪些评估(CMMI, COBIT, ISO) ?</t>
  </si>
  <si>
    <t>记录了哪些流程改进?
-你如何收集组织内部提交的改进?</t>
  </si>
  <si>
    <t>针对过程和过程资产确定了哪些改进?
-你如何确定和选择建议的改进?</t>
  </si>
  <si>
    <t>遵循什么过程改进行动（计划）来实施已确定的改进?</t>
  </si>
  <si>
    <t>如何将过程改进与业务目标联系起来?</t>
  </si>
  <si>
    <t>您如何确定过程改进的优先级?</t>
  </si>
  <si>
    <t>你如何评估潜在的新的改进机会?改进包括对过程、技术、方法和工具的改进。</t>
  </si>
  <si>
    <t>为实现和部署新的过程改进提供了什么支持?</t>
  </si>
  <si>
    <t>如何部署组织的标准过程和过程资产?</t>
  </si>
  <si>
    <t>您如何评估（为实现业务目标而进行的）改进的有效性?
如何评估非统计度量的改进(小改进)?</t>
  </si>
  <si>
    <t>PAD - PROCESS ASSET DEVELOPMENT (PAD)</t>
  </si>
  <si>
    <t>Develop and keep updated the process assets necessary to perform the work.</t>
  </si>
  <si>
    <t>Provides a capability to understand and repeat successful performance.</t>
  </si>
  <si>
    <t>PAD 1.1</t>
  </si>
  <si>
    <t>PAD 2.1</t>
  </si>
  <si>
    <t>PAD 2.2</t>
  </si>
  <si>
    <t>PAD 2.3</t>
  </si>
  <si>
    <t>PAD 3.1</t>
  </si>
  <si>
    <t>PAD 3.2</t>
  </si>
  <si>
    <t>PAD 3.3</t>
  </si>
  <si>
    <t>PAD 3.4</t>
  </si>
  <si>
    <t>PAD 3.5</t>
  </si>
  <si>
    <t>PAD 3.6</t>
  </si>
  <si>
    <t>PAD 3.7</t>
  </si>
  <si>
    <t xml:space="preserve">Develop process assets to perform the work. </t>
  </si>
  <si>
    <r>
      <rPr>
        <sz val="10"/>
        <rFont val="Calibri"/>
        <family val="2"/>
      </rPr>
      <t xml:space="preserve">Determine </t>
    </r>
    <r>
      <rPr>
        <b/>
        <sz val="10"/>
        <rFont val="Calibri"/>
        <family val="2"/>
      </rPr>
      <t>what process assets will be needed</t>
    </r>
    <r>
      <rPr>
        <sz val="10"/>
        <rFont val="Calibri"/>
        <family val="2"/>
      </rPr>
      <t xml:space="preserve"> to perform the work.</t>
    </r>
  </si>
  <si>
    <r>
      <rPr>
        <sz val="10"/>
        <rFont val="Calibri"/>
        <family val="2"/>
      </rPr>
      <t xml:space="preserve">	</t>
    </r>
    <r>
      <rPr>
        <b/>
        <sz val="10"/>
        <rFont val="Calibri"/>
        <family val="2"/>
      </rPr>
      <t>Develop, buy, or reuse</t>
    </r>
    <r>
      <rPr>
        <sz val="10"/>
        <rFont val="Calibri"/>
        <family val="2"/>
      </rPr>
      <t xml:space="preserve"> process assets. </t>
    </r>
  </si>
  <si>
    <r>
      <rPr>
        <b/>
        <sz val="10"/>
        <rFont val="Calibri"/>
        <family val="2"/>
      </rPr>
      <t>Make</t>
    </r>
    <r>
      <rPr>
        <sz val="10"/>
        <rFont val="Calibri"/>
        <family val="2"/>
      </rPr>
      <t xml:space="preserve"> processes and assets </t>
    </r>
    <r>
      <rPr>
        <b/>
        <sz val="10"/>
        <rFont val="Calibri"/>
        <family val="2"/>
      </rPr>
      <t>available</t>
    </r>
    <r>
      <rPr>
        <sz val="10"/>
        <rFont val="Calibri"/>
        <family val="2"/>
      </rPr>
      <t xml:space="preserve">. </t>
    </r>
  </si>
  <si>
    <r>
      <rPr>
        <sz val="10"/>
        <rFont val="Calibri"/>
        <family val="2"/>
      </rPr>
      <t xml:space="preserve">Develop, keep updated, and follow a </t>
    </r>
    <r>
      <rPr>
        <b/>
        <sz val="10"/>
        <rFont val="Calibri"/>
        <family val="2"/>
      </rPr>
      <t>strategy for building and updating</t>
    </r>
    <r>
      <rPr>
        <sz val="10"/>
        <rFont val="Calibri"/>
        <family val="2"/>
      </rPr>
      <t xml:space="preserve"> process assets. </t>
    </r>
  </si>
  <si>
    <r>
      <rPr>
        <sz val="10"/>
        <rFont val="Calibri"/>
        <family val="2"/>
      </rPr>
      <t xml:space="preserve">Develop, record, and keep updated a </t>
    </r>
    <r>
      <rPr>
        <b/>
        <sz val="10"/>
        <rFont val="Calibri"/>
        <family val="2"/>
      </rPr>
      <t>process architecture</t>
    </r>
    <r>
      <rPr>
        <sz val="10"/>
        <rFont val="Calibri"/>
        <family val="2"/>
      </rPr>
      <t xml:space="preserve"> that describes the structure of the organization's processes and process assets.</t>
    </r>
  </si>
  <si>
    <r>
      <rPr>
        <sz val="10"/>
        <rFont val="Calibri"/>
        <family val="2"/>
      </rPr>
      <t xml:space="preserve">Develop, keep updated, and make </t>
    </r>
    <r>
      <rPr>
        <b/>
        <sz val="10"/>
        <rFont val="Calibri"/>
        <family val="2"/>
      </rPr>
      <t>processes and assets available</t>
    </r>
    <r>
      <rPr>
        <sz val="10"/>
        <rFont val="Calibri"/>
        <family val="2"/>
      </rPr>
      <t xml:space="preserve"> for use. </t>
    </r>
  </si>
  <si>
    <r>
      <rPr>
        <sz val="10"/>
        <rFont val="Calibri"/>
        <family val="2"/>
      </rPr>
      <t xml:space="preserve">Develop, keep updated, and use </t>
    </r>
    <r>
      <rPr>
        <b/>
        <sz val="10"/>
        <rFont val="Calibri"/>
        <family val="2"/>
      </rPr>
      <t>tailoring criteria</t>
    </r>
    <r>
      <rPr>
        <sz val="10"/>
        <rFont val="Calibri"/>
        <family val="2"/>
      </rPr>
      <t xml:space="preserve"> and </t>
    </r>
    <r>
      <rPr>
        <b/>
        <sz val="10"/>
        <rFont val="Calibri"/>
        <family val="2"/>
      </rPr>
      <t>guidelines</t>
    </r>
    <r>
      <rPr>
        <sz val="10"/>
        <rFont val="Calibri"/>
        <family val="2"/>
      </rPr>
      <t xml:space="preserve"> for the set of standard processes and assets.</t>
    </r>
  </si>
  <si>
    <r>
      <rPr>
        <sz val="10"/>
        <rFont val="Calibri"/>
        <family val="2"/>
      </rPr>
      <t xml:space="preserve">Develop, keep updated, and make the </t>
    </r>
    <r>
      <rPr>
        <b/>
        <sz val="10"/>
        <rFont val="Calibri"/>
        <family val="2"/>
      </rPr>
      <t>organization's process asset library available</t>
    </r>
    <r>
      <rPr>
        <sz val="10"/>
        <rFont val="Calibri"/>
        <family val="2"/>
      </rPr>
      <t xml:space="preserve"> for use. </t>
    </r>
  </si>
  <si>
    <r>
      <rPr>
        <sz val="10"/>
        <rFont val="Calibri"/>
        <family val="2"/>
      </rPr>
      <t xml:space="preserve">Develop, keep updated, and make </t>
    </r>
    <r>
      <rPr>
        <b/>
        <sz val="10"/>
        <rFont val="Calibri"/>
        <family val="2"/>
      </rPr>
      <t>work environment standards available</t>
    </r>
    <r>
      <rPr>
        <sz val="10"/>
        <rFont val="Calibri"/>
        <family val="2"/>
      </rPr>
      <t xml:space="preserve"> for use.</t>
    </r>
  </si>
  <si>
    <r>
      <rPr>
        <sz val="10"/>
        <rFont val="Calibri"/>
        <family val="2"/>
      </rPr>
      <t xml:space="preserve">Develop, keep updated, and make </t>
    </r>
    <r>
      <rPr>
        <b/>
        <sz val="10"/>
        <rFont val="Calibri"/>
        <family val="2"/>
      </rPr>
      <t>organizational measurement and analysis standards</t>
    </r>
    <r>
      <rPr>
        <sz val="10"/>
        <rFont val="Calibri"/>
        <family val="2"/>
      </rPr>
      <t xml:space="preserve"> available for use. </t>
    </r>
  </si>
  <si>
    <t>work instructions;
process descriptions;
templates;</t>
  </si>
  <si>
    <t xml:space="preserve">templates;
work instructions;
tools;
</t>
  </si>
  <si>
    <t>build, buy, re-use analysis results;
process assets;</t>
  </si>
  <si>
    <t>process assets;</t>
  </si>
  <si>
    <t>strategy for building and updating process assets;</t>
  </si>
  <si>
    <t>process requirements;
process architecture format;
process architecture;</t>
  </si>
  <si>
    <t>action plans;
status and results of action plans;
org. set of standard processes and assets;
new processes or assets;</t>
  </si>
  <si>
    <t xml:space="preserve">tailoring guidelines;
waivers or requests for process waivers;
</t>
  </si>
  <si>
    <t>design of org. PAL;
org. PAL;
process related work products in PAL;</t>
  </si>
  <si>
    <t>work env. standards;
waivers or requests for work env. waivers;</t>
  </si>
  <si>
    <t>org. measuremnt and analysis standards;
waivers or requests for measurement and analysis waivers;</t>
  </si>
  <si>
    <t>record work instructions;</t>
  </si>
  <si>
    <t>identify process assets needed (for the project);</t>
  </si>
  <si>
    <t>select which assets will be analysed for build, buy, re-use;
perform build, buy, re-use analysis;
record results;
build, buy or re-use the assets;</t>
  </si>
  <si>
    <t>make assets available for use (by projects);
communicate availability of assets for use;</t>
  </si>
  <si>
    <t>develop a strategy for building and updating process assets;</t>
  </si>
  <si>
    <t>identify process requirements;
identify process architecture objectives;
develop and record format;
develop, record, update process architecture;
review and update with stakeholders;
communicate and make available;</t>
  </si>
  <si>
    <t>verify that org. standard process set is aligned to strategic process needs and objectives;
assign responsibilities for acquiring, developing, maintaining processes;
review and decide if improvement recommendations should be incorporated;
record process action plans;
develop org. standards for processes and assets;
track progress and commitments;
establish process action teams;
build and record processesand assets;
perform reviews on standard processes and assets;
revise processes and assets;
make processes and assets available;</t>
  </si>
  <si>
    <t>specify selection criteria and procedures for tailoring;
specify standards for recording defined process;
specifu proceudres to submit and approve waivers from org std processes;
record, approve, communicate tailoring guidelines;
revise tailoring guidelines;</t>
  </si>
  <si>
    <t>design and implement the org. PAL;
specify criteria for including assets in PAL;
specify procedures for storing and retrieving assets;
make assets available;
periodically review usefulness of assets;
enter selected assets in library;</t>
  </si>
  <si>
    <t xml:space="preserve">evaluate commercially available work environment standards;
periodically analyse work env. to identify changes or resources that could improve;
prioritise potential improvements to work env.;
identify resources that could improve performance;
ensure projects have authority to organise or tailor work env.;
review work env. with project;
adopt, develop or tailor work env. Stds. To fill gaps;
</t>
  </si>
  <si>
    <t>specify org. standards for measurement and analysis;
specify tailoring guidelines for applying measurement standards;</t>
  </si>
  <si>
    <r>
      <rPr>
        <sz val="10"/>
        <rFont val="Calibri"/>
        <family val="2"/>
      </rPr>
      <t>- How do you determine or identify what process assets are</t>
    </r>
    <r>
      <rPr>
        <b/>
        <sz val="10"/>
        <rFont val="Calibri"/>
        <family val="2"/>
      </rPr>
      <t xml:space="preserve"> needed</t>
    </r>
    <r>
      <rPr>
        <sz val="10"/>
        <rFont val="Calibri"/>
        <family val="2"/>
      </rPr>
      <t xml:space="preserve">?
- </t>
    </r>
  </si>
  <si>
    <t>- Which process assets have been developed (or re-used) and which purchased?
Analysis?</t>
  </si>
  <si>
    <t>- (3.3) How are the process assets made available to the organisation?</t>
  </si>
  <si>
    <t>- Which process is defined for developing process assets?</t>
  </si>
  <si>
    <t>- What process architecture is in place describing the structure of the organization's processes?</t>
  </si>
  <si>
    <t>- (2.3) How are the process assets made available for use in the organisation?</t>
  </si>
  <si>
    <t>- How do you use tailoring guidelines for your standard process assets?
How do you update the tailoring guidelines?</t>
  </si>
  <si>
    <t>- What work environment standards have been established and maintained?</t>
  </si>
  <si>
    <t>- What organisational measurement and analysis standards are available for use?</t>
  </si>
  <si>
    <r>
      <t>—</t>
    </r>
    <r>
      <rPr>
        <sz val="10"/>
        <rFont val="宋体"/>
        <family val="3"/>
        <charset val="134"/>
      </rPr>
      <t>根据需要确定了哪些过程资产</t>
    </r>
    <r>
      <rPr>
        <sz val="10"/>
        <rFont val="Calibri"/>
        <family val="2"/>
      </rPr>
      <t xml:space="preserve">?
- </t>
    </r>
  </si>
  <si>
    <t>—哪些过程资产已经被开发(或重用)，哪些被购买?
有没有执行分析?</t>
  </si>
  <si>
    <t>组织如何使用过程资产?</t>
  </si>
  <si>
    <t>—为开发过程资产定义了哪个过程?</t>
  </si>
  <si>
    <t>—描述组织过程结构的过程体系结构是什么?</t>
  </si>
  <si>
    <t>—(2.3)如何使过程资产在组织中可用?</t>
  </si>
  <si>
    <t>—对于您的标准过程资产，您有什么裁剪指南?</t>
  </si>
  <si>
    <t>建立并保持了什么样的工作环境标准?</t>
  </si>
  <si>
    <t>有什么组织度量和分析标准可供使用?</t>
  </si>
  <si>
    <t>MANAGING PERFORMANCE AND MEASUREMENT</t>
  </si>
  <si>
    <t>Manage performance using measurement and analysis to achieve business objectives.</t>
  </si>
  <si>
    <t>Maximizes business return on investment by focusing management and improvement efforts on cost, schedule, and quality performance.</t>
  </si>
  <si>
    <t>Level 5</t>
  </si>
  <si>
    <t>use stat. analysis to optimise performance and improvement to achieve the QPPO's, business objectives and strategy</t>
  </si>
  <si>
    <t>MPM 1.1</t>
  </si>
  <si>
    <t>MPM 1.2</t>
  </si>
  <si>
    <t>MPM 2.1</t>
  </si>
  <si>
    <t>MPM 2.2</t>
  </si>
  <si>
    <t>MPM 2.3</t>
  </si>
  <si>
    <t>MPM 2.4</t>
  </si>
  <si>
    <t>MPM 2.5</t>
  </si>
  <si>
    <t>MPM 2.6</t>
  </si>
  <si>
    <t>MPM 3.1</t>
  </si>
  <si>
    <t>MPM 3.2</t>
  </si>
  <si>
    <t>MPM 3.3</t>
  </si>
  <si>
    <t>MPM 3.4</t>
  </si>
  <si>
    <t>MPM 3.5</t>
  </si>
  <si>
    <t>MPM 3.6</t>
  </si>
  <si>
    <t>MPM 4.1</t>
  </si>
  <si>
    <t>MPM 4.2</t>
  </si>
  <si>
    <t>MPM 4.3</t>
  </si>
  <si>
    <t>MPM 4.4</t>
  </si>
  <si>
    <t>MPM 4.5</t>
  </si>
  <si>
    <t>MPM 5.1</t>
  </si>
  <si>
    <t>MPM 5.2</t>
  </si>
  <si>
    <t>MPM 5.3</t>
  </si>
  <si>
    <t xml:space="preserve">Collect measures and record performance. </t>
  </si>
  <si>
    <t xml:space="preserve">Identify and address performance issues. </t>
  </si>
  <si>
    <r>
      <rPr>
        <i/>
        <sz val="10"/>
        <rFont val="Calibri"/>
        <family val="2"/>
        <scheme val="minor"/>
      </rPr>
      <t>Derive and record</t>
    </r>
    <r>
      <rPr>
        <sz val="10"/>
        <rFont val="Calibri"/>
        <family val="2"/>
        <scheme val="minor"/>
      </rPr>
      <t xml:space="preserve"> </t>
    </r>
    <r>
      <rPr>
        <b/>
        <sz val="10"/>
        <rFont val="Calibri"/>
        <family val="2"/>
        <scheme val="minor"/>
      </rPr>
      <t>measurement and performance objectives</t>
    </r>
    <r>
      <rPr>
        <sz val="10"/>
        <rFont val="Calibri"/>
        <family val="2"/>
        <scheme val="minor"/>
      </rPr>
      <t xml:space="preserve"> (</t>
    </r>
    <r>
      <rPr>
        <b/>
        <sz val="10"/>
        <rFont val="Calibri"/>
        <family val="2"/>
        <scheme val="minor"/>
      </rPr>
      <t>MPOs) from selected business needs</t>
    </r>
    <r>
      <rPr>
        <sz val="10"/>
        <rFont val="Calibri"/>
        <family val="2"/>
        <scheme val="minor"/>
      </rPr>
      <t xml:space="preserve"> and objectives and keep them updated. </t>
    </r>
  </si>
  <si>
    <r>
      <rPr>
        <i/>
        <sz val="10"/>
        <rFont val="Calibri"/>
        <family val="2"/>
        <scheme val="minor"/>
      </rPr>
      <t>Develop, keep updated, and use</t>
    </r>
    <r>
      <rPr>
        <sz val="10"/>
        <rFont val="Calibri"/>
        <family val="2"/>
        <scheme val="minor"/>
      </rPr>
      <t xml:space="preserve"> </t>
    </r>
    <r>
      <rPr>
        <b/>
        <sz val="10"/>
        <rFont val="Calibri"/>
        <family val="2"/>
        <scheme val="minor"/>
      </rPr>
      <t>operational definitions for measures</t>
    </r>
    <r>
      <rPr>
        <sz val="10"/>
        <rFont val="Calibri"/>
        <family val="2"/>
        <scheme val="minor"/>
      </rPr>
      <t xml:space="preserve">. </t>
    </r>
  </si>
  <si>
    <r>
      <rPr>
        <i/>
        <sz val="10"/>
        <rFont val="Calibri"/>
        <family val="2"/>
        <scheme val="minor"/>
      </rPr>
      <t xml:space="preserve">Obtain specified </t>
    </r>
    <r>
      <rPr>
        <b/>
        <sz val="10"/>
        <rFont val="Calibri"/>
        <family val="2"/>
        <scheme val="minor"/>
      </rPr>
      <t>measurement data</t>
    </r>
    <r>
      <rPr>
        <sz val="10"/>
        <rFont val="Calibri"/>
        <family val="2"/>
        <scheme val="minor"/>
      </rPr>
      <t xml:space="preserve"> according to the operational definitions. </t>
    </r>
  </si>
  <si>
    <r>
      <rPr>
        <i/>
        <sz val="10"/>
        <rFont val="Calibri"/>
        <family val="2"/>
        <scheme val="minor"/>
      </rPr>
      <t>Analyze</t>
    </r>
    <r>
      <rPr>
        <sz val="10"/>
        <rFont val="Calibri"/>
        <family val="2"/>
        <scheme val="minor"/>
      </rPr>
      <t xml:space="preserve"> </t>
    </r>
    <r>
      <rPr>
        <b/>
        <sz val="10"/>
        <rFont val="Calibri"/>
        <family val="2"/>
        <scheme val="minor"/>
      </rPr>
      <t>performance and measurement data</t>
    </r>
    <r>
      <rPr>
        <sz val="10"/>
        <rFont val="Calibri"/>
        <family val="2"/>
        <scheme val="minor"/>
      </rPr>
      <t xml:space="preserve"> according to the operational definitions. </t>
    </r>
  </si>
  <si>
    <r>
      <rPr>
        <i/>
        <sz val="10"/>
        <rFont val="Calibri"/>
        <family val="2"/>
        <scheme val="minor"/>
      </rPr>
      <t>Store</t>
    </r>
    <r>
      <rPr>
        <sz val="10"/>
        <rFont val="Calibri"/>
        <family val="2"/>
        <scheme val="minor"/>
      </rPr>
      <t xml:space="preserve"> </t>
    </r>
    <r>
      <rPr>
        <b/>
        <sz val="10"/>
        <rFont val="Calibri"/>
        <family val="2"/>
        <scheme val="minor"/>
      </rPr>
      <t>measurement data</t>
    </r>
    <r>
      <rPr>
        <sz val="10"/>
        <rFont val="Calibri"/>
        <family val="2"/>
        <scheme val="minor"/>
      </rPr>
      <t xml:space="preserve">, measurement </t>
    </r>
    <r>
      <rPr>
        <b/>
        <sz val="10"/>
        <rFont val="Calibri"/>
        <family val="2"/>
        <scheme val="minor"/>
      </rPr>
      <t>specifications</t>
    </r>
    <r>
      <rPr>
        <sz val="10"/>
        <rFont val="Calibri"/>
        <family val="2"/>
        <scheme val="minor"/>
      </rPr>
      <t xml:space="preserve">, and </t>
    </r>
    <r>
      <rPr>
        <b/>
        <sz val="10"/>
        <rFont val="Calibri"/>
        <family val="2"/>
        <scheme val="minor"/>
      </rPr>
      <t>analysis results</t>
    </r>
    <r>
      <rPr>
        <sz val="10"/>
        <rFont val="Calibri"/>
        <family val="2"/>
        <scheme val="minor"/>
      </rPr>
      <t xml:space="preserve"> according to the operational definitions. </t>
    </r>
  </si>
  <si>
    <r>
      <rPr>
        <i/>
        <sz val="10"/>
        <rFont val="Calibri"/>
        <family val="2"/>
        <scheme val="minor"/>
      </rPr>
      <t xml:space="preserve">Take actions to address </t>
    </r>
    <r>
      <rPr>
        <b/>
        <sz val="10"/>
        <rFont val="Calibri"/>
        <family val="2"/>
        <scheme val="minor"/>
      </rPr>
      <t>identified issues</t>
    </r>
    <r>
      <rPr>
        <sz val="10"/>
        <rFont val="Calibri"/>
        <family val="2"/>
        <scheme val="minor"/>
      </rPr>
      <t xml:space="preserve"> with meeting measurement and performance objectives. </t>
    </r>
  </si>
  <si>
    <r>
      <rPr>
        <i/>
        <sz val="10"/>
        <rFont val="Calibri"/>
        <family val="2"/>
        <scheme val="minor"/>
      </rPr>
      <t>Develop, keep updated, and use</t>
    </r>
    <r>
      <rPr>
        <sz val="10"/>
        <rFont val="Calibri"/>
        <family val="2"/>
        <scheme val="minor"/>
      </rPr>
      <t xml:space="preserve"> </t>
    </r>
    <r>
      <rPr>
        <b/>
        <sz val="10"/>
        <rFont val="Calibri"/>
        <family val="2"/>
        <scheme val="minor"/>
      </rPr>
      <t>organizational measurement and performance objectives (OMPOs) traceable to business objectives (BOs)</t>
    </r>
    <r>
      <rPr>
        <sz val="10"/>
        <rFont val="Calibri"/>
        <family val="2"/>
        <scheme val="minor"/>
      </rPr>
      <t xml:space="preserve">. </t>
    </r>
  </si>
  <si>
    <r>
      <rPr>
        <i/>
        <sz val="10"/>
        <rFont val="Calibri"/>
        <family val="2"/>
        <scheme val="minor"/>
      </rPr>
      <t>Follow organizational processes</t>
    </r>
    <r>
      <rPr>
        <sz val="10"/>
        <rFont val="Calibri"/>
        <family val="2"/>
        <scheme val="minor"/>
      </rPr>
      <t xml:space="preserve"> </t>
    </r>
    <r>
      <rPr>
        <i/>
        <sz val="10"/>
        <rFont val="Calibri"/>
        <family val="2"/>
        <scheme val="minor"/>
      </rPr>
      <t>and standards</t>
    </r>
    <r>
      <rPr>
        <sz val="10"/>
        <rFont val="Calibri"/>
        <family val="2"/>
        <scheme val="minor"/>
      </rPr>
      <t xml:space="preserve"> to develop and use </t>
    </r>
    <r>
      <rPr>
        <b/>
        <sz val="10"/>
        <rFont val="Calibri"/>
        <family val="2"/>
        <scheme val="minor"/>
      </rPr>
      <t>operational definitions for measures</t>
    </r>
    <r>
      <rPr>
        <sz val="10"/>
        <rFont val="Calibri"/>
        <family val="2"/>
        <scheme val="minor"/>
      </rPr>
      <t xml:space="preserve"> and keep them updated. </t>
    </r>
  </si>
  <si>
    <r>
      <t xml:space="preserve">	</t>
    </r>
    <r>
      <rPr>
        <i/>
        <sz val="10"/>
        <rFont val="Calibri"/>
        <family val="2"/>
        <scheme val="minor"/>
      </rPr>
      <t>Develop, keep updated, and follow a</t>
    </r>
    <r>
      <rPr>
        <sz val="10"/>
        <rFont val="Calibri"/>
        <family val="2"/>
        <scheme val="minor"/>
      </rPr>
      <t xml:space="preserve"> </t>
    </r>
    <r>
      <rPr>
        <b/>
        <sz val="10"/>
        <rFont val="Calibri"/>
        <family val="2"/>
        <scheme val="minor"/>
      </rPr>
      <t>data quality process</t>
    </r>
    <r>
      <rPr>
        <sz val="10"/>
        <rFont val="Calibri"/>
        <family val="2"/>
        <scheme val="minor"/>
      </rPr>
      <t xml:space="preserve">. </t>
    </r>
  </si>
  <si>
    <r>
      <rPr>
        <i/>
        <sz val="10"/>
        <rFont val="Calibri"/>
        <family val="2"/>
        <scheme val="minor"/>
      </rPr>
      <t xml:space="preserve">Develop, keep updated, and use the </t>
    </r>
    <r>
      <rPr>
        <b/>
        <sz val="10"/>
        <rFont val="Calibri"/>
        <family val="2"/>
        <scheme val="minor"/>
      </rPr>
      <t>organization's measurement repository</t>
    </r>
    <r>
      <rPr>
        <sz val="10"/>
        <rFont val="Calibri"/>
        <family val="2"/>
        <scheme val="minor"/>
      </rPr>
      <t xml:space="preserve">. </t>
    </r>
  </si>
  <si>
    <r>
      <rPr>
        <i/>
        <sz val="10"/>
        <rFont val="Calibri"/>
        <family val="2"/>
        <scheme val="minor"/>
      </rPr>
      <t>Analyze organizational performance</t>
    </r>
    <r>
      <rPr>
        <sz val="10"/>
        <rFont val="Calibri"/>
        <family val="2"/>
        <scheme val="minor"/>
      </rPr>
      <t xml:space="preserve"> using measurement and performance data to determine </t>
    </r>
    <r>
      <rPr>
        <b/>
        <sz val="10"/>
        <rFont val="Calibri"/>
        <family val="2"/>
        <scheme val="minor"/>
      </rPr>
      <t>performance improvement needs</t>
    </r>
    <r>
      <rPr>
        <sz val="10"/>
        <rFont val="Calibri"/>
        <family val="2"/>
        <scheme val="minor"/>
      </rPr>
      <t xml:space="preserve">. </t>
    </r>
  </si>
  <si>
    <r>
      <rPr>
        <i/>
        <sz val="10"/>
        <rFont val="Calibri"/>
        <family val="2"/>
        <scheme val="minor"/>
      </rPr>
      <t>Periodically communicate</t>
    </r>
    <r>
      <rPr>
        <sz val="10"/>
        <rFont val="Calibri"/>
        <family val="2"/>
        <scheme val="minor"/>
      </rPr>
      <t xml:space="preserve"> </t>
    </r>
    <r>
      <rPr>
        <b/>
        <sz val="10"/>
        <rFont val="Calibri"/>
        <family val="2"/>
        <scheme val="minor"/>
      </rPr>
      <t xml:space="preserve">performance results </t>
    </r>
    <r>
      <rPr>
        <sz val="10"/>
        <rFont val="Calibri"/>
        <family val="2"/>
        <scheme val="minor"/>
      </rPr>
      <t xml:space="preserve">to the organization.  </t>
    </r>
  </si>
  <si>
    <r>
      <t xml:space="preserve">Use statistical and other quantitative techniques </t>
    </r>
    <r>
      <rPr>
        <i/>
        <sz val="10"/>
        <rFont val="Calibri"/>
        <family val="2"/>
        <scheme val="minor"/>
      </rPr>
      <t>to</t>
    </r>
    <r>
      <rPr>
        <sz val="10"/>
        <rFont val="Calibri"/>
        <family val="2"/>
        <scheme val="minor"/>
      </rPr>
      <t xml:space="preserve"> </t>
    </r>
    <r>
      <rPr>
        <i/>
        <sz val="10"/>
        <rFont val="Calibri"/>
        <family val="2"/>
        <scheme val="minor"/>
      </rPr>
      <t>develop, keep updated, and communicate</t>
    </r>
    <r>
      <rPr>
        <sz val="10"/>
        <rFont val="Calibri"/>
        <family val="2"/>
        <scheme val="minor"/>
      </rPr>
      <t xml:space="preserve"> </t>
    </r>
    <r>
      <rPr>
        <b/>
        <sz val="10"/>
        <rFont val="Calibri"/>
        <family val="2"/>
        <scheme val="minor"/>
      </rPr>
      <t>quality and process performance objectives (QPPOs) that are traceable to business objectives (BOs)</t>
    </r>
    <r>
      <rPr>
        <sz val="10"/>
        <rFont val="Calibri"/>
        <family val="2"/>
        <scheme val="minor"/>
      </rPr>
      <t xml:space="preserve">. </t>
    </r>
  </si>
  <si>
    <r>
      <rPr>
        <i/>
        <sz val="10"/>
        <rFont val="Calibri"/>
        <family val="2"/>
        <scheme val="minor"/>
      </rPr>
      <t xml:space="preserve">Select </t>
    </r>
    <r>
      <rPr>
        <b/>
        <sz val="10"/>
        <rFont val="Calibri"/>
        <family val="2"/>
        <scheme val="minor"/>
      </rPr>
      <t>measures and analytical techniques</t>
    </r>
    <r>
      <rPr>
        <sz val="10"/>
        <rFont val="Calibri"/>
        <family val="2"/>
        <scheme val="minor"/>
      </rPr>
      <t xml:space="preserve"> to quantitatively manage performance to achieve quality and process performance objectives (QPPOs). </t>
    </r>
  </si>
  <si>
    <r>
      <t>Use statistical and other quantitative techniques</t>
    </r>
    <r>
      <rPr>
        <i/>
        <sz val="10"/>
        <rFont val="Calibri"/>
        <family val="2"/>
        <scheme val="minor"/>
      </rPr>
      <t xml:space="preserve"> to develop and analyze</t>
    </r>
    <r>
      <rPr>
        <b/>
        <sz val="10"/>
        <rFont val="Calibri"/>
        <family val="2"/>
        <scheme val="minor"/>
      </rPr>
      <t xml:space="preserve"> process performance baselines</t>
    </r>
    <r>
      <rPr>
        <sz val="10"/>
        <rFont val="Calibri"/>
        <family val="2"/>
        <scheme val="minor"/>
      </rPr>
      <t xml:space="preserve"> </t>
    </r>
    <r>
      <rPr>
        <b/>
        <sz val="10"/>
        <rFont val="Calibri"/>
        <family val="2"/>
        <scheme val="minor"/>
      </rPr>
      <t>(PPBs)</t>
    </r>
    <r>
      <rPr>
        <sz val="10"/>
        <rFont val="Calibri"/>
        <family val="2"/>
        <scheme val="minor"/>
      </rPr>
      <t xml:space="preserve"> and keep them updated. </t>
    </r>
  </si>
  <si>
    <r>
      <t xml:space="preserve">	Use statistical and other quantitative techniques </t>
    </r>
    <r>
      <rPr>
        <i/>
        <sz val="10"/>
        <rFont val="Calibri"/>
        <family val="2"/>
        <scheme val="minor"/>
      </rPr>
      <t>to develop and analyze</t>
    </r>
    <r>
      <rPr>
        <sz val="10"/>
        <rFont val="Calibri"/>
        <family val="2"/>
        <scheme val="minor"/>
      </rPr>
      <t xml:space="preserve"> </t>
    </r>
    <r>
      <rPr>
        <b/>
        <sz val="10"/>
        <rFont val="Calibri"/>
        <family val="2"/>
        <scheme val="minor"/>
      </rPr>
      <t xml:space="preserve">process performance models (PPMs) </t>
    </r>
    <r>
      <rPr>
        <sz val="10"/>
        <rFont val="Calibri"/>
        <family val="2"/>
        <scheme val="minor"/>
      </rPr>
      <t xml:space="preserve">and keep them updated. </t>
    </r>
  </si>
  <si>
    <r>
      <t xml:space="preserve">	Use statistical and other quantitative techniques</t>
    </r>
    <r>
      <rPr>
        <i/>
        <sz val="10"/>
        <rFont val="Calibri"/>
        <family val="2"/>
        <scheme val="minor"/>
      </rPr>
      <t xml:space="preserve"> to determine or predict </t>
    </r>
    <r>
      <rPr>
        <b/>
        <sz val="10"/>
        <rFont val="Calibri"/>
        <family val="2"/>
        <scheme val="minor"/>
      </rPr>
      <t>achievement of quality and process performance objectives (QPPOs)</t>
    </r>
    <r>
      <rPr>
        <sz val="10"/>
        <rFont val="Calibri"/>
        <family val="2"/>
        <scheme val="minor"/>
      </rPr>
      <t>.</t>
    </r>
  </si>
  <si>
    <r>
      <t>Use statistical and other quantitative techniques</t>
    </r>
    <r>
      <rPr>
        <i/>
        <sz val="10"/>
        <rFont val="Calibri"/>
        <family val="2"/>
        <scheme val="minor"/>
      </rPr>
      <t xml:space="preserve"> to ensure that</t>
    </r>
    <r>
      <rPr>
        <sz val="10"/>
        <rFont val="Calibri"/>
        <family val="2"/>
        <scheme val="minor"/>
      </rPr>
      <t xml:space="preserve"> </t>
    </r>
    <r>
      <rPr>
        <b/>
        <sz val="10"/>
        <rFont val="Calibri"/>
        <family val="2"/>
        <scheme val="minor"/>
      </rPr>
      <t xml:space="preserve">business objectives (BOs) </t>
    </r>
    <r>
      <rPr>
        <i/>
        <sz val="10"/>
        <rFont val="Calibri"/>
        <family val="2"/>
        <scheme val="minor"/>
      </rPr>
      <t xml:space="preserve">are aligned with </t>
    </r>
    <r>
      <rPr>
        <b/>
        <sz val="10"/>
        <rFont val="Calibri"/>
        <family val="2"/>
        <scheme val="minor"/>
      </rPr>
      <t>business strategy (BS) and performance</t>
    </r>
    <r>
      <rPr>
        <sz val="10"/>
        <rFont val="Calibri"/>
        <family val="2"/>
        <scheme val="minor"/>
      </rPr>
      <t xml:space="preserve">. </t>
    </r>
  </si>
  <si>
    <r>
      <rPr>
        <i/>
        <sz val="10"/>
        <rFont val="Calibri"/>
        <family val="2"/>
        <scheme val="minor"/>
      </rPr>
      <t>Analyze performance data</t>
    </r>
    <r>
      <rPr>
        <sz val="10"/>
        <rFont val="Calibri"/>
        <family val="2"/>
        <scheme val="minor"/>
      </rPr>
      <t xml:space="preserve"> using statistical and other quantitative techniques </t>
    </r>
    <r>
      <rPr>
        <i/>
        <sz val="10"/>
        <rFont val="Calibri"/>
        <family val="2"/>
        <scheme val="minor"/>
      </rPr>
      <t>to determine the organization's ability to satisfy</t>
    </r>
    <r>
      <rPr>
        <b/>
        <sz val="10"/>
        <rFont val="Calibri"/>
        <family val="2"/>
        <scheme val="minor"/>
      </rPr>
      <t xml:space="preserve"> selected business objectives </t>
    </r>
    <r>
      <rPr>
        <i/>
        <sz val="10"/>
        <rFont val="Calibri"/>
        <family val="2"/>
        <scheme val="minor"/>
      </rPr>
      <t xml:space="preserve">and identify </t>
    </r>
    <r>
      <rPr>
        <b/>
        <sz val="10"/>
        <rFont val="Calibri"/>
        <family val="2"/>
        <scheme val="minor"/>
      </rPr>
      <t>potential areas for performance improvement</t>
    </r>
    <r>
      <rPr>
        <sz val="10"/>
        <rFont val="Calibri"/>
        <family val="2"/>
        <scheme val="minor"/>
      </rPr>
      <t xml:space="preserve">. </t>
    </r>
  </si>
  <si>
    <r>
      <rPr>
        <i/>
        <sz val="10"/>
        <rFont val="Calibri"/>
        <family val="2"/>
        <scheme val="minor"/>
      </rPr>
      <t>Select and implement</t>
    </r>
    <r>
      <rPr>
        <b/>
        <sz val="10"/>
        <rFont val="Calibri"/>
        <family val="2"/>
        <scheme val="minor"/>
      </rPr>
      <t xml:space="preserve"> improvement proposals</t>
    </r>
    <r>
      <rPr>
        <sz val="10"/>
        <rFont val="Calibri"/>
        <family val="2"/>
        <scheme val="minor"/>
      </rPr>
      <t xml:space="preserve">, based on the statistical and quantitative analysis of the </t>
    </r>
    <r>
      <rPr>
        <b/>
        <sz val="10"/>
        <rFont val="Calibri"/>
        <family val="2"/>
        <scheme val="minor"/>
      </rPr>
      <t>expected effect of proposed improvements on meeting business, quality and process performance objectives</t>
    </r>
    <r>
      <rPr>
        <sz val="10"/>
        <rFont val="Calibri"/>
        <family val="2"/>
        <scheme val="minor"/>
      </rPr>
      <t xml:space="preserve">. </t>
    </r>
  </si>
  <si>
    <t>measures;
performance analysis results;</t>
  </si>
  <si>
    <t>list of performance issues;
list of suggestions;</t>
  </si>
  <si>
    <t>measurement and performance objectives;</t>
  </si>
  <si>
    <t>operational definitions of measures;
analysis methods and tools;
data collection mechanisms;</t>
  </si>
  <si>
    <t>base and derived measurement data;
results of data integrity checks;</t>
  </si>
  <si>
    <t>performance data analysis results;
updated operational definitions;</t>
  </si>
  <si>
    <t>stored data</t>
  </si>
  <si>
    <t>revised objectives, plans, commitments;
records of performance evaluations;
records of significant deviations; 
proposed improvements</t>
  </si>
  <si>
    <t>business objectives traced to measurement and performance objectives;
allocation of measurement and performance objectives;</t>
  </si>
  <si>
    <t>operational definitions following org. stds.;</t>
  </si>
  <si>
    <t>data quality criteria;
meas. rep. data quality report;
data quality issues;
improvement proposals;</t>
  </si>
  <si>
    <t>measurement repository design;
measurement repository;
measurement data;</t>
  </si>
  <si>
    <t xml:space="preserve">aggregated performance results;
performance analysis results;
performance improvement needs;
performance improvement suggestions;
</t>
  </si>
  <si>
    <t>performance improvement and analysis reports;
dashboards, monitors, intranet sites;</t>
  </si>
  <si>
    <t>defined QPPOs traced to business objectives;
risks of not achieving QPPO's;</t>
  </si>
  <si>
    <t>list of selected measures;
repository of analytical and stat. techniques;
environment to support collection and analysis;
results of analyses;
traceability to objectives;</t>
  </si>
  <si>
    <t>results of analysis of process performance data;
process performance baselines;</t>
  </si>
  <si>
    <t>process performance models;
validation results;
calibration results;</t>
  </si>
  <si>
    <t>results of analysis, validation and calibration (control charts, regression analysis);
prediction of results to be achieved;
recorded risks of no achievement;
list of actions to address deficiencies in process stability or capability;</t>
  </si>
  <si>
    <t>results of analysis of current performance against QPPOs, BOs, BS;
revised BOs and BS;
revised QPPOs;
revised measures;</t>
  </si>
  <si>
    <t>performance analysis results;
list of performance shortfalls;
list of potential improvement proposals;</t>
  </si>
  <si>
    <t>analysis of potential impacts of proposals;
piloting report;
cost benefit analysis;
list of potential barriers and risks;
recorded validation methods;
list of submitted proposals for implementation;</t>
  </si>
  <si>
    <t>identify available measures and collection methods;
collect and record measures;</t>
  </si>
  <si>
    <t>collect measurements and derive performance data;
review performance;
identify issues;
understand causes;
make suggestions;
address issues;</t>
  </si>
  <si>
    <t>identify current or planned perf. objectives;
record and prioritise business needs and objectives;
review and keep updated measurement and perf. obj.;
review bus.needs and obj. against performance needs;</t>
  </si>
  <si>
    <t>identify existing measures;
select measures;
establish operational definitions;
specify collection and storage;
select data analysis methods and tools;
review with stakeholders;</t>
  </si>
  <si>
    <t>collect data for specified base measures;
calculate derived measures;
check data integrity close to source;</t>
  </si>
  <si>
    <t>perform analyses, interpret results, draw conclusions;
record analysis results and significant deviations;
review results;
refine measurements and analysis techniques;</t>
  </si>
  <si>
    <t>review data to ensure quality;
store data;
make available for use;
control access to data;</t>
  </si>
  <si>
    <t>record and implement corrective actions;
record and submit proposed improvements;
communicate results</t>
  </si>
  <si>
    <t>develop, review, analyse business objectives;
develop, record, use OMPOs;
analyse performance of projects;
allocate objectives to projects;
trace OMPOs to BOs;
review and update allocations;</t>
  </si>
  <si>
    <t>record, communicate, and use org. std. operational definitions;
revise as needed;</t>
  </si>
  <si>
    <t>develop criteria for data quality, accuracy, precision and validity;
check whether criteria are met;
identify and communicate data quality issues;
identify and communicate data improvement proposals;</t>
  </si>
  <si>
    <t>determine org. needs for storing, retrieving and analysing;
design and implement the measurement repository;
populate contents, communicate availability;
revise as needed;</t>
  </si>
  <si>
    <t>aggregate performance data to the business level;
analyse OMPOs against current performance;
identify shortfalls and pot. improvement areas where not meeting BOs;
record performance improvement needs;
analyse cost / benefit;
communicate results;
submit perf. improvement suggestions;</t>
  </si>
  <si>
    <t>develop and record performance improvement reports;
communicate performance improvement results;</t>
  </si>
  <si>
    <t>define, record, update, communicate, QPPO's;
derive interim objectives to monitor progress;
determine and record risks of not achieving;
resolve conflicts between objectives;</t>
  </si>
  <si>
    <t>identify common measures;
identify additional measures;
select measures to manage processes;
specify operational definitions of new measures;
identify stat. and quant. techniques;
analyse relationship of measures to QPPO's;
develop environment to support collection and analysis of measures;
record, update and use measures and stat. techniques;</t>
  </si>
  <si>
    <t>analyse the measures for central tendency and normal variation;
record, update and use process performance baselines;
review with stakeholders;
make available and communicate to org.;
revise as needed;</t>
  </si>
  <si>
    <t>establish process performance models;
validate the PPM;
calibrate PPM based on results;
review with stakeholders;
make available and communicate to org.;
support the use of PPMs;
revise as needed;</t>
  </si>
  <si>
    <t xml:space="preserve">analyse the variation and stability of selected processes;
address deficiencies and signals;
implement actions needed to address deficiencies;
use validated PPMs to assess progress toward QPPOs;
identify and manage risks;
record and communicate results, decisions, and actions;
</t>
  </si>
  <si>
    <t>evaluate and update business objectives to align with business strategies;
compare business objectives (BOs) with PP predictions to ensure achievability;
prioritise BOs based on criteria;
maintain QPPOs to address changes in Bos;
revise measures to align with QPPOs;
communicate changes to BS, BOs, QPPOs to stakeholders;</t>
  </si>
  <si>
    <t>compare QPPOs to current PPBs and PPMs to evaluate and predict org ability to satisfy BOs;
identify shortfalls;
identify potential improvement areas;
communicate results and list improvement proposals;</t>
  </si>
  <si>
    <t>use PPMs to predict process performance based on proposed improvements;
run pilots;
run tests for stat significance of modelled or piloted results;
analyse cost / benefit of proposed improvements;
identify potential barries and risks;
record evaluation results;
determine and record validation method;
implement selected proposals;
validate implemented proposals;
deploy throughout;</t>
  </si>
  <si>
    <t>What performance measures do you collect?</t>
  </si>
  <si>
    <t>How do you identify performance issues?</t>
  </si>
  <si>
    <t>How do you derive measurement objectives from your business needs?
How and how often are they updated?</t>
  </si>
  <si>
    <t>Do you have op defns?
What operational definitions of measures do you have (who to collect, what to collect, when to collect)?
How and how often are they updated?</t>
  </si>
  <si>
    <t>Do you … ?
How do you collect measurement data?
Who collects …?</t>
  </si>
  <si>
    <t>Do you … ?
How do you analyse the performance and measurement data?</t>
  </si>
  <si>
    <t>Do you … ?
'How / where do you store the measurement data and analysis results?</t>
  </si>
  <si>
    <t>Do you … ?
What actions to you take on issues identified from performance reports?</t>
  </si>
  <si>
    <t>How are measurement objectives traced to business objectives?
Developed and maintained?</t>
  </si>
  <si>
    <t>*Please explain how your measurement process functions?
*How did you develop your set of measures and how do you update and improve them?</t>
  </si>
  <si>
    <t>How do you ensure data quality for measurements?
What data quality checks do you do?</t>
  </si>
  <si>
    <t>Do you have a measurement repository? 
Describe it - how is it set-up?</t>
  </si>
  <si>
    <t xml:space="preserve">How do you analyse organization performance?
What measurement reports are used?
How do you determine performance improvement needs?
</t>
  </si>
  <si>
    <t>How do you communicate performance results within the organisation?</t>
  </si>
  <si>
    <t>*How do you use statistical and other quantile techniques to develop, keep updated, and communicate quality and process performance objectives? 
*How do you set Quantitative Process Performance Objectives (QPPOs), what methods do you use?
*How are the QPPO's kept traceable to your business objectives?</t>
  </si>
  <si>
    <t>*How do you select measures and analytical techniques to quantitively manage performance to achieve quality and process performance objectives?
*How do you stay up to date with methods / research / approaches?
*Which techniques do you use?
*Do you use six sigma?</t>
  </si>
  <si>
    <t>*How do you make use of statistical and other quantitative techniques to develop and analyse process performance baselines and keep them updated.
*What process performance baselines (PPBs) from which methods exist?
*How do you develop the baselines?
*How often updated?</t>
  </si>
  <si>
    <t>*How do you make use of statistical and other quantitative techniques to develop and analyse process performance models and keep them updated.
*What process performance models (PPMs) exist developed from which methods?
*How do you develop the models?</t>
  </si>
  <si>
    <t>*How do you make use of statistical and other quantitative techniques to determine or predict achievement of quality and process performance objectives.
*How do you predict the achievement of the QPPOs? (eg. Monte Carlo simualtion)</t>
  </si>
  <si>
    <t>*How do you make use of statistical and other quantitative techniques to ensure that business objectives are aligned with business strategy and performance?
*Explain how the business objectives (through the QPPOs) are aligned to the business strategy - who is involved, where do you start, what is the process?
* Explain how the business objectives are used to check / support the achievement of business strategy and performance?</t>
  </si>
  <si>
    <t>How do you analyse performance data using statistical and other quantitative techniques to determine the organization's ability to satisfy selected business objectives and identify potential areas for performance improvement.</t>
  </si>
  <si>
    <t>How do you select and implement improvement proposals, based on the statistical and quantitative analysis of the expected effect of proposed improvements on meeting business, quality, and process performance objectives.</t>
  </si>
  <si>
    <t>Do you … ?
What performance measures do you collect?您收集了哪些性能指标?</t>
  </si>
  <si>
    <t>您如何从您的业务需求中获得度量目标?
它们如何更新，多长时间更新一次?</t>
  </si>
  <si>
    <t>您对度量有什么操作性定义(谁收集谁收集什么、何时收集)?
它们如何更新，多长时间更新一次?</t>
  </si>
  <si>
    <t>如何收集度量数据?</t>
  </si>
  <si>
    <t>你如何分析绩效和度量数据?</t>
  </si>
  <si>
    <t>如何/在哪里存储度量数据和分析结果?”</t>
  </si>
  <si>
    <t>对于从性能报告中发现的问题，你会采取什么行动?</t>
  </si>
  <si>
    <t>如何将度量目标跟踪到业务目标?
开发和维护?</t>
  </si>
  <si>
    <t>请解释您的度量过程是如何运作的?
*你是如何制定你的度量标准的?你是如何更新和改进它们的?</t>
  </si>
  <si>
    <t>如何确保度量的数据质量?
你做什么数据质量检查?</t>
  </si>
  <si>
    <t>您有度量存储库吗?
描述一下，它是如何建立的?</t>
  </si>
  <si>
    <t xml:space="preserve">你如何分析组织性能?
使用什么度量报告?
您如何确定性能改进需求?
</t>
  </si>
  <si>
    <t>你如何在组织内部传达性能结果?</t>
  </si>
  <si>
    <t>RSK - RISK AND OPPORTUNITY MANAGEMENT (RSK)</t>
  </si>
  <si>
    <t>Identify, record, analyze, and manage potential risks or opportunities.</t>
  </si>
  <si>
    <t>Mitigate adverse impacts or capitalize on positive impacts to increase the likelihood of meeting objectives.</t>
  </si>
  <si>
    <t>RSK 1.1</t>
  </si>
  <si>
    <t>RSK 2.1</t>
  </si>
  <si>
    <t>RSK 2.2</t>
  </si>
  <si>
    <t>RSK 3.1</t>
  </si>
  <si>
    <t>RSK 3.2</t>
  </si>
  <si>
    <t>RSK 3.3</t>
  </si>
  <si>
    <t>RSK 3.4</t>
  </si>
  <si>
    <t>RSK 3.5</t>
  </si>
  <si>
    <t>Identify and record risks or opportunities and keep them updated.</t>
  </si>
  <si>
    <t xml:space="preserve">Analyze identified risks or opportunities. </t>
  </si>
  <si>
    <t xml:space="preserve">Monitor identified risks or opportunities and communicate status to affected stakeholders. </t>
  </si>
  <si>
    <t xml:space="preserve">		Identify and use risk or opportunity categories. </t>
  </si>
  <si>
    <t xml:space="preserve">Define and use parameters for risk or opportunity analysis and handling. </t>
  </si>
  <si>
    <t xml:space="preserve">Develop and keep updated a risk or opportunity management strategy. </t>
  </si>
  <si>
    <t xml:space="preserve">Develop and keep updated risk or opportunity management plans. </t>
  </si>
  <si>
    <t xml:space="preserve">	Manage risks or opportunities by implementing planned risk or opportunity management activities. </t>
  </si>
  <si>
    <t>list of identified risks and opportunities;</t>
  </si>
  <si>
    <t>identified risks or opportunities;
risk or opportunity priorities;
risk and opportunity analysis report;</t>
  </si>
  <si>
    <t>records of risk or opportunity monitoring;
updated risks or opportunities;</t>
  </si>
  <si>
    <t>categories list;
categorised risks or opportunities;</t>
  </si>
  <si>
    <t>risk or opportunity evaluation, categorisation, and prioritisation parameters;
list of risks or opportunities and their assigned priority;
risk or opportunity assessment results;</t>
  </si>
  <si>
    <t>risk or opportunity management strategy;</t>
  </si>
  <si>
    <t>risk management plans;
opportunity leveraging plans;
updated plans and status;</t>
  </si>
  <si>
    <t>updated status;</t>
  </si>
  <si>
    <t>identify the risks associated with the work;
record the risks;
identify opportunities;
identify affected stakeholders;</t>
  </si>
  <si>
    <t>analyse the identified risks;
analyse identified opportunities;
review wbs, plan and schedule;
identify impact for each;
identify probability for each;
assign priorities to each;
identify cost benefit for opportunities;
review with stakeholders;
develop risk and opportunity report;</t>
  </si>
  <si>
    <t>periodically review risks and opportunities;
update with additional information;
communicate status to stakeholders;</t>
  </si>
  <si>
    <t>identify risk or opportunity categories;
organise risks and opportunities according to categories;</t>
  </si>
  <si>
    <t>identify relative priority for each based on parameters;
define thresholds;
prepare and perform assessments;</t>
  </si>
  <si>
    <t>develop record and keep updated a risk or opportunity management strategy;
review strategy with stakeholders;</t>
  </si>
  <si>
    <t>develop mitigation plans and contingency plans for risks;
develop leverage plans for opportunities;
review plans with stakeholders;</t>
  </si>
  <si>
    <t>manage risks or opportunities using management plans;</t>
  </si>
  <si>
    <t>- How do you identify and record risks or opportunities and keep them updated?</t>
  </si>
  <si>
    <t>- Explain how / what do you analyse the identified risks or opportunities?</t>
  </si>
  <si>
    <t>- How do you monitor identified risks or opportunities and communicate this status to affected stakeholders?</t>
  </si>
  <si>
    <t>- Explain how you make use of risk or opportunity categories?
- Do you have standard categories of risks and maybe lists of expected possible risks</t>
  </si>
  <si>
    <t>- What parameters for risk or opportunity analysis is defined and what is it used for?</t>
  </si>
  <si>
    <t>- Explain the risk and the opportunity management strategies that you have developed and maintain?</t>
  </si>
  <si>
    <t>- Explain the risk and opportunity management plans that you have developed and maintain?</t>
  </si>
  <si>
    <t>- Explain how you manage (mitigate) risk or opportunity items?</t>
  </si>
  <si>
    <t>——你如何识别和记录风险或机会，并保持更新?</t>
  </si>
  <si>
    <t>——你如何分析已确定的风险或机会?</t>
  </si>
  <si>
    <t>—您如何监控已发现的风险或机会，并将这一状况告知受影响的干系人?</t>
  </si>
  <si>
    <t>—解释一下你是如何利用风险或机会类别的?</t>
  </si>
  <si>
    <t>定义了风险或机会分析的哪些参数，用于什么用途?</t>
  </si>
  <si>
    <t>—请解释你可能会建立和维护的任何风险或机会管理策略?</t>
  </si>
  <si>
    <t>—请解释您可能制定和维护的任何风险或机会管理计划?</t>
  </si>
  <si>
    <t>—解释一下你是如何管理(减轻)风险或机会项目的?</t>
  </si>
  <si>
    <t>OT - ORGANIZATIONAL TRAINING (OT)</t>
  </si>
  <si>
    <t>Develop the skills and knowledge of personnel so they perform their roles efficiently and effectively.</t>
  </si>
  <si>
    <t>Enhances individuals' skills and knowledge to improve organizational work performance.</t>
  </si>
  <si>
    <t>OT 1.1</t>
  </si>
  <si>
    <t>OT 2.1</t>
  </si>
  <si>
    <t>OT 2.2</t>
  </si>
  <si>
    <t>OT 3.1</t>
  </si>
  <si>
    <t>OT 3.2</t>
  </si>
  <si>
    <t>OT 3.3</t>
  </si>
  <si>
    <t>OT 3.4</t>
  </si>
  <si>
    <t>OT 3.5</t>
  </si>
  <si>
    <t>OT 3.6</t>
  </si>
  <si>
    <t xml:space="preserve">	Train people.</t>
  </si>
  <si>
    <r>
      <rPr>
        <b/>
        <sz val="10"/>
        <rFont val="Calibri"/>
        <family val="2"/>
      </rPr>
      <t>Identify training needs</t>
    </r>
    <r>
      <rPr>
        <sz val="10"/>
        <rFont val="Calibri"/>
        <family val="2"/>
      </rPr>
      <t xml:space="preserve">. </t>
    </r>
  </si>
  <si>
    <r>
      <rPr>
        <b/>
        <sz val="10"/>
        <rFont val="Calibri"/>
        <family val="2"/>
      </rPr>
      <t>Train</t>
    </r>
    <r>
      <rPr>
        <sz val="10"/>
        <rFont val="Calibri"/>
        <family val="2"/>
      </rPr>
      <t xml:space="preserve"> personnel and </t>
    </r>
    <r>
      <rPr>
        <b/>
        <sz val="10"/>
        <rFont val="Calibri"/>
        <family val="2"/>
      </rPr>
      <t>keep records</t>
    </r>
    <r>
      <rPr>
        <sz val="10"/>
        <rFont val="Calibri"/>
        <family val="2"/>
      </rPr>
      <t xml:space="preserve">. </t>
    </r>
  </si>
  <si>
    <r>
      <rPr>
        <sz val="10"/>
        <rFont val="Calibri"/>
        <family val="2"/>
      </rPr>
      <t xml:space="preserve">	Develop and keep updated the organization's</t>
    </r>
    <r>
      <rPr>
        <b/>
        <sz val="10"/>
        <rFont val="Calibri"/>
        <family val="2"/>
      </rPr>
      <t xml:space="preserve"> strategic and short-term training needs</t>
    </r>
    <r>
      <rPr>
        <sz val="10"/>
        <rFont val="Calibri"/>
        <family val="2"/>
      </rPr>
      <t xml:space="preserve">. </t>
    </r>
  </si>
  <si>
    <r>
      <rPr>
        <sz val="10"/>
        <rFont val="Calibri"/>
        <family val="2"/>
      </rPr>
      <t xml:space="preserve">	</t>
    </r>
    <r>
      <rPr>
        <b/>
        <sz val="10"/>
        <rFont val="Calibri"/>
        <family val="2"/>
      </rPr>
      <t>Coordinate</t>
    </r>
    <r>
      <rPr>
        <sz val="10"/>
        <rFont val="Calibri"/>
        <family val="2"/>
      </rPr>
      <t xml:space="preserve"> training needs and delivery </t>
    </r>
    <r>
      <rPr>
        <b/>
        <sz val="10"/>
        <rFont val="Calibri"/>
        <family val="2"/>
      </rPr>
      <t>between the projects and the organization</t>
    </r>
    <r>
      <rPr>
        <sz val="10"/>
        <rFont val="Calibri"/>
        <family val="2"/>
      </rPr>
      <t xml:space="preserve">. </t>
    </r>
  </si>
  <si>
    <r>
      <rPr>
        <sz val="10"/>
        <rFont val="Calibri"/>
        <family val="2"/>
      </rPr>
      <t>Develop, keep updated, and follow</t>
    </r>
    <r>
      <rPr>
        <b/>
        <sz val="10"/>
        <rFont val="Calibri"/>
        <family val="2"/>
      </rPr>
      <t xml:space="preserve"> organizational strategic and short-term training plans</t>
    </r>
    <r>
      <rPr>
        <sz val="10"/>
        <rFont val="Calibri"/>
        <family val="2"/>
      </rPr>
      <t xml:space="preserve">. </t>
    </r>
  </si>
  <si>
    <r>
      <rPr>
        <sz val="10"/>
        <rFont val="Calibri"/>
        <family val="2"/>
      </rPr>
      <t xml:space="preserve">Develop, keep updated, and use a </t>
    </r>
    <r>
      <rPr>
        <b/>
        <sz val="10"/>
        <rFont val="Calibri"/>
        <family val="2"/>
      </rPr>
      <t>training capability</t>
    </r>
    <r>
      <rPr>
        <sz val="10"/>
        <rFont val="Calibri"/>
        <family val="2"/>
      </rPr>
      <t xml:space="preserve"> to address organizational training needs.</t>
    </r>
  </si>
  <si>
    <r>
      <rPr>
        <sz val="10"/>
        <rFont val="Calibri"/>
        <family val="2"/>
      </rPr>
      <t xml:space="preserve">Assess the </t>
    </r>
    <r>
      <rPr>
        <b/>
        <sz val="10"/>
        <rFont val="Calibri"/>
        <family val="2"/>
      </rPr>
      <t>effectiveness</t>
    </r>
    <r>
      <rPr>
        <sz val="10"/>
        <rFont val="Calibri"/>
        <family val="2"/>
      </rPr>
      <t xml:space="preserve"> of the organization's training program. </t>
    </r>
  </si>
  <si>
    <r>
      <rPr>
        <sz val="10"/>
        <rFont val="Calibri"/>
        <family val="2"/>
      </rPr>
      <t xml:space="preserve">Record, keep updated, and use the set of organizational </t>
    </r>
    <r>
      <rPr>
        <b/>
        <sz val="10"/>
        <rFont val="Calibri"/>
        <family val="2"/>
      </rPr>
      <t>training records</t>
    </r>
    <r>
      <rPr>
        <sz val="10"/>
        <rFont val="Calibri"/>
        <family val="2"/>
      </rPr>
      <t xml:space="preserve">. </t>
    </r>
  </si>
  <si>
    <t>completed training;</t>
  </si>
  <si>
    <t>list of training needs;</t>
  </si>
  <si>
    <t>records of delivered training;</t>
  </si>
  <si>
    <t>training needs;</t>
  </si>
  <si>
    <t>allocated training needs;
training delivery responsibilities;</t>
  </si>
  <si>
    <t>org. training strategic plan;
org. training short term plan;
recorded commitments;</t>
  </si>
  <si>
    <t>training materials;
list of courses;
training records;
list of instructors;
instruction design standards;
training facilities and resources;</t>
  </si>
  <si>
    <t>training effectiveness surveys;
training program assessments;
training program analysis results;
instructor evaluation forms;
training examinatiosn;
training measures;</t>
  </si>
  <si>
    <t>training records;</t>
  </si>
  <si>
    <t>identify people to receive training;
schedule training;
deliver the training;</t>
  </si>
  <si>
    <t>identify skills and knowledge for each role;
record and update skills and knowledge of individuals;
perform a gap analysis to determine needs;
record and communicate training needs;</t>
  </si>
  <si>
    <t>deliver training based on identified training needs;
maintain training records;</t>
  </si>
  <si>
    <t xml:space="preserve">determine the roles and skills needed to perform org. standard processes and work;
determine training needs;
record and update the prioritised strategic and short term org. training needs;
review the org. training needs periodically and on an event driven basis and update;
</t>
  </si>
  <si>
    <t>analyse training needs identified by work and support groups;
co-ordinate to determinehow training needs will be addressed;
record responsibilities among oreg.,project and support groups for delivery;</t>
  </si>
  <si>
    <t>develop the content of the org. training strategic plan;
develop the content of the org. training short term plan;
review plans, determine commitments and communicate review results;
revise plans and commitments;</t>
  </si>
  <si>
    <t>select approaches to satisfy org. training needs;
decide whether to develop training internally or acquire externally;
develop or obtain training materials;
identify, train or hire trainers;
describe training in org. training curriculum;
review training periodically;
revise as needed;
identify and make resources available;
update training and development program;
keep training records updated;
communicate availability of training;</t>
  </si>
  <si>
    <t>assess the effectiveness of each training course;
assess the effectiveness of the training programs;</t>
  </si>
  <si>
    <t>keep and use records of participants;
keep and use records of all personnel waived;
keep and use records of training course and program effectiveness;
make training records available for consideration in asignments;</t>
  </si>
  <si>
    <t>Do you … ?
How do you identify training needs?</t>
  </si>
  <si>
    <t>Do you …?
What training records do you maintain?</t>
  </si>
  <si>
    <t>Do you …?
How do you identify strategic training needs?
How do you identify short-term training needs?</t>
  </si>
  <si>
    <t>How are training needs between projects co-ordinated with organisational training needs? (and support functions)</t>
  </si>
  <si>
    <t>How do you execute the strategic and short-term training plans?</t>
  </si>
  <si>
    <t>How do you establish and maintain a training capability for the organisation?</t>
  </si>
  <si>
    <t>How do you assess the effectiveness of the organisation training program?</t>
  </si>
  <si>
    <t>What org. training records do you establish and maintain?</t>
  </si>
  <si>
    <t>如何识别培训需求？</t>
  </si>
  <si>
    <t>有哪些培训记录？</t>
  </si>
  <si>
    <t>如何确定战略和短期培训需求？</t>
  </si>
  <si>
    <t>项目（和支持职能）的培训需求如何与组织培训需求相协调一致？</t>
  </si>
  <si>
    <t>如何执行战略和短期培训计划？</t>
  </si>
  <si>
    <t>如何建立和维护组织的培训能力？</t>
  </si>
  <si>
    <t>如何评估组织培训计划的有效性？</t>
  </si>
  <si>
    <t>需要建立并维护哪些培训记录</t>
  </si>
  <si>
    <t>MC - MONITOR AND CONTROL (MC)</t>
  </si>
  <si>
    <t>Provide an understanding of the project progress so appropriate corrective actions can be taken when performance deviates significantly from plans.</t>
  </si>
  <si>
    <t>Increases the probability of meeting objectives by taking early actions to adjust for significant performance deviations.</t>
  </si>
  <si>
    <t>MC 1.1</t>
  </si>
  <si>
    <t>MC 1.2</t>
  </si>
  <si>
    <t>MC 2.1</t>
  </si>
  <si>
    <t>MC 2.2</t>
  </si>
  <si>
    <t>MC 2.3</t>
  </si>
  <si>
    <t>MC 2.4</t>
  </si>
  <si>
    <t>MC 3.1</t>
  </si>
  <si>
    <t>MC 3.2</t>
  </si>
  <si>
    <t>MC 3.3</t>
  </si>
  <si>
    <t>MC 3.4</t>
  </si>
  <si>
    <t xml:space="preserve">Record task completions. </t>
  </si>
  <si>
    <t xml:space="preserve">Identify and resolve issues. </t>
  </si>
  <si>
    <t xml:space="preserve">Track actual results against estimates for size, effort, schedule, resources, knowledge and skills, and budget. </t>
  </si>
  <si>
    <t>Track the involvement of identified stakeholders and commitments.</t>
  </si>
  <si>
    <t xml:space="preserve">Monitor the transition to operations and support. </t>
  </si>
  <si>
    <t xml:space="preserve">Take corrective actions when actual results differ significantly from planned results and manage to closure. </t>
  </si>
  <si>
    <t xml:space="preserve">Manage the project using the project plan and the project process. </t>
  </si>
  <si>
    <t xml:space="preserve">Manage critical dependencies and activities. </t>
  </si>
  <si>
    <t>Monitor the work environment to identify issues.</t>
  </si>
  <si>
    <t>Manage and resolve issues with affected stakeholders.</t>
  </si>
  <si>
    <t>task list;
- Minutes with completed tasks
- Plan with completed tasks</t>
  </si>
  <si>
    <t>issues and action item list;
- Minutes with issues identified</t>
  </si>
  <si>
    <t>records of actuals vs estimates;
records of significant deviations;
records of status reviews;
corrective actions;
cost performance reports;
schedule performance reports;</t>
  </si>
  <si>
    <t>records of stakeholder involvement (meeting attendance registers);
agendas and schedules for collaborative activities;
recorded issues;
recommendations for resolving issues;</t>
  </si>
  <si>
    <t>status reports of transition activities;
transition readiness report;
record of transition report reviews;
lessons learned report;
- Release records
- Operation and support acceptance records</t>
  </si>
  <si>
    <t>list of issues requiring corrective action;
- reports showing thresholds exceeded (planned versus actual)</t>
  </si>
  <si>
    <t>results of monitoring;
collected measures and status records or reports;
project schedule (actual vs planned);</t>
  </si>
  <si>
    <t>updated critical dependencies;
recorded agendas and meeting minutes;
recorded issues;</t>
  </si>
  <si>
    <t>corrections needed to work env.;
- minutes of actions to address work env. Issues;</t>
  </si>
  <si>
    <t>recorded issues;
- relevant stakeholder meeting minutes</t>
  </si>
  <si>
    <t>record task completion;
review updated task list with affected stakeholders;</t>
  </si>
  <si>
    <t>record the issue in the issue and action list;
assign responsibility;
assign a due date;
track issues and actions;</t>
  </si>
  <si>
    <t>track actual results to plans and estimates;
monitor resources provided and used;
monitor knowledge and skills of  workgroup;
monitor commitments against those id. In plan;
record significant differences in planned vs actual;
monitor progress against schedule;
monitor expended effort and costs;</t>
  </si>
  <si>
    <t>periodically review and record the status of stakeholder involvement;
identify and record significant stakeholder issues;
develop recommendations and coordinate actions to resolve issues;</t>
  </si>
  <si>
    <t>monitor the capabilities of ops and support to receive, store, use and maintain new or modified solns;
monitor training delivery to stakeholders;
review and analyse the results of transition activities;</t>
  </si>
  <si>
    <t>collect issues for analysis;
analyse issues to decide if corrective action is needed;
take corrective action on identified issues;
manage corrective actions to closure;</t>
  </si>
  <si>
    <t>manage the project activities using the project process and all related plans;
collect and analyse selected measurements to manage the project and support proj. needs;
periodically review and align project performance with org., customer, and end user requirements and objectives;
resolve causes of issues affecting project objectives;</t>
  </si>
  <si>
    <t>review and update dependencies;
record minutes from reviews and discussions;
record issues;</t>
  </si>
  <si>
    <t>monitor work environment elements that affect safety, health, effectiveness and productivity and identify and record any corrections needed;
monitor physical factors in the work environment that could degrade performance and identify and record corrections needed;
identify, recordand report potential work env. issues;
take reasonable steps to accommodate work env. issues;
remove or reduce interruptions that degrade performance;
remove or reduce physical factors that degrade performance;
monitor progress of work env. issue resolution;
resolve interpersonal problems;</t>
  </si>
  <si>
    <t>identify and record issues;
communicate to stakeholders;
escalate issues not resolvable;
track issues to closure;
communicate status and resolution to stakeholders;</t>
  </si>
  <si>
    <t>- How do you identify and resolve issues?</t>
  </si>
  <si>
    <t>- Explain how you track actual results achieved against planned values (for size, effort, duration, or cost)?</t>
  </si>
  <si>
    <t>- How do you check that stakeholders are involved as per the plan?</t>
  </si>
  <si>
    <t>- How do you monitor the transition of solutions to operations and support?</t>
  </si>
  <si>
    <t>- When and how do you take corrective actions when actual results differ significantly from planned result?</t>
  </si>
  <si>
    <t>- Explain how you manage the project using the project plan and the project process?
- What monitoring results are addressed in what meetings?</t>
  </si>
  <si>
    <t>- Explain how you manage critical dependencies?</t>
  </si>
  <si>
    <t>- How do you identify work environment issues?</t>
  </si>
  <si>
    <t>- Explain how you manage and resolve issues with affected stakeholders?</t>
  </si>
  <si>
    <t>—你如何发现问题并解决问题?</t>
  </si>
  <si>
    <t>—您如何根据计划的值跟踪实际实现的结果(规模、工作量、持续时间或成本)?</t>
  </si>
  <si>
    <t>—你如何检查干系人是否按照计划参与进来?</t>
  </si>
  <si>
    <t>—您如何监督解决方案向运营和支持的转移?</t>
  </si>
  <si>
    <t>—当实际结果与计划结果有显著差异时，你何时以及如何采取纠正措施?</t>
  </si>
  <si>
    <t>—你如何使用项目计划和项目过程来管理项目?</t>
  </si>
  <si>
    <t>—如何管理关键依赖关系?</t>
  </si>
  <si>
    <t>—你如何识别工作环境问题?</t>
  </si>
  <si>
    <t>—你如何与受影响的干系人管理和解决问题?</t>
  </si>
  <si>
    <t>PLAN - PLANNING (PLAN)</t>
  </si>
  <si>
    <t>Develop plans to describe what is needed to accomplish the work within the standards and constraints of the organization, including the: Budget, Schedule, Resource demand, capacity and availability, Quality, Functionality requirements, Risks and opportunities; Plans also describe: The work to be performed, Applicable organizational set of standard processes, assets, and tailoring guidelines, Dependencies, Who performs the work, Relationships with other plans, Stakeholders and their role</t>
  </si>
  <si>
    <t>Optimizes cost, functionality, and quality to increase the likelihood of meeting objectives.</t>
  </si>
  <si>
    <t>PLAN 1.1</t>
  </si>
  <si>
    <t>PLAN 1.2</t>
  </si>
  <si>
    <t>PLAN 2.1</t>
  </si>
  <si>
    <t>PLAN 2.2</t>
  </si>
  <si>
    <t>PLAN 2.3</t>
  </si>
  <si>
    <t>PLAN 2.4</t>
  </si>
  <si>
    <t>PLAN 2.5</t>
  </si>
  <si>
    <t>PLAN 2.6</t>
  </si>
  <si>
    <t>PLAN 2.7</t>
  </si>
  <si>
    <t>PLAN 2.8</t>
  </si>
  <si>
    <t>PLAN 3.1</t>
  </si>
  <si>
    <t>PLAN 3.2</t>
  </si>
  <si>
    <t>PLAN 3.3</t>
  </si>
  <si>
    <t>PLAN 3.4</t>
  </si>
  <si>
    <t>PLAN 4.1</t>
  </si>
  <si>
    <r>
      <t xml:space="preserve">Develop a </t>
    </r>
    <r>
      <rPr>
        <b/>
        <sz val="10"/>
        <rFont val="Calibri"/>
        <family val="2"/>
        <scheme val="minor"/>
      </rPr>
      <t>list of tasks</t>
    </r>
    <r>
      <rPr>
        <sz val="10"/>
        <rFont val="Calibri"/>
        <family val="2"/>
        <scheme val="minor"/>
      </rPr>
      <t xml:space="preserve">. </t>
    </r>
  </si>
  <si>
    <r>
      <rPr>
        <b/>
        <sz val="10"/>
        <rFont val="Calibri"/>
        <family val="2"/>
        <scheme val="minor"/>
      </rPr>
      <t>Assign people</t>
    </r>
    <r>
      <rPr>
        <sz val="10"/>
        <rFont val="Calibri"/>
        <family val="2"/>
        <scheme val="minor"/>
      </rPr>
      <t xml:space="preserve"> to tasks. </t>
    </r>
  </si>
  <si>
    <r>
      <t xml:space="preserve">Develop and keep updated </t>
    </r>
    <r>
      <rPr>
        <b/>
        <sz val="10"/>
        <rFont val="Calibri"/>
        <family val="2"/>
        <scheme val="minor"/>
      </rPr>
      <t>the approach</t>
    </r>
    <r>
      <rPr>
        <sz val="10"/>
        <rFont val="Calibri"/>
        <family val="2"/>
        <scheme val="minor"/>
      </rPr>
      <t xml:space="preserve"> for accomplishing the work. </t>
    </r>
  </si>
  <si>
    <r>
      <t xml:space="preserve">Plan for the </t>
    </r>
    <r>
      <rPr>
        <b/>
        <sz val="10"/>
        <rFont val="Calibri"/>
        <family val="2"/>
        <scheme val="minor"/>
      </rPr>
      <t>knowledge and skills</t>
    </r>
    <r>
      <rPr>
        <sz val="10"/>
        <rFont val="Calibri"/>
        <family val="2"/>
        <scheme val="minor"/>
      </rPr>
      <t xml:space="preserve"> needed to perform the work. </t>
    </r>
  </si>
  <si>
    <r>
      <t>Based on recorded estimates, develop and keep the b</t>
    </r>
    <r>
      <rPr>
        <b/>
        <sz val="10"/>
        <rFont val="Calibri"/>
        <family val="2"/>
        <scheme val="minor"/>
      </rPr>
      <t>udget and schedule</t>
    </r>
    <r>
      <rPr>
        <sz val="10"/>
        <rFont val="Calibri"/>
        <family val="2"/>
        <scheme val="minor"/>
      </rPr>
      <t xml:space="preserve"> updated.</t>
    </r>
  </si>
  <si>
    <r>
      <t xml:space="preserve">Plan the </t>
    </r>
    <r>
      <rPr>
        <b/>
        <sz val="10"/>
        <rFont val="Calibri"/>
        <family val="2"/>
        <scheme val="minor"/>
      </rPr>
      <t>involvement</t>
    </r>
    <r>
      <rPr>
        <sz val="10"/>
        <rFont val="Calibri"/>
        <family val="2"/>
        <scheme val="minor"/>
      </rPr>
      <t xml:space="preserve"> of identified </t>
    </r>
    <r>
      <rPr>
        <b/>
        <sz val="10"/>
        <rFont val="Calibri"/>
        <family val="2"/>
        <scheme val="minor"/>
      </rPr>
      <t>stakeholders</t>
    </r>
    <r>
      <rPr>
        <sz val="10"/>
        <rFont val="Calibri"/>
        <family val="2"/>
        <scheme val="minor"/>
      </rPr>
      <t>.</t>
    </r>
  </si>
  <si>
    <r>
      <t xml:space="preserve">Plan </t>
    </r>
    <r>
      <rPr>
        <b/>
        <sz val="10"/>
        <rFont val="Calibri"/>
        <family val="2"/>
        <scheme val="minor"/>
      </rPr>
      <t>transition to operations</t>
    </r>
    <r>
      <rPr>
        <sz val="10"/>
        <rFont val="Calibri"/>
        <family val="2"/>
        <scheme val="minor"/>
      </rPr>
      <t xml:space="preserve"> </t>
    </r>
    <r>
      <rPr>
        <b/>
        <sz val="10"/>
        <rFont val="Calibri"/>
        <family val="2"/>
        <scheme val="minor"/>
      </rPr>
      <t>and support</t>
    </r>
    <r>
      <rPr>
        <sz val="10"/>
        <rFont val="Calibri"/>
        <family val="2"/>
        <scheme val="minor"/>
      </rPr>
      <t xml:space="preserve">. </t>
    </r>
  </si>
  <si>
    <r>
      <t xml:space="preserve">Ensure plans are feasible by </t>
    </r>
    <r>
      <rPr>
        <b/>
        <sz val="10"/>
        <rFont val="Calibri"/>
        <family val="2"/>
        <scheme val="minor"/>
      </rPr>
      <t>reconciling available and estimated resources</t>
    </r>
    <r>
      <rPr>
        <sz val="10"/>
        <rFont val="Calibri"/>
        <family val="2"/>
        <scheme val="minor"/>
      </rPr>
      <t xml:space="preserve">. </t>
    </r>
  </si>
  <si>
    <r>
      <t xml:space="preserve">Develop the </t>
    </r>
    <r>
      <rPr>
        <b/>
        <sz val="10"/>
        <rFont val="Calibri"/>
        <family val="2"/>
        <scheme val="minor"/>
      </rPr>
      <t>project plan</t>
    </r>
    <r>
      <rPr>
        <sz val="10"/>
        <rFont val="Calibri"/>
        <family val="2"/>
        <scheme val="minor"/>
      </rPr>
      <t xml:space="preserve">, ensure consistency among its elements, and keep it updated. </t>
    </r>
  </si>
  <si>
    <r>
      <t xml:space="preserve">	Review plans and </t>
    </r>
    <r>
      <rPr>
        <b/>
        <sz val="10"/>
        <rFont val="Calibri"/>
        <family val="2"/>
        <scheme val="minor"/>
      </rPr>
      <t>obtain commitments</t>
    </r>
    <r>
      <rPr>
        <sz val="10"/>
        <rFont val="Calibri"/>
        <family val="2"/>
        <scheme val="minor"/>
      </rPr>
      <t xml:space="preserve"> from affected stakeholders. </t>
    </r>
  </si>
  <si>
    <r>
      <t xml:space="preserve">Use the organization's set of standard processes and tailoring guidelines to </t>
    </r>
    <r>
      <rPr>
        <b/>
        <sz val="10"/>
        <rFont val="Calibri"/>
        <family val="2"/>
        <scheme val="minor"/>
      </rPr>
      <t>develop</t>
    </r>
    <r>
      <rPr>
        <sz val="10"/>
        <rFont val="Calibri"/>
        <family val="2"/>
        <scheme val="minor"/>
      </rPr>
      <t xml:space="preserve">, keep updated, </t>
    </r>
    <r>
      <rPr>
        <b/>
        <sz val="10"/>
        <rFont val="Calibri"/>
        <family val="2"/>
        <scheme val="minor"/>
      </rPr>
      <t>and follow the project process</t>
    </r>
    <r>
      <rPr>
        <sz val="10"/>
        <rFont val="Calibri"/>
        <family val="2"/>
        <scheme val="minor"/>
      </rPr>
      <t xml:space="preserve">. </t>
    </r>
  </si>
  <si>
    <r>
      <rPr>
        <b/>
        <sz val="10"/>
        <rFont val="Calibri"/>
        <family val="2"/>
        <scheme val="minor"/>
      </rPr>
      <t>Develop a plan</t>
    </r>
    <r>
      <rPr>
        <sz val="10"/>
        <rFont val="Calibri"/>
        <family val="2"/>
        <scheme val="minor"/>
      </rPr>
      <t xml:space="preserve"> and keep it updated, using the project process, the organization's process assets, and the measurement repository. </t>
    </r>
  </si>
  <si>
    <r>
      <t xml:space="preserve">Identify and negotiate </t>
    </r>
    <r>
      <rPr>
        <b/>
        <sz val="10"/>
        <rFont val="Calibri"/>
        <family val="2"/>
        <scheme val="minor"/>
      </rPr>
      <t>critical dependencies</t>
    </r>
    <r>
      <rPr>
        <sz val="10"/>
        <rFont val="Calibri"/>
        <family val="2"/>
        <scheme val="minor"/>
      </rPr>
      <t xml:space="preserve">. </t>
    </r>
  </si>
  <si>
    <r>
      <t xml:space="preserve">Plan for the </t>
    </r>
    <r>
      <rPr>
        <b/>
        <sz val="10"/>
        <rFont val="Calibri"/>
        <family val="2"/>
        <scheme val="minor"/>
      </rPr>
      <t>project environment</t>
    </r>
    <r>
      <rPr>
        <sz val="10"/>
        <rFont val="Calibri"/>
        <family val="2"/>
        <scheme val="minor"/>
      </rPr>
      <t xml:space="preserve"> and keep it updated based on the </t>
    </r>
    <r>
      <rPr>
        <b/>
        <sz val="10"/>
        <rFont val="Calibri"/>
        <family val="2"/>
        <scheme val="minor"/>
      </rPr>
      <t>organization's standards</t>
    </r>
    <r>
      <rPr>
        <sz val="10"/>
        <rFont val="Calibri"/>
        <family val="2"/>
        <scheme val="minor"/>
      </rPr>
      <t>.</t>
    </r>
  </si>
  <si>
    <r>
      <t xml:space="preserve">	Use statistical and other quantitative techniques to develop and keep the project processes updated to enable achievement of the quality and </t>
    </r>
    <r>
      <rPr>
        <b/>
        <sz val="10"/>
        <rFont val="Calibri"/>
        <family val="2"/>
        <scheme val="minor"/>
      </rPr>
      <t>process performance objectives</t>
    </r>
    <r>
      <rPr>
        <sz val="10"/>
        <rFont val="Calibri"/>
        <family val="2"/>
        <scheme val="minor"/>
      </rPr>
      <t xml:space="preserve">. </t>
    </r>
  </si>
  <si>
    <t>task list;</t>
  </si>
  <si>
    <t>task list with assignments;</t>
  </si>
  <si>
    <t>recorded approach to achieve objectives;
recorded project lifecycle;</t>
  </si>
  <si>
    <t>inventory of skills needed;</t>
  </si>
  <si>
    <t>budget;
schedule;
resource plan;
budget and schedule risks;</t>
  </si>
  <si>
    <t>stakeholder involvement plan;
responsible, accountable, support, consulted, informed (RASCI) table;</t>
  </si>
  <si>
    <t>plan for transition to operations and support;</t>
  </si>
  <si>
    <t>revised plan and commitments;</t>
  </si>
  <si>
    <t>overall project plan;</t>
  </si>
  <si>
    <t>results of plan reviews;
recorded commitments;</t>
  </si>
  <si>
    <t>the project process;</t>
  </si>
  <si>
    <t>revised project estimates;
project plans;
integrated plans;</t>
  </si>
  <si>
    <t>critical dependencies;</t>
  </si>
  <si>
    <t>project resources, facilities, and environment plan;
equipment and tools for project;
health and safety considerations;
installation and operation manuals;
user surveys and results;
support services;</t>
  </si>
  <si>
    <t>criteria used to evaluate alternatives for the project;
alternative processes;
selected defined project process;
risk assessment of not achieving projects QPPO's;</t>
  </si>
  <si>
    <t>develop a list of tasks;
review task list with stakeholders;
revise list as needed;</t>
  </si>
  <si>
    <t>assign an individual responsible for each task;
assign any additional people to the task;
review assignments with assigned individuals;
record assignments in task list;</t>
  </si>
  <si>
    <t xml:space="preserve">identify the objectives of the approach;
identify the approach to achieve the objectives;
identify requirements; record business considerations;
define project lifecycle;
identify major resource needs and constraints;
identify stakeholders;
record agreements with stakeholders;
identify risks;
identify safety and security approaches;
review project approach with stakeholders;
revise approach as needed;
</t>
  </si>
  <si>
    <t>identify knowledge and skills needed to perform the work;
determine gaps between needed and held;
select methods for providing needed knowledge and skills;
incorporate methods in plan;</t>
  </si>
  <si>
    <t>identify major milestones;
identify schedule assumptions;
identify constraints;
identify task dependencies;
identify resources;
identify and analyse risks;
develop the budget and schedule based on estimates;
establish corrective action criteria;</t>
  </si>
  <si>
    <t xml:space="preserve">develop a list of stakeholders;
identify involvement of each;
record when involvement is required;
</t>
  </si>
  <si>
    <t>determine transition scope and objectives;
determine transition requirements and criteria;
determine approach to transition;
develop schedule for transition;
determine transition responsibilities and resources including post-transition;
determine operations and support training needs;</t>
  </si>
  <si>
    <t>perform resource leveling to adjust scheduling of tasks and resources;
ensure commitments are supported by adequate resources;
negotiate commitments with affected stakeholders;</t>
  </si>
  <si>
    <t>record the project plan;
review the project plan with stakeholders;
revise the plan as necessary;</t>
  </si>
  <si>
    <t>ensure individuals review the work they are responsible for;
record commitments;
review and approve project commitments;</t>
  </si>
  <si>
    <t>select standard processes that best fit the needs of the project;
modify according to tailoring guidelines;
use other org. artefacts as appropriate;
record the project process;
review the project process;
revise as necessary;</t>
  </si>
  <si>
    <t>use tasks and work products as a basis for estimating and planning;
use the org. measurement repository to estimate the work;
integrate or develop plans;
incorporate the definitions of measures and measurement activities;
establish obj. entry and exit criteria for tasks;
identify how conflicts will be resolved;</t>
  </si>
  <si>
    <t>identify each critical dependency;
integrate schedules;
review and negotiate dependencies;
record commitments to address each critical dependency;</t>
  </si>
  <si>
    <t>analyse project and plan for resources, facilities and environment;
assign an individual to plan to acquire resources, facilities and environment;
develop a contingency plan;
plan for support personnel needs; 
ensure individuals participate in decisions;</t>
  </si>
  <si>
    <t>identify the criteria to use in evaluating process alternatives;
identify or develop alternative processes;
analyse and evaluate alt. processes against criteria;
select alt. process;
evaluate the risk of not achieving project QPPOs;</t>
  </si>
  <si>
    <t>- Do you assign people to the tasks?</t>
  </si>
  <si>
    <t>- Do you have a specific approach for doing the work?
(waterfall, iterative, agile etc) 
- What is the approach that you use?</t>
  </si>
  <si>
    <t>- How do you make sure you have the right knowledge and skills for the task to be performed?</t>
  </si>
  <si>
    <t>- How do you develop the budget and schedule?</t>
  </si>
  <si>
    <t>- How do you plan for stakeholder involvement?</t>
  </si>
  <si>
    <t>- Explain how you plan for transition to operations and support?</t>
  </si>
  <si>
    <t>- Explain how you ensure your plans are feasible in terms of resource availability and work that needs to be performed?</t>
  </si>
  <si>
    <t>- What information do you keep in your project plan?
- How often do you update / When do you update?</t>
  </si>
  <si>
    <t>- How do you review the plans with stakeholders?
- How do you get commitment to the plans?
- Where is it documented?</t>
  </si>
  <si>
    <t>- Explain how you use the organisational standard processes to develop the plan?
- How do you make use of tailoring guidelines to plan?</t>
  </si>
  <si>
    <t>- How do you use the process, the process assets and the measurement repository to keep your plan updated?</t>
  </si>
  <si>
    <t>- Explain how you identify and negotiate any critical dependencies?</t>
  </si>
  <si>
    <t>- Explain how you plan your project environment?
- Do you use org. standards to plan the environment?</t>
  </si>
  <si>
    <t>- How do you make use of statistical and quantitative techniques to develop and keep the project processes updated to enable achievement of the QPPOs for the project or organisation?</t>
  </si>
  <si>
    <t>—你是如何制定预算和项目进度的?</t>
  </si>
  <si>
    <t>—你如何规划干系人的参与?</t>
  </si>
  <si>
    <t>—您如何计划向运营和支持的转移?</t>
  </si>
  <si>
    <t>—你如何确保你的计划在可用资源和待执行的工作方面是可行的?</t>
  </si>
  <si>
    <t>—你在项目计划中记录了哪些信息?</t>
  </si>
  <si>
    <t>—你如何与干系人一起评估计划的?
-你如何得到对计划的承诺?</t>
  </si>
  <si>
    <t>—解释一下你是如何利用组织的标准流程来制定计划的?
-你如何利用裁剪指南来进行计划?</t>
  </si>
  <si>
    <t>—您如何使用过程、过程资产和度量存储库来更新您的计划?</t>
  </si>
  <si>
    <t>—解释一下你是如何识别和协商任何关键的依赖关系的?</t>
  </si>
  <si>
    <t>—解释你是如何规划你的项目环境的?
-你使用组织标准工作环境来策划项目所需的环境吗?</t>
  </si>
  <si>
    <t>EST - ESTIMATING</t>
  </si>
  <si>
    <t xml:space="preserve">Intent </t>
    <phoneticPr fontId="0" type="noConversion"/>
  </si>
  <si>
    <t xml:space="preserve">Estimate the size, effort, duration, and cost of the work and resources needed to develop, acquire, or deliver the solution. </t>
    <phoneticPr fontId="0" type="noConversion"/>
  </si>
  <si>
    <t xml:space="preserve">Value </t>
    <phoneticPr fontId="0" type="noConversion"/>
  </si>
  <si>
    <t xml:space="preserve">Estimation provides a basis for making commitments, planning, and reducing uncertainty, which allows for early corrective actions and increases the likelihood of meeting objectives. </t>
    <phoneticPr fontId="0" type="noConversion"/>
  </si>
  <si>
    <t>EST 1.1</t>
  </si>
  <si>
    <t>EST 2.1</t>
  </si>
  <si>
    <t>EST 2.2</t>
  </si>
  <si>
    <t>EST 2.3</t>
  </si>
  <si>
    <t>EST 3.1</t>
  </si>
  <si>
    <t>EST 3.2</t>
  </si>
  <si>
    <r>
      <t xml:space="preserve">Develop </t>
    </r>
    <r>
      <rPr>
        <b/>
        <sz val="10"/>
        <rFont val="Calibri"/>
        <family val="2"/>
        <scheme val="minor"/>
      </rPr>
      <t>high-level estimates</t>
    </r>
    <r>
      <rPr>
        <sz val="10"/>
        <rFont val="Calibri"/>
        <family val="2"/>
        <scheme val="minor"/>
      </rPr>
      <t xml:space="preserve"> to perform the work. </t>
    </r>
  </si>
  <si>
    <r>
      <t>Develop, keep updated, and use the</t>
    </r>
    <r>
      <rPr>
        <b/>
        <sz val="10"/>
        <rFont val="Calibri"/>
        <family val="2"/>
        <scheme val="minor"/>
      </rPr>
      <t xml:space="preserve"> scope</t>
    </r>
    <r>
      <rPr>
        <sz val="10"/>
        <rFont val="Calibri"/>
        <family val="2"/>
        <scheme val="minor"/>
      </rPr>
      <t xml:space="preserve"> of what is being estimated. </t>
    </r>
  </si>
  <si>
    <r>
      <t xml:space="preserve">Develop and keep updated </t>
    </r>
    <r>
      <rPr>
        <b/>
        <sz val="10"/>
        <rFont val="Calibri"/>
        <family val="2"/>
        <scheme val="minor"/>
      </rPr>
      <t>estimates</t>
    </r>
    <r>
      <rPr>
        <sz val="10"/>
        <rFont val="Calibri"/>
        <family val="2"/>
        <scheme val="minor"/>
      </rPr>
      <t xml:space="preserve"> for the </t>
    </r>
    <r>
      <rPr>
        <b/>
        <sz val="10"/>
        <rFont val="Calibri"/>
        <family val="2"/>
        <scheme val="minor"/>
      </rPr>
      <t xml:space="preserve">size </t>
    </r>
    <r>
      <rPr>
        <sz val="10"/>
        <rFont val="Calibri"/>
        <family val="2"/>
        <scheme val="minor"/>
      </rPr>
      <t xml:space="preserve">of the solution. </t>
    </r>
  </si>
  <si>
    <r>
      <t xml:space="preserve">Based on size estimates, develop and </t>
    </r>
    <r>
      <rPr>
        <b/>
        <sz val="10"/>
        <rFont val="Calibri"/>
        <family val="2"/>
        <scheme val="minor"/>
      </rPr>
      <t>record effort, duration, and cost estimates</t>
    </r>
    <r>
      <rPr>
        <sz val="10"/>
        <rFont val="Calibri"/>
        <family val="2"/>
        <scheme val="minor"/>
      </rPr>
      <t xml:space="preserve"> and their rationale for the solution. </t>
    </r>
  </si>
  <si>
    <r>
      <t xml:space="preserve">	Develop and keep updated a recorded </t>
    </r>
    <r>
      <rPr>
        <b/>
        <sz val="10"/>
        <rFont val="Calibri"/>
        <family val="2"/>
        <scheme val="minor"/>
      </rPr>
      <t>estimation method</t>
    </r>
    <r>
      <rPr>
        <sz val="10"/>
        <rFont val="Calibri"/>
        <family val="2"/>
        <scheme val="minor"/>
      </rPr>
      <t xml:space="preserve">. </t>
    </r>
  </si>
  <si>
    <r>
      <t xml:space="preserve">	Use the organizational </t>
    </r>
    <r>
      <rPr>
        <b/>
        <sz val="10"/>
        <rFont val="Calibri"/>
        <family val="2"/>
        <scheme val="minor"/>
      </rPr>
      <t>measurement repository</t>
    </r>
    <r>
      <rPr>
        <sz val="10"/>
        <rFont val="Calibri"/>
        <family val="2"/>
        <scheme val="minor"/>
      </rPr>
      <t xml:space="preserve"> and process assets for estimating work.</t>
    </r>
  </si>
  <si>
    <t>high level estimates;</t>
  </si>
  <si>
    <t>list of tasks or activities or WBS;
list of needed resources;
work flow diagram;</t>
  </si>
  <si>
    <t>size estimates;</t>
  </si>
  <si>
    <t>effort estimate;
duration estimate;
cost estimate;
estimating rationale;</t>
  </si>
  <si>
    <t>recorded estimation methods;</t>
  </si>
  <si>
    <t>work estimates;
updated org. process assets;</t>
  </si>
  <si>
    <t>review needs and assumptions and determine high level estimates with stakeholders;</t>
  </si>
  <si>
    <t>review requirements and objectives with stakeholders to determine scope;</t>
  </si>
  <si>
    <t>estimate size and complexity of solutions and tasks;</t>
  </si>
  <si>
    <t>collect and use historical data to develop and calibrate models to transform size and complexity into effort, duration, and cost estimates;
describe and record rationale for estimates of effort, duration, and cost;
include estimates of supporting infrastructure needs;</t>
  </si>
  <si>
    <t>determine acceptable estimation methods;
calibrate and adjust method based on actual results;
validate method;</t>
  </si>
  <si>
    <t>use org. assets and measures for estimation;
use estimation methods;
contribute results and measures to improve and update repository;
analyse org. data;</t>
  </si>
  <si>
    <t>Do you …?
What high level estimates do you make?</t>
  </si>
  <si>
    <t>Explain how you scope the work?
(what to estimate - what is included and what is excluded)?</t>
  </si>
  <si>
    <t>Explain how you estimate the size of work?
 (FP, LOC, number of UCs, number of workstations, number of network points, number of data records, etc)?</t>
  </si>
  <si>
    <t>Explain how you use the size estimates to develop effort, duration and cost estimates?
How do you use these estimates to schedule the work?</t>
  </si>
  <si>
    <t>Explain how your estimation method works? 
Is this estimation method documented?
How do you maintain or improve your estimates?
What method do you use? What is it called</t>
  </si>
  <si>
    <t>Explain how you make use of the org. measurement repository to perform your estimating?</t>
  </si>
  <si>
    <t>你做了什么粗略的估算?</t>
  </si>
  <si>
    <t>“你是怎么确定估算范围的?”
(估算什么——包括什么，不包括什么)?</t>
  </si>
  <si>
    <t>“你如何估算工作的规模?”
(FP, LOC, uc的数量，工作站的数量，网络点的数量，数据记录的数量，等等)?</t>
  </si>
  <si>
    <t>“如何利用规模估算来估算工作量、工期和成本?”
如何使用这些估算来安排工作?</t>
  </si>
  <si>
    <t>“解释一下你的评估方法是如何工作的?”
这个估算方法是否有文档记录?
您如何维护或改进您的评估?
你用的是什么方法?叫什么名字?</t>
  </si>
  <si>
    <t>你如何利用组织度量存储库来执行您的估算?</t>
  </si>
  <si>
    <t>CAR - CAUSAL ANALYSIS AND RESOLUTION (CAR)</t>
  </si>
  <si>
    <t>Intent</t>
    <phoneticPr fontId="8" type="noConversion"/>
  </si>
  <si>
    <t xml:space="preserve">Identify causes of selected outcomes and take action to either prevent recurrence of undesirable outcomes or ensure recurrence of positive outcomes. </t>
    <phoneticPr fontId="8" type="noConversion"/>
  </si>
  <si>
    <t>Value</t>
    <phoneticPr fontId="8" type="noConversion"/>
  </si>
  <si>
    <t>Addressing root cause issues eliminates rework and directly improves quality and productivity.</t>
    <phoneticPr fontId="8" type="noConversion"/>
  </si>
  <si>
    <t>CAR 1.1</t>
  </si>
  <si>
    <t>CAR 2.1</t>
  </si>
  <si>
    <t>CAR 2.2</t>
  </si>
  <si>
    <t>CAR 3.1</t>
  </si>
  <si>
    <t>CAR 3.2</t>
  </si>
  <si>
    <t>CAR 3.3</t>
  </si>
  <si>
    <t>CAR 3.4</t>
  </si>
  <si>
    <t>CAR 3.5</t>
  </si>
  <si>
    <t>CAR 4.1</t>
  </si>
  <si>
    <t>CAR 4.2</t>
  </si>
  <si>
    <t>CAR 5.1</t>
  </si>
  <si>
    <t>Identify and address causes of selected outcomes.</t>
  </si>
  <si>
    <t xml:space="preserve">Select outcomes for analysis. </t>
  </si>
  <si>
    <t>Analyse and address causes of outcomes.</t>
  </si>
  <si>
    <t xml:space="preserve">Determine root causes of selected outcomes by following an organizational process. </t>
  </si>
  <si>
    <t>Propose actions to address identified root causes.</t>
  </si>
  <si>
    <t xml:space="preserve">Implement selected action proposals. </t>
  </si>
  <si>
    <t xml:space="preserve">Record root cause analysis and resolution data. </t>
  </si>
  <si>
    <t xml:space="preserve">Submit improvement proposals for changes proven to be effective. </t>
  </si>
  <si>
    <t>Perform root cause analysis of selected outcomes using statistical and other quantitative techniques.</t>
  </si>
  <si>
    <t>Evaluate the effect of implemented actions on process performance using statistical 
and other quantitative techniques.</t>
  </si>
  <si>
    <t xml:space="preserve">Use statistical and other quantitative techniques to evaluate other solutions and processes to determine 
if the resolution should be applied on a broader scale. </t>
  </si>
  <si>
    <t xml:space="preserve"> list of investigated outcomes;</t>
  </si>
  <si>
    <t>analysis results;
outcomes selected for further analysis;</t>
  </si>
  <si>
    <t>list of stakeholders;
identified causes;
actions to take;</t>
  </si>
  <si>
    <t>list of root causes;
list of affected stakeholders;</t>
  </si>
  <si>
    <t>action proposals;</t>
  </si>
  <si>
    <t>selected action proposals;
action plans;
updated process assets;
grouped common causes;</t>
  </si>
  <si>
    <t>root cause analysis and resolution records;</t>
  </si>
  <si>
    <t>improvement proposals</t>
  </si>
  <si>
    <t>process and project performance analyses;
identified root causes;
identified measures of effectiveness;
action plans;
updated solns. or processes;</t>
  </si>
  <si>
    <t>analysis of change in process performance;
org. improvement proposals;</t>
  </si>
  <si>
    <t>identified candidate processes and solns.;
results of changes;
process control charts before and after proposal;</t>
  </si>
  <si>
    <t>select outcomes that differed from expectation;
investigate causes of outcomes;
address causes and record changes made to address causes;</t>
  </si>
  <si>
    <t>define the scope of the analysis;
collect relevant data;
determine which outcomes to analyse further;</t>
  </si>
  <si>
    <t>identify the affected stakeholders and involve them;
perform causal analysis;
implement actions to address causes;
 assess the impact of the actions taken;
communicate the results;</t>
  </si>
  <si>
    <t>identify stakeholders;
collect data;
follow an org. process for root cause analysis;
record the root causes;</t>
  </si>
  <si>
    <t>develop an action proposal;
record action proposals;</t>
  </si>
  <si>
    <t>analyse action proposals and determine their priorities;
select action proposals to be implemented;
develop action plans for implementation;
implement action plans;
look for similar root causes and take action;</t>
  </si>
  <si>
    <t>record root cause analysis data and make available;</t>
  </si>
  <si>
    <t xml:space="preserve">submit improvement proposals
-&gt; DAR
</t>
  </si>
  <si>
    <t>use control charts to identify signals;
perform root cause analysis;
identify and analyse potential actions;
identify measures of effectiveness;
implement selected actions;</t>
  </si>
  <si>
    <t xml:space="preserve">measure and analyse the change in process performance of affected processes;
determine the impacts of the change on proj. QPPOs;
submit process improvement proposals for the org.;
</t>
  </si>
  <si>
    <t>identify similar processes or solutions;
analyse to determine candidates for change and prioritise;
apply changes to selected processes and communicate results;</t>
  </si>
  <si>
    <t>- Do you have a list of outcomes (opportunities or defects) to investigate?</t>
  </si>
  <si>
    <t xml:space="preserve">- Can you provide us with a list of outcomes (opportunity/defects) for analysis?
</t>
  </si>
  <si>
    <t>- Do you have a list of causes (for outcomes) identified in analysis?
- Do you have a list of actions to address the causes identified?</t>
  </si>
  <si>
    <t xml:space="preserve">- What is the process you follow to determine root causes?
</t>
  </si>
  <si>
    <t>- What actions have you identified to address causes?</t>
  </si>
  <si>
    <t>- How do you select actions proposals to address identified causes?</t>
  </si>
  <si>
    <t>- What data is recorded about root cause resolution?</t>
  </si>
  <si>
    <t xml:space="preserve">- What root cause improvement proposals have been submitted and implemented?
</t>
  </si>
  <si>
    <t>- What statistical and other quantitative methods are used to perform root cause analysis?</t>
  </si>
  <si>
    <t>- What process performance measures have been used to demonstrate the causal analysis action proposal(s) where effective in achieving the process performance objectives?</t>
  </si>
  <si>
    <t>- Have you implemented the action proposal organisationally? If yes, how did you measure if it was effective?</t>
  </si>
  <si>
    <t>—你是否有一系列结果(机会或缺陷)需要调查?</t>
  </si>
  <si>
    <t xml:space="preserve">—您能提供一份结果(机会/缺陷)列表供我们分析吗?
</t>
  </si>
  <si>
    <t>’—在分析中，你是否有一份原因(结果)列表?
你是否有一系列针对已确定的原因的行动?</t>
  </si>
  <si>
    <t>—你是如何确定根本原因的?</t>
  </si>
  <si>
    <t>——你确定了哪些行动来解决问题?</t>
  </si>
  <si>
    <t>—你如何选择行动建议来解决已识别的原因?</t>
  </si>
  <si>
    <t>’—记录了关于根本原因解决的哪些数据?</t>
  </si>
  <si>
    <t xml:space="preserve">已提交并实施了哪些根本原因的改进建议?
</t>
  </si>
  <si>
    <t>DAR - DECISION ANALYSIS AND RESOLUTION (DAR)</t>
    <phoneticPr fontId="8" type="noConversion"/>
  </si>
  <si>
    <t xml:space="preserve">Make and record decisions using a recorded process that analyzes alternatives. </t>
    <phoneticPr fontId="8" type="noConversion"/>
  </si>
  <si>
    <t xml:space="preserve">Increases the objectivity of decision making and the probability of selecting the optimal solution. </t>
    <phoneticPr fontId="8" type="noConversion"/>
  </si>
  <si>
    <t>DAR 1.1</t>
  </si>
  <si>
    <t>DAR 1.2</t>
  </si>
  <si>
    <t>DAR 2.1</t>
  </si>
  <si>
    <t>DAR 2.2</t>
  </si>
  <si>
    <t>DAR 2.3</t>
  </si>
  <si>
    <t>DAR 2.4</t>
  </si>
  <si>
    <t>DAR 2.5</t>
  </si>
  <si>
    <t>DAR 3.1</t>
  </si>
  <si>
    <t xml:space="preserve">Define and record the alternatives. </t>
  </si>
  <si>
    <t xml:space="preserve">Make and record the decision. </t>
  </si>
  <si>
    <t xml:space="preserve">Develop, keep updated, and use rules to determine when to follow a recorded process for criteria-based decisions. </t>
  </si>
  <si>
    <t xml:space="preserve">Develop criteria for evaluating alternatives. </t>
  </si>
  <si>
    <t xml:space="preserve">Identify alternative solutions. </t>
  </si>
  <si>
    <t xml:space="preserve">	Select evaluation methods.</t>
  </si>
  <si>
    <t xml:space="preserve">	Evaluate and select solutions using criteria and methods. </t>
  </si>
  <si>
    <t xml:space="preserve">	Develop, keep updated, and use a description of role-based decision authority. </t>
  </si>
  <si>
    <t>statement of the alternatives;</t>
  </si>
  <si>
    <t>record of decisions;</t>
  </si>
  <si>
    <t xml:space="preserve">rules and guidelines for cbdm (DAR guidelines);
list of recorded criteria based decisions;
(DAR points can be specified within a process);
</t>
  </si>
  <si>
    <t>recorded evaluation criteria;</t>
  </si>
  <si>
    <t>recorded alternatives;</t>
  </si>
  <si>
    <t>selected evaluation methods;</t>
  </si>
  <si>
    <t>evaluation results;
assessed risks;
recommended solutions;</t>
  </si>
  <si>
    <t>list of roles and decision-making authority and responsibilities (SODA?);
list of decision authority levels;</t>
  </si>
  <si>
    <t>define the alternatives;
involve stakeholders in defining alternatives;</t>
  </si>
  <si>
    <t>make and record the decision;</t>
  </si>
  <si>
    <t>develop and record rules and guidelines for when to use criteria based decision making (cbdm);
follow rules and guidelines for cbdm;
communicate rules and guidelines;</t>
  </si>
  <si>
    <t>define criteria for evaluating alternative solutions;
define, use, and update the range and weighting for evaluation criteria;</t>
  </si>
  <si>
    <t>research information about similar decisions (internal or external);
identify additional alternatives;
record selected alternatives;</t>
  </si>
  <si>
    <t>select evaluation methods;</t>
  </si>
  <si>
    <t>evaluate alternatives using the cbdm process;
record results;
assess risks of implementation;
record and communicate results for recommended solution;</t>
  </si>
  <si>
    <t>identify, record, update and communicate the roles and levels of decision making authority;</t>
  </si>
  <si>
    <t>- Do you define and record alternative options (in the process he/she execute)?</t>
  </si>
  <si>
    <t>- Do you make and record the decisions on options selected (in the process he/she executes)?</t>
  </si>
  <si>
    <t>- Do you have a set of rules that determine when to follow a recorded process for criteria-based decision making?</t>
  </si>
  <si>
    <t>- At these DAR decision points of your process, how do you develop criteria for evaluating alternatives?</t>
  </si>
  <si>
    <t>- At these DAR decision points, what alternatives have you identified?</t>
  </si>
  <si>
    <t>- At these DAR decision points, what evaluation methods for making a decision have been used?</t>
  </si>
  <si>
    <t>- At these DAR decision points, what decision have you made? Was this based on the alternatives, criteria and decision methods specified previously?</t>
  </si>
  <si>
    <t>- Explain role-based decision authority in your organisation?</t>
  </si>
  <si>
    <t>你是否(在执行的过程中)定义并记录其他备选方案?</t>
  </si>
  <si>
    <t>“-（在执行的过程中），你是否对所选择的选项做出决定并记录下来?”</t>
  </si>
  <si>
    <t>—你是否有一套规则来决定什么时候应该遵循基于标准的决策过程?</t>
  </si>
  <si>
    <t>’—在你们流程的DAR决策点，你们如何制定评估备选方案的标准?</t>
  </si>
  <si>
    <t>’—在DAR决策点，你们确定了哪些备选方案?</t>
  </si>
  <si>
    <t>“在DAR决策点，采用了哪些评估方法来做决策?”</t>
  </si>
  <si>
    <t>在DAR决策点，你做了什么决定?这是基于上述的备选方案、标准和决策方法吗?</t>
  </si>
  <si>
    <t>—解释一下你的组织中基于角色的决策主体?</t>
  </si>
  <si>
    <t>CM - CONFIGURATION MANAGEMENT (CM)</t>
  </si>
  <si>
    <t>Manage the integrity of work products using configuration identification, version control, change control, and audits.</t>
  </si>
  <si>
    <t xml:space="preserve">Reduces loss of work and increases the ability to deliver the correct version of the solution to the customer. </t>
  </si>
  <si>
    <t>CM 1.1</t>
  </si>
  <si>
    <t>CM 2.1</t>
  </si>
  <si>
    <t>CM 2.2</t>
  </si>
  <si>
    <t>CM 2.3</t>
  </si>
  <si>
    <t>CM 2.4</t>
  </si>
  <si>
    <t>CM 2.5</t>
  </si>
  <si>
    <t>CM 2.6</t>
  </si>
  <si>
    <t>Perform version control.</t>
  </si>
  <si>
    <t xml:space="preserve">Identify items to be placed under configuration management. </t>
  </si>
  <si>
    <t xml:space="preserve">Develop, keep updated, and use a configuration and change management system. </t>
  </si>
  <si>
    <t xml:space="preserve">Develop or release baselines for internal use or for delivery to the customer. </t>
  </si>
  <si>
    <t xml:space="preserve">Manage changes to the items under configuration management. </t>
  </si>
  <si>
    <t xml:space="preserve">Develop, keep updated, and use records describing items under configuration management. </t>
  </si>
  <si>
    <t xml:space="preserve">Perform configuration audits to maintain the integrity of configuration baselines, changes, and content of the configuration management system. </t>
  </si>
  <si>
    <t>list of work products and their versions;</t>
  </si>
  <si>
    <t>identified Configuration Items (with details)</t>
  </si>
  <si>
    <t>configuration mgt (CM) system;
change mgt system;
updated CIs;</t>
  </si>
  <si>
    <t>baseline;
software releases;
authorisations;</t>
  </si>
  <si>
    <t>change requests;
results of change impact analysis;
approval board record - CCB minutes;
revision history of CIs;
results of reviews or tests;
revised work products and baselines;</t>
  </si>
  <si>
    <t>revision history or change log of CIs;
change request records;
status of CIs;
differences between baselines;</t>
  </si>
  <si>
    <t>configuration audit or review reports;
action items;</t>
  </si>
  <si>
    <t>list work products to be place under version control, update;
control the versions;</t>
  </si>
  <si>
    <t>assign unique identifiers to CIs;
describe important characteristics for each CI;
specify when each item is placed under CM;</t>
  </si>
  <si>
    <t>describe how CIs and changes are controlled and managed;
establish methods to manage multiple levels of control;
provide access control to CM system;
store and retrieve CIs in the CM system;
preserve the contents of the CM system;
update the CM system as necessary;</t>
  </si>
  <si>
    <t>obtain approval before developing or releasing CI baselines;
develop or release CI baselines in the system;
record the set of CI s in a baseline;
make the CI baselines available;</t>
  </si>
  <si>
    <t>initiate and record change requests;
analyse the impact of change requests;
categorise and prioritise CRs;
review and get agreement on CRs;
track the status of CRs;
incorporate changes;
perform reviews or testing;
record changes;</t>
  </si>
  <si>
    <t>record CM actions in sufficient detail;
ensure stakeholders have access to status of CIs;
specify differences previous, related and latest baselines;
identify the version of CI that constitutes a specific baseline;
revise status and history of CIs;
establish and maintain configuration change histories on CIs;</t>
  </si>
  <si>
    <t>assess the integrity of baselines and generate actions to address issues;
confirm integrity of CM records;
review structure and integrity of CIs;
record and track actions;</t>
  </si>
  <si>
    <t>- Describe how you perform version control.</t>
  </si>
  <si>
    <r>
      <rPr>
        <sz val="9"/>
        <rFont val="Calibri"/>
        <family val="2"/>
      </rPr>
      <t xml:space="preserve">- What items are put under configuration management?
- </t>
    </r>
    <r>
      <rPr>
        <sz val="9"/>
        <color theme="7" tint="-0.499984740745262"/>
        <rFont val="Calibri"/>
        <family val="2"/>
      </rPr>
      <t xml:space="preserve">How do you identify </t>
    </r>
    <r>
      <rPr>
        <b/>
        <sz val="9"/>
        <color theme="7" tint="-0.499984740745262"/>
        <rFont val="Calibri"/>
        <family val="2"/>
      </rPr>
      <t>what items</t>
    </r>
    <r>
      <rPr>
        <sz val="9"/>
        <color theme="7" tint="-0.499984740745262"/>
        <rFont val="Calibri"/>
        <family val="2"/>
      </rPr>
      <t xml:space="preserve"> to put under configuration management?</t>
    </r>
  </si>
  <si>
    <r>
      <rPr>
        <sz val="9"/>
        <rFont val="Calibri"/>
        <family val="2"/>
      </rPr>
      <t xml:space="preserve">- What configuration management </t>
    </r>
    <r>
      <rPr>
        <b/>
        <sz val="9"/>
        <rFont val="Calibri"/>
        <family val="2"/>
      </rPr>
      <t>system(s)</t>
    </r>
    <r>
      <rPr>
        <sz val="9"/>
        <rFont val="Calibri"/>
        <family val="2"/>
      </rPr>
      <t xml:space="preserve"> do you have?</t>
    </r>
  </si>
  <si>
    <r>
      <rPr>
        <sz val="9"/>
        <rFont val="Calibri"/>
        <family val="2"/>
      </rPr>
      <t xml:space="preserve">- Explain how you establish </t>
    </r>
    <r>
      <rPr>
        <b/>
        <sz val="9"/>
        <rFont val="Calibri"/>
        <family val="2"/>
      </rPr>
      <t>software baselines</t>
    </r>
    <r>
      <rPr>
        <sz val="9"/>
        <rFont val="Calibri"/>
        <family val="2"/>
      </rPr>
      <t xml:space="preserve"> for further development?
What authorisations are required before release?
- </t>
    </r>
    <r>
      <rPr>
        <sz val="9"/>
        <color theme="7" tint="-0.499984740745262"/>
        <rFont val="Calibri"/>
        <family val="2"/>
      </rPr>
      <t xml:space="preserve">Explain how you establish </t>
    </r>
    <r>
      <rPr>
        <b/>
        <sz val="9"/>
        <color theme="7" tint="-0.499984740745262"/>
        <rFont val="Calibri"/>
        <family val="2"/>
      </rPr>
      <t>software releases</t>
    </r>
    <r>
      <rPr>
        <sz val="9"/>
        <color theme="7" tint="-0.499984740745262"/>
        <rFont val="Calibri"/>
        <family val="2"/>
      </rPr>
      <t xml:space="preserve"> that form the basis for further development?
What baselines do they develop and release - software, project work products, process … ?</t>
    </r>
  </si>
  <si>
    <r>
      <rPr>
        <sz val="9"/>
        <rFont val="Calibri"/>
        <family val="2"/>
      </rPr>
      <t xml:space="preserve">- How do you </t>
    </r>
    <r>
      <rPr>
        <b/>
        <sz val="9"/>
        <rFont val="Calibri"/>
        <family val="2"/>
      </rPr>
      <t>manage changes</t>
    </r>
    <r>
      <rPr>
        <sz val="9"/>
        <rFont val="Calibri"/>
        <family val="2"/>
      </rPr>
      <t xml:space="preserve"> to items under configuration management?</t>
    </r>
  </si>
  <si>
    <r>
      <rPr>
        <sz val="9"/>
        <rFont val="Calibri"/>
        <family val="2"/>
      </rPr>
      <t xml:space="preserve">- What </t>
    </r>
    <r>
      <rPr>
        <b/>
        <sz val="9"/>
        <rFont val="Calibri"/>
        <family val="2"/>
      </rPr>
      <t>records</t>
    </r>
    <r>
      <rPr>
        <sz val="9"/>
        <rFont val="Calibri"/>
        <family val="2"/>
      </rPr>
      <t xml:space="preserve"> do you maintain on configuration items?</t>
    </r>
  </si>
  <si>
    <r>
      <rPr>
        <sz val="9"/>
        <rFont val="Calibri"/>
        <family val="2"/>
      </rPr>
      <t xml:space="preserve">- How do you ensure the </t>
    </r>
    <r>
      <rPr>
        <b/>
        <sz val="9"/>
        <rFont val="Calibri"/>
        <family val="2"/>
      </rPr>
      <t>integrity of items</t>
    </r>
    <r>
      <rPr>
        <sz val="9"/>
        <rFont val="Calibri"/>
        <family val="2"/>
      </rPr>
      <t xml:space="preserve"> under configuration management?
</t>
    </r>
    <r>
      <rPr>
        <sz val="9"/>
        <color theme="7" tint="-0.499984740745262"/>
        <rFont val="Calibri"/>
        <family val="2"/>
      </rPr>
      <t xml:space="preserve">- How do you ensure the </t>
    </r>
    <r>
      <rPr>
        <b/>
        <sz val="9"/>
        <color theme="7" tint="-0.499984740745262"/>
        <rFont val="Calibri"/>
        <family val="2"/>
      </rPr>
      <t>integrity of baselines</t>
    </r>
    <r>
      <rPr>
        <sz val="9"/>
        <color theme="7" tint="-0.499984740745262"/>
        <rFont val="Calibri"/>
        <family val="2"/>
      </rPr>
      <t xml:space="preserve"> and the integrity of releases?</t>
    </r>
    <r>
      <rPr>
        <sz val="9"/>
        <rFont val="Calibri"/>
        <family val="2"/>
        <scheme val="minor"/>
      </rPr>
      <t xml:space="preserve">
How do you conduct audits, what audits are conducted?</t>
    </r>
  </si>
  <si>
    <r>
      <rPr>
        <sz val="9"/>
        <color theme="7" tint="-0.499984740745262"/>
        <rFont val="Calibri"/>
        <family val="2"/>
      </rPr>
      <t>—</t>
    </r>
    <r>
      <rPr>
        <sz val="9"/>
        <color theme="7" tint="-0.499984740745262"/>
        <rFont val="宋体"/>
        <family val="3"/>
        <charset val="134"/>
      </rPr>
      <t>配置管理下有哪些配置项</t>
    </r>
    <r>
      <rPr>
        <sz val="9"/>
        <color theme="7" tint="-0.499984740745262"/>
        <rFont val="Calibri"/>
        <family val="2"/>
      </rPr>
      <t>?
—</t>
    </r>
    <r>
      <rPr>
        <sz val="9"/>
        <color theme="7" tint="-0.499984740745262"/>
        <rFont val="宋体"/>
        <family val="3"/>
        <charset val="134"/>
      </rPr>
      <t>如何识别需要进行配置管理的配置项</t>
    </r>
    <r>
      <rPr>
        <sz val="9"/>
        <color theme="7" tint="-0.499984740745262"/>
        <rFont val="Calibri"/>
        <family val="2"/>
      </rPr>
      <t>?</t>
    </r>
  </si>
  <si>
    <r>
      <rPr>
        <sz val="9"/>
        <rFont val="宋体"/>
        <family val="3"/>
        <charset val="134"/>
      </rPr>
      <t>你有什么配置管理系统</t>
    </r>
    <r>
      <rPr>
        <sz val="9"/>
        <rFont val="Calibri"/>
        <family val="2"/>
      </rPr>
      <t>?</t>
    </r>
  </si>
  <si>
    <r>
      <rPr>
        <sz val="9"/>
        <color theme="7" tint="-0.499984740745262"/>
        <rFont val="Calibri"/>
        <family val="2"/>
      </rPr>
      <t>—</t>
    </r>
    <r>
      <rPr>
        <sz val="9"/>
        <color theme="7" tint="-0.499984740745262"/>
        <rFont val="宋体"/>
        <family val="3"/>
        <charset val="134"/>
      </rPr>
      <t>解释一下你是如何为进一步的开发建立软件基线的</t>
    </r>
    <r>
      <rPr>
        <sz val="9"/>
        <color theme="7" tint="-0.499984740745262"/>
        <rFont val="Calibri"/>
        <family val="2"/>
      </rPr>
      <t xml:space="preserve">?
</t>
    </r>
    <r>
      <rPr>
        <sz val="9"/>
        <color theme="7" tint="-0.499984740745262"/>
        <rFont val="宋体"/>
        <family val="3"/>
        <charset val="134"/>
      </rPr>
      <t>解释一下你是如何建立软件发行版的，这些发行版是进一步开发的基础</t>
    </r>
    <r>
      <rPr>
        <sz val="9"/>
        <color theme="7" tint="-0.499984740745262"/>
        <rFont val="Calibri"/>
        <family val="2"/>
      </rPr>
      <t>?</t>
    </r>
  </si>
  <si>
    <r>
      <t>—</t>
    </r>
    <r>
      <rPr>
        <sz val="9"/>
        <rFont val="宋体"/>
        <family val="3"/>
        <charset val="134"/>
      </rPr>
      <t>如何在配置管理下管理对配置项的更改</t>
    </r>
    <r>
      <rPr>
        <sz val="9"/>
        <rFont val="Calibri"/>
        <family val="2"/>
      </rPr>
      <t>?</t>
    </r>
  </si>
  <si>
    <r>
      <t>—</t>
    </r>
    <r>
      <rPr>
        <sz val="9"/>
        <rFont val="宋体"/>
        <family val="3"/>
        <charset val="134"/>
      </rPr>
      <t>就配置项，您记录了哪些记录</t>
    </r>
  </si>
  <si>
    <r>
      <rPr>
        <sz val="9"/>
        <color theme="7" tint="-0.499984740745262"/>
        <rFont val="Calibri"/>
        <family val="2"/>
      </rPr>
      <t>—</t>
    </r>
    <r>
      <rPr>
        <sz val="9"/>
        <color theme="7" tint="-0.499984740745262"/>
        <rFont val="宋体"/>
        <family val="3"/>
        <charset val="134"/>
      </rPr>
      <t>如何确保配置管理下配置项的完整性</t>
    </r>
    <r>
      <rPr>
        <sz val="9"/>
        <color theme="7" tint="-0.499984740745262"/>
        <rFont val="Calibri"/>
        <family val="2"/>
      </rPr>
      <t>?
-</t>
    </r>
    <r>
      <rPr>
        <sz val="9"/>
        <color theme="7" tint="-0.499984740745262"/>
        <rFont val="宋体"/>
        <family val="3"/>
        <charset val="134"/>
      </rPr>
      <t>你如何确保基线和发布版本的完整性</t>
    </r>
    <r>
      <rPr>
        <sz val="9"/>
        <color theme="7" tint="-0.499984740745262"/>
        <rFont val="Calibri"/>
        <family val="2"/>
      </rPr>
      <t>?</t>
    </r>
  </si>
  <si>
    <t xml:space="preserve">II - IMPLEMENTATION INFRASTRUCTURE (II) </t>
  </si>
  <si>
    <t>Ensure that the processes important to an organization are persistently and habitually used and improved.</t>
    <phoneticPr fontId="8" type="noConversion"/>
  </si>
  <si>
    <t xml:space="preserve">Sustains the ability to consistently achieve goals and objectives efficiently and effectively. </t>
    <phoneticPr fontId="8" type="noConversion"/>
  </si>
  <si>
    <t>II 1.1</t>
  </si>
  <si>
    <t>II 2.1</t>
  </si>
  <si>
    <t>II 2.2</t>
  </si>
  <si>
    <t>II 3.1</t>
  </si>
  <si>
    <t>II 3.2</t>
  </si>
  <si>
    <t>II 3.3</t>
  </si>
  <si>
    <t xml:space="preserve">Perform processes that address the intent of the Level 1 practices. </t>
  </si>
  <si>
    <r>
      <t xml:space="preserve">Provide </t>
    </r>
    <r>
      <rPr>
        <b/>
        <sz val="10"/>
        <rFont val="Calibri"/>
        <family val="2"/>
        <scheme val="minor"/>
      </rPr>
      <t>sufficient resources, funding, and training</t>
    </r>
    <r>
      <rPr>
        <sz val="10"/>
        <rFont val="Calibri"/>
        <family val="2"/>
        <scheme val="minor"/>
      </rPr>
      <t xml:space="preserve"> for developing and performing processes.</t>
    </r>
  </si>
  <si>
    <r>
      <t xml:space="preserve">Develop and keep </t>
    </r>
    <r>
      <rPr>
        <b/>
        <sz val="10"/>
        <rFont val="Calibri"/>
        <family val="2"/>
        <scheme val="minor"/>
      </rPr>
      <t>processes updated</t>
    </r>
    <r>
      <rPr>
        <sz val="10"/>
        <rFont val="Calibri"/>
        <family val="2"/>
        <scheme val="minor"/>
      </rPr>
      <t xml:space="preserve">, and verify they are being </t>
    </r>
    <r>
      <rPr>
        <b/>
        <sz val="10"/>
        <rFont val="Calibri"/>
        <family val="2"/>
        <scheme val="minor"/>
      </rPr>
      <t>followed</t>
    </r>
    <r>
      <rPr>
        <sz val="10"/>
        <rFont val="Calibri"/>
        <family val="2"/>
        <scheme val="minor"/>
      </rPr>
      <t xml:space="preserve">. </t>
    </r>
  </si>
  <si>
    <r>
      <rPr>
        <b/>
        <sz val="10"/>
        <rFont val="Calibri"/>
        <family val="2"/>
        <scheme val="minor"/>
      </rPr>
      <t>Use organizational processes</t>
    </r>
    <r>
      <rPr>
        <sz val="10"/>
        <rFont val="Calibri"/>
        <family val="2"/>
        <scheme val="minor"/>
      </rPr>
      <t xml:space="preserve"> and process assets to plan, manage, and perform the work. </t>
    </r>
  </si>
  <si>
    <r>
      <rPr>
        <b/>
        <sz val="10"/>
        <rFont val="Calibri"/>
        <family val="2"/>
        <scheme val="minor"/>
      </rPr>
      <t>Evaluate the adherence to and effectiveness of</t>
    </r>
    <r>
      <rPr>
        <sz val="10"/>
        <rFont val="Calibri"/>
        <family val="2"/>
        <scheme val="minor"/>
      </rPr>
      <t xml:space="preserve"> the organizational processes. </t>
    </r>
  </si>
  <si>
    <r>
      <rPr>
        <b/>
        <sz val="10"/>
        <rFont val="Calibri"/>
        <family val="2"/>
        <scheme val="minor"/>
      </rPr>
      <t>Contribute process-related information</t>
    </r>
    <r>
      <rPr>
        <sz val="10"/>
        <rFont val="Calibri"/>
        <family val="2"/>
        <scheme val="minor"/>
      </rPr>
      <t xml:space="preserve"> or process assets to the organization. </t>
    </r>
  </si>
  <si>
    <t>outputs of processes;
process compliance check;</t>
  </si>
  <si>
    <t>budget for resources;
training materials, records;
list of people, roles, skills;
Process Group (EPG);
tools;</t>
  </si>
  <si>
    <t>process documentation;
process verification results;</t>
  </si>
  <si>
    <t>tailored process;
organisational process assets;
tailoring guidelines;</t>
  </si>
  <si>
    <t>evaluation results;
analysis results;
improvement proposals;
process compliance audit</t>
  </si>
  <si>
    <t>examples, best practices, lessons learned;
tailoring records;
process improvements registered;</t>
  </si>
  <si>
    <t>processes are performed (can be ad-hoc);</t>
  </si>
  <si>
    <t>make budget available for a process group;
establish a process group structure;</t>
  </si>
  <si>
    <t>identify process purpose;
determine format;
describe process;
perform process;
validate process is followed;
review and update processes;
communicate and make available;</t>
  </si>
  <si>
    <t>plan work using org. processes (includes tailoring);
manage work using org. processes;
perform work using org. processes;</t>
  </si>
  <si>
    <t>evaluate processes for effectiveness and usefulness;
analyse process pereformance;
examine results of evaluations, appraisals, audits;
record and communicate results;
submit improvements;</t>
  </si>
  <si>
    <t>collect and record best practice, lessons learned, and tailoring info.;
submit assets for inclusion in the PAL;
propose improvements;</t>
  </si>
  <si>
    <t>-Do you follow a process? 
- How can this be shown?</t>
  </si>
  <si>
    <r>
      <t xml:space="preserve">-What </t>
    </r>
    <r>
      <rPr>
        <b/>
        <sz val="9"/>
        <rFont val="Calibri"/>
        <family val="2"/>
        <scheme val="minor"/>
      </rPr>
      <t>resources</t>
    </r>
    <r>
      <rPr>
        <sz val="9"/>
        <rFont val="Calibri"/>
        <family val="2"/>
        <scheme val="minor"/>
      </rPr>
      <t xml:space="preserve"> are made available </t>
    </r>
    <r>
      <rPr>
        <b/>
        <sz val="9"/>
        <rFont val="Calibri"/>
        <family val="2"/>
        <scheme val="minor"/>
      </rPr>
      <t>for developing</t>
    </r>
    <r>
      <rPr>
        <sz val="9"/>
        <rFont val="Calibri"/>
        <family val="2"/>
        <scheme val="minor"/>
      </rPr>
      <t xml:space="preserve"> process? (people, budget, tools)
-How do you </t>
    </r>
    <r>
      <rPr>
        <b/>
        <sz val="9"/>
        <rFont val="Calibri"/>
        <family val="2"/>
        <scheme val="minor"/>
      </rPr>
      <t>find out</t>
    </r>
    <r>
      <rPr>
        <sz val="9"/>
        <rFont val="Calibri"/>
        <family val="2"/>
        <scheme val="minor"/>
      </rPr>
      <t xml:space="preserve"> about the processes in the process library?
-What happens if there are </t>
    </r>
    <r>
      <rPr>
        <b/>
        <sz val="9"/>
        <rFont val="Calibri"/>
        <family val="2"/>
        <scheme val="minor"/>
      </rPr>
      <t>new processes</t>
    </r>
    <r>
      <rPr>
        <sz val="9"/>
        <rFont val="Calibri"/>
        <family val="2"/>
        <scheme val="minor"/>
      </rPr>
      <t xml:space="preserve"> or process </t>
    </r>
    <r>
      <rPr>
        <b/>
        <sz val="9"/>
        <rFont val="Calibri"/>
        <family val="2"/>
        <scheme val="minor"/>
      </rPr>
      <t>updates</t>
    </r>
    <r>
      <rPr>
        <sz val="9"/>
        <rFont val="Calibri"/>
        <family val="2"/>
        <scheme val="minor"/>
      </rPr>
      <t xml:space="preserve">?
-Is </t>
    </r>
    <r>
      <rPr>
        <b/>
        <sz val="9"/>
        <rFont val="Calibri"/>
        <family val="2"/>
        <scheme val="minor"/>
      </rPr>
      <t>refresher training</t>
    </r>
    <r>
      <rPr>
        <sz val="9"/>
        <rFont val="Calibri"/>
        <family val="2"/>
        <scheme val="minor"/>
      </rPr>
      <t xml:space="preserve"> provided on the processes? (there may be small changes that have been put in place over a period of time)? 
</t>
    </r>
    <r>
      <rPr>
        <b/>
        <sz val="9"/>
        <rFont val="Calibri"/>
        <family val="2"/>
        <scheme val="minor"/>
      </rPr>
      <t>How often</t>
    </r>
    <r>
      <rPr>
        <sz val="9"/>
        <rFont val="Calibri"/>
        <family val="2"/>
        <scheme val="minor"/>
      </rPr>
      <t xml:space="preserve"> have you received refresher training?</t>
    </r>
  </si>
  <si>
    <t>- What process(es) do you follow?
- Are they all documented?
- Who checks that the processes are followed correctly? 
and templates are filled in correctly?</t>
  </si>
  <si>
    <t>- Do you have a standard process for doing your work?
- How do you apply the process in your work?
Escalation rules?</t>
  </si>
  <si>
    <t>- How is compliance to the processes checked?</t>
  </si>
  <si>
    <t>- Do you submit process improvements to the processes that you follow?
- If so how? 
- How do you know what process improvement suggestions have been submitted to the processes that you follow?
Lessons learned?</t>
  </si>
  <si>
    <t>开发过程中可用的资源是什么?(人、预算工具)
你如何找到过程库中的过程?
如果有新的过程或过程更新怎么办?
是否提供有关过程的进修培训?(在一段时间内可能会有一些小的改变)?
你多久接受一次进修训练?</t>
  </si>
  <si>
    <t>你遵循什么流程?
都得到了记录吗？
谁来检查您是否正确遵守了流程、正确使用了模板？</t>
  </si>
  <si>
    <t>—你是否有一个标准的工作流程?
在工作中你是如何运用这个过程的?
升级规则?</t>
  </si>
  <si>
    <t>—如何检查流程的合规性?</t>
  </si>
  <si>
    <t>—您是否向您所遵循的流程提交流程改进?
 是的话，怎么提交的？
你如何知道哪些过程改进建议已经提交给你所遵循的过程?
经验教训呢？</t>
  </si>
  <si>
    <t>What training on writing / developing new processes?</t>
  </si>
  <si>
    <t>How easy is it to find the processes?</t>
  </si>
  <si>
    <t>Do you know what the process is to submit process improvement suggestions?</t>
  </si>
  <si>
    <t>Are you trained on the concepts / requirements of high maturity? SPC</t>
  </si>
  <si>
    <t xml:space="preserve">GOV - GOVERNANCE (GOV)  </t>
  </si>
  <si>
    <t xml:space="preserve">Intent </t>
    <phoneticPr fontId="8" type="noConversion"/>
  </si>
  <si>
    <t xml:space="preserve">Provides guidance to senior management on their role in the sponsorship and governance of process activities. </t>
    <phoneticPr fontId="8" type="noConversion"/>
  </si>
  <si>
    <t xml:space="preserve">Value </t>
    <phoneticPr fontId="8" type="noConversion"/>
  </si>
  <si>
    <t xml:space="preserve">Minimizes the cost of process implementation, increases the likelihood of meeting objectives, and ensures that the implemented processes support and contribute to the success of the business. </t>
    <phoneticPr fontId="8" type="noConversion"/>
  </si>
  <si>
    <t>GOV 1.1</t>
  </si>
  <si>
    <t>GOV 2.1</t>
  </si>
  <si>
    <t>GOV 2.2</t>
  </si>
  <si>
    <t>GOV 2.3</t>
  </si>
  <si>
    <t>GOV 2.4</t>
  </si>
  <si>
    <t>GOV 3.1</t>
  </si>
  <si>
    <t>GOV 3.2</t>
  </si>
  <si>
    <t>GOV 4.1</t>
  </si>
  <si>
    <t xml:space="preserve">Senior management identifies what is important for doing the work and defines the approach needed to accomplish the objectives of the organization. </t>
  </si>
  <si>
    <r>
      <t xml:space="preserve">Senior management defines, keeps updated, and </t>
    </r>
    <r>
      <rPr>
        <b/>
        <sz val="10"/>
        <rFont val="Calibri"/>
        <family val="2"/>
        <scheme val="minor"/>
      </rPr>
      <t>communicates organizational directives</t>
    </r>
    <r>
      <rPr>
        <sz val="10"/>
        <rFont val="Calibri"/>
        <family val="2"/>
        <scheme val="minor"/>
      </rPr>
      <t xml:space="preserve"> for process implementation and improvement based on organization needs and objectives. </t>
    </r>
  </si>
  <si>
    <r>
      <t xml:space="preserve">Senior management ensures </t>
    </r>
    <r>
      <rPr>
        <b/>
        <sz val="10"/>
        <rFont val="Calibri"/>
        <family val="2"/>
        <scheme val="minor"/>
      </rPr>
      <t>resources and training</t>
    </r>
    <r>
      <rPr>
        <sz val="10"/>
        <rFont val="Calibri"/>
        <family val="2"/>
        <scheme val="minor"/>
      </rPr>
      <t xml:space="preserve"> are provided for developing, supporting, performing, improving, and evaluating adherence to expected processes. </t>
    </r>
  </si>
  <si>
    <r>
      <t xml:space="preserve">Senior management </t>
    </r>
    <r>
      <rPr>
        <b/>
        <sz val="10"/>
        <rFont val="Calibri"/>
        <family val="2"/>
        <scheme val="minor"/>
      </rPr>
      <t>identifies their information needs</t>
    </r>
    <r>
      <rPr>
        <sz val="10"/>
        <rFont val="Calibri"/>
        <family val="2"/>
        <scheme val="minor"/>
      </rPr>
      <t xml:space="preserve">, and uses the collected information to provide governance and oversight of effective process implementation and improvement. </t>
    </r>
  </si>
  <si>
    <r>
      <t xml:space="preserve">Senior management </t>
    </r>
    <r>
      <rPr>
        <b/>
        <sz val="10"/>
        <rFont val="Calibri"/>
        <family val="2"/>
        <scheme val="minor"/>
      </rPr>
      <t>holds people accountable</t>
    </r>
    <r>
      <rPr>
        <sz val="10"/>
        <rFont val="Calibri"/>
        <family val="2"/>
        <scheme val="minor"/>
      </rPr>
      <t xml:space="preserve"> for adhering to organization directives and achieving process implementation and improvement objectives. </t>
    </r>
  </si>
  <si>
    <r>
      <t xml:space="preserve">	Senior management ensures that </t>
    </r>
    <r>
      <rPr>
        <b/>
        <sz val="10"/>
        <rFont val="Calibri"/>
        <family val="2"/>
        <scheme val="minor"/>
      </rPr>
      <t>measures supporting objectives</t>
    </r>
    <r>
      <rPr>
        <sz val="10"/>
        <rFont val="Calibri"/>
        <family val="2"/>
        <scheme val="minor"/>
      </rPr>
      <t xml:space="preserve"> throughout the organization are </t>
    </r>
    <r>
      <rPr>
        <b/>
        <sz val="10"/>
        <rFont val="Calibri"/>
        <family val="2"/>
        <scheme val="minor"/>
      </rPr>
      <t>collected, analysed, and used</t>
    </r>
    <r>
      <rPr>
        <sz val="10"/>
        <rFont val="Calibri"/>
        <family val="2"/>
        <scheme val="minor"/>
      </rPr>
      <t xml:space="preserve">. </t>
    </r>
  </si>
  <si>
    <r>
      <t xml:space="preserve">Senior management ensures that </t>
    </r>
    <r>
      <rPr>
        <b/>
        <sz val="10"/>
        <rFont val="Calibri"/>
        <family val="2"/>
        <scheme val="minor"/>
      </rPr>
      <t>competencies and processes are aligned</t>
    </r>
    <r>
      <rPr>
        <sz val="10"/>
        <rFont val="Calibri"/>
        <family val="2"/>
        <scheme val="minor"/>
      </rPr>
      <t xml:space="preserve"> with the objectives of the organization. </t>
    </r>
  </si>
  <si>
    <r>
      <t xml:space="preserve">Senior management ensures that </t>
    </r>
    <r>
      <rPr>
        <b/>
        <sz val="10"/>
        <rFont val="Calibri"/>
        <family val="2"/>
        <scheme val="minor"/>
      </rPr>
      <t>selected decisions are driven by statistical and quantitative analysis</t>
    </r>
    <r>
      <rPr>
        <sz val="10"/>
        <rFont val="Calibri"/>
        <family val="2"/>
        <scheme val="minor"/>
      </rPr>
      <t xml:space="preserve"> related to performance and achievement of quality and process performance objectives. </t>
    </r>
  </si>
  <si>
    <t>identification of importance of and approach to improvement;
records of review and communications
(improvement approach/strategy);
(improvement targets);</t>
  </si>
  <si>
    <t>org. improvement directives;
records of communication;</t>
  </si>
  <si>
    <t>recorded allocation of needed funding and resources approved by snr mgt.;
records of reviews of communications;</t>
  </si>
  <si>
    <t xml:space="preserve">snr. mgt. information needs;
standard reporting format or agenda for review with snr mgt;
list of measures;
review results;
</t>
  </si>
  <si>
    <t>action items related to accountability;
rewards, recognitions, and incentives;
consequences;</t>
  </si>
  <si>
    <t>updated organisation measurement repository;
status reports, actions and decisions;
updated org. directives and objectives;</t>
  </si>
  <si>
    <t>results of strategy and process reviews and discussions;
reviews and comparisons between the organisations competencies and processes to be executed;</t>
  </si>
  <si>
    <t>results of strategy, process performance, and progress reviews and decision analyses;
communicated results;</t>
  </si>
  <si>
    <t>determine how the organisation will improve;
set the approach for improvement;
'communicate the results of improvement;</t>
  </si>
  <si>
    <t>define org. directives based on guiding principles;
review and refine process implementation and improvement objectives to ensure alignment with guiding principles;
communicates improvement directives;
reviews and updates improvement directives on a periodic basis;</t>
  </si>
  <si>
    <t>approves and provides funding and resources needed to develop, perform, improve and monitor the process;
reviews, revises, communicates, assignment of needed funding, personnel, and resources to develop, perform, improve and monitor the process;
review and refine the allocation of budget and resources;</t>
  </si>
  <si>
    <t>identifies and updates their information needs realted to process capability, improvement, and perf. Objectives;
ensure that measures supporting the org. objectives are defined;
reviews activities, accomplishments, status, and results of process implementation and improvement activities;
oversee updates to the process;
implementation and improvement plans;
oversees the appropriate integration of measurement and analysis activities into all org. processes;</t>
  </si>
  <si>
    <t>reviews issues and trends related to deploying and improving org. processes;
directs corrective actions when - org. obj. not met, issues identified, implementation and improvement progress deviates from plan;
provides incentives for improvement;</t>
  </si>
  <si>
    <t>ensures measures are collected, analysed and used;
directs corrective actions relating to collecting, analysing, and using measures;</t>
  </si>
  <si>
    <t>review the status of competencies, objectives and processes (alignment);
record and communicate results;</t>
  </si>
  <si>
    <t>review and discuss strategy, process performance, decisions and progress;
record and communicate results;</t>
  </si>
  <si>
    <t xml:space="preserve">* How does senior management identify what is important for doing work? 
* How does senior management define the approach needed to accomplish the objectives of the organisation?	 </t>
  </si>
  <si>
    <r>
      <rPr>
        <sz val="10"/>
        <color rgb="FFFF0000"/>
        <rFont val="Calibri"/>
        <family val="2"/>
        <scheme val="minor"/>
      </rPr>
      <t>*How do senior management communicate organisational process improvement objectives to you?</t>
    </r>
    <r>
      <rPr>
        <sz val="10"/>
        <rFont val="Calibri"/>
        <family val="2"/>
        <scheme val="minor"/>
      </rPr>
      <t xml:space="preserve">
* What organisational objectives have senior management defined and communicated?
- QPPOs
</t>
    </r>
    <r>
      <rPr>
        <sz val="10"/>
        <color theme="7" tint="-0.499984740745262"/>
        <rFont val="Calibri"/>
        <family val="2"/>
        <scheme val="minor"/>
      </rPr>
      <t xml:space="preserve">*Are these objectives to be achieved through process improvements?
</t>
    </r>
  </si>
  <si>
    <r>
      <rPr>
        <sz val="10"/>
        <color rgb="FFFF0000"/>
        <rFont val="Calibri"/>
        <family val="2"/>
        <scheme val="minor"/>
      </rPr>
      <t xml:space="preserve">* What resources and training have you (senior management) provided for 
1) </t>
    </r>
    <r>
      <rPr>
        <b/>
        <sz val="10"/>
        <color rgb="FFFF0000"/>
        <rFont val="Calibri"/>
        <family val="2"/>
        <scheme val="minor"/>
      </rPr>
      <t xml:space="preserve">developing, supporting, </t>
    </r>
    <r>
      <rPr>
        <sz val="10"/>
        <color rgb="FFFF0000"/>
        <rFont val="Calibri"/>
        <family val="2"/>
        <scheme val="minor"/>
      </rPr>
      <t xml:space="preserve">
2) </t>
    </r>
    <r>
      <rPr>
        <b/>
        <sz val="10"/>
        <color rgb="FFFF0000"/>
        <rFont val="Calibri"/>
        <family val="2"/>
        <scheme val="minor"/>
      </rPr>
      <t>performing</t>
    </r>
    <r>
      <rPr>
        <sz val="10"/>
        <color rgb="FFFF0000"/>
        <rFont val="Calibri"/>
        <family val="2"/>
        <scheme val="minor"/>
      </rPr>
      <t xml:space="preserve">, 
3) </t>
    </r>
    <r>
      <rPr>
        <b/>
        <sz val="10"/>
        <color rgb="FFFF0000"/>
        <rFont val="Calibri"/>
        <family val="2"/>
        <scheme val="minor"/>
      </rPr>
      <t>improving</t>
    </r>
    <r>
      <rPr>
        <sz val="10"/>
        <color rgb="FFFF0000"/>
        <rFont val="Calibri"/>
        <family val="2"/>
        <scheme val="minor"/>
      </rPr>
      <t xml:space="preserve"> and 
4) </t>
    </r>
    <r>
      <rPr>
        <b/>
        <sz val="10"/>
        <color rgb="FFFF0000"/>
        <rFont val="Calibri"/>
        <family val="2"/>
        <scheme val="minor"/>
      </rPr>
      <t>evaluating adherence</t>
    </r>
    <r>
      <rPr>
        <sz val="10"/>
        <color rgb="FFFF0000"/>
        <rFont val="Calibri"/>
        <family val="2"/>
        <scheme val="minor"/>
      </rPr>
      <t xml:space="preserve"> to expected processes?
</t>
    </r>
    <r>
      <rPr>
        <sz val="10"/>
        <rFont val="Calibri"/>
        <family val="2"/>
        <scheme val="minor"/>
      </rPr>
      <t>* How do you/they assess what is needed?
*</t>
    </r>
    <r>
      <rPr>
        <sz val="10"/>
        <color theme="7" tint="-0.499984740745262"/>
        <rFont val="Calibri"/>
        <family val="2"/>
        <scheme val="minor"/>
      </rPr>
      <t xml:space="preserve"> How do you/they </t>
    </r>
    <r>
      <rPr>
        <b/>
        <sz val="10"/>
        <color theme="7" tint="-0.499984740745262"/>
        <rFont val="Calibri"/>
        <family val="2"/>
        <scheme val="minor"/>
      </rPr>
      <t>provide resources and training</t>
    </r>
    <r>
      <rPr>
        <sz val="10"/>
        <color theme="7" tint="-0.499984740745262"/>
        <rFont val="Calibri"/>
        <family val="2"/>
        <scheme val="minor"/>
      </rPr>
      <t xml:space="preserve">?
</t>
    </r>
  </si>
  <si>
    <r>
      <t xml:space="preserve">*How do senior management provide governance and oversight of the implementation of </t>
    </r>
    <r>
      <rPr>
        <b/>
        <sz val="10"/>
        <color rgb="FFFF0000"/>
        <rFont val="Calibri"/>
        <family val="2"/>
        <scheme val="minor"/>
      </rPr>
      <t>effective process improvements</t>
    </r>
    <r>
      <rPr>
        <sz val="10"/>
        <color rgb="FFFF0000"/>
        <rFont val="Calibri"/>
        <family val="2"/>
        <scheme val="minor"/>
      </rPr>
      <t xml:space="preserve">?
</t>
    </r>
    <r>
      <rPr>
        <sz val="10"/>
        <color theme="7" tint="-0.499984740745262"/>
        <rFont val="Calibri"/>
        <family val="2"/>
        <scheme val="minor"/>
      </rPr>
      <t xml:space="preserve">
* How do senior management </t>
    </r>
    <r>
      <rPr>
        <b/>
        <sz val="10"/>
        <color theme="7" tint="-0.499984740745262"/>
        <rFont val="Calibri"/>
        <family val="2"/>
        <scheme val="minor"/>
      </rPr>
      <t>obtain oversight</t>
    </r>
    <r>
      <rPr>
        <sz val="10"/>
        <color theme="7" tint="-0.499984740745262"/>
        <rFont val="Calibri"/>
        <family val="2"/>
        <scheme val="minor"/>
      </rPr>
      <t xml:space="preserve"> of effective process implementation and improvement and </t>
    </r>
    <r>
      <rPr>
        <b/>
        <sz val="10"/>
        <color theme="7" tint="-0.499984740745262"/>
        <rFont val="Calibri"/>
        <family val="2"/>
        <scheme val="minor"/>
      </rPr>
      <t>provide governance</t>
    </r>
    <r>
      <rPr>
        <sz val="10"/>
        <color theme="7" tint="-0.499984740745262"/>
        <rFont val="Calibri"/>
        <family val="2"/>
        <scheme val="minor"/>
      </rPr>
      <t>?</t>
    </r>
  </si>
  <si>
    <r>
      <rPr>
        <sz val="10"/>
        <color rgb="FFFF0000"/>
        <rFont val="Calibri"/>
        <family val="2"/>
        <scheme val="minor"/>
      </rPr>
      <t xml:space="preserve">* How do senior management </t>
    </r>
    <r>
      <rPr>
        <b/>
        <sz val="10"/>
        <color rgb="FFFF0000"/>
        <rFont val="Calibri"/>
        <family val="2"/>
        <scheme val="minor"/>
      </rPr>
      <t>hold people/you accountable</t>
    </r>
    <r>
      <rPr>
        <sz val="10"/>
        <color rgb="FFFF0000"/>
        <rFont val="Calibri"/>
        <family val="2"/>
        <scheme val="minor"/>
      </rPr>
      <t xml:space="preserve"> for the achievement of process improvement objectives?</t>
    </r>
    <r>
      <rPr>
        <sz val="10"/>
        <color theme="7" tint="-0.499984740745262"/>
        <rFont val="Calibri"/>
        <family val="2"/>
        <scheme val="minor"/>
      </rPr>
      <t xml:space="preserve">
</t>
    </r>
    <r>
      <rPr>
        <sz val="10"/>
        <rFont val="Calibri"/>
        <family val="2"/>
        <scheme val="minor"/>
      </rPr>
      <t xml:space="preserve">
* cash bonus driven - to what level?
* what level of decision authority does a PM normally have?
eg. resourcing, hardware, budget and spend
* Is this information stored somewhere?
authority levels set at certain cost amounts</t>
    </r>
  </si>
  <si>
    <r>
      <t xml:space="preserve">* How do senior management </t>
    </r>
    <r>
      <rPr>
        <b/>
        <sz val="10"/>
        <color rgb="FFFF0000"/>
        <rFont val="Calibri"/>
        <family val="2"/>
        <scheme val="minor"/>
      </rPr>
      <t>ensure that measures supporting objectives are collected, analysed and used</t>
    </r>
    <r>
      <rPr>
        <sz val="10"/>
        <color rgb="FFFF0000"/>
        <rFont val="Calibri"/>
        <family val="2"/>
        <scheme val="minor"/>
      </rPr>
      <t xml:space="preserve">?	 
</t>
    </r>
    <r>
      <rPr>
        <sz val="10"/>
        <color theme="7" tint="-0.499984740745262"/>
        <rFont val="Calibri"/>
        <family val="2"/>
        <scheme val="minor"/>
      </rPr>
      <t xml:space="preserve">
* How do senior management ensure that the </t>
    </r>
    <r>
      <rPr>
        <b/>
        <sz val="10"/>
        <color theme="7" tint="-0.499984740745262"/>
        <rFont val="Calibri"/>
        <family val="2"/>
        <scheme val="minor"/>
      </rPr>
      <t>measures</t>
    </r>
    <r>
      <rPr>
        <sz val="10"/>
        <color theme="7" tint="-0.499984740745262"/>
        <rFont val="Calibri"/>
        <family val="2"/>
        <scheme val="minor"/>
      </rPr>
      <t xml:space="preserve"> supporting organisational objectives are </t>
    </r>
    <r>
      <rPr>
        <b/>
        <sz val="10"/>
        <color theme="7" tint="-0.499984740745262"/>
        <rFont val="Calibri"/>
        <family val="2"/>
        <scheme val="minor"/>
      </rPr>
      <t xml:space="preserve">collected and used?
*what role does SM play in ensuring alignment between business strategy, business objectives and process performance objctives
* </t>
    </r>
    <r>
      <rPr>
        <sz val="10"/>
        <color theme="7" tint="-0.499984740745262"/>
        <rFont val="Calibri"/>
        <family val="2"/>
        <scheme val="minor"/>
      </rPr>
      <t xml:space="preserve">What process performance objective measurements do you collect for senior management? </t>
    </r>
  </si>
  <si>
    <r>
      <t xml:space="preserve">*How do senior management ensure that </t>
    </r>
    <r>
      <rPr>
        <b/>
        <sz val="10"/>
        <color rgb="FFFF0000"/>
        <rFont val="Calibri"/>
        <family val="2"/>
        <scheme val="minor"/>
      </rPr>
      <t xml:space="preserve">competencies and processes </t>
    </r>
    <r>
      <rPr>
        <sz val="10"/>
        <color rgb="FFFF0000"/>
        <rFont val="Calibri"/>
        <family val="2"/>
        <scheme val="minor"/>
      </rPr>
      <t xml:space="preserve">align with the goals of the organisation?
</t>
    </r>
    <r>
      <rPr>
        <sz val="10"/>
        <color theme="7" tint="-0.499984740745262"/>
        <rFont val="Calibri"/>
        <family val="2"/>
        <scheme val="minor"/>
      </rPr>
      <t xml:space="preserve">* How do senior management ensure that </t>
    </r>
    <r>
      <rPr>
        <b/>
        <sz val="10"/>
        <color theme="7" tint="-0.499984740745262"/>
        <rFont val="Calibri"/>
        <family val="2"/>
        <scheme val="minor"/>
      </rPr>
      <t>competencies and processes align</t>
    </r>
    <r>
      <rPr>
        <sz val="10"/>
        <color theme="7" tint="-0.499984740745262"/>
        <rFont val="Calibri"/>
        <family val="2"/>
        <scheme val="minor"/>
      </rPr>
      <t xml:space="preserve"> with the goals of the organisation?</t>
    </r>
    <r>
      <rPr>
        <sz val="10"/>
        <color rgb="FFFF0000"/>
        <rFont val="Calibri"/>
        <family val="2"/>
        <scheme val="minor"/>
      </rPr>
      <t xml:space="preserve">
- technical 
- behavioural 
*do senior management have kpis that directly reflect the process performance and improvement targets?
*If so, can you describe one or more functions and their targets?
*what accountability does senior management have for the performance and improvement of key processes</t>
    </r>
  </si>
  <si>
    <r>
      <t xml:space="preserve">*How do senior management ensure that selected (key or important business) decisions are driven by statistical and quantitative analysis? 
*to what extent do you use statistical analysis </t>
    </r>
    <r>
      <rPr>
        <b/>
        <sz val="10"/>
        <color rgb="FFFF0000"/>
        <rFont val="Calibri"/>
        <family val="2"/>
        <scheme val="minor"/>
      </rPr>
      <t>to set objectives</t>
    </r>
    <r>
      <rPr>
        <sz val="10"/>
        <color rgb="FFFF0000"/>
        <rFont val="Calibri"/>
        <family val="2"/>
        <scheme val="minor"/>
      </rPr>
      <t>? and
*</t>
    </r>
    <r>
      <rPr>
        <b/>
        <sz val="10"/>
        <color rgb="FFFF0000"/>
        <rFont val="Calibri"/>
        <family val="2"/>
        <scheme val="minor"/>
      </rPr>
      <t>to measure achievement</t>
    </r>
    <r>
      <rPr>
        <sz val="10"/>
        <color rgb="FFFF0000"/>
        <rFont val="Calibri"/>
        <family val="2"/>
        <scheme val="minor"/>
      </rPr>
      <t xml:space="preserve"> of objectives?
- </t>
    </r>
    <r>
      <rPr>
        <sz val="10"/>
        <color theme="7" tint="-0.499984740745262"/>
        <rFont val="Calibri"/>
        <family val="2"/>
        <scheme val="minor"/>
      </rPr>
      <t xml:space="preserve">How do you </t>
    </r>
    <r>
      <rPr>
        <b/>
        <sz val="10"/>
        <color theme="7" tint="-0.499984740745262"/>
        <rFont val="Calibri"/>
        <family val="2"/>
        <scheme val="minor"/>
      </rPr>
      <t>use the statistical analysis</t>
    </r>
    <r>
      <rPr>
        <sz val="10"/>
        <color theme="7" tint="-0.499984740745262"/>
        <rFont val="Calibri"/>
        <family val="2"/>
        <scheme val="minor"/>
      </rPr>
      <t xml:space="preserve"> provided to senior management to</t>
    </r>
    <r>
      <rPr>
        <b/>
        <sz val="10"/>
        <color theme="7" tint="-0.499984740745262"/>
        <rFont val="Calibri"/>
        <family val="2"/>
        <scheme val="minor"/>
      </rPr>
      <t xml:space="preserve"> set your objectives</t>
    </r>
    <r>
      <rPr>
        <sz val="10"/>
        <color theme="7" tint="-0.499984740745262"/>
        <rFont val="Calibri"/>
        <family val="2"/>
        <scheme val="minor"/>
      </rPr>
      <t xml:space="preserve">? and
*to </t>
    </r>
    <r>
      <rPr>
        <b/>
        <sz val="10"/>
        <color theme="7" tint="-0.499984740745262"/>
        <rFont val="Calibri"/>
        <family val="2"/>
        <scheme val="minor"/>
      </rPr>
      <t xml:space="preserve">measure the achievement </t>
    </r>
    <r>
      <rPr>
        <sz val="10"/>
        <color theme="7" tint="-0.499984740745262"/>
        <rFont val="Calibri"/>
        <family val="2"/>
        <scheme val="minor"/>
      </rPr>
      <t>of your objectives?
'*what process performance measurement and analysis is reported at an executive level? And how often?</t>
    </r>
  </si>
  <si>
    <t xml:space="preserve"> “*高级管理层如何确定工作中什么是重要的?”
*高级管理层如何定义实现组织目标所需的方法?</t>
  </si>
  <si>
    <r>
      <t>“*高层管理人员如何向你传达组织过程改进目标?”</t>
    </r>
    <r>
      <rPr>
        <sz val="10"/>
        <rFont val="Calibri"/>
        <family val="2"/>
        <scheme val="minor"/>
      </rPr>
      <t xml:space="preserve">
*高级管理层确定并传达了哪些组织目标?
</t>
    </r>
    <r>
      <rPr>
        <sz val="10"/>
        <color theme="7" tint="-0.499984740745262"/>
        <rFont val="Calibri"/>
        <family val="2"/>
        <scheme val="minor"/>
      </rPr>
      <t xml:space="preserve">*这些目标是通过过程改进来实现的吗?
</t>
    </r>
  </si>
  <si>
    <r>
      <t xml:space="preserve">你(高级管理层)提供了什么资源和培训
1)开发、支持、
2)执行,
3)改善和
4)评估对预期过程的坚持?
</t>
    </r>
    <r>
      <rPr>
        <sz val="10"/>
        <rFont val="Calibri"/>
        <family val="2"/>
        <scheme val="minor"/>
      </rPr>
      <t>你/他们如何评估需要什么?</t>
    </r>
    <r>
      <rPr>
        <sz val="10"/>
        <color theme="7" tint="-0.499984740745262"/>
        <rFont val="Calibri"/>
        <family val="2"/>
        <scheme val="minor"/>
      </rPr>
      <t xml:space="preserve">
你/他们如何提供资源和培训?
</t>
    </r>
  </si>
  <si>
    <r>
      <t xml:space="preserve">*高级管理层如何提供治理和监督有效流程改进的实施?
</t>
    </r>
    <r>
      <rPr>
        <sz val="10"/>
        <color theme="7" tint="-0.499984740745262"/>
        <rFont val="Calibri"/>
        <family val="2"/>
        <scheme val="minor"/>
      </rPr>
      <t>*高级管理层如何监督有效的过程实施和改进，并提供治理?</t>
    </r>
  </si>
  <si>
    <r>
      <t>*高级管理层如何让员工/你对过程改进目标的实现负责?”</t>
    </r>
    <r>
      <rPr>
        <sz val="10"/>
        <color theme="7" tint="-0.499984740745262"/>
        <rFont val="Calibri"/>
        <family val="2"/>
        <scheme val="minor"/>
      </rPr>
      <t xml:space="preserve">
</t>
    </r>
    <r>
      <rPr>
        <sz val="10"/>
        <rFont val="Calibri"/>
        <family val="2"/>
        <scheme val="minor"/>
      </rPr>
      <t>现金奖金驱动-到什么水平?
*项目经理通常拥有什么样的决策权?
如资源，硬件，预算和支出
*这些信息是否存储在某个地方?
权力级别按一定的成本数额设定</t>
    </r>
  </si>
  <si>
    <r>
      <t xml:space="preserve">“*高级管理层如何确保收集、分析和使用支持目标的度量项?
</t>
    </r>
    <r>
      <rPr>
        <b/>
        <sz val="10"/>
        <color theme="7" tint="-0.499984740745262"/>
        <rFont val="Calibri"/>
        <family val="2"/>
        <scheme val="minor"/>
      </rPr>
      <t xml:space="preserve">“*高级管理层如何确保收集、分析和使用支持组织目标的度量项?
高层在确保业务战略、业务目标和过程性能目标之间的一致方面扮演什么角色
</t>
    </r>
    <r>
      <rPr>
        <sz val="10"/>
        <color theme="7" tint="-0.499984740745262"/>
        <rFont val="Calibri"/>
        <family val="2"/>
        <scheme val="minor"/>
      </rPr>
      <t xml:space="preserve"> *您为高级管理层收集了哪些过程绩效目标度量数据?</t>
    </r>
  </si>
  <si>
    <t>“*高级管理层如何确保能力和流程与组织的目标相一致?”
*高级管理层如何确保能力和流程与组织的目标相一致?
——技术
——行为
*高级管理层是否有直接反映过程绩效和改进目标的kpi ?
*如果有，你能描述一个或多个功能及其目标吗?
*高级管理层对关键流程的绩效和改进负有什么责任</t>
  </si>
  <si>
    <r>
      <rPr>
        <sz val="10"/>
        <color rgb="FFFF0000"/>
        <rFont val="Calibri"/>
        <family val="2"/>
        <scheme val="minor"/>
      </rPr>
      <t xml:space="preserve">*How do senior management ensure that selected (key or important business) decisions are driven by statistical and quantitative analysis? 
*to what extent do you use statistical analysis </t>
    </r>
    <r>
      <rPr>
        <b/>
        <sz val="10"/>
        <color rgb="FFFF0000"/>
        <rFont val="Calibri"/>
        <family val="2"/>
        <scheme val="minor"/>
      </rPr>
      <t>to set objectives</t>
    </r>
    <r>
      <rPr>
        <sz val="10"/>
        <color rgb="FFFF0000"/>
        <rFont val="Calibri"/>
        <family val="2"/>
        <scheme val="minor"/>
      </rPr>
      <t>? and
*</t>
    </r>
    <r>
      <rPr>
        <b/>
        <sz val="10"/>
        <color rgb="FFFF0000"/>
        <rFont val="Calibri"/>
        <family val="2"/>
        <scheme val="minor"/>
      </rPr>
      <t>to measure achievement</t>
    </r>
    <r>
      <rPr>
        <sz val="10"/>
        <color rgb="FFFF0000"/>
        <rFont val="Calibri"/>
        <family val="2"/>
        <scheme val="minor"/>
      </rPr>
      <t xml:space="preserve"> of objectives?
- </t>
    </r>
    <r>
      <rPr>
        <sz val="10"/>
        <color theme="7" tint="-0.499984740745262"/>
        <rFont val="Calibri"/>
        <family val="2"/>
        <scheme val="minor"/>
      </rPr>
      <t xml:space="preserve">How do you </t>
    </r>
    <r>
      <rPr>
        <b/>
        <sz val="10"/>
        <color theme="7" tint="-0.499984740745262"/>
        <rFont val="Calibri"/>
        <family val="2"/>
        <scheme val="minor"/>
      </rPr>
      <t>use the statistical analysis</t>
    </r>
    <r>
      <rPr>
        <sz val="10"/>
        <color theme="7" tint="-0.499984740745262"/>
        <rFont val="Calibri"/>
        <family val="2"/>
        <scheme val="minor"/>
      </rPr>
      <t xml:space="preserve"> provided to senior management to</t>
    </r>
    <r>
      <rPr>
        <b/>
        <sz val="10"/>
        <color theme="7" tint="-0.499984740745262"/>
        <rFont val="Calibri"/>
        <family val="2"/>
        <scheme val="minor"/>
      </rPr>
      <t xml:space="preserve"> set your objectives</t>
    </r>
    <r>
      <rPr>
        <sz val="10"/>
        <color theme="7" tint="-0.499984740745262"/>
        <rFont val="Calibri"/>
        <family val="2"/>
        <scheme val="minor"/>
      </rPr>
      <t xml:space="preserve">? and
*to </t>
    </r>
    <r>
      <rPr>
        <b/>
        <sz val="10"/>
        <color theme="7" tint="-0.499984740745262"/>
        <rFont val="Calibri"/>
        <family val="2"/>
        <scheme val="minor"/>
      </rPr>
      <t xml:space="preserve">measure the achievement </t>
    </r>
    <r>
      <rPr>
        <sz val="10"/>
        <color theme="7" tint="-0.499984740745262"/>
        <rFont val="Calibri"/>
        <family val="2"/>
        <scheme val="minor"/>
      </rPr>
      <t>of your objectives?
'*what process performance measurement and analysis is reported at an executive level? And how often?</t>
    </r>
  </si>
  <si>
    <t>FM</t>
  </si>
  <si>
    <t>Fully Meets</t>
  </si>
  <si>
    <t xml:space="preserve">Adequate OE is judged sufficient to demonstrate that the intent and value of the practice is met, and no weaknesses are identified. </t>
  </si>
  <si>
    <t>LM</t>
  </si>
  <si>
    <t>Largely  Meets</t>
  </si>
  <si>
    <t>Adequate OE is judged sufficient to demonstrate that the intent and value of the practice is met, and one or more weaknesses are identified.</t>
  </si>
  <si>
    <t>PM</t>
  </si>
  <si>
    <t xml:space="preserve">Partially Meets </t>
  </si>
  <si>
    <t>Some or all OE are absent or judged to be inadequate, but other OE suggests that limited aspects of the intent and value of the practice are met, and one or more weaknesses are identified. || Conflicts are identified in the OE, and one or more weaknesses are identified.</t>
  </si>
  <si>
    <t>DM</t>
  </si>
  <si>
    <t>Does Not Meet</t>
  </si>
  <si>
    <t>Some or all OE are absent or judged to be inadequate to demonstrate that the intent and value of the practice is met, and one or more weaknesses are identified.</t>
  </si>
  <si>
    <t>NY</t>
  </si>
  <si>
    <t>Not Yet</t>
  </si>
  <si>
    <t>OE for the sampled projects and organizational support functions indicates that the planned sequence of work has not been reached yet, to have implemented processes that meet the intent and value of the practice.</t>
  </si>
  <si>
    <t>Y</t>
  </si>
  <si>
    <t>Yes</t>
  </si>
  <si>
    <t>N</t>
  </si>
  <si>
    <t>No</t>
  </si>
  <si>
    <t>NR</t>
  </si>
  <si>
    <t>None</t>
  </si>
  <si>
    <t>Pieter van Zyl</t>
  </si>
  <si>
    <t>ATL</t>
  </si>
  <si>
    <t>30p</t>
  </si>
  <si>
    <t>Not started</t>
  </si>
  <si>
    <t>Joan van Zyl</t>
  </si>
  <si>
    <t>ATL Coordinator</t>
  </si>
  <si>
    <t>50p</t>
  </si>
  <si>
    <t>WIP</t>
  </si>
  <si>
    <t>Jared Twigg</t>
  </si>
  <si>
    <t>Sponsor</t>
  </si>
  <si>
    <t>90p</t>
  </si>
  <si>
    <t>Done</t>
  </si>
  <si>
    <t>Marike Matthee</t>
  </si>
  <si>
    <t>Scheduler</t>
  </si>
  <si>
    <t>100p</t>
  </si>
  <si>
    <t>Melanie van Zyl</t>
  </si>
  <si>
    <t>BPOC</t>
  </si>
  <si>
    <t>60d b4 p2</t>
  </si>
  <si>
    <t>Bianca Coetzee</t>
  </si>
  <si>
    <t>Translator</t>
  </si>
  <si>
    <t>40d b4 p2</t>
  </si>
  <si>
    <t>Francois van Niekerk</t>
  </si>
  <si>
    <t>ATM</t>
  </si>
  <si>
    <t>Scope approval</t>
  </si>
  <si>
    <t>Andries vd Walt</t>
  </si>
  <si>
    <t>IPOC</t>
  </si>
  <si>
    <t>Tech Test</t>
  </si>
  <si>
    <t>Francina Botha</t>
  </si>
  <si>
    <t>ATLC Leader</t>
  </si>
  <si>
    <t>Final RR</t>
  </si>
  <si>
    <t>Tony Gardiner</t>
  </si>
  <si>
    <t>Elmo Scheffer</t>
  </si>
  <si>
    <t>Pieter Roos</t>
  </si>
  <si>
    <t>Barry Headland</t>
  </si>
  <si>
    <t>Nigel Owen</t>
  </si>
  <si>
    <t>Ria Fouche</t>
  </si>
  <si>
    <t>Elsabie Koster</t>
  </si>
  <si>
    <t>Lizwin Jacobs</t>
  </si>
  <si>
    <t>Michael</t>
  </si>
  <si>
    <t>Alice Erasmus</t>
  </si>
  <si>
    <t>Sasha</t>
  </si>
  <si>
    <t>Tembeka</t>
  </si>
  <si>
    <t>Work Task Status</t>
  </si>
  <si>
    <t>2. 30p</t>
  </si>
  <si>
    <t>3. Not started</t>
  </si>
  <si>
    <t>3. Frans Joubert</t>
  </si>
  <si>
    <t>2. ATL</t>
  </si>
  <si>
    <t>Id</t>
  </si>
  <si>
    <t>ProjectCode</t>
  </si>
  <si>
    <t>WorkTaskCode</t>
  </si>
  <si>
    <t>Task</t>
  </si>
  <si>
    <t>WorkTaskStatus</t>
  </si>
  <si>
    <t>Staff</t>
  </si>
  <si>
    <t>StaffRole</t>
  </si>
  <si>
    <t>AssignDate</t>
  </si>
  <si>
    <t>DueDate</t>
  </si>
  <si>
    <t>CompletionDate</t>
  </si>
  <si>
    <t>cmd</t>
  </si>
  <si>
    <t>AppraisalId</t>
  </si>
  <si>
    <t>WorkTaskCodeId</t>
  </si>
  <si>
    <t>WorkTaskStatusId</t>
  </si>
  <si>
    <t>StaffId</t>
  </si>
  <si>
    <t>StafRoleId</t>
  </si>
  <si>
    <t>End</t>
  </si>
  <si>
    <t>CAS321</t>
  </si>
  <si>
    <t>Task 1</t>
  </si>
  <si>
    <t>CAS0123</t>
  </si>
  <si>
    <t>Task 2</t>
  </si>
  <si>
    <t>Task 3</t>
  </si>
  <si>
    <t>CAS01234</t>
  </si>
  <si>
    <t>Task 4</t>
  </si>
  <si>
    <t>Search string &gt;&gt;</t>
  </si>
  <si>
    <t>ID</t>
  </si>
  <si>
    <t>PAxy</t>
  </si>
  <si>
    <t>FindingType</t>
  </si>
  <si>
    <t>FindingEnglish</t>
  </si>
  <si>
    <t>FindingChinese</t>
  </si>
  <si>
    <t>ReviewedBy</t>
  </si>
  <si>
    <t>Update/Add/Delete</t>
  </si>
  <si>
    <t>FirstSort</t>
  </si>
  <si>
    <t>SecondSort</t>
  </si>
  <si>
    <t>QuestionEnglish</t>
  </si>
  <si>
    <t>QuestionChinese</t>
  </si>
  <si>
    <t>ExpectedAnswerEnglish</t>
  </si>
  <si>
    <t>Standard interview</t>
  </si>
  <si>
    <t>Introduce appraisal team</t>
  </si>
  <si>
    <t>Explain purpose of interview and appraisal</t>
  </si>
  <si>
    <t>Ask for Govement issued ID (if virtual appraisal)</t>
  </si>
  <si>
    <t>Go over appraisal activities to date</t>
  </si>
  <si>
    <t>Go over confidentiality rules</t>
  </si>
  <si>
    <t>Explain interview process briefly</t>
  </si>
  <si>
    <t>Ask if the interviewee has any questions for the team</t>
  </si>
  <si>
    <t>Move to first question</t>
  </si>
  <si>
    <t>Tell us what you do</t>
  </si>
  <si>
    <t>Close the interview</t>
  </si>
  <si>
    <t>Ask transition questions.</t>
  </si>
  <si>
    <t xml:space="preserve">Did we miss anything?  </t>
  </si>
  <si>
    <t xml:space="preserve">Was there something you expected us to ask you that we missed? </t>
  </si>
  <si>
    <t xml:space="preserve">Ask summary questions:  </t>
  </si>
  <si>
    <t>If you could change anything, other than your boss or paycheck, what would it be?</t>
  </si>
  <si>
    <t>What has improved the most over the last year?</t>
  </si>
  <si>
    <t>Review list of artifacts requested.</t>
  </si>
  <si>
    <t>Remind them of the preliminary and final findings schedule.</t>
  </si>
  <si>
    <t>Remind them of the confidentiality and non-attribution of the interview.</t>
  </si>
  <si>
    <t>Online document translator</t>
  </si>
  <si>
    <t>Practice Group</t>
  </si>
  <si>
    <t>Practice Number</t>
  </si>
  <si>
    <t>Sustaining Habit and Persistence Capability</t>
  </si>
  <si>
    <t>Engineering and Developing Products</t>
  </si>
  <si>
    <t>Ensuring Quality</t>
  </si>
  <si>
    <t>Improving Performance</t>
  </si>
  <si>
    <t>Managing Business Resilience</t>
  </si>
  <si>
    <t>Managing the Workforce</t>
  </si>
  <si>
    <t>Planning and Managing Work</t>
  </si>
  <si>
    <t>Supporting Implementation</t>
  </si>
  <si>
    <t>Selecting and Managing Suppliers</t>
  </si>
  <si>
    <t>GOV</t>
  </si>
  <si>
    <t>II</t>
  </si>
  <si>
    <t>TS</t>
  </si>
  <si>
    <t>PI</t>
  </si>
  <si>
    <t>PR</t>
  </si>
  <si>
    <t>VV</t>
  </si>
  <si>
    <t>PQA</t>
  </si>
  <si>
    <t>RDM</t>
  </si>
  <si>
    <t>PCM</t>
  </si>
  <si>
    <t>PAD</t>
  </si>
  <si>
    <t>MPM</t>
  </si>
  <si>
    <t>RSK</t>
  </si>
  <si>
    <t>OT</t>
  </si>
  <si>
    <t>MC</t>
  </si>
  <si>
    <t>PLAN</t>
  </si>
  <si>
    <t>EST</t>
  </si>
  <si>
    <t>CAR</t>
  </si>
  <si>
    <t>DAR</t>
  </si>
  <si>
    <t>CM</t>
  </si>
  <si>
    <t>SAM</t>
  </si>
  <si>
    <t xml:space="preserve">Level 1 </t>
  </si>
  <si>
    <t>-</t>
  </si>
  <si>
    <t>U</t>
  </si>
  <si>
    <t>OoS</t>
  </si>
  <si>
    <t xml:space="preserve">Level 4 </t>
  </si>
  <si>
    <t>OU Level Characterisation and Practice Area Level Rating</t>
  </si>
  <si>
    <t>Level</t>
  </si>
  <si>
    <t>GOV and II should still be manually link to tab:ou-gov&amp;ii after the appraisal. It is not yet done automatically.</t>
  </si>
  <si>
    <t>GOV and II OU and Process Level Characterisation</t>
  </si>
  <si>
    <t>OU</t>
  </si>
  <si>
    <t>Engineering</t>
  </si>
  <si>
    <t>Project Management</t>
  </si>
  <si>
    <t>Configuraiton Management</t>
  </si>
  <si>
    <t>Process Management</t>
  </si>
  <si>
    <t>Organisatinal Training</t>
  </si>
  <si>
    <t>Process Quality Assurance</t>
  </si>
  <si>
    <t>Measurement Management</t>
  </si>
  <si>
    <t>S</t>
  </si>
  <si>
    <t>The above rating should still be manually link into II and GOV after the appraisal. This is not yet done automatically.</t>
  </si>
  <si>
    <t>The processes must be checked against what is in the CAS plan tab:Project&amp;Support. It is not yet done automatically.</t>
  </si>
  <si>
    <t>PA</t>
  </si>
  <si>
    <t>Strength/Weakness/Improvement</t>
  </si>
  <si>
    <t>Description</t>
  </si>
  <si>
    <t>Heading</t>
  </si>
  <si>
    <t>Level
Practice
Project
OE Source</t>
  </si>
  <si>
    <t>OE reference</t>
  </si>
  <si>
    <t>URL</t>
  </si>
  <si>
    <t>Engl</t>
  </si>
  <si>
    <t>OE Type</t>
  </si>
  <si>
    <t>OE Source</t>
  </si>
  <si>
    <t>Affirmation Source (Session and Person)</t>
  </si>
  <si>
    <t xml:space="preserve">Suff. Artifact 
Yes | No </t>
  </si>
  <si>
    <t>Affirm.
Yes | No</t>
  </si>
  <si>
    <t>Weakness</t>
  </si>
  <si>
    <t>Strength</t>
  </si>
  <si>
    <t>Recommendations</t>
  </si>
  <si>
    <t>Rating/
Char</t>
  </si>
  <si>
    <t>Notes</t>
  </si>
  <si>
    <t>Update
Y</t>
  </si>
  <si>
    <t>1 Prac_Group</t>
  </si>
  <si>
    <t>2 Prac_OU</t>
  </si>
  <si>
    <t>Senior management identifies what is important for doing the work and defines the approach needed to accomplish the objectives of the organization.  高级管理层识别对工作执行重要地因素，并定义实现组织目标所需地方法</t>
  </si>
  <si>
    <t>Example Work products</t>
  </si>
  <si>
    <t>3 Process</t>
  </si>
  <si>
    <t>Engineering process</t>
  </si>
  <si>
    <t>4 Prac_Instan</t>
  </si>
  <si>
    <t>Project A</t>
  </si>
  <si>
    <t>[Project management] (ABC)</t>
  </si>
  <si>
    <t>5 OE</t>
  </si>
  <si>
    <t>Evidence name</t>
  </si>
  <si>
    <t>none</t>
  </si>
  <si>
    <t>OE DB</t>
  </si>
  <si>
    <t>2 Prac_OU2</t>
  </si>
  <si>
    <t>CAUSAL ANALYSIS AND RESOLUTION</t>
  </si>
  <si>
    <t>根因分析</t>
  </si>
  <si>
    <t>目的</t>
  </si>
  <si>
    <t>价值</t>
  </si>
  <si>
    <t>解决根源问题可以消除返工并直接提高质量和生产率</t>
  </si>
  <si>
    <t>Identify and address causes of selected outcomes. (Increases likelihood of achieving business objectives.)
确定并解决选定结果的原因。 （增加实现业务目标的可能性。）</t>
  </si>
  <si>
    <t>Select outcomes for analysis. (Focuses efforts on the outcomes with the greatest impact on achieving objectives.)
选择结果进行分析。 （重点关注对实现目标影响最大的结果。）</t>
  </si>
  <si>
    <t>- How does your company determine which outcomes to analyze?
你们公司是如何确定要分析哪些结果的？</t>
  </si>
  <si>
    <t>Analyse and address causes of outcomes. (Reduces cost and time to meet objectives more efficiently.)
分析并解决结果的原因。 （降低成本和时间，更有效地实现目标。）</t>
  </si>
  <si>
    <t>- Can you describe the organizational process followed to determine the causes of selected outcomes?
你能描述一下用于确定选定结果原因的组织流程吗？</t>
  </si>
  <si>
    <t>Propose actions to address identified causes. (Reduces cost and time by preventing negative outcomes or producing positive outcomes.)
提出解决已确定原因的措施。 （通过防止负面结果或产生积极结果来减少成本和时间。）</t>
  </si>
  <si>
    <t>- What actions have been proposed to address the identified causes?
对于已经确定的原因，提出了哪些行动方案？</t>
  </si>
  <si>
    <t>Implement selected action proposals. (Implements changes that have the most impact on increasing the likelihood of meeting objectives.)
实施选定的行动建议。 （实施对提高实现目标的可能性影响最大的变革。）</t>
  </si>
  <si>
    <t>- Have the proposed action proposals been implemented? If so, could you provide details on the implementation process?
已经实施了提出的行动方案吗？如果已实施，能否提供实施过程的详细信息？</t>
  </si>
  <si>
    <t>- How is causal analysis and resolution data recorded within the organization?
在组织内如何记录因果分析和解决数据？</t>
  </si>
  <si>
    <t>Submit improvement proposals for changes proven to be effective. (Reduces disruptions and rework and allows projects to learn from each other and increase productivity.)
提交经证明有效的变更改进建议。 （减少中断和返工，并允许项目相互学习并提高生产力。）</t>
  </si>
  <si>
    <t>- Can you share any improvement proposals that have been submitted for changes proven to be effective?
你能分享已经提交的改进提案，证明其有效性的变化吗？</t>
  </si>
  <si>
    <t>- Could you walk me through the process of performing root cause analysis for selected outcomes, particularly the employment of statistical and other quantitative techniques?
能否带领我了解对选定结果进行根本原因分析的过程，特别是运用统计和其他定量技术？</t>
  </si>
  <si>
    <t>- How do you assess the impact of implemented actions on process performance, utilizing statistical and other quantitative techniques?
如何评估已实施行动对流程绩效的影响，利用统计和其他定量技术？</t>
  </si>
  <si>
    <t>Use statistical and other quantitative techniques to evaluate other solutions and processes to determine if the resolution should be applied to optimize performance across the organization. (Leverages improvements across the organization to minimize cost and risk.)
使用统计和其他定量技术来评估其他解决方案和流程，以确定是否应应用该解决方案来优化整个组织的绩效。 （利用整个组织的改进来最大限度地降低成本和风险。）</t>
  </si>
  <si>
    <t>- How do you employ statistical and other quantitative techniques to assess alternative solutions and processes, determining their potential to optimize performance across the organization?
如何运用统计和其他定量技术评估替代解决方案和流程，确定它们在整个组织中优化绩效的潜力？</t>
  </si>
  <si>
    <t>CONFIGURATION MANAGEMENT</t>
  </si>
  <si>
    <t>配置管理</t>
  </si>
  <si>
    <t>使用配置识别、版本控制、变更控制和审计来管理工作产品的完整性。</t>
  </si>
  <si>
    <t>减少工作损失，并增加向客户提供正确版本解决方案的能力</t>
  </si>
  <si>
    <t>Perform version control. (Increases customer satisfaction by ensuring that the correct solution is delivered.)
执行版本控制。 （通过确保提供正确的解决方案来提高客户满意度。）</t>
  </si>
  <si>
    <t>Develop or release baselines for internal use or for delivery to the customer. (Ensures the integrity of the work products.)
制定或发布基线供内部使用或交付给客户。 （确保工作产品的完整性。）</t>
  </si>
  <si>
    <t>Manage changes to the items under configuration management. (Reduces costs and schedule impacts by ensuring that only authorized changes are made.)
管理配置管理下项目的更改。 （通过确保仅进行授权的更改来降低成本和进度影响。）</t>
  </si>
  <si>
    <t>Develop, keep updated, and use records describing items under configuration management. (Reduces rework through accurate descriptions of the configuration items and status of changes.)
开发、保持更新和使用描述配置管理下的项目的记录。 （通过准确描述配置项和更改状态来减少返工。）</t>
  </si>
  <si>
    <t>DECISION ANALYSIS AND RESOLUTION</t>
  </si>
  <si>
    <t>决策分析和解决</t>
  </si>
  <si>
    <t>使用分析备选方案的已记录过程做出并记录决策</t>
  </si>
  <si>
    <t>增加决策的客观性和提高找到最佳解决方案的概率</t>
  </si>
  <si>
    <t xml:space="preserve">Define and record the alternatives. (Reduces potential rework with a clear definition and understanding of the alternatives.)
</t>
  </si>
  <si>
    <t xml:space="preserve">Make and record the decision. (Provides a clear understanding of rationale and decisions made and avoids constant revisions and rework.)
</t>
  </si>
  <si>
    <t>Develop criteria for evaluating alternatives. (Enables consistent selection of optimal solutions.)
制定评估替代方案的标准。 （能够一致地选择最佳解决方案。）</t>
  </si>
  <si>
    <t>Evaluate and select solutions using criteria and methods. (Ensures that the optimal solution is selected.)
使用标准和方法评估和选择解决方案。 （确保选择最佳解决方案。）</t>
  </si>
  <si>
    <t>ESTIMATING</t>
  </si>
  <si>
    <t xml:space="preserve"> 估算</t>
  </si>
  <si>
    <t>估算开发、采购或交付解决方案所需的工作和资源的规模、工作量、周期和成本。</t>
  </si>
  <si>
    <t>估算为做出承诺、策划和减少不确定性提供了依据，有助于尽早采取纠正措施并提高实现目标的可能性</t>
  </si>
  <si>
    <t>Develop, keep updated, and use the scope of what is being estimated. (Ensures the entire solution is addressed which increases the likelihood of meeting objectives and avoiding rework.)
开发、保持更新并使用所估计的范围。 （确保解决整个解决方案，从而增加实现目标并避免返工的可能性。）</t>
  </si>
  <si>
    <t>Develop and keep updated estimates for the size of the solution. (Enables work tracking and timely corrective actions to deliver the solution on time and within budget.)
制定并更新对解决方案规模的估计。 （支持工作跟踪和及时的纠正措施，以便在预算范围内按时交付解决方案。）</t>
  </si>
  <si>
    <t>GOVERNANCE</t>
  </si>
  <si>
    <t>治理</t>
  </si>
  <si>
    <t>Provides guidance to senior management on their role in the sponsorship and governance of performance, processes, and related activities.</t>
  </si>
  <si>
    <t>指导高级管理层履行其在过程活动的发起和治理中的职责</t>
  </si>
  <si>
    <t>Minimizes the cost of process implementation, increases the likelihood of meeting objectives, and verifies that the implemented processes support and contribute to the success of the business.</t>
  </si>
  <si>
    <t>最大限度地降低过程实施成本，提高实现目标地可能性，并确保实施地过程支持并促成业务成功</t>
  </si>
  <si>
    <t>Senior management identifies what is important for doing the work and defines the approach needed to accomplish the objectives of the organization. (Increases the likelihood that the organization implements and improves processes efficiently and effectively to meet business objectives.)
高级管理层确定工作的重要内容，并定义实现组织目标所需的方法。 （增加组织高效且有效地实施和改进流程以实现业务目标的可能性。）</t>
  </si>
  <si>
    <t>Senior management defines, keeps updated, and communicates organizational directives for process implementation and performance improvement based on organization needs and objectives. (Increases likelihood of meeting organizational needs and objectives because work is performed in accordance with senior management's expectations and priorities.)
高级管理层根据组织的需求和目标定义、不断更新并传达流程实施和绩效改进的组织指令。 （增加满足组织需求和目标的可能性，因为工作是根据高级管理层的期望和优先事项进行的。）</t>
  </si>
  <si>
    <t>Senior management provides funding, resources, and training for developing, supporting, performing, improving, and evaluating adherence to processes. (Increases the likelihood that senior management's priorities for improvement will be met.)
高级管理层为开发、支持、执行、改进和评估流程的遵守情况提供资金、资源和培训。 （增加高级管理层的改进优先事项得到满足的可能性。）</t>
  </si>
  <si>
    <t>Senior management identifies their information needs and uses the collected information to provide governance and oversight of effective process implementation and performance improvement. (Aligns the information senior management receives with their business needs to increase the likelihood of meeting business objectives.)
高级管理层确定他们的信息需求，并使用收集到的信息来对有效流程实施和绩效改进进行治理和监督。 （使高级管理层收到的信息与其业务需求保持一致，以增加实现业务目标的可能性。）</t>
  </si>
  <si>
    <t>Senior management assigns authority and holds people accountable for adhering to organization directives and achieving process implementation and performance improvement objectives. (Ensures that directives drive the implementation and improvement of processes to meet business objectives.)
高级管理层分配权力并要求人员负责遵守组织指令并实现流程实施和绩效改进目标。 （确保指令推动流程的实施和改进，以实现业务目标。）</t>
  </si>
  <si>
    <t>Senior management ensures that measures supporting objectives throughout the organization are collected, analyzed, and used. (Increases the organization's ability to successfully deliver its solutions.)
高级管理层确保收集、分析和使用支持整个组织目标的措施。 （提高组织成功交付解决方案的能力。）</t>
  </si>
  <si>
    <t>Senior management ensures that competencies and processes are aligned with the objectives of the organization. (Improves the capability of the organization to meet its objectives.)
高级管理层确保能力和流程与组织的目标保持一致。 （提高组织实现其目标的能力。）</t>
  </si>
  <si>
    <t>IMPLEMENTATION INFRASTRUCTURE</t>
  </si>
  <si>
    <t>实施基础条件</t>
  </si>
  <si>
    <t>Ensures that the processes and assets important to an organization’s performance are habitually and persistently followed, used, and improved.</t>
  </si>
  <si>
    <t>确保针对组织重要的过程能够坚持从而形成习惯并加以应用和改进</t>
  </si>
  <si>
    <t>Sustains the ability to consistently achieve goals and objectives efficiently and effectively.</t>
  </si>
  <si>
    <t>维持有效和高效的实现目标的能力</t>
  </si>
  <si>
    <t>Perform processes that address the intent of the Level 1 practices. (Improves the likelihood that solutions are complete, correct, and timely.)
执行解决 1 级实践意图的流程。 （提高解决方案完整、正确和及时的可能性。）</t>
  </si>
  <si>
    <t>Provide sufficient resources, funding, and training for developing and performing processes. (Increases the likelihood of successful process improvement efforts by having sufficient resources.)
为开发和执行流程提供足够的资源、资金和培训。 （通过拥有足够的资源来增加流程改进工作成功的可能性。）</t>
  </si>
  <si>
    <t>Develop and keep processes updated, and verify they are being followed. (Minimizes waste by ensuring affected stakeholders focus on the most valuable activities that are recorded in processes.)
开发并保持流程更新，并验证它们是否得到遵循。 （通过确保受影响的利益相关者专注于流程中记录的最有价值的活动，最大限度地减少浪费。）</t>
  </si>
  <si>
    <t>Use organizational processes and process assets to plan, manage, and perform the work. (Leverages organizational learning and use of best practices, leading to reductions in rework and cost, and increases in efficiency and effectiveness.)
使用组织流程和流程资产来计划、管理和执行工作。 （利用组织学习和最佳实践的使用，减少返工和成本，并提高效率和效果。）</t>
  </si>
  <si>
    <t>II 4.1</t>
  </si>
  <si>
    <t>Develop the organizational capability to understand and apply statistical and other quantitative techniques to accomplish the work. (Empowers the workforce to use information to make effective changes and meet or exceed business objectives.)
培养理解和应用统计和其他定量技术来完成工作的组织能力。 （使员工能够利用信息进行有效的变革并达到或超越业务目标。）</t>
  </si>
  <si>
    <t>Manages performance using measurement and analysis to achieve business objectives.</t>
  </si>
  <si>
    <t>Collect measures and record performance. (Enables performance management to increase likelihood of meeting objectives.)
收集措施并记录绩效。 （使绩效管理能够增加实现目标的可能性。）</t>
  </si>
  <si>
    <t>Identify and address performance issues. (Improves the ability to achieve objectives and increases customer satisfaction.)
识别并解决性能问题。 （提高实现目标的能力并提高客户满意度。）</t>
  </si>
  <si>
    <t>Derive and record measurement and performance objectives from selected business needs and objectives and keep them updated. (Aligns measurement and performance activities to increase the likelihood of achieving business results.)
从选定的业务需求和目标中得出并记录测量和绩效目标，并保持更新。 （调整衡量和绩效活动以增加实现业务成果的可能性。）</t>
  </si>
  <si>
    <t>Develop, keep updated, and use operational definitions for measures. (Increases the consistency of measures and the likelihood that business needs and objectives are met efficiently and effectively.)
制定、保持更新并使用措施的操作定义。 （提高措施的一致性以及高效且有效地满足业务需求和目标的可能性。）</t>
  </si>
  <si>
    <t>Obtain specified measurement data according to the operational definitions. (Improves decisions and increases the likelihood of successfully completing projects.)
根据操作定义获取指定的测量数据。 （改善决策并增加成功完成项目的可能性。）</t>
  </si>
  <si>
    <t>Analyze performance and measurement data according to the operational definitions. (Provides insight into performance and actions needed to meet objectives.)
根据操作定义分析性能和测量数据。 （深入了解实现目标所需的绩效和行动。）</t>
  </si>
  <si>
    <t>Store measurement data, measurement specifications, and analysis results according to the operational definitions. (Enables analysis of performance to improve the likelihood of repeating successes.)
根据操作定义存储测量数据、测量规范和分析结果。 （启用绩效分析以提高重复成功的可能性。）</t>
  </si>
  <si>
    <t>Take actions to address identified issues with meeting measurement and performance objectives. (Enables the ability to meet performance objectives. )
采取行动解决已识别的问题，以实现衡量和绩效目标。 （能够实现绩效目标。）</t>
  </si>
  <si>
    <t>Develop, keep updated, and use the organization’s measurement and performance objectives traceable to business objectives. (Optimizes resource usage to improve business success.)
制定、保持更新并使用可追溯到业务目标的组织衡量和绩效目标。 （优化资源使用以提高业务成功率。）</t>
  </si>
  <si>
    <t>Follow organizational processes and standards to develop and use operational definitions for measures and keep them updated. (Enables consistent collection, understanding, and use of organizational measurement and performance data to improve performance and increase likelihood of success.)
遵循组织流程和标准来开发和使用措施的操作定义并保持更新。 （能够一致地收集、理解和使用组织衡量和绩效数据，以提高绩效并增加成功的可能性。）</t>
  </si>
  <si>
    <t>Develop, keep updated, and use the organization's measurement repository. (Supports informed decisions leading to more successful projects through timely access to measurement and performance data.)
开发、保持更新并使用组织的测量存储库。 （通过及时访问测量和绩效数据，支持明智的决策，从而使项目更加成功。）</t>
  </si>
  <si>
    <t>Analyze organizational performance using measurement and performance data to determine and address performance improvement needs. (Contributes to business success through the analysis and improvement of performance.)
使用测量和绩效数据分析组织绩效，以确定和解决绩效改进需求。 （通过分析和改进绩效为业务成功做出贡献。）</t>
  </si>
  <si>
    <t>Periodically communicate performance results to the organization. (Enhances coordination and understanding of performance and improvement value to reduce waste and increase the likelihood of achieving objectives.)
定期向组织传达绩效结果。 （加强对绩效和改进价值的协调和理解，以减少浪费并增加实现目标的可能性。）</t>
  </si>
  <si>
    <t>Select measures and analytic techniques to quantitatively manage performance to achieve quality and process performance objectives. (Focuses measurement and management activities on the data that provide the most insight into achieving the objectives.)
选择测量和分析技术来定量管理绩效，以实现质量和流程绩效目标。 （将衡量和管理活动的重点放在数据上，这些数据为实现目标提供了最深入的了解。）</t>
  </si>
  <si>
    <t>Use statistical and other quantitative techniques to develop and analyze process performance baselines and keep them updated. (Enables quantitative understanding of performance and capability to ensure that objectives can be met.)
使用统计和其他定量技术来开发和分析过程性能基线并保持更新。 （能够定量了解绩效和能力，以确保实现目标。）</t>
  </si>
  <si>
    <t>Use statistical and other quantitative techniques to develop and analyze process performance models and keep them updated. (Reduces cost and increases quality by predicting likelihood of meeting objectives and allowing for early corrective action.)
使用统计和其他定量技术来开发和分析过程绩效模型并保持更新。 （通过预测实现目标的可能性并允许及早采取纠正措施来降低成本并提高质量。）</t>
  </si>
  <si>
    <t>Use statistical and other quantitative techniques to determine or predict achievement of quality and process performance objectives. (Facilitates a quantitative understanding of risks to achieving objectives which maximizes likelihood of success.)
使用统计和其他定量技术来确定或预测质量和过程绩效目标的实现。 （有助于定量了解实现目标的风险，从而最大限度地提高成功的可能性。）</t>
  </si>
  <si>
    <t>Use statistical and other quantitative techniques to ensure that business objectives are aligned with business strategy to optimize performance. (Minimizes waste and rework through a more accurate understanding of capability which increases the likelihood of setting and meeting reasonable objectives.)
使用统计和其他定量技术确保业务目标与业务战略保持一致，以优化绩效。 （通过更准确地了解能力，最大限度地减少浪费和返工，从而增加设定和实现合理目标的可能性。）</t>
  </si>
  <si>
    <t>Analyze performance data using statistical and other quantitative techniques to determine the organization's ability to satisfy selected business objectives and identify potential areas for optimizing performance. (Identifies areas that pose the greatest risk to achieving business objectives or greatest opportunity for increasing business performance.)
使用统计和其他定量技术分析绩效数据，以确定组织满足选定业务目标的能力，并确定优化绩效的潜在领域。 （确定对实现业务目标构成最大风险或对提高业务绩效构成最大机会的领域。）</t>
  </si>
  <si>
    <t>Select and implement improvement proposals based on the statistical and quantitative analysis of the expected effect of proposed improvements on meeting and optimizing business, quality, and process performance objectives. (Increases likelihood that selected improvements will significantly contribute to achieving business, quality, and process performance objectives.)
根据对改进建议对满足和优化业务、质量和流程绩效目标的预期效果进行统计和定量分析，选择并实施改进建议。 （增加了所选改进显着有助于实现业务、质量和流程绩效目标的可能性。）</t>
  </si>
  <si>
    <t>MONITOR AND CONTROL</t>
  </si>
  <si>
    <t>Provides an understanding of the project progress so appropriate corrective actions can be taken when performance deviates significantly from plans.</t>
  </si>
  <si>
    <t>Record task completions. (Enables the team and senior management to make better decisions to achieve objectives.)
记录任务完成情况。 （使团队和高级管理层能够做出更好的决策以实现目标。）</t>
  </si>
  <si>
    <t>- How do you record completed tasks?
如何记录任务完成情况</t>
  </si>
  <si>
    <t>Identify and resolve issues. (Supports prevention of uncontrolled cost and schedule creep.)
识别并解决问题。 （支持防止成本失控和进度缓慢。）</t>
  </si>
  <si>
    <t>- How do you identify and resolve issues?
如何识别并解决问题</t>
  </si>
  <si>
    <t>Track actual results against estimates for size, effort, schedule, resources, knowledge and skills, and budget. (Identifies significant deviations so more effective corrective actions can be taken which increases the likelihood of meeting objectives.)
根据规模、工作量、进度、资源、知识和技能以及预算的估计来跟踪实际结果。 （识别重大偏差，以便采取更有效的纠正措施，从而增加实现目标的可能性。）</t>
  </si>
  <si>
    <t>- How do you track actual results achieved (size, effort, duration, or cost) against planned values?
如何从规模、工作量、进度、资源、知识和技能以及预算等方面，对比估算跟踪实际结果？</t>
  </si>
  <si>
    <t>Track the involvement of identified stakeholders and commitments. (Manages stakeholder involvement critical to successful work completion.)
跟踪已确定的利益相关者的参与和承诺。 （管理利益相关者的参与对于成功完成工作至关重要。）</t>
  </si>
  <si>
    <t>Monitor the transition to operations and support. (Ensures expected benefits are obtained by smooth solution transitions and successful implementations.)
监控向运营和支持的过渡。 （确保通过顺利的解决方案过渡和成功实施获得预期收益。）</t>
  </si>
  <si>
    <t>- How do you monitor transitioning of solutions to operations and support?
如何监控向运营和支持的迁移</t>
  </si>
  <si>
    <t>Take corrective actions when actual results differ significantly from planned results and manage to closure. (Manages corrective actions to increase the probability that objectives will be met.)
当实际结果与计划结果存在显着差异时，采取纠正措施并设法结束。 （管理纠正措施以增加实现目标的可能性。）</t>
  </si>
  <si>
    <t>- When and how do you take corrective actions when actual results differ significantly from planned result?
当实际结果相较于计划结果存在显著差异时，如何采取纠正措施并管理直至关闭</t>
  </si>
  <si>
    <t>Manage the project using the project plan and the project process. (Ensures necessary activities are performed which reduces rework and improves the likelihood of achieving objectives.)
使用项目计划和项目流程来管理项目。 （确保执行必要的活动，减少返工并提高实现目标的可能性。）</t>
  </si>
  <si>
    <t>Manage critical dependencies and activities. (Manages critical dependencies to significantly reduce risk and increase the likelihood of meeting objectives.)
管理关键的依赖关系和活动。 （管理关键依赖性以显着降低风险并增加实现目标的可能性。）</t>
  </si>
  <si>
    <t>- How do you manage critical dependencies?
如何管理关键依赖关系？</t>
  </si>
  <si>
    <t>Monitor the work environment to identify issues. (Ensures objectives are met by providing an effective, safe, and healthy work environment.)
监控工作环境以发现问题。 （通过提供有效、安全和健康的工作环境确保实现目标。）</t>
  </si>
  <si>
    <t>- How do you identify work environment issues?
如何识别工作环境问题</t>
  </si>
  <si>
    <t>Manage and resolve issues with affected stakeholders. (Resolves issues early, increasing the likelihood of meeting objectives.)
与受影响的利益相关者一起管理和解决问题。 （及早解决问题，增加实现目标的可能性。）</t>
  </si>
  <si>
    <t>ORGANIZATIONAL TRAINING</t>
  </si>
  <si>
    <t>Develops the skills and knowledge of personnel so they perform their roles efficiently and effectively.</t>
  </si>
  <si>
    <t>Train people. (Increases likelihood of meeting objectives by ensuring individuals have needed skills and knowledge.)
培养人。 （通过确保个人拥有所需的技能和知识来增加实现目标的可能性。）</t>
  </si>
  <si>
    <t>- Do you provide training to staff?
是否向员工提供培训</t>
  </si>
  <si>
    <t>Identify training needs. (Reduces costs by providing training needed to perform the work.)
确定培训需求。 （通过提供执行工作所需的培训来降低成本。）</t>
  </si>
  <si>
    <t>- How do you identify training needs?
如何确定培训需求？</t>
  </si>
  <si>
    <t>- What training records do you maintain?
有哪些培训记录？</t>
  </si>
  <si>
    <t>Coordinate training needs and delivery between the projects and the organization. (Ensures efficient and effective allocation of training resources.)
协调项目和组织之间的培训需求和交付。 （确保培训资源的高效和有效分配。）</t>
  </si>
  <si>
    <t>- How is training needs between projects (and support functions) coordinated with organizational training needs?
项目（和支持职能）之间的培训需求如何与组织培训需求相协调一致？</t>
  </si>
  <si>
    <t>- How do you execute the strategic and short term training plans?
如何执行战略和短期培训计划？</t>
  </si>
  <si>
    <t>Develop, keep updated, and use a training capability to address organizational training needs. (Ensures personnel have the knowledge, skills, and abilities to perform their work efficiently and effectively.)
开发、保持更新并使用培训能力来满足组织培训需求。 （确保人员拥有高效且有效地开展工作的知识、技能和能力。）</t>
  </si>
  <si>
    <t>- How do you establish and maintain a training capability for the organization?
如何建立和维护组织的培训能力？</t>
  </si>
  <si>
    <t>Assess and report the effectiveness of the organization's training program. (Keeps the training program relevant and valuable to the business.)
评估并报告组织培训计划的有效性。 （保持培训计划对业务的相关性和价值。）</t>
  </si>
  <si>
    <t>- How do you assess the effectiveness of the organization training program?
如何评估组织培训计划的有效性？</t>
  </si>
  <si>
    <t>Record, keep updated, and use the set of organizational training records. (Records are essential in determining how well the training program supports the achievement of business and performance goals.)
记录、保持更新并使用组织培训记录集。 （记录对于确定培训计划对实现业务和绩效目标的支持程度至关重要。）</t>
  </si>
  <si>
    <t>- How do recording, keeping updated, and using the set of organizational training records contribute to determining how well the training program supports the achievement of business and performance goals?
记录、保持更新并使用组织培训记录集如何有助于确定培训计划对实现业务和绩效目标的支持程度？</t>
  </si>
  <si>
    <t>PEER REVIEWS</t>
  </si>
  <si>
    <t>Identifies and addresses process performance and work product issues through reviews by the producer's peers or Subject Matter Experts (SMEs).</t>
  </si>
  <si>
    <t>Reduces cost and rework by uncovering issues or defects early.</t>
  </si>
  <si>
    <t>Perform reviews of work products and record issues. (Improves work product quality and reduces cost and rework by uncovering issues early.)
对工作产品进行审查并记录问题。 （通过及早发现问题来提高工作产品质量并降低成本和返工。）</t>
  </si>
  <si>
    <t>- What peer reviews do you (process actor) perform or are performed on your work products?
对哪些工作产品进行同行评审</t>
  </si>
  <si>
    <t>Develop and keep updated procedures and supporting materials used to prepare for and perform peer reviews. (Maximizes efficiency and effectiveness of finding issues in peer reviews.)
制定并保持更新的程序和支持材料，用于准备和执行同行评审。 （最大限度地提高在同行评审中发现问题的效率和效果。）</t>
  </si>
  <si>
    <t>- What procedures do you use to prepare and perform peer reviews?
准备和执行同行评审的步骤有哪些</t>
  </si>
  <si>
    <t>Select work products to be peer reviewed. (Manages cost by targeting critical work products for peer review.)
选择要进行同行评审的工作产品。 （通过针对关键工作产品进行同行评审来管理成本。）</t>
  </si>
  <si>
    <t>- How does choosing critical work products for peer review help manage costs effectively?
选择关键工作产品进行同行评审如何有效地管理成本？</t>
  </si>
  <si>
    <t>Prepare and perform peer reviews on selected work products using established procedures. (Reduces cost by thorough and consistent review to detect work product issues.)
使用既定程序对选定的工作产品进行准备和执行同行评审。 （通过彻底、一致的审查来检测工作产品问题，从而降低成本。）</t>
  </si>
  <si>
    <t>Resolve issues identified in peer reviews. (Reduces rework, costs, and increases quality.)
解决同行评审中发现的问题。 （减少返工、成本并提高质量。）</t>
  </si>
  <si>
    <t>- What do you do with issues identified during peer reviews?
如何解决同行评审中发现的问题</t>
  </si>
  <si>
    <t>Analyze results and data from peer reviews. (Increases the efficiency and effectiveness of the process for performing peer reviews.)
分析同行评审的结果和数据。 （提高同行评审流程的效率和有效性。）</t>
  </si>
  <si>
    <t>PLANNING</t>
  </si>
  <si>
    <t>Develop plans to describe what is needed to accomplish the work within the standards and constraints of the organization, including the:
Budget
Schedule
Resource demand, capacity and availability
Quality
Functionality requirements
Risks and opportunities
Plans also describe:
The work to be performed
Applicable organizational set of standard processes, assets, and tailoring guidelines
Dependencies
Who performs the work
Relationships with other plans
Stakeholders and their role</t>
  </si>
  <si>
    <t>Develop a list of tasks. (Ensures that the work needed to meet customer requirements is identified to increase customer satisfaction.)
制定任务清单。 （确保确定满足客户要求所需的工作，以提高客户满意度。）</t>
  </si>
  <si>
    <t>- Do you have a list of tasks that needs to be performed?
有制定需要执行的任务列表嘛？</t>
  </si>
  <si>
    <t>Assign people to tasks. (Ensures that tasks will be performed to meet requirements and satisfy the customer.)
将人员分配给任务。 （确保执行任务以满足要求并让客户满意。）</t>
  </si>
  <si>
    <t>- Do you assign people to the tasks?
如何将人员分配到任务</t>
  </si>
  <si>
    <t>Develop and keep updated the approach for accomplishing the work. (Maximizes project success by keeping the affected stakeholders focused on accomplishing their specific objectives.)
制定并不断更新完成工作的方法。 （通过让受影响的利益相关者专注于实现其特定目标，最大限度地提高项目成功率。）</t>
  </si>
  <si>
    <t>- What's your approach for the work (e.g., Scrum, Waterfall)? How does updating it contribute to keeping stakeholders focused on specific objectives and maximizing project success?
您的工作方法是什么（例如，Scrum、瀑布）？更新它如何有助于让利益相关者专注于特定目标，并最大化项目成功？</t>
  </si>
  <si>
    <t>Plan for the knowledge and skills needed to perform the work. (Enables efficient and effective use of personnel resources.)
规划执行工作所需的知识和技能。 （能够高效且有效地利用人力资源。）</t>
  </si>
  <si>
    <t>- How do you make sure you have the right knowledge and skills for the task to be performed?
如何确保具备执行工作所需的知识和技能？</t>
  </si>
  <si>
    <t>Based on recorded estimates, develop, and keep the budget and schedule updated. (Enables timely management and corrective actions needed to achieve objectives, through early detection of significant deviations from the budget and schedule.)
根据记录的估算，制定并更新预算和时间表。 （通过及早发现预算和进度的重大偏差，实现实现目标所需的及时管理和纠正措施。）</t>
  </si>
  <si>
    <t>- How do you develop the budget and schedule?
如何制定预算和进度表</t>
  </si>
  <si>
    <t>Plan the involvement of identified stakeholders. (Ensures that stakeholder needs are addressed when they arise, reducing the amount and cost of rework.)
计划已确定的利益相关者的参与。 （确保利益相关者的需求在出现时得到满足，从而减少返工的数量和成本。）</t>
  </si>
  <si>
    <t>- How do you plan for stakeholder involvement?
如何对干系人的参与做相应的计划</t>
  </si>
  <si>
    <t>Plan transition to operations and support. (Minimizes surprises and rework during adoption and deployment.)
计划向运营和支持的过渡。 （最大限度地减少采用和部署过程中的意外和返工。）</t>
  </si>
  <si>
    <t>- How does planning the transition to operations and support contribute to minimizing surprises and rework during adoption and deployment?
计划向运营和支持的过渡如何有助于最大限度地减少采用和部署过程中的意外和返工？</t>
  </si>
  <si>
    <t>- How do you ensure your plans are feasible in terms of resource availability and work that needs to be performed?
在资源可用性和需要执行的工作方面，如何确保计划可行？</t>
  </si>
  <si>
    <t>Develop the project plan, ensure consistency among its elements, and keep it updated. (Ensures efficient and effective communication and achievement of objectives through a consistent project plan.)
制定项目计划，确保其要素之间的一致性，并保持更新。 （通过一致的项目计划确保高效、有效的沟通和目标的实现。）</t>
  </si>
  <si>
    <t>- How do you ensure the plan and its deliverables are consistent and aligned?
在项目计划中会记录哪些信息？</t>
  </si>
  <si>
    <t>- How do you review the plans with stakeholders, and how do you get commitment to the plans?
如何制定评审计划？如何获得受影响的干系人的承诺？</t>
  </si>
  <si>
    <t>Use the organization's set of standard processes and tailoring guidelines to develop, keep updated, and follow the project process. (Establishes the project process, ensuring the efficient and effective achievement of the objectives.)
使用组织的一套标准流程和定制指南来开发、保持更新并遵循项目流程。 （建立项目流程，确保高效、有效地实现目标。）</t>
  </si>
  <si>
    <t>Develop a plan and keep it updated using the project process, the organization's process assets, and the measurement repository. (Increases the likelihood that the objectives will be met, by using proven organizational assets for planning the project.)
使用项目流程、组织的流程资产和测量存储库制定计划并保持更新。 （通过使用经过验证的组织资产来规划项目，增加实现目标的可能性。）</t>
  </si>
  <si>
    <t>- How do you keep your plan updated with the project process, the process assets and the measurement repository?
如何使用项目过程、组织的过程资产和度量库制定计划并保持更新？</t>
  </si>
  <si>
    <t>Identify and negotiate critical dependencies (Reduces risk and increases the likelihood the project will be completed on time, within budget, and meet quality objectives by paying close attention to critical dependencies.)
识别和协商关键依赖性（通过密切关注关键依赖性，降低风险并增加项目在预算范围内按时完成并满足质量目标的可能性。）</t>
  </si>
  <si>
    <t>- Explain how you identify and negotiate critical dependencies?
如何识别和协商关键依赖关系？</t>
  </si>
  <si>
    <t>Plan for the project environment and keep it updated based on the organization's standards. (Ensures that the resources needed to complete the work are readily available to maximize productivity.)
规划项目环境并根据组织的标准进行更新。 （确保完成工作所需的资源随时可用，以最大限度地提高生产力。）</t>
  </si>
  <si>
    <t>- Explain how you use organizational standards to plan for your project environment?
如何使用组织标准计划项目环境并保持更新？</t>
  </si>
  <si>
    <t>- How do you make use of statistical and other quantitative techniques to develop and keep the project processes updated to enable achievement of the quality and process performance objectives for the project or organization?
如何使用统计与其他量化技术来开发项目过程并保持更新，以实现过程或组织的质量与过程性能目标？</t>
  </si>
  <si>
    <t>PROCESS QUALITY ASSURANCE</t>
  </si>
  <si>
    <t>Verifies and enables improvement of the quality of the processes performed and resulting work products.</t>
  </si>
  <si>
    <t>Identify and address process and work product issues. (Increases customer satisfaction through improved quality and performance.)
识别并解决流程和工作产品问题。 （通过改进质量和性能提高客户满意度。）</t>
  </si>
  <si>
    <t>- How do you identify work products and processes for process quality assurance?
'如何识别工作产品和过程以保证过程质量？</t>
  </si>
  <si>
    <t>Develop, keep updated, and follow a quality assurance approach and plan based on historical quality data. (Reduces cost and increases quality by focusing on recurring problem areas.)
根据历史质量数据制定、保持更新并遵循质量保证方法和计划。 （通过关注重复出现的问题领域来降低成本并提高质量。）</t>
  </si>
  <si>
    <t>Record and use results of quality assurance activities. (Optimizes future quality assurance activities and reduces the cost of future work.)
记录和使用质量保证活动的结果。 （优化未来的质量保证活动并降低未来工作的成本。）</t>
  </si>
  <si>
    <t>- Where do you record the results of quality assurance activities?
'将记录质量保证活动的结果记录在哪里</t>
  </si>
  <si>
    <t>Identify and record opportunities for improvement during quality assurance activities. (Improves the organization's capability to meet its goals and objectives.)
识别并记录质量保证活动期间的改进机会。 （提高组织实现其目标的能力。）</t>
  </si>
  <si>
    <t>PROCESS ASSET DEVELOPMENT</t>
  </si>
  <si>
    <t>Develops the process assets necessary to perform the work and keeps them updated.</t>
  </si>
  <si>
    <t>Develop process assets to perform the work. (Improves consistency to increase likelihood of meeting objectives.)
开发流程资产来执行工作。 （提高一致性以增加实现目标的可能性。）</t>
  </si>
  <si>
    <t>- What processes assets is defined for your organization?
组织定义的过程资产有哪些？</t>
  </si>
  <si>
    <t>Determine what process assets will be needed to perform the work. (Avoids waste by focusing resources only on the process assets needed to perform the work.)
确定执行工作需要哪些流程资产。 （通过将资源仅集中在执行工作所需的流程资产上来避免浪费。）</t>
  </si>
  <si>
    <t>Develop, buy, or reuse process assets. (Minimizes costs, effort, and time needed for developing the assets.)
开发、购买或重复使用流程资产。 （最大限度地减少开发资产所需的成本、精力和时间。）</t>
  </si>
  <si>
    <t>- What processes assets has been developed (reused) or purchased?
已开发（复用）或购买了哪些流程资产？</t>
  </si>
  <si>
    <t>Make processes and assets available. (Reduces cost and time needed for performing the work by using existing process assets.)
使流程和资产可用。 （通过使用现有流程资产减少执行工作所需的成本和时间。）</t>
  </si>
  <si>
    <t>Develop, keep updated, and follow a strategy for building and updating process assets. (Provides a structure and direction for asset building that minimizes cost.)
制定、保持更新并遵循构建和更新流程资产的策略。 （提供资产建设的结构和方向，最大限度地降低成本。）</t>
  </si>
  <si>
    <t>- What process is defined for developing process assets?
为开发过程资产定义了什么流程？</t>
  </si>
  <si>
    <t>Develop, record, and keep updated a process architecture that describes the structure of the organization's processes and process assets. (Ensures that processes add value by providing a robust process architecture.)
开发、记录并保持更新描述组织流程和流程资产结构的流程架构。 （通过提供强大的流程架构确保流程增加价值。）</t>
  </si>
  <si>
    <t>- What process architecture is in place describing the structure of the organization's processes?
哪种过体系结构描述了组织过程结构？</t>
  </si>
  <si>
    <t>Develop, keep updated, and make the organization’s processes and assets available for use in a process asset library. (Reduces the time and effort needed to organize, access, and update process assets, leading to reduced cost and waste.)
开发、保持更新并使组织的流程和资产可在流程资产库中使用。 （减少组织、访问和更新流程资产所需的时间和精力，从而降低成本和浪费。）</t>
  </si>
  <si>
    <t>- How are process assets made available for use in the organization?
如何在组织中使用过程资产？</t>
  </si>
  <si>
    <t>Develop, keep updated, and use tailoring criteria and guidelines for the set of standard processes and assets. (Accommodates the unique needs of each project while avoiding unnecessary work.)
为一组标准流程和资产开发、保持更新并使用定制标准和指南。 （满足每个项目的独特需求，同时避免不必要的工作。）</t>
  </si>
  <si>
    <t>- What tailoring guidelines do you have for your standard process assets?
对标准过程资产的裁剪准则有哪些？</t>
  </si>
  <si>
    <t>Develop, keep updated, and make work environment standards available for use. (Increases productivity and consistency across projects through a specified and established work environment.)
制定、保持更新并使工作环境标准可供使用。 （通过指定和既定的工作环境提高项目之间的生产力和一致性。）</t>
  </si>
  <si>
    <t>- What work environment standards have been established and maintained?
建立并维护了哪些工作环境标准？</t>
  </si>
  <si>
    <t>PROCESS MANAGEMENT</t>
  </si>
  <si>
    <t>Manages and implements the continuous performance improvement of processes and infrastructure to meet business objectives by identifying and implementing the most beneficial process improvements and making performance results visible, accessible, and sustainable.</t>
  </si>
  <si>
    <t>Develop a support structure to provide process guidance, identify and fix process problems, and continuously improve processes. (Reduces effort, cycle time, costs, defects, and waste, and increases performance.)
开发支持结构以提供流程指导、识别和解决流程问题并持续改进流程。 （减少工作量、周期时间、成本、缺陷和浪费，并提高性能。）</t>
  </si>
  <si>
    <t>- What process support structure (for example an EPG) do you have in place?
您拥有什么过程支持结构（例如EPG）？</t>
  </si>
  <si>
    <t>Appraise the current process implementation and identify strengths and weaknesses. (Provides a systematic and realistic way to identify the most important opportunities for improvements.)
评估当前流程的实施并确定优点和缺点。 （提供系统且现实的方法来确定最重要的改进机会。）</t>
  </si>
  <si>
    <t>- What appraisals (CMMI, COBIT, ISO) have you done on your current processes?
对当前过程进行了哪些评估？(update)</t>
  </si>
  <si>
    <t>Address improvement opportunities or process issues. (Reduces costs by increasing efficiency and effectiveness of projects.)
解决改进机会或流程问题。 （通过提高项目的效率和有效性来降低成本。）</t>
  </si>
  <si>
    <t>Identify improvements to the processes and process assets. (Maximizes return on investment by focusing resources on the most critical business needs and objectives.)
确定流程和流程资产的改进。 （通过将资源集中在最关键的业务需求和目标上来最大化投资回报。）</t>
  </si>
  <si>
    <t>Develop, keep updated, and follow plans for implementing selected process improvements. (Enables more efficient and effective improvement efforts to meet business objectives.)
制定、保持更新并遵循实施选定流程改进的计划。 （实现更高效、更有效的改进工作，以实现业务目标。）</t>
  </si>
  <si>
    <t>- What process improvement actions are followed to implement identified improvements?
采取了哪些过程改进措施以实现识别的改进？</t>
  </si>
  <si>
    <t>Develop, keep updated, and use process improvement objectives traceable to the business objectives. (Ensures that process improvements focus on achieving business objectives.)
制定、保持更新并使用可追溯到业务目标的流程改进目标。 （确保流程改进的重点是实现业务目标。）</t>
  </si>
  <si>
    <t>- How do you link your process improvement objectives to your business objectives?
如何将过程改进与业务目标联系起来？</t>
  </si>
  <si>
    <t>Identify processes that are the largest contributors to meeting business objectives. (Maximizes impact of improvement activities by focusing on and meeting the most important business needs.)
确定对实现业务目标贡献最大的流程。 （通过关注并满足最重要的业务需求，最大限度地提高改进活动的影响。）</t>
  </si>
  <si>
    <t>- How do you prioritise your process improvements?
如何确定过程改进的优先级？</t>
  </si>
  <si>
    <t>Explore and evaluate potential new processes, techniques, methods, and tools to identify improvement opportunities. (Maximizes process innovation to more efficiently and effectively achieve objectives.)
探索和评估潜在的新流程、技术、方法和工具，以确定改进机会。 （最大化流程创新，以更高效、更有效地实现目标。）</t>
  </si>
  <si>
    <t>- How do you evaluate potential new improvements opportunities. Improvements include against processes, techniques, methods and tools?
您如何评估潜在的新的改进机会。改进包括针对过程，技术，方法和工具使用的改进嘛？</t>
  </si>
  <si>
    <t>Provide support for implementing, deploying, and sustaining process improvements. (Ensures process improvements provide value to the organization over time.)
为实施、部署和维持流程改进提供支持。 （确保流程改进随着时间的推移为组织提供价值。）</t>
  </si>
  <si>
    <t>- What support is provided for implementing and deploying new process improvements?
为实施和部署新过程改进提供了哪些支持？</t>
  </si>
  <si>
    <t>Deploy organizational standard processes and process assets. (Ensures efficient, effective, and coordinated process deployment to reduce potential waste from overlapping improvements.)
部署组织标准流程和流程资产。 （确保高效、有效和协调的流程部署，以减少重叠改进带来的潜在浪费。）</t>
  </si>
  <si>
    <t>- How are organizational standard processes and process assets deployed?
组织标准过程和过程资产如何部署？</t>
  </si>
  <si>
    <t>Evaluate and report the effectiveness of deployed improvements in achieving process improvement objectives. (Ensures deployed processes are contributing to meeting process and performance improvement objectives.)
评估并报告已部署的改进在实现流程改进目标方面的有效性。 （确保部署的流程有助于实现流程和绩效改进目标。）</t>
  </si>
  <si>
    <t>- How do you evaluate the effectiveness of improvements towards achieving business objectives?
如何评估对实现业务目标的改进效果？</t>
  </si>
  <si>
    <t>Use statistical and other quantitative techniques to validate selected performance improvements against proposed improvement expectations, business objectives, or quality and process performance objectives. (Increases the success rate for performance improvement implementation.)
使用统计和其他定量技术根据建议的改进预期、业务目标或质量和流程性能目标来验证所选的性能改进。 （提高绩效改进实施的成功率。）</t>
  </si>
  <si>
    <t>- How do you make use of statistical and other quantitative techniques to validate selected performance improvements against proposed improvement exceptions, business objectives, or quality and process performance objectives?
你是如何使用统计化和量化技术来确认已实施改进项对商业目标和质量与过程性能目标的效果的？</t>
  </si>
  <si>
    <t>RISK AND OPPORTUNITY MANAGEMENT</t>
  </si>
  <si>
    <t>Identifies, records, analyzes, and manages potential risks or opportunities.</t>
  </si>
  <si>
    <t>Mitigates adverse impacts or capitalizes on positive impacts to increase the likelihood of meeting objectives.</t>
  </si>
  <si>
    <t>Identify and record risks or opportunities and keep them updated. (Enables organizations to avoid or minimize the impact of risks and leverage potential opportunities related to achieving objectives.)
识别并记录风险或机遇并及时更新。 （使组织能够避免或尽量减少风险的影响，并利用与实现目标相关的潜在机会。）</t>
  </si>
  <si>
    <t>- How does our organization assess the impact and likelihood of identified risks and opportunities?
我们的组织是如何评估已识别风险和机会的影响和可能性的？这些评估又是如何用于在我们的战略规划中优先排序和分配资源的？</t>
  </si>
  <si>
    <t>Analyze identified risks or opportunities. (Increases the likelihood of achieving objectives by reducing the impact of risks or leveraging opportunities.)
分析已识别的风险或机会。（通过减少风险的影响或利用机会，增加实现目标的可能性。）</t>
  </si>
  <si>
    <t>- How do you analyse identified risks or opportunities?
如何分析已识别地风险或机会</t>
  </si>
  <si>
    <t>Monitor identified risks or opportunities and communicate status to affected stakeholders. (Enables timely corrective or leveraging actions to maximize the likelihood of achieving objectives.)
监控已识别的风险或机会，并向相关利益相关者通报状态。（使得及时的纠正或利用行动成为可能，以最大化实现目标的可能性。）</t>
  </si>
  <si>
    <t>- How do you monitor identified risks or opportunities and comminate this tatus to affected stakeholders?
如何监控已识别地风险或机会并与受影响地干系人沟通风险或机会地状态？</t>
  </si>
  <si>
    <t>Identify and use risk or opportunity categories. (Organizes risks or opportunities to focus attention on uncertainties that will impact the achievement of objectives.)
识别并使用风险或机会类别。 （组织风险或机会，将注意力集中在将影响目标实现的不确定性上。）</t>
  </si>
  <si>
    <t>- Explain how you make use of risk or opportunity categories?
如何使用风险或机会类别？</t>
  </si>
  <si>
    <t>- What parameters for risk or opportunity analysis is defined and what is it used for?
定义用于风险或机会分析的参数用那些，如何使用？</t>
  </si>
  <si>
    <t>Develop and keep updated a risk or opportunity management strategy. (Avoids problems and leverages opportunities to increase the likelihood of achieving objectives.)
制定并不断更新风险或机会管理策略。 （避免问题并利用机会来增加实现目标的可能性。）</t>
  </si>
  <si>
    <t>- Explain any risk or opportunity management strategies that you may develop and maintain?
制定和持续更新风险或机会管理策略有哪些？</t>
  </si>
  <si>
    <t>Develop and keep updated risk or opportunity management plans. (Minimizes the impact of risks and maximizes the benefits of opportunities for achieving objectives.)
制定并保持更新的风险或机会管理计划。 （最大限度地减少风险的影响并最大化实现目标的机会的好处。）</t>
  </si>
  <si>
    <t>- Explain any risk or opportunity management plans that you may develop and maintain?
制定和持续更新风险或机会管理计划有哪些？</t>
  </si>
  <si>
    <t>Manage risks or opportunities by implementing planned risk or opportunity management activities. (Reduces unforeseen occurrences that impair ability to achieve objectives and increases business value by leveraging opportunities.)
通过实施计划的风险或机会管理活动来管理风险或机会。 （减少影响实现目标能力的不可预见事件，并通过利用机会增加业务价值。）</t>
  </si>
  <si>
    <t>- Explain how you manage (mitigate) risk or opportunity items?
如何管理风险或机会？</t>
  </si>
  <si>
    <t>REQUIREMENTS DEVELOPMENT AND MANAGEMENT</t>
  </si>
  <si>
    <t>Elicits requirements, confirms common understanding by stakeholders, and aligns requirements, plans, and work products.</t>
  </si>
  <si>
    <t>Increases likelihood that the solution meets or exceeds customer expectations and needs.</t>
  </si>
  <si>
    <t>Record requirements. (Addresses customer needs and expectations.)
记录要求。 （满足客户的需求和期望。）</t>
  </si>
  <si>
    <t>Elicit stakeholder needs, expectations, constraints, and interfaces or connections, and confirm understanding of the requirements. (Ensures a deeper mutual understanding of the requirements and increases the likelihood that the customer will be satisfied.)
引出利益相关者的需求、期望、约束以及接口或连接，并确认对需求的理解。 （确保对需求有更深入的相互理解，并增加客户满意的可能性。）</t>
  </si>
  <si>
    <t>Transform stakeholder needs, expectations, constraints, and interfaces or connections into prioritized customer requirements. (Ensures customer priorities are addressed to minimize the cost of rework during acceptance and maximize customer satisfaction.)
将利益相关者的需求、期望、约束和接口或连接转变为优先的客户需求。 （确保解决客户的优先事项，以最大限度地减少验收期间的返工成本并最大限度地提高客户满意度。）</t>
  </si>
  <si>
    <t>Obtain commitment from project participants that they can implement the requirements. (Ensures commitments are well understood to minimize delays and rework.)
获得项目参与者的承诺，他们可以实现这些要求。 （确保充分理解承诺，以尽量减少延误和返工。）</t>
  </si>
  <si>
    <t>Develop, record, and keep updated bidirectional traceability among requirements and activities or work products. (Ensures consistency between requirements and the solution which increases the likelihood of customer satisfaction.)
开发、记录并保持更新需求和活动或工作产品之间的双向可追溯性。 （确保需求和解决方案之间的一致性，从而提高客户满意度的可能性。）</t>
  </si>
  <si>
    <t>Ensure that plans and activities or work products remain consistent with requirements. (Minimizes rework by eliminating inconsistencies between requirements and related artifacts.)
确保计划和活动或工作产品与要求保持一致。 （通过消除需求和相关工件之间的不一致，最大限度地减少返工。）</t>
  </si>
  <si>
    <t>Develop and keep requirements updated for the solution and its components. (Ensures the built solutions meet the customers' needs and expectations in a consistent way across the organization.)
开发解决方案及其组件的需求并保持更新。 （确保构建的解决方案在整个组织中以一致的方式满足客户的需求和期望。）</t>
  </si>
  <si>
    <t>Develop operational concepts and scenarios. (Enables customers to understand, confirm, and commit to how their requirements will be met.)
制定运营概念和场景。 （使客户能够理解、确认并承诺如何满足他们的要求。）</t>
  </si>
  <si>
    <t>Allocate the requirements to be implemented. (Increases customer satisfaction by delivering a complete solution that meets requirements.)
分配要实施的要求。 （通过提供满足要求的完整解决方案来提高客户满意度。）</t>
  </si>
  <si>
    <t>Identify, develop, and keep updated interface or connection requirements. (Reduces rework and risk due to incompatible internal and external interfaces or connections.)
识别、开发并保持更新的接口或连接要求。 （减少由于内部和外部接口或连接不兼容而导致的返工和风险。）</t>
  </si>
  <si>
    <t>Ensure that requirements are necessary and sufficient. (Avoids rework by only delivering necessary solutions.)
确保要求是必要且充分的。 （仅提供必要的解决方案来避免返工。）</t>
  </si>
  <si>
    <t>Balance stakeholder needs and constraints. (Increases stakeholder satisfaction while addressing conflicting requirements and constraints.)
平衡利益相关者的需求和约束。 （提高利益相关者的满意度，同时解决相互冲突的要求和约束。）</t>
  </si>
  <si>
    <t>Validate requirements to ensure the resulting solution will perform as intended in the target environment. (Avoids rework cost and increases satisfaction by delivering a solution that meets customer expectations and needs.)
验证需求以确保最终的解决方案在目标环境中按预期运行。 （通过提供满足客户期望和需求的解决方案，避免返工成本并提高满意度。）</t>
  </si>
  <si>
    <t>PRODUCT INTEGRATION</t>
  </si>
  <si>
    <t>Integrates and delivers the solution that addresses functionality, performance, and quality requirements.</t>
  </si>
  <si>
    <t>Assemble solutions and deliver to the customer. (Enables customer satisfaction by delivering a usable solution.)
组装解决方案并交付给客户。 （通过提供可用的解决方案来提高客户满意度。）</t>
  </si>
  <si>
    <t>Develop, keep updated, and follow an integration strategy. (Ensures that the product will meet customer requirements given available resources.)
制定、保持更新并遵循集成策略。 （确保产品在可用资源的情况下满足客户的要求。）</t>
  </si>
  <si>
    <t>Develop, keep updated, and use the integration environment. (Provides an effective risk mitigation technique to ensure that the solution and components are integrated correctly.)
开发、保持更新和使用集成环境。 （提供有效的风险缓解技术，以确保解决方案和组件正确集成。）</t>
  </si>
  <si>
    <t>Develop, keep updated, and follow procedures and criteria for integrating solutions and components. (Improves the likelihood of producing a solution that works correctly and meets the customer's requirements.)
开发、保持更新并遵循集成解决方案和组件的程序和标准。 （提高生成正确工作并满足客户要求的解决方案的可能性。）</t>
  </si>
  <si>
    <t>Confirm, prior to integration, that each component has been properly identified and operates according to its requirements and design. (Reduces total development cost, integration cycle time, and rework.)
在集成之前，确认每个组件均已根据其要求和设计正确识别并运行。 （减少总开发成本、集成周期时间和返工。）</t>
  </si>
  <si>
    <t>Evaluate integrated components to ensure conformance to the solution's requirements and design. (Helps to ensure customer requirements are correctly implemented.)
评估集成组件以确保符合解决方案的要求和设计。 （有助于确保客户要求得到正确实施。）</t>
  </si>
  <si>
    <t>Integrate solutions and components according to the integration strategy. (Ensures that the customer receives a solution that meets requirements and design.)
根据集成策略集成解决方案和组件。 （确保客户收到满足要求和设计的解决方案。）</t>
  </si>
  <si>
    <t>Review and keep updated interface or connection descriptions for coverage, completeness, and consistency throughout the solution's life. (Reduces rework and missed project objectives caused by incompatible or inconsistent interfaces or connections.)
检查并保持更新的接口或连接描述，以确保整个解决方案生命周期的覆盖范围、完整性和一致性。 （减少因接口或连接不兼容或不一致而导致的返工和错过项目目标。）</t>
  </si>
  <si>
    <t>Confirm, prior to integration, that component interfaces or connections comply with interface or connection descriptions. (Reduces the amount of rework due to interface or connection incompatibility.)
在集成之前确认组件接口或连接符合接口或连接描述。 （减少因接口或连接不兼容而导致的返工量。）</t>
  </si>
  <si>
    <t>Evaluate integrated components for interface or connection compatibility. (Reduces the risk of interface or connection failure within integrated components.)
评估集成组件的接口或连接兼容性。 （降低集成组件内接口或连接故障的风险。）</t>
  </si>
  <si>
    <t>TECHNICAL SOLUTION</t>
  </si>
  <si>
    <t>Designs and builds solutions that meet requirements.</t>
  </si>
  <si>
    <t>Evaluate the design and address identified issues. (Reduces cost by minimizing defects and ensuring that the solution meets requirements.)
评估设计并解决已发现的问题。 （通过最大限度地减少缺陷并确保解决方案满足要求来降低成本。）</t>
  </si>
  <si>
    <t>Provide guidance on use of the solution. (Supports usability and maintainability of the solution.)
提供解决方案的使用指导。 （支持解决方案的可用性和可维护性。）</t>
  </si>
  <si>
    <t>Develop criteria for design decisions. (Increases the likelihood of producing a robust design that meets customer requirements and constraints.)
制定设计决策的标准。 （增加了生产满足客户要求和约束的稳健设计的可能性。）</t>
  </si>
  <si>
    <t>Develop alternative solutions for selected components. (Ensures that the most beneficial solution is identified and selected.)
为选定的组件开发替代解决方案。 （确保确定并选择最有益的解决方案。）</t>
  </si>
  <si>
    <t>Perform a build, buy, or reuse analysis. (Ensures that the most effective way to implement the design has been chosen.)
执行构建、购买或重用分析。 （确保选择了最有效的方法来实现设计。）</t>
  </si>
  <si>
    <t>Develop, keep updated, and use information needed to implement the design. (Avoids rework by ensuring that solution implementers have the information they need to develop a solution that meets the customer's requirements.)
开发、保持更新和使用实现设计所需的信息。 （通过确保解决方案实施者拥有开发满足客户要求的解决方案所需的信息来避免返工。）</t>
  </si>
  <si>
    <t>Design solution interfaces or connections using established criteria. (Reduces the likelihood of failures and rework during testing and operations and maximizes performance.)
使用既定标准设计解决方案接口或连接。 （减少测试和操作期间发生故障和返工的可能性，并最大限度地提高性能。）</t>
  </si>
  <si>
    <t>VERIFICATION AND VALIDATION</t>
  </si>
  <si>
    <t>Confirms selected solutions and components meet their requirements, and demonstrates selected solutions and components fulfill their intended use in their target environment.</t>
  </si>
  <si>
    <t>Increases the likelihood that the solution will satisfy the customer.</t>
  </si>
  <si>
    <t>Perform verification to ensure the requirements are implemented and record and communicate results. (Reduces the cost of addressing requirements issues and increases customer satisfaction.)
进行验证以确保要求得到实施，并记录和传达结果。 （降低解决需求问题的成本并提高客户满意度。）</t>
  </si>
  <si>
    <t>Perform validation to ensure the solution will function as intended in its target environment and record and communicate results. (Increases the likelihood that the result provides the right solution to meet customer expectations.)
执行验证以确保解决方案在其目标环境中按预期运行，并记录和传达结果。 （增加结果提供正确解决方案以满足客户期望的可能性。）</t>
  </si>
  <si>
    <t>Select components and methods for verification and validation. (Produces solutions that meet or exceed customer expectations and needs.)
选择用于验证和确认的组件和方法。 （提供满足或超出客户期望和需求的解决方案。）</t>
  </si>
  <si>
    <t>Develop, keep updated, and use the environment needed to support verification and validation. (Minimizes project delays by ensuring that verification and validation environments are ready when needed.)
开发、保持更新并使用支持验证和确认所需的环境。 （通过确保验证和确认环境在需要时准备就绪，最大限度地减少项目延迟。）</t>
  </si>
  <si>
    <t>Develop, keep updated, and follow procedures for verification and validation. (Reduces costs for performing the activities and strengthens more predictable performance.)
开发、保持更新并遵循验证和确认程序。 （降低执行活动的成本并增强更可预测的绩效。）</t>
  </si>
  <si>
    <t>Develop, keep updated, and use criteria for verification and validation. (Minimizes waste by ensuring the verification and validation activities focus on critical needs.)
制定、保持更新并使用验证和确认标准。 （通过确保验证和确认活动关注关键需求来最大限度地减少浪费。）</t>
  </si>
  <si>
    <t>Analyze and communicate verification and validation results. (Improves verification and validation effectiveness over time.)
分析并传达验证和确认结果。 （随着时间的推移提高验证和确认的有效性。）</t>
  </si>
  <si>
    <t xml:space="preserve">- Analyzing the results of verification and validation activities to identify trends, patterns, and areas for improvement.
</t>
  </si>
  <si>
    <t>SUPPLIER AGREEMENT MANAGEMENT</t>
  </si>
  <si>
    <t>Selects qualified suppliers, establishes agreements, and manages the resulting supplier and acquirer activities over the term of the agreement.</t>
  </si>
  <si>
    <t>Maximizes the probability of mutual success for acquirers and suppliers.</t>
  </si>
  <si>
    <t>SAM 1.1</t>
  </si>
  <si>
    <t>Identify, evaluate, and select suppliers. (Increases likelihood of selecting suppliers that meet the project’s parameters.)
识别、评估和选择供应商。 （增加选择满足项目参数的供应商的可能性。）</t>
  </si>
  <si>
    <t xml:space="preserve">- Research potential suppliers, gather information about their capabilities and pricing, and assess their suitability for the organization's needs.
</t>
  </si>
  <si>
    <t>SAM 1.2</t>
  </si>
  <si>
    <t>Develop and record the supplier agreement. (Increases likelihood of meeting requirements when using suppliers.)
制定并记录供应商协议。 （增加使用供应商时满足要求的可能性。）</t>
  </si>
  <si>
    <t>SAM 1.3</t>
  </si>
  <si>
    <t>SAM 1.4</t>
  </si>
  <si>
    <t>Process supplier invoices. (Maintains a good working relationship with suppliers while meeting agreements.)
处理供应商发票。 （在遵守协议的同时与供应商保持良好的工作关系。）</t>
  </si>
  <si>
    <t>SAM 2.1</t>
  </si>
  <si>
    <t>Identify evaluation criteria, potential suppliers, and distribute supplier requests. (Increases likelihood that selected suppliers consistently contribute to meeting business objectives.)
确定评估标准、潜在供应商并分发供应商请求。 （增加所选供应商持续为实现业务目标做出贡献的可能性。）</t>
  </si>
  <si>
    <t>SAM 2.2</t>
  </si>
  <si>
    <t>Evaluate supplier responses according to recorded evaluation criteria and select suppliers. (Matches selection of the best solution and supplier for meeting contractual requirements.)
根据记录的评估标准评估供应商的反应并选择供应商。 （匹配最佳解决方案和供应商的选择，以满足合同要求。）</t>
  </si>
  <si>
    <t>SAM 2.3</t>
  </si>
  <si>
    <t>Manage supplier activities as specified in the supplier agreement and keep agreement updated. (Maximizes the likelihood that the supplier will fulfill acquirer expectations.)
按照供应商协议中的规定管理供应商活动并及时更新协议。 （最大限度地提高供应商满足收购方期望的可能性。）</t>
  </si>
  <si>
    <t>SAM 2.4</t>
  </si>
  <si>
    <t>Verify that the supplier agreement is satisfied before accepting the acquired supplier deliverable. (Decreases risk of accepting an unsatisfactory supplier deliverable and confirms the supplier agreement is satisfied before acceptance.)
在接受采购的供应商交付成果之前，验证供应商协议是否得到满足。 （降低接受不满意的供应商交付成果的风险，并在接受之前确认供应商协议得到满足。）</t>
  </si>
  <si>
    <t>SAM 2.5</t>
  </si>
  <si>
    <t>Manage invoices submitted by the supplier according to the supplier agreements. (Maintains a good business relationship between the acquirer and supplier.)
根据供应商协议管理供应商提交的发票。 （在收购方和供应商之间保持良好的业务关系。）</t>
  </si>
  <si>
    <t>SAM 3.1</t>
  </si>
  <si>
    <t>Conduct technical reviews of supplier performance activities and selected deliverables. (Improves the acquirer's confidence in the ability of the supplier to provide the right supplier deliverable at the right time with the right quality.)
对供应商绩效活动和选定的可交付成果进行技术审查。 （提高收购方对供应商在正确的时间以正确的质量提供正确的供应商交付成果的能力的信心。）</t>
  </si>
  <si>
    <t>SAM 3.2</t>
  </si>
  <si>
    <t>Manage supplier performance and processes based on criteria in the supplier agreement. (Maximizes the probability that supplier’s performance will meet acquirer’s needs, while minimizing risk.)
根据供应商协议中的标准管理供应商绩效和流程。 （最大限度地提高供应商的绩效满足收购方需求的可能性，同时最大限度地降低风险。）</t>
  </si>
  <si>
    <t>SAM 4.1</t>
  </si>
  <si>
    <t>Select measures and apply analytical techniques to quantitatively manage suppliers against their performance targets. (Enhances supplier performance by focusing attention on the most critical areas for success.)
选择衡量标准并应用分析技术，根据供应商的绩效目标对其进行定量管理。 （通过将注意力集中在最关键的成功领域来提高供应商绩效。）</t>
  </si>
  <si>
    <t xml:space="preserve">Intent </t>
  </si>
  <si>
    <t xml:space="preserve">Provides guidance to senior management on their role in the sponsorship and governance of process activities. </t>
  </si>
  <si>
    <t xml:space="preserve">Value </t>
  </si>
  <si>
    <t xml:space="preserve">Minimizes the cost of process implementation, increases the likelihood of meeting objectives, and ensures that the implemented processes support and contribute to the success of the business. </t>
  </si>
  <si>
    <t>email</t>
  </si>
  <si>
    <t>Sponsor detail</t>
  </si>
  <si>
    <t>OU Coordinator</t>
  </si>
  <si>
    <t>Registered Interpreter</t>
  </si>
  <si>
    <t>Lead appraiser</t>
  </si>
  <si>
    <t>Appraisal team member</t>
  </si>
  <si>
    <t>Objective evidence done</t>
  </si>
  <si>
    <t>Affirmation done</t>
  </si>
  <si>
    <t xml:space="preserve">Characterisation  </t>
  </si>
  <si>
    <t>OU Characterisation done</t>
  </si>
  <si>
    <t>产品集成</t>
  </si>
  <si>
    <t>集成并交付满足功能和质量需求地解决方案</t>
  </si>
  <si>
    <t>通过提供达到或超过其功能和质量要求地解决方案来提高客户地满意度</t>
  </si>
  <si>
    <t xml:space="preserve">
- Customer satisfaction feedback.
</t>
  </si>
  <si>
    <t xml:space="preserve">
- Packaging the solution for delivery.
</t>
  </si>
  <si>
    <t xml:space="preserve">
- 你能描述一下如何组装解决方案并交付给客户吗？
</t>
  </si>
  <si>
    <t>p2RRE</t>
  </si>
  <si>
    <t>[4] Engineering(Surname, Developer2)</t>
  </si>
  <si>
    <t xml:space="preserve">
- Reports on strategy effectiveness.
</t>
  </si>
  <si>
    <t xml:space="preserve">
- Ensuring adherence to the strategy throughout the integration process.
</t>
  </si>
  <si>
    <t xml:space="preserve">
- 你们的整合策略是什么，你们如何确保它保持更新并得到遵循？
</t>
  </si>
  <si>
    <t xml:space="preserve">
- Test results and validation reports.
</t>
  </si>
  <si>
    <t xml:space="preserve">
- Conducting testing and validation within the environment.
</t>
  </si>
  <si>
    <t xml:space="preserve">
- 你能解释一下你们是如何开发和维护整合环境的吗？
</t>
  </si>
  <si>
    <t xml:space="preserve">
- Records of procedure updates and revisions.
</t>
  </si>
  <si>
    <t xml:space="preserve">
- Reviewing and updating procedures based on feedback and lessons learned.
</t>
  </si>
  <si>
    <t xml:space="preserve">
- 你们是如何为整合解决方案和组件制定和更新程序和标准的，你们如何确保它们保持更新？
</t>
  </si>
  <si>
    <t xml:space="preserve">
- integration testing results.
</t>
  </si>
  <si>
    <t xml:space="preserve">
- integration testing on individual components.
</t>
  </si>
  <si>
    <t xml:space="preserve">
- 在整合之前，你们是如何确认每个组件是否已经正确识别并根据其要求和设计进行操作的？
</t>
  </si>
  <si>
    <t xml:space="preserve">
- Compliance certificate for the solution.
</t>
  </si>
  <si>
    <t xml:space="preserve">
- Identifying and resolving discrepancies or issues.
</t>
  </si>
  <si>
    <t xml:space="preserve">
- 你们是如何评估整合组件以确保其符合解决方案的要求和设计的？
</t>
  </si>
  <si>
    <t xml:space="preserve">
- Integration completion checklist.
</t>
  </si>
  <si>
    <t xml:space="preserve">
- Monitoring progress and adjusting as necessary to meet strategy objectives.
</t>
  </si>
  <si>
    <t xml:space="preserve">
- 你能向我介绍一下你们是如何根据整合策略整合解决方案和组件的吗？
</t>
  </si>
  <si>
    <t xml:space="preserve">
- Compliance report on consistency.
</t>
  </si>
  <si>
    <t xml:space="preserve">
- Ensuring consistency across all interfaces or connections.
</t>
  </si>
  <si>
    <t xml:space="preserve">
- 你们如何审查和保持接口或连接描述的覆盖范围、完整性和一致性，以确保其在整个解决方案生命周期中的更新？
</t>
  </si>
  <si>
    <t xml:space="preserve">
- Verification logs.
</t>
  </si>
  <si>
    <t xml:space="preserve">
- Documenting any deviations and resolving them before integration.
</t>
  </si>
  <si>
    <t xml:space="preserve">
- 在整合之前，你们如何确认组件接口或连接是否符合接口或连接描述？
</t>
  </si>
  <si>
    <t xml:space="preserve">
- Updated interface/connection compatibility matrix.
</t>
  </si>
  <si>
    <t xml:space="preserve">
- Resolving any identified compatibility issues.
</t>
  </si>
  <si>
    <t xml:space="preserve">
- 你们如何评估整合组件的接口或连接兼容性？
</t>
  </si>
  <si>
    <t>技术解决方案</t>
  </si>
  <si>
    <t>设计和构建满足客户需求的解决方案</t>
  </si>
  <si>
    <t>提供高效的设计和解决方案，以满足客户需求并且减少返工</t>
  </si>
  <si>
    <t>Build a solution to meet requirements. (Provides the customer with a solution that implements the requirements and reduces the cost of rework.)
构建满足要求的解决方案。 （为客户提供实现需求并降低返工成本的解决方案。）</t>
  </si>
  <si>
    <t xml:space="preserve">
- Implemented solution.
</t>
  </si>
  <si>
    <t xml:space="preserve">
- Implementing the solution based on the prototype.
</t>
  </si>
  <si>
    <t xml:space="preserve">
- 你如何确保构建的解决方案符合规定的要求？
</t>
  </si>
  <si>
    <t>[4] Engineering(Surname, Designer2)</t>
  </si>
  <si>
    <t xml:space="preserve">Design and build a solution to meet requirements. (Provides a structure to guide the implementation of a cost
</t>
  </si>
  <si>
    <t xml:space="preserve">
- Implemented solution with corresponding documentation.
</t>
  </si>
  <si>
    <t xml:space="preserve">
- Implementing the solution based on the design.
</t>
  </si>
  <si>
    <t xml:space="preserve">
- 你能描述一下你设计和构建解决方案以满足特定要求的过程吗？
</t>
  </si>
  <si>
    <t xml:space="preserve">
- Updated design documentation reflecting changes.
</t>
  </si>
  <si>
    <t xml:space="preserve">
- Iteratively refining the design based on feedback.
</t>
  </si>
  <si>
    <t xml:space="preserve">
- 你如何评估设计的有效性，以及如何解决在此过程中出现的任何问题？
</t>
  </si>
  <si>
    <t xml:space="preserve">
- Support tickets and resolutions log.
</t>
  </si>
  <si>
    <t xml:space="preserve">
- Providing ongoing support and troubleshooting assistance.
</t>
  </si>
  <si>
    <t xml:space="preserve">
- 你采取了哪些措施来确保用户在使用你提供的解决方案时能够得到有效的指导？
</t>
  </si>
  <si>
    <t xml:space="preserve">
- Decision matrices and analysis reports.
</t>
  </si>
  <si>
    <t xml:space="preserve">
- Creating decision matrices to evaluate design options.
</t>
  </si>
  <si>
    <t xml:space="preserve">
- 你是如何确立指导你设计决策的标准？
</t>
  </si>
  <si>
    <t xml:space="preserve">
- Feasibility study reports outlining pros and cons.
</t>
  </si>
  <si>
    <t xml:space="preserve">
- Conducting feasibility studies to assess alternative solutions.
</t>
  </si>
  <si>
    <t xml:space="preserve">
- 你如何制定针对特定组件的替代解决方案的方法？
</t>
  </si>
  <si>
    <t xml:space="preserve">
- Vendor/product evaluations.
</t>
  </si>
  <si>
    <t xml:space="preserve">
- Assessing the feasibility of reusing components from previous projects.
</t>
  </si>
  <si>
    <t xml:space="preserve">
- 在考虑解决方案时，你如何确定是建立、购买还是重用某些组件？
</t>
  </si>
  <si>
    <t>Select solutions based on design criteria. (Ensures the most efficient and effective solution is selected to meet the customer's requirements within cost, schedule, and performance constraints.)
根据设计标准选择解决方案。 （确保选择最高效、最有效的解决方案，在成本、进度和性能限制内满足客户的要求。）</t>
  </si>
  <si>
    <t xml:space="preserve">
- Stakeholder approval records.
</t>
  </si>
  <si>
    <t xml:space="preserve">
- Making recommendations based on criteria alignment and stakeholder input.
</t>
  </si>
  <si>
    <t xml:space="preserve">
- 当根据你建立的设计标准选择解决方案时，你考虑了哪些因素？
</t>
  </si>
  <si>
    <t xml:space="preserve">
- Documentation access policies and procedures.
</t>
  </si>
  <si>
    <t xml:space="preserve">
- Providing access to relevant documentation for team members.
</t>
  </si>
  <si>
    <t xml:space="preserve">
- 你如何确保实施设计所需的信息既得到更新又得到有效利用？
</t>
  </si>
  <si>
    <t xml:space="preserve">
- Interface documentation for integration partners.
</t>
  </si>
  <si>
    <t xml:space="preserve">
- Prototyping and testing interface implementations.
</t>
  </si>
  <si>
    <t xml:space="preserve">
- 你在设计解决方案接口或连接时所使用的标准是什么？
</t>
  </si>
  <si>
    <t>过程质量保证</t>
  </si>
  <si>
    <t>验证并改进已执行的过程和所产生的工作产品的质量</t>
  </si>
  <si>
    <t>增强过程使用和改进的一致性，以最大限度地提高业务效益和客户满意度</t>
  </si>
  <si>
    <t xml:space="preserve">
- PQA results
</t>
  </si>
  <si>
    <t xml:space="preserve">
- Perform process or product quality assurance
</t>
  </si>
  <si>
    <t>s4PPQA</t>
  </si>
  <si>
    <t>[8] Process Quality Assurance(Surname, Process Assurance Manager4)</t>
  </si>
  <si>
    <t xml:space="preserve">
- Improvement proposals
</t>
  </si>
  <si>
    <t xml:space="preserve">
- Develop and keep updated checklists based on process descriptions, standards, and procedures.
</t>
  </si>
  <si>
    <t xml:space="preserve">
- How do you plan for quality assurance?
'您如何为质量保证做计划？</t>
  </si>
  <si>
    <t xml:space="preserve">Objectively evaluate selected performed processes and work products against the recorded process and applicable standards. (Delivers high
</t>
  </si>
  <si>
    <t xml:space="preserve">
- PQA work product compliance records
</t>
  </si>
  <si>
    <t xml:space="preserve">
- Objective value work products against applicable standards
</t>
  </si>
  <si>
    <t xml:space="preserve">
- How do you objectively evaluate process and work products?
'如何客观评价过程和工作产品？</t>
  </si>
  <si>
    <t xml:space="preserve">Communicate quality and non
</t>
  </si>
  <si>
    <t xml:space="preserve">
- Resolution status report tracking the status of issue resolution efforts.
</t>
  </si>
  <si>
    <t xml:space="preserve">
- Escale noncompliance issues that cannot be resolved
</t>
  </si>
  <si>
    <t xml:space="preserve">
- How to you communicate and address noncompliance issues?
'您如何沟通和解决不符合项问题？</t>
  </si>
  <si>
    <t xml:space="preserve">
- Updated quality assurance plan integrating insights from past activities.
</t>
  </si>
  <si>
    <t xml:space="preserve">
- Incorporating lessons learned into future quality assurance plans and processes.
</t>
  </si>
  <si>
    <t xml:space="preserve">
- Stakeholder feedback records capturing responses and decisions regarding improvement opportunities.
</t>
  </si>
  <si>
    <t xml:space="preserve">
- Sharing improvement suggestions with relevant stakeholders for consideration.
</t>
  </si>
  <si>
    <t>- How do you record and use the results of quality assurance activities?
'如何记录和使用质量保证活动的结果？</t>
  </si>
  <si>
    <t>同行评审</t>
  </si>
  <si>
    <t>通过生产者同行或主体专家（SME）的评审来识别并解决工作产品的问题</t>
  </si>
  <si>
    <t>及早发现问题或缺陷，降低成本和返工</t>
  </si>
  <si>
    <t xml:space="preserve">
- Corrective action plans outlining steps to resolve issues and prevent recurrence.
</t>
  </si>
  <si>
    <t xml:space="preserve">
- Implementing corrective actions to address issues and improve work product quality.
</t>
  </si>
  <si>
    <t>[4] Engineering(Surname, Analyst2)</t>
  </si>
  <si>
    <t xml:space="preserve">
- Training materials such as presentations or manuals explaining peer review processes and techniques.
</t>
  </si>
  <si>
    <t xml:space="preserve">
- Providing training sessions to familiarize team members with review processes and tools.
</t>
  </si>
  <si>
    <t xml:space="preserve">
- Peer review schedule indicating the timeline for reviewing selected work products.
</t>
  </si>
  <si>
    <t xml:space="preserve">
- Establishing a peer review schedule to ensure timely assessment of selected work products.
</t>
  </si>
  <si>
    <t xml:space="preserve">
- Peer review feedback report summarizing the identified issues and recommendations for improvement.
</t>
  </si>
  <si>
    <t xml:space="preserve">
- Conducting thorough and consistent reviews according to the established guidelines.
</t>
  </si>
  <si>
    <t>- Can you describe the peer review process, how is it performed from preparation to end?
同行评审的既定程序有哪些？请描述</t>
  </si>
  <si>
    <t xml:space="preserve">
- Issue closure reports summarizing the outcomes of resolved issues and lessons learned.
</t>
  </si>
  <si>
    <t xml:space="preserve">
- Tracking the progress of issue resolution and ensuring timely closure.
</t>
  </si>
  <si>
    <t xml:space="preserve">
- Action plans outlining steps to implement changes based on the analysis of peer review data.
</t>
  </si>
  <si>
    <t xml:space="preserve">
- Monitor the performance of processes for possible signals from peer review data
</t>
  </si>
  <si>
    <t xml:space="preserve">
- How does analyzing results and data from peer reviews contribute to increasing the efficiency and effectiveness of the peer review process?
分析同行评审的结果和数据如何提高同行评审流程的效率和有效性？</t>
  </si>
  <si>
    <t>需求开发和管理</t>
  </si>
  <si>
    <t>抽取需求，确保利益相关方取得一致理解，并调整需求、计划和工作产品</t>
  </si>
  <si>
    <t>确保客户地需求和期望得到满足</t>
  </si>
  <si>
    <t xml:space="preserve">
- Meeting Minutes Document
</t>
  </si>
  <si>
    <t xml:space="preserve">
- Document requirements using a standardized format.
</t>
  </si>
  <si>
    <t xml:space="preserve">
- 你是否记录了所有必要的需求？
</t>
  </si>
  <si>
    <t xml:space="preserve">
- Survey Results Analysis
</t>
  </si>
  <si>
    <t xml:space="preserve">
- Utilize surveys to gather additional input from stakeholders.
</t>
  </si>
  <si>
    <t xml:space="preserve">
- 你能描述一下你是如何引出利益相关者的需求、期望、约束以及接口或连接的，以及你如何确认对需求的理解？
</t>
  </si>
  <si>
    <t xml:space="preserve">
- Stakeholder Validation Report
</t>
  </si>
  <si>
    <t xml:space="preserve">
- Present prioritized requirements to stakeholders for validation.
</t>
  </si>
  <si>
    <t xml:space="preserve">
- 你是如何将利益相关者的需求、期望、约束以及接口或连接转化为优先级排列的客户需求的？
</t>
  </si>
  <si>
    <t xml:space="preserve">
- Signed Commitment Forms
</t>
  </si>
  <si>
    <t xml:space="preserve">
- off from relevant stakeholders on their commitment to implementing requirements.
</t>
  </si>
  <si>
    <t xml:space="preserve">
- 你是否从项目参与者那里获得了能够实施需求的承诺？如果是的话，是如何做到的？
</t>
  </si>
  <si>
    <t xml:space="preserve">
- Review Meeting Minutes
</t>
  </si>
  <si>
    <t xml:space="preserve">
- Conduct reviews to ensure consistency between requirements and related work products.
</t>
  </si>
  <si>
    <t xml:space="preserve">
- 你能解释一下你是如何开发、记录并保持需求与活动或工作产品之间的双向可追溯性的吗？
</t>
  </si>
  <si>
    <t xml:space="preserve">
- Change Management Documentation
</t>
  </si>
  <si>
    <t xml:space="preserve">
- Address any discrepancies between plans and requirements through change management processes.
</t>
  </si>
  <si>
    <t xml:space="preserve">
- 你是如何确保计划和活动或工作产品与需求保持一致的？
</t>
  </si>
  <si>
    <t xml:space="preserve">
- Stakeholder Communication Plan
</t>
  </si>
  <si>
    <t xml:space="preserve">
- Document changes and updates to requirements using version control mechanisms.
</t>
  </si>
  <si>
    <t xml:space="preserve">
- 你是如何为解决方案及其组件开发并保持更新的需求的？
</t>
  </si>
  <si>
    <t xml:space="preserve">
- Stakeholder Feedback Report
</t>
  </si>
  <si>
    <t xml:space="preserve">
- Review and refine operational concepts and scenarios with stakeholders.
</t>
  </si>
  <si>
    <t xml:space="preserve">
- 你能提供你开发的操作概念和场景的示例吗？
</t>
  </si>
  <si>
    <t xml:space="preserve">
- Assignment Tracking Dashboard
</t>
  </si>
  <si>
    <t xml:space="preserve">
- Establish a requirements allocation matrix to track assignment and implementation progress.
</t>
  </si>
  <si>
    <t xml:space="preserve">
- 你是如何分配要实施的需求的？
</t>
  </si>
  <si>
    <t xml:space="preserve">
- Updated Interface Requirement Log
</t>
  </si>
  <si>
    <t xml:space="preserve">
- Update and Maintenance
</t>
  </si>
  <si>
    <t xml:space="preserve">
- 你是如何确定、开发并保持更新接口或连接需求的？
</t>
  </si>
  <si>
    <t xml:space="preserve">
- Requirement Validation Report
</t>
  </si>
  <si>
    <t xml:space="preserve">
- Requirement Refinement
</t>
  </si>
  <si>
    <t xml:space="preserve">
- 你如何确保需求是必要且充分的？
</t>
  </si>
  <si>
    <t xml:space="preserve">
- Stakeholder Negotiation Summary
</t>
  </si>
  <si>
    <t xml:space="preserve">
- Negotiation and Compromise
</t>
  </si>
  <si>
    <t xml:space="preserve">
- 你如何平衡利益相关者的需求和约束？
</t>
  </si>
  <si>
    <t xml:space="preserve">
- Requirement Verification Checklist
</t>
  </si>
  <si>
    <t xml:space="preserve">
- Requirement Verification
</t>
  </si>
  <si>
    <t xml:space="preserve">
- 你能描述一下你用于验证需求以确保最终解决方案在目标环境中按预期执行的过程吗？
</t>
  </si>
  <si>
    <t>验证和确认</t>
  </si>
  <si>
    <t>验证和确认的活动包括：确认选定的解决方案和组件能够满足需求</t>
  </si>
  <si>
    <t>正式选定的解决方案和组件在目标环境下能够实现其预期用途</t>
  </si>
  <si>
    <t xml:space="preserve">
- Communication: Sending out emails or holding meetings to inform stakeholders about the results of the verification process.
</t>
  </si>
  <si>
    <t xml:space="preserve">- Conducting code reviews to check if the code meets specified requirements.
</t>
  </si>
  <si>
    <t xml:space="preserve">
- 能描述一下你们的验证结果记录和传达流程吗？
</t>
  </si>
  <si>
    <t xml:space="preserve">
- Communication: Sharing the validation report with stakeholders and discussing any issues or concerns.
</t>
  </si>
  <si>
    <t xml:space="preserve">
- end tests to ensure the entire system works as intended in its target environment.
</t>
  </si>
  <si>
    <t xml:space="preserve">
- 你能解释一下验证结果的记录和传达方式吗？
</t>
  </si>
  <si>
    <t xml:space="preserve">
- Testing Methodology Document: Outlining the chosen methods and approaches for verification and validation.
</t>
  </si>
  <si>
    <t xml:space="preserve">- Researching and selecting appropriate testing tools and techniques for verification and validation.
</t>
  </si>
  <si>
    <t xml:space="preserve">
- 什么因素影响你们选择验证和验证的组件和方法？
</t>
  </si>
  <si>
    <t xml:space="preserve">
- Environment Update Logs: Keeping a record of any changes or updates made to the testing environment.
</t>
  </si>
  <si>
    <t xml:space="preserve">- Setting up testing environments that mimic the production environment for accurate validation.
</t>
  </si>
  <si>
    <t xml:space="preserve">
- 你能描述一下其使用方式吗？
</t>
  </si>
  <si>
    <t xml:space="preserve">
- Procedure Change Requests: Keeping track of any updates or revisions made to the verification and validation procedures.
</t>
  </si>
  <si>
    <t xml:space="preserve">- Establishing standardized procedures and guidelines for conducting verification and validation activities.
</t>
  </si>
  <si>
    <t xml:space="preserve">
- 你们是如何确保这些程序保持更新并被执行的？
</t>
  </si>
  <si>
    <t xml:space="preserve">
- Criteria Documentation: Detailing the criteria used to determine whether verification and validation activities have been successful.
</t>
  </si>
  <si>
    <t xml:space="preserve">- Defining specific criteria or metrics for evaluating the success of verification and validation activities.
</t>
  </si>
  <si>
    <t xml:space="preserve">
- 你是如何确保这些标准保持更新并得到利用的？
</t>
  </si>
  <si>
    <t xml:space="preserve">
- Presentation Slides: Creating slides to visually communicate the analysis findings to stakeholders.
</t>
  </si>
  <si>
    <t xml:space="preserve">
- 你们是如何将这些发现传达给相关利益相关者的？
</t>
  </si>
  <si>
    <t>管理性能与度量</t>
  </si>
  <si>
    <t>使用度量和分析来管理性能，以实现业务目标</t>
  </si>
  <si>
    <t>将管理和改进工作集中在成本、进度表和质量性能上，最大限度地提高业务投资回报</t>
  </si>
  <si>
    <t xml:space="preserve">
- Measurement charts.
</t>
  </si>
  <si>
    <t xml:space="preserve">
- Recording data in spreadsheets or databases.
</t>
  </si>
  <si>
    <t xml:space="preserve">
- 能否举例说明您收集的数据以及它们对了解绩效的贡献？
</t>
  </si>
  <si>
    <t>s2EPG-MA</t>
  </si>
  <si>
    <t>[6] Process Management(Surname, Measurement manager2)</t>
  </si>
  <si>
    <t xml:space="preserve">
- Corrective action plans.
</t>
  </si>
  <si>
    <t xml:space="preserve">
- Investigating the root causes of performance issues.
</t>
  </si>
  <si>
    <t xml:space="preserve">
- 一旦辨识出绩效问题，您采取怎样的流程来解决和解决它们？
</t>
  </si>
  <si>
    <t xml:space="preserve">
- Objective alignment reports.
</t>
  </si>
  <si>
    <t xml:space="preserve">
- Documenting performance objectives.
</t>
  </si>
  <si>
    <t xml:space="preserve">
- 您能描述一下您如何按照流程更新和修订这些目标吗？
</t>
  </si>
  <si>
    <t xml:space="preserve">
- Glossaries of measurement terms.
</t>
  </si>
  <si>
    <t xml:space="preserve">
- Updating definitions based on feedback.
</t>
  </si>
  <si>
    <t xml:space="preserve">
- 您如何确保随着业务的发展，这些定义保持相关和准确？
</t>
  </si>
  <si>
    <t xml:space="preserve">
- Data validation summaries.
</t>
  </si>
  <si>
    <t xml:space="preserve">
- Verifying compliance with operational definitions.
</t>
  </si>
  <si>
    <t xml:space="preserve">
- 能描述一下您在获取指定的测量数据方面面临的任何挑战，以及您是如何解决它们的吗？
</t>
  </si>
  <si>
    <t xml:space="preserve">
- Summary of findings detailing deviations from expected performance.
</t>
  </si>
  <si>
    <t xml:space="preserve">
- Identify trends and patterns in measurement data.
</t>
  </si>
  <si>
    <t xml:space="preserve">
- 您使用哪些工具或方法来确保您的分析与您的测量的操作定义保持一致？
</t>
  </si>
  <si>
    <t xml:space="preserve">
- Audit reports demonstrating adherence to data storage protocols.
</t>
  </si>
  <si>
    <t xml:space="preserve">
- Ensure compliance with data management policies and procedures.
</t>
  </si>
  <si>
    <t xml:space="preserve">
- 您有哪些协议或系统来维护这些数据的完整性和安全性？
</t>
  </si>
  <si>
    <t xml:space="preserve">
- Evaluation reports assessing the effectiveness of implemented measures.
</t>
  </si>
  <si>
    <t xml:space="preserve">
- Implement corrective measures to improve performance outcomes.
</t>
  </si>
  <si>
    <t xml:space="preserve">
- 能否举例说明针对特定绩效问题采取的行动及其结果？
</t>
  </si>
  <si>
    <t xml:space="preserve">
- Strategic alignment assessments.
</t>
  </si>
  <si>
    <t xml:space="preserve">
- Ensuring consistency across departments.
</t>
  </si>
  <si>
    <t xml:space="preserve">
- 您能否演示业务目标变化如何反映在测量和绩效目标的更新中？
</t>
  </si>
  <si>
    <t xml:space="preserve">
- Training materials.
</t>
  </si>
  <si>
    <t xml:space="preserve">
- Training staff on measurement standards.
</t>
  </si>
  <si>
    <t xml:space="preserve">
- 您如何确保在不同团队或部门之间定义和使用这些测量时保持一致性和对齐性？
</t>
  </si>
  <si>
    <t xml:space="preserve">Develop, keep updated, and follow a data quality process. (Ensures that use of the measurement and performance data results in better decision
</t>
  </si>
  <si>
    <t xml:space="preserve">
- Quality control reports.
</t>
  </si>
  <si>
    <t xml:space="preserve">
- Continuously monitoring data quality.
</t>
  </si>
  <si>
    <t xml:space="preserve">
- 您如何确保在组织的运作的不同方面遵循数据质量流程的合规性？
</t>
  </si>
  <si>
    <t xml:space="preserve">
- Training materials and manuals for staff on accessing and using the measurement repository.
</t>
  </si>
  <si>
    <t xml:space="preserve">
- Train staff on how to effectively utilize the measurement repository.
</t>
  </si>
  <si>
    <t xml:space="preserve">
- 您如何确保测量库保持更新并对相关利益相关者可访问？
</t>
  </si>
  <si>
    <t xml:space="preserve">
- Implementation plans outlining steps to address identified improvement areas.
</t>
  </si>
  <si>
    <t xml:space="preserve">
- Develop strategies and initiatives to address performance gaps.
</t>
  </si>
  <si>
    <t xml:space="preserve">
- 能否提供基于组织绩效数据分析实施的倡议或策略的例子？
</t>
  </si>
  <si>
    <t xml:space="preserve">
- Feedback reports summarizing stakeholder input on performance communication.
</t>
  </si>
  <si>
    <t xml:space="preserve">
- Solicit feedback and suggestions from stakeholders regarding performance outcomes.
</t>
  </si>
  <si>
    <t xml:space="preserve">
- 您如何确保绩效结果能被相关利益相关者有效理解和利用？
</t>
  </si>
  <si>
    <t xml:space="preserve">Use statistical and other quantitative techniques to develop, keep updated, and communicate quality and process performance objectives that are traceable to business objectives. (Establishes realistic quality and process performance objectives enabling better decision
</t>
  </si>
  <si>
    <t xml:space="preserve">
- Stakeholder presentations.
</t>
  </si>
  <si>
    <t xml:space="preserve">
- Communicating findings to stakeholders.
</t>
  </si>
  <si>
    <t xml:space="preserve">
- 能否提供这些技术如何影响绩效目标设定或调整的例子？
</t>
  </si>
  <si>
    <t xml:space="preserve">
- Performance management plans.
</t>
  </si>
  <si>
    <t xml:space="preserve">
- Implementing performance management strategies.
</t>
  </si>
  <si>
    <t xml:space="preserve">
- 您能否讨论在选择适当的测量和技术时面临的挑战，以及您是如何克服它们的？
</t>
  </si>
  <si>
    <t xml:space="preserve">
- Baseline adjustment logs.
</t>
  </si>
  <si>
    <t xml:space="preserve">
- Updating baselines as processes evolve.
</t>
  </si>
  <si>
    <t xml:space="preserve">
- 您在随时间更新这些基线时考虑了哪些因素？
</t>
  </si>
  <si>
    <t xml:space="preserve">
- Documentation outlining the methodology used to develop and update process performance models.
</t>
  </si>
  <si>
    <t xml:space="preserve">
- Update models regularly based on new data and evolving business needs.
</t>
  </si>
  <si>
    <t xml:space="preserve">
- 这些模型如何有助于理解和优化流程绩效？
</t>
  </si>
  <si>
    <t xml:space="preserve">
- Forecasting reports projecting the likelihood of achieving performance objectives based on current trends and data.
</t>
  </si>
  <si>
    <t xml:space="preserve">
- Utilize predictive modeling techniques to forecast achievement of performance objectives.
</t>
  </si>
  <si>
    <t xml:space="preserve">
- 您能讨论一下这些预测中涉及的挑战或不确定性，并如何应对它们吗？
</t>
  </si>
  <si>
    <t xml:space="preserve">
- Business strategy impact analyses.
</t>
  </si>
  <si>
    <t xml:space="preserve">
- Optimizing resource allocation.
</t>
  </si>
  <si>
    <t xml:space="preserve">
- 能否提供这种对齐如何促进组织绩效优化的例子？
</t>
  </si>
  <si>
    <t xml:space="preserve">
- Performance improvement proposals.
</t>
  </si>
  <si>
    <t xml:space="preserve">
- Recommending optimization strategies.
</t>
  </si>
  <si>
    <t xml:space="preserve">
- 您如何确定和优先考虑基于这种分析的绩效优化领域？
</t>
  </si>
  <si>
    <t xml:space="preserve">
- Impact assessment reports.
</t>
  </si>
  <si>
    <t xml:space="preserve">
- Tracking the impact of implemented changes.
</t>
  </si>
  <si>
    <t xml:space="preserve">
- 您能否讨论选择和实施这些建议的决策过程，考虑到其对绩效优化的预期影响？
</t>
  </si>
  <si>
    <t>过程资产开发</t>
  </si>
  <si>
    <t>开发并保持更新执行工作所需的过程资产</t>
  </si>
  <si>
    <t>提供了解和重复成功性能的能力</t>
  </si>
  <si>
    <t xml:space="preserve">
- Lessons learned database capturing insights and improvements from past projects.
</t>
  </si>
  <si>
    <t xml:space="preserve">
- Establishing a repository of best practices and lessons learned for future reference.
</t>
  </si>
  <si>
    <t>[6] Process Management(Surname, Process manager2)</t>
  </si>
  <si>
    <t xml:space="preserve">
- Process asset prioritization matrix highlighting key assets and their importance.
</t>
  </si>
  <si>
    <t xml:space="preserve">
- Prioritizing process assets based on their relevance and potential impact on project success.
</t>
  </si>
  <si>
    <t>- What processes assets has been identified as needed?
多需要识别的过程资产有哪些？</t>
  </si>
  <si>
    <t xml:space="preserve">
- Documentation outlining the reuse and adaptation of existing process assets.
</t>
  </si>
  <si>
    <t xml:space="preserve">
- Identifying and adapting previously developed process assets for current project needs.
</t>
  </si>
  <si>
    <t xml:space="preserve">
- Training materials and documentation outlining the availability and usage of process assets.
</t>
  </si>
  <si>
    <t xml:space="preserve">
- Conducting training sessions to educate team members on available process assets and how to access them.
</t>
  </si>
  <si>
    <t>- How is process assets made available to the organization?
过程资产如何提供给组织？</t>
  </si>
  <si>
    <t xml:space="preserve">
- Revised strategy documents reflecting enhancements and adjustments over time.
</t>
  </si>
  <si>
    <t xml:space="preserve">
- Iteratively improving the strategy based on feedback and lessons learned.
</t>
  </si>
  <si>
    <t xml:space="preserve">
- Updated process architecture repository containing the latest version of the architecture.
</t>
  </si>
  <si>
    <t xml:space="preserve">
- Regularly reviewing and updating the process architecture based on feedback and changes in business needs.
</t>
  </si>
  <si>
    <t xml:space="preserve">
- Training materials and guides for navigating and utilizing the asset library.
</t>
  </si>
  <si>
    <t xml:space="preserve">
- Providing training to team members on how to access and utilize the asset library effectively.
</t>
  </si>
  <si>
    <t xml:space="preserve">
- specific process documentation demonstrating the application of tailored processes and assets.
</t>
  </si>
  <si>
    <t xml:space="preserve">
- Applying tailored processes and assets to specific projects while ensuring alignment with organizational standards.
</t>
  </si>
  <si>
    <t xml:space="preserve">
- Training materials and communication channels for disseminating work environment standards.
</t>
  </si>
  <si>
    <t xml:space="preserve">
- Distributing and making work environment standards easily accessible to all team members.
</t>
  </si>
  <si>
    <t xml:space="preserve">Develop, keep updated, and make organizational measurement and analysis standards available for use. (Supports consistent use of measurements and related analysis for better decision
</t>
  </si>
  <si>
    <t xml:space="preserve">
- Training materials and guidelines for using measurement and analysis standards.
</t>
  </si>
  <si>
    <t xml:space="preserve">
- Providing training and resources to ensure team members understand and can apply the standards effectively.
</t>
  </si>
  <si>
    <t>过程管理</t>
  </si>
  <si>
    <t>管理和实施过程和基础条件的持续改进来：支持业务目标的实现；确定和实施能够带来最大效益的过程改进；使过程改进结果可见、可使用和可持续</t>
  </si>
  <si>
    <t>确保过程、基础条件及其环境有助于成功实现业务目标</t>
  </si>
  <si>
    <t xml:space="preserve">
- Improvement plan detailing actions to enhance processes based on evaluation findings.
</t>
  </si>
  <si>
    <t xml:space="preserve">
- Conducting periodic evaluations and assessments to identify areas for process improvement.
</t>
  </si>
  <si>
    <t xml:space="preserve">
- Prioritized list of improvement opportunities based on assessment results.
</t>
  </si>
  <si>
    <t xml:space="preserve">
- Facilitating workshops or meetings to discuss findings and prioritize improvement opportunities.
</t>
  </si>
  <si>
    <t xml:space="preserve">
- Corrective action reports detailing resolutions for process issues and preventive measures.
</t>
  </si>
  <si>
    <t xml:space="preserve">
- Establishing corrective actions plans to resolve process issues and prevent recurrence.
</t>
  </si>
  <si>
    <t xml:space="preserve">
- How do you collect improvements submitted internally within the organization?
记录了哪些过程改进？</t>
  </si>
  <si>
    <t xml:space="preserve">- Subset of proposed improvements from the full list of suggested (identified) improvements.
</t>
  </si>
  <si>
    <t xml:space="preserve">- Evaluate improvements to select most promising improvements
</t>
  </si>
  <si>
    <t>- How do you identify and select the proposed improvements?
确定了针对过程和过程资产的改进有哪些？</t>
  </si>
  <si>
    <t xml:space="preserve">- Process improvement action plan (implementation plan)
</t>
  </si>
  <si>
    <t xml:space="preserve">
- Improvement pilots
</t>
  </si>
  <si>
    <t xml:space="preserve">- Business objective traced to process improvement objectives
</t>
  </si>
  <si>
    <t xml:space="preserve">
- Link process improvement objectives to business objectives
</t>
  </si>
  <si>
    <t xml:space="preserve">- Process improvement value assessment
</t>
  </si>
  <si>
    <t xml:space="preserve">- Identify major process improvements and their potential contribution to business objectives
</t>
  </si>
  <si>
    <t xml:space="preserve">
- Stakeholder feedback summaries highlighting areas of interest and potential improvement opportunities.
</t>
  </si>
  <si>
    <t xml:space="preserve">
- Collaborating with stakeholders to gather feedback and insights on potential improvement opportunities.
</t>
  </si>
  <si>
    <t xml:space="preserve">
- Process deployment PQA
</t>
  </si>
  <si>
    <t xml:space="preserve">
- Coaching on new process releases
</t>
  </si>
  <si>
    <t xml:space="preserve">
- Deployment tracking reports detailing the implementation status of standard processes.
</t>
  </si>
  <si>
    <t xml:space="preserve">
- Monitoring the deployment of standard processes to ensure consistency and effectiveness.
</t>
  </si>
  <si>
    <t xml:space="preserve">
- Improvement effectiveness reports outlining successes and areas for further refinement.
</t>
  </si>
  <si>
    <t xml:space="preserve">
- Generating reports summarizing the effectiveness of deployed improvements and identifying areas for further enhancement.
</t>
  </si>
  <si>
    <t xml:space="preserve">- Mean values and UCL/LCL of previous baseline versus mean value and UCL/LCL of new process baseline
</t>
  </si>
  <si>
    <t xml:space="preserve">
- Link statistical and quantitively analysis of improvements to business objectives or quality and process performance objectives
</t>
  </si>
  <si>
    <t>风险与机会管理</t>
  </si>
  <si>
    <t>识别、记录、分析和管理潜在地风险或机会</t>
  </si>
  <si>
    <t>缓解不利影响或充分利用积极影响来提高实现目标地可能性</t>
  </si>
  <si>
    <t xml:space="preserve">
- SWOT Analysis
</t>
  </si>
  <si>
    <t xml:space="preserve">
- Regular Review and Update Meetings
</t>
  </si>
  <si>
    <t>p6FHR</t>
  </si>
  <si>
    <t>[3] Project Management(Surname, Project Manager4)</t>
  </si>
  <si>
    <t xml:space="preserve">
- Opportunity Analysis Report
</t>
  </si>
  <si>
    <t xml:space="preserve">
- Opportunity Scouting Sessions
</t>
  </si>
  <si>
    <t xml:space="preserve">
- Stakeholder communication logs detailing status updates and actions taken to address risks or leverage opportunities.
</t>
  </si>
  <si>
    <t xml:space="preserve">
- Communicating risk status and mitigation strategies to relevant stakeholders through meetings or reports.
</t>
  </si>
  <si>
    <t xml:space="preserve">
- Guidelines or procedures for stakeholders on how to categorize and manage risks and opportunities effectively.
</t>
  </si>
  <si>
    <t xml:space="preserve">
- Developing templates or frameworks for consistently categorizing and managing risks and opportunities.
</t>
  </si>
  <si>
    <t xml:space="preserve">Define and use parameters for risk or opportunity analysis and handling. (Maximizes the likelihood of cost
</t>
  </si>
  <si>
    <t xml:space="preserve">
- Training materials and guides on the application of risk or opportunity analysis parameters.
</t>
  </si>
  <si>
    <t xml:space="preserve">
- Training team members on how to apply risk or opportunity analysis parameters effectively.
</t>
  </si>
  <si>
    <t xml:space="preserve">
- Presentation or training materials explaining the updated strategy to project teams and stakeholders.
</t>
  </si>
  <si>
    <t xml:space="preserve">
- Communicating the updated strategy to relevant stakeholders and obtaining their feedback.
</t>
  </si>
  <si>
    <t xml:space="preserve">
- Updated risk or opportunity management reports reflecting changes and progress.
</t>
  </si>
  <si>
    <t xml:space="preserve">
- Regularly reviewing and updating the risk or opportunity management plans as the project progresses.
</t>
  </si>
  <si>
    <t xml:space="preserve">
- Stakeholder communication materials summarizing key risk or opportunity management updates.
</t>
  </si>
  <si>
    <t xml:space="preserve">
- Communicating updates and changes in risk or opportunity status to stakeholders in a timely manner.
</t>
  </si>
  <si>
    <t>组织级培训</t>
  </si>
  <si>
    <t>培养人员的技能和知识，以便他们高效且有效地执行他们的角色</t>
  </si>
  <si>
    <t>增强个人的技能和知识，提高组织工作性能</t>
  </si>
  <si>
    <t xml:space="preserve">
- Skill assessment reports documenting the proficiency levels of individuals before and after training interventions.
</t>
  </si>
  <si>
    <t xml:space="preserve">
- Offering mentorship programs or coaching sessions to support individual growth and development.
</t>
  </si>
  <si>
    <t>s3HR</t>
  </si>
  <si>
    <t>[7] Organisational Training(Surname, Training Manager3)</t>
  </si>
  <si>
    <t xml:space="preserve">
- Training plan outlines detailing the proposed training programs and schedules to address identified needs.
</t>
  </si>
  <si>
    <t xml:space="preserve">
- Reviewing performance evaluations to pinpoint areas where additional training could enhance competency.
</t>
  </si>
  <si>
    <t>Train personnel and keep records. (Avoids training people who already have the needed knowledge and skills, and verifies that people get the training needed to perform their work.)
培训人员并保存记录。 （避免培训已经具备所需知识和技能的人员，并验证人们是否获得了执行工作所需的培训。）</t>
  </si>
  <si>
    <t xml:space="preserve">
- Training completion certificates or transcripts verifying completion of required training courses.
</t>
  </si>
  <si>
    <t xml:space="preserve">
- Maintaining comprehensive training records to track individuals' training history and certifications.
</t>
  </si>
  <si>
    <t xml:space="preserve">Develop and keep updated the organization's strategic and short
</t>
  </si>
  <si>
    <t xml:space="preserve">
- Training schedule calendars detailing upcoming training sessions and initiatives.
</t>
  </si>
  <si>
    <t xml:space="preserve">
- Reviewing industry trends and advancements to anticipate future training needs.
</t>
  </si>
  <si>
    <t>- How do you identify strategic and short term training needs?
如何确定战略和短期培训需求？</t>
  </si>
  <si>
    <t xml:space="preserve">
- Training resource allocation reports summarizing the distribution of training resources across projects.
</t>
  </si>
  <si>
    <t xml:space="preserve">
- Facilitating communication between project teams and training providers to ensure timely delivery of required training.
</t>
  </si>
  <si>
    <t xml:space="preserve">Develop, keep updated, and follow organizational strategic and short
</t>
  </si>
  <si>
    <t xml:space="preserve">
- Training progress reports tracking the implementation and effectiveness of training initiatives.
</t>
  </si>
  <si>
    <t xml:space="preserve">
- term objectives.
</t>
  </si>
  <si>
    <t xml:space="preserve">
- Outsourced courses
</t>
  </si>
  <si>
    <t xml:space="preserve">
- Implementing a learning management system (LMS) to streamline training delivery and tracking.
</t>
  </si>
  <si>
    <t xml:space="preserve">
- Recommendations for enhancements to the training program based on assessment findings.
</t>
  </si>
  <si>
    <t xml:space="preserve">
- Reviewing training evaluation forms and reports to identify areas for improvement.
</t>
  </si>
  <si>
    <t xml:space="preserve">
- Training impact analysis reports evaluating the correlation between training outcomes and business/performance goals.
</t>
  </si>
  <si>
    <t xml:space="preserve">
- Analyzing training records to assess the effectiveness of the training program in meeting business and performance goals.
</t>
  </si>
  <si>
    <t xml:space="preserve">Estimate the size, effort, duration, and cost of the work and resources needed to develop, acquire, or deliver the solution. </t>
  </si>
  <si>
    <t xml:space="preserve">Estimation provides a basis for making commitments, planning, and reducing uncertainty, which allows for early corrective actions and increases the likelihood of meeting objectives. </t>
  </si>
  <si>
    <t xml:space="preserve">Develop high
</t>
  </si>
  <si>
    <t xml:space="preserve">
- Comparison report summarizing historical project data and its relevance to the current project's estimation process.
</t>
  </si>
  <si>
    <t xml:space="preserve">
- level estimates.
</t>
  </si>
  <si>
    <t xml:space="preserve">
- 你能描述一下你用来制定执行工作的高级估算的过程吗？
</t>
  </si>
  <si>
    <t xml:space="preserve">
- Scope validation report confirming the accuracy and completeness of the project scope for estimation purposes.
</t>
  </si>
  <si>
    <t xml:space="preserve">
- Documenting scope changes and their impact on the estimation process.
</t>
  </si>
  <si>
    <t xml:space="preserve">
- 你能描述一个范围变化影响了估算过程的情况，以及如何处理？
</t>
  </si>
  <si>
    <t xml:space="preserve">
- Size estimation log tracking changes to size estimates over time and reasons for adjustments.
</t>
  </si>
  <si>
    <t xml:space="preserve">
- Iteratively refining size estimates based on evolving project requirements and design decisions.
</t>
  </si>
  <si>
    <t xml:space="preserve">
- 你如何确保规模估算在项目进展或有新信息可用时定期更新？
</t>
  </si>
  <si>
    <t xml:space="preserve">Based on size estimates, develop and record effort, duration, and cost estimates and their rationale for the solution. (Enables a better basis for commitments and improves accuracy of the estimates, leading to better decision
</t>
  </si>
  <si>
    <t xml:space="preserve">
- Assumptions and risks register documenting the assumptions made and risks identified during the estimation process.
</t>
  </si>
  <si>
    <t xml:space="preserve">
- Documenting the rationale behind effort, duration, and cost estimates, including any assumptions made and risks identified.
</t>
  </si>
  <si>
    <t xml:space="preserve">
- 你如何根据规模估算确定工作量、持续时间和成本估算，并且你使用什么理由来解决方案？
</t>
  </si>
  <si>
    <t>Develop and keep updated a recorded estimation method. (Maximizes consistency and efficiency for developing accurate estimates and increases the likelihood of meeting objectives.)
制定并保持更新记录的估算方法。 （最大限度地提高制定准确估算的一致性和效率，并增加实现目标的可能性。）</t>
  </si>
  <si>
    <t xml:space="preserve">
- Estimation method review report summarizing feedback from project teams and proposed updates to the estimation method.
</t>
  </si>
  <si>
    <t xml:space="preserve">
- Conducting regular reviews and updates to the estimation method based on lessons learned and industry best practices.
</t>
  </si>
  <si>
    <t xml:space="preserve">
- 你如何确保记录的估算方法在不同的项目场景中保持相关性和有效性？
</t>
  </si>
  <si>
    <t xml:space="preserve">Use the organizational measurement repository and process assets for estimating work. (Increases estimation precision, accuracy, and consistency enabling better decision
</t>
  </si>
  <si>
    <t xml:space="preserve">
- Collaboration record detailing discussions and agreements with the measurement team regarding data sources and tools for estimation.
</t>
  </si>
  <si>
    <t xml:space="preserve">
- Collaborating with the organization's measurement team to identify and incorporate relevant data sources and tools for estimation.
</t>
  </si>
  <si>
    <t xml:space="preserve">
- 你能提供一个利用组织的测量存储库提高估算准确性的例子吗？
</t>
  </si>
  <si>
    <t>监视与控制</t>
  </si>
  <si>
    <t>提供对项目进度的掌握，以便在绩效显著偏离计划时采取适当的纠正措施</t>
  </si>
  <si>
    <t>通过及早采取行动调整显著绩效偏差，提高达成目标的可能性</t>
  </si>
  <si>
    <t xml:space="preserve">
- Visual representations such as Gantt charts showing task progress.
</t>
  </si>
  <si>
    <t xml:space="preserve">
- Generating progress reports documenting task completions.
</t>
  </si>
  <si>
    <t xml:space="preserve">
- Action item tracker detailing the steps taken to resolve problems.
</t>
  </si>
  <si>
    <t xml:space="preserve">
- solving sessions with relevant stakeholders.
Implementing corrective action plans to address identified issues.</t>
  </si>
  <si>
    <t xml:space="preserve">
- Resource utilization reports comparing estimated and actual resource usage.
</t>
  </si>
  <si>
    <t xml:space="preserve">
- Assessing resource allocation against initial estimates.
</t>
  </si>
  <si>
    <t xml:space="preserve">
- Stakeholder satisfaction reports summarizing feedback and perceptions of involvement.
</t>
  </si>
  <si>
    <t xml:space="preserve">
- Conducting stakeholder surveys or interviews to assess satisfaction and commitment levels.
</t>
  </si>
  <si>
    <t xml:space="preserve">
- How do you check that stakeholders are involve as per the plan?
如何跟踪利益相关方的参与情况</t>
  </si>
  <si>
    <t xml:space="preserve">
- Operation and support acceptance records
</t>
  </si>
  <si>
    <t xml:space="preserve">
- Attend change control board meetings for transitioning of solution
</t>
  </si>
  <si>
    <t xml:space="preserve">
- Performance improvement metrics tracking the effectiveness of implemented corrective measures.
</t>
  </si>
  <si>
    <t xml:space="preserve">
- Monitoring the progress of corrective actions and adjusting strategies as needed.
</t>
  </si>
  <si>
    <t xml:space="preserve">
- Project performance reports comparing actual progress to planned milestones and activities.
</t>
  </si>
  <si>
    <t xml:space="preserve">
- Conducting project performance assessments to evaluate adherence to the project plan and processes.
</t>
  </si>
  <si>
    <t>- How does the management of the project using the project plan and project processes ensure necessary activities are performed, thereby reducing rework and improving the likelihood of achieving objectives?
如何通过使用项目计划和项目流程来管理项目，确保执行必要的活动，从而减少返工并提高实现目标的可能性？</t>
  </si>
  <si>
    <t xml:space="preserve">
- Progress tracking reports focusing on critical activities and their status updates.
</t>
  </si>
  <si>
    <t xml:space="preserve">
- Monitoring critical activities closely to ensure they are completed on time and within scope.
</t>
  </si>
  <si>
    <t xml:space="preserve">
- Action plans outlining steps to address identified issues and promote a healthier and safer work environment.
</t>
  </si>
  <si>
    <t xml:space="preserve">
- Implementing measures to address identified issues and improve the overall work environment.
</t>
  </si>
  <si>
    <t xml:space="preserve">
- Stakeholder satisfaction surveys assessing the effectiveness of issue management and resolution efforts.
</t>
  </si>
  <si>
    <t xml:space="preserve">
- Implementing conflict resolution strategies to resolve disputes and maintain stakeholder satisfaction.
</t>
  </si>
  <si>
    <t xml:space="preserve">
- How do you manage and resolve issues with affected stakeholders?
如何管理和解决受影响的干系人的问题</t>
  </si>
  <si>
    <t>策划</t>
  </si>
  <si>
    <t>制定计划来描述在组织的标准和约束条件内完成工作所需的内容，其中包括：预算/进度/资源需求、能力和可用性/质量/功能需求/风险和机会   计划还描述： 要执行的工作/适用的组织级标准过程集、资产和裁剪指南/依赖关系/由谁执行工作/与其他计划的关系/干系人及其角色</t>
  </si>
  <si>
    <t>优化成本、功能和质量以增加实现目标的可能性</t>
  </si>
  <si>
    <t xml:space="preserve">
- Task assignment schedule allocating responsibilities and deadlines for each task.
</t>
  </si>
  <si>
    <t xml:space="preserve">
- Reviewing and refining the task list to ensure completeness and accuracy.
</t>
  </si>
  <si>
    <t xml:space="preserve">
- Progress tracking reports documenting task completion status and any issues encountered.
</t>
  </si>
  <si>
    <t xml:space="preserve">
- Monitoring progress and providing support as needed to ensure task completion.
</t>
  </si>
  <si>
    <t xml:space="preserve">
- Revised project plans reflecting updates to the approach and associated timelines.
</t>
  </si>
  <si>
    <t xml:space="preserve">
- Updating documentation to reflect any changes or improvements to the approach.
</t>
  </si>
  <si>
    <t xml:space="preserve">
- Mentorship program guidelines outlining roles and responsibilities.
</t>
  </si>
  <si>
    <t xml:space="preserve">
- Establishing mentorship programs to transfer knowledge within the team.
</t>
  </si>
  <si>
    <t xml:space="preserve">
- Variance analysis reports highlighting deviations and proposed corrective actions.
</t>
  </si>
  <si>
    <t xml:space="preserve">
- Conducting variance analysis to identify significant deviations from the budget and schedule.
</t>
  </si>
  <si>
    <t xml:space="preserve">
- Meeting minutes or communication logs showing interactions with stakeholders.
</t>
  </si>
  <si>
    <t xml:space="preserve">
- Communicating with stakeholders regularly to keep them informed and address their concerns.
</t>
  </si>
  <si>
    <t xml:space="preserve">
- Readiness assessment reports highlighting areas of readiness and any outstanding tasks.
</t>
  </si>
  <si>
    <t xml:space="preserve">
- Conducting readiness assessments to ensure all necessary preparations are completed.
</t>
  </si>
  <si>
    <t>Ensure plans are feasible by reconciling estimates against capacity and availability of resources. (Increases likelihood that the objectives are achieved by ensuring that needed resources are available and committed to throughout the project.)
通过根据能力和资源可用性来协调估计，确保计划可行。 （通过确保所需资源可用并致力于整个项目，增加实现目标的可能性。）</t>
  </si>
  <si>
    <t xml:space="preserve">
- Stakeholder commitment documentation confirming resource allocation for the project.
</t>
  </si>
  <si>
    <t xml:space="preserve">
- Communicating with stakeholders to ensure commitment to resource allocation.
</t>
  </si>
  <si>
    <t xml:space="preserve">
- Updated project plan reflecting any modifications or adjustments made over time.
</t>
  </si>
  <si>
    <t xml:space="preserve">
- Regularly updating the project plan to reflect changes in scope, resources, or timelines.
</t>
  </si>
  <si>
    <t>Review plans and obtain commitments from affected stakeholders. (Reduces rework and increases the likelihood of achieving objectives through a consistent understanding and commitment to the plan.)
审查计划并获得受影响利益相关者的承诺。 （通过对计划的一致理解和承诺，减少返工并增加实现目标的可能性。）</t>
  </si>
  <si>
    <t xml:space="preserve">
- Revised project plans reflecting any adjustments or changes based on stakeholder feedback.
</t>
  </si>
  <si>
    <t xml:space="preserve">
- Addressing any concerns or discrepancies identified during the plan review process.
</t>
  </si>
  <si>
    <t xml:space="preserve">
- Updated project process documentation reflecting any modifications made over time.
</t>
  </si>
  <si>
    <t xml:space="preserve">
- Regularly updating the project process to reflect changes in standards or project needs.
</t>
  </si>
  <si>
    <t xml:space="preserve">
- How do you make use of tailoring guidelines to plan?
如何利用裁剪指南做计划？</t>
  </si>
  <si>
    <t xml:space="preserve">
- Updated project plan reflecting changes made using data from the measurement repository.
</t>
  </si>
  <si>
    <t xml:space="preserve">
- Regularly updating the plan based on data from the measurement repository.
</t>
  </si>
  <si>
    <t xml:space="preserve">
- Dependency tracking log recording updates and resolutions related to critical dependencies.
</t>
  </si>
  <si>
    <t xml:space="preserve">
- Monitoring critical dependencies throughout the project lifecycle.
</t>
  </si>
  <si>
    <t xml:space="preserve">
- Updated project environment plan reflecting adjustments made over time.
</t>
  </si>
  <si>
    <t xml:space="preserve">
- Regularly updating the project environment plan to reflect changes in standards or project needs.
</t>
  </si>
  <si>
    <t>Use statistical and other quantitative techniques to develop and keep the project processes updated to enable achievement of the quality and process performance objectives. (Increases the likelihood that the processes of the project will enable achievement of consistent performance and quality.)
使用统计和其他定量技术来开发和更新项目流程，以实现质量和流程绩效目标。 （增加项目流程实现一致性能和质量的可能性。）</t>
  </si>
  <si>
    <t xml:space="preserve">
- Updated project process documentation reflecting changes made for improvement.
</t>
  </si>
  <si>
    <t xml:space="preserve">
- driven insights and analysis.
</t>
  </si>
  <si>
    <t xml:space="preserve">Identify causes of selected outcomes and take action to either prevent recurrence of undesirable outcomes or ensure recurrence of positive outcomes. </t>
  </si>
  <si>
    <t>识别选定结果的原因并采取行动，防止不合需要的结果再次发生或确保再次出现正面结果</t>
  </si>
  <si>
    <t>Addressing root cause issues eliminates rework and directly improves quality and productivity.</t>
  </si>
  <si>
    <t xml:space="preserve">
- Feedback Analysis Summary
</t>
  </si>
  <si>
    <t xml:space="preserve">
- Feedback Collection and Analysis
</t>
  </si>
  <si>
    <t>- How does your company go about selecting specific outcomes for analysis?
你们公司如何选择特定结果进行分析？</t>
  </si>
  <si>
    <t xml:space="preserve">
- Outcome Impact Assessment
</t>
  </si>
  <si>
    <t xml:space="preserve">
- Outcome Analysis Session
</t>
  </si>
  <si>
    <t xml:space="preserve">
- Process Optimization Plan
</t>
  </si>
  <si>
    <t xml:space="preserve">
- Process Mapping and Optimization
</t>
  </si>
  <si>
    <t>- Could you describe the process your company follows to analyze the causes behind selected outcomes and the steps taken to address them?
能描述一下你们公司分析选定结果背后原因的流程以及采取的解决步骤吗？</t>
  </si>
  <si>
    <t>Determine causes of selected outcomes by following an organizational process. (Increases likelihood of meeting objectives by promoting successes and avoiding problems.)
通过遵循组织流程来确定选定结果的原因。 （通过促进成功和避免问题来增加实现目标的可能性。）</t>
  </si>
  <si>
    <t xml:space="preserve">
- Process Improvement Proposal
</t>
  </si>
  <si>
    <t xml:space="preserve">
- Process Mapping and Review
</t>
  </si>
  <si>
    <t xml:space="preserve">
- Trend Analysis Presentation
</t>
  </si>
  <si>
    <t xml:space="preserve">
- Data Analysis and Trend Identification
</t>
  </si>
  <si>
    <t xml:space="preserve">
- Pilot Testing Report
</t>
  </si>
  <si>
    <t xml:space="preserve">
- Pilot Testing
</t>
  </si>
  <si>
    <t>Record causal analysis and resolution data. (Records and communicates improvement efforts across the organization, leveraging savings and increasing productivity.)
记录因果分析和解决数据。 （记录并传达整个组织的改进工作，利用节省和提高生产力。）</t>
  </si>
  <si>
    <t xml:space="preserve">
- Best Practices Guide
</t>
  </si>
  <si>
    <t xml:space="preserve">
- Knowledge Sharing Sessions
</t>
  </si>
  <si>
    <t xml:space="preserve">
- Stakeholder Feedback Summaries
</t>
  </si>
  <si>
    <t xml:space="preserve">
- Feedback Integration
</t>
  </si>
  <si>
    <t>Perform root cause analysis of selected outcomes using statistical and other quantitative techniques. (Improves the likelihood that the project will meet its quality and process performance objectives.)
使用统计和其他定量技术对选定结果进行根本原因分析。 （提高项目实现其质量和流程绩效目标的可能性。）</t>
  </si>
  <si>
    <t xml:space="preserve">
- Action Plan for Improvement
</t>
  </si>
  <si>
    <t xml:space="preserve">
- Functional Collaboration
</t>
  </si>
  <si>
    <t>Evaluate the effect of implemented actions on process performance using statistical and other quantitative techniques. (Maximizes the likelihood of meeting quality and process performance objectives.)
使用统计和其他定量技术评估已实施的措施对流程绩效的影响。 （最大限度地提高满足质量和流程绩效目标的可能性。）</t>
  </si>
  <si>
    <t xml:space="preserve">
- Benchmarking Analysis
</t>
  </si>
  <si>
    <t xml:space="preserve">
- Benchmarking and Comparison
</t>
  </si>
  <si>
    <t xml:space="preserve">
- Benefit Analysis Summary
</t>
  </si>
  <si>
    <t xml:space="preserve">
- Benefit Analysis
</t>
  </si>
  <si>
    <t xml:space="preserve">
- Code review reports documenting changes made to the codebase.
</t>
  </si>
  <si>
    <t xml:space="preserve">
- Conducting regular code reviews to ensure changes are properly versioned.
</t>
  </si>
  <si>
    <t xml:space="preserve">
- 你能描述一下你公司确保版本控制的过程吗？
</t>
  </si>
  <si>
    <t>s1CM</t>
  </si>
  <si>
    <t>[5] Configuration Management(Surname, Configuration Manager1)</t>
  </si>
  <si>
    <t>Identify items to be placed under configuration management. (Reduces risk of rework and verifies that the right version is delivered to the customer.)
确定要置于配置管理之下的项目。 （降低返工风险并验证是否向客户交付了正确的版本。）</t>
  </si>
  <si>
    <t xml:space="preserve">
- Inclusion/exclusion criteria documentation for configuration management.
</t>
  </si>
  <si>
    <t xml:space="preserve">
- Establishing criteria for inclusion/exclusion in the configuration management system.
</t>
  </si>
  <si>
    <t xml:space="preserve">
- 你的公司使用什么标准来确定纳入配置管理系统的项目的关键性？
</t>
  </si>
  <si>
    <t>Develop, keep updated, and use a configuration and change management system. (Reduces the cost and effort needed to control the integrity of work products and solutions.)
开发、保持更新并使用配置和变更管理系统。 （减少控制工作产品和解决方案完整性所需的成本和精力。）</t>
  </si>
  <si>
    <t xml:space="preserve">
- Training materials and sessions for team members on using the configuration management system.
</t>
  </si>
  <si>
    <t xml:space="preserve">
- Providing training to team members on how to use the configuration management system effectively.
</t>
  </si>
  <si>
    <t xml:space="preserve">
- 你能描述一下培训员工使用配置和变更管理系统的过程吗？
</t>
  </si>
  <si>
    <t xml:space="preserve">
- Packaged software deliverables ready for deployment.
</t>
  </si>
  <si>
    <t xml:space="preserve">
- Package the components together as a baseline.
</t>
  </si>
  <si>
    <t xml:space="preserve">
- 你能描述基线在项目生命周期中是如何被管理和更新的吗？
</t>
  </si>
  <si>
    <t xml:space="preserve">
- Updated configuration management plan reflecting approved changes.
</t>
  </si>
  <si>
    <t xml:space="preserve">
- Approve or reject change requests based on established criteria.
</t>
  </si>
  <si>
    <t xml:space="preserve">
- 你如何确保变更被适当地记录并传达给相关的利益相关者？
</t>
  </si>
  <si>
    <t xml:space="preserve">
- Documentation outlining record management procedures and guidelines.
</t>
  </si>
  <si>
    <t xml:space="preserve">
- Ensure accessibility and usability of configuration records for relevant stakeholders.
</t>
  </si>
  <si>
    <t xml:space="preserve">
- 你如何确保所有相关的利益相关者都能访问必要的记录？
</t>
  </si>
  <si>
    <t xml:space="preserve">Perform configuration audits to maintain the integrity of configuration baselines, changes, and content of the configuration management system. (Increases customer satisfaction and stakeholder acceptance by ensuring that the customer receives the agreed
</t>
  </si>
  <si>
    <t xml:space="preserve">
- Documentation of audit procedures and outcomes for compliance purposes.
</t>
  </si>
  <si>
    <t xml:space="preserve">
- Identify and rectify inconsistencies or unauthorized changes.
</t>
  </si>
  <si>
    <t xml:space="preserve">
- 审核结果如何处理和记录以保持配置管理系统的完整性？
</t>
  </si>
  <si>
    <t xml:space="preserve">Make and record decisions using a recorded process that analyzes alternatives. </t>
  </si>
  <si>
    <t xml:space="preserve">Increases the objectivity of decision making and the probability of selecting the optimal solution. </t>
  </si>
  <si>
    <t xml:space="preserve">
- Documentation of stakeholder input regarding alternative options.
</t>
  </si>
  <si>
    <t xml:space="preserve">
- Holding discussions with stakeholders to gather different perspectives.
</t>
  </si>
  <si>
    <t xml:space="preserve">
- 能否提供最近一次决策中识别和记录备选方案的实例？
</t>
  </si>
  <si>
    <t xml:space="preserve">
- Official approval documentation from relevant authorities.
</t>
  </si>
  <si>
    <t xml:space="preserve">
- making process.
</t>
  </si>
  <si>
    <t xml:space="preserve">
- 能否分享一次决策的具体过程和结果被记录的情况？
</t>
  </si>
  <si>
    <t xml:space="preserve">Develop, keep updated, and use rules to determine when to follow a recorded process for criteria
</t>
  </si>
  <si>
    <t xml:space="preserve">
- making rules.
</t>
  </si>
  <si>
    <t xml:space="preserve">
- 可以描述一下这些规则在实践中如何在基于标准的决策时使用吗？
</t>
  </si>
  <si>
    <t xml:space="preserve">
- Report summarizing the rationale behind selected criteria.
</t>
  </si>
  <si>
    <t xml:space="preserve">
- Consulting with subject matter experts to define relevant criteria.
</t>
  </si>
  <si>
    <t xml:space="preserve">
- 能否提供最近决策中使用的具体标准的示例？
</t>
  </si>
  <si>
    <t>Identify alternative solutions. (Increases the quality of the solution and customer satisfaction.)
确定替代解决方案。 （提高解决方案的质量和客户满意度。）</t>
  </si>
  <si>
    <t xml:space="preserve">
- Documentation of research findings and sources of alternative solutions.
</t>
  </si>
  <si>
    <t xml:space="preserve">
- Analyzing past successful approaches or case studies for inspiration.
</t>
  </si>
  <si>
    <t xml:space="preserve">
- 可以提供最近一次决策中考虑到多个备选方案的实例吗？
</t>
  </si>
  <si>
    <t>Select evaluation methods. (Optimizes the cost, schedule, and performance for the decision being made.)
选择评估方法。 （优化所做出决策的成本、进度和性能。）</t>
  </si>
  <si>
    <t xml:space="preserve">
- Documentation of pilot test results and feedback from stakeholders.
</t>
  </si>
  <si>
    <t xml:space="preserve">
- Reviewing best practices and industry standards to select relevant evaluation frameworks.
</t>
  </si>
  <si>
    <t xml:space="preserve">
- 能否提供最近决策中使用的评估方法的示例？
</t>
  </si>
  <si>
    <t xml:space="preserve">
- Recommendation memo outlining the selected solution, rationale behind the decision, and proposed implementation plan.
</t>
  </si>
  <si>
    <t xml:space="preserve">
- 可以通过最近一次决策的具体案例，演示如何使用特定标准和方法评估和选择方案吗？
</t>
  </si>
  <si>
    <t xml:space="preserve">Develop, keep updated, and use a description of role
</t>
  </si>
  <si>
    <t xml:space="preserve">
- Documentation of role descriptions and responsibilities.
</t>
  </si>
  <si>
    <t xml:space="preserve">
- Regularly reviewing and updating role descriptions based on organizational changes.
</t>
  </si>
  <si>
    <t xml:space="preserve">
- 能否提供基于角色的决策权限在贵公司内部实践中的示例？
</t>
  </si>
  <si>
    <t>供应商协议管理</t>
  </si>
  <si>
    <t>与选定地供应商签订协议，确保供应商和采购方在协议有效期间履行协议，并评估供应商的交付物</t>
  </si>
  <si>
    <t>为采购方与供应商提供明确的共识，从而最大限度的推动供应商依据协议进行交付</t>
  </si>
  <si>
    <t xml:space="preserve">
- List of selected suppliers
</t>
  </si>
  <si>
    <t xml:space="preserve">
- 您是如何识别、评估和选择供应商的？
</t>
  </si>
  <si>
    <t xml:space="preserve">
- Signed supplier agreements
</t>
  </si>
  <si>
    <t xml:space="preserve">- Draft contractual terms and conditions in collaboration with legal and procurement teams, negotiate terms with selected suppliers, and finalize agreements.
</t>
  </si>
  <si>
    <t xml:space="preserve">
- 您能描述一下您用来制定和记录供应商协议的流程吗？
</t>
  </si>
  <si>
    <t xml:space="preserve">Accept or reject the supplier deliverables. (Increases the likelihood the supplier provides the agreed
</t>
  </si>
  <si>
    <t xml:space="preserve">
- Records of accepted/rejected deliverables
</t>
  </si>
  <si>
    <t xml:space="preserve">- Inspect received goods or services against predefined acceptance criteria, and make decisions on whether to accept or reject them.
</t>
  </si>
  <si>
    <t xml:space="preserve">
- 您是如何确定是否接受或拒绝供应商提供的交付物的？
</t>
  </si>
  <si>
    <t xml:space="preserve">
- Payment records
</t>
  </si>
  <si>
    <t xml:space="preserve">- Receive, review, and approve supplier invoices for payment, ensuring accuracy and compliance with contractual terms.
</t>
  </si>
  <si>
    <t xml:space="preserve">
- 您的供应商发票处理流程是怎样的？
</t>
  </si>
  <si>
    <t xml:space="preserve">
- RFP documents
</t>
  </si>
  <si>
    <t xml:space="preserve">- Define criteria for supplier evaluation, identify potential suppliers based on these criteria, and distribute requests for proposals (RFPs) or quotes.
</t>
  </si>
  <si>
    <t xml:space="preserve">
- 您是如何确定评估标准、潜在供应商，并分发供应商请求的？
</t>
  </si>
  <si>
    <t xml:space="preserve">
- Selected supplier list
</t>
  </si>
  <si>
    <t xml:space="preserve">- Review and score supplier responses against predefined evaluation criteria, conduct supplier interviews or site visits if necessary, and make supplier selection decisions.
</t>
  </si>
  <si>
    <t xml:space="preserve">
- 您能解释一下您如何根据记录的评估标准评估供应商的回应，并选择供应商的吗？
</t>
  </si>
  <si>
    <t xml:space="preserve">
- Updated supplier agreements
</t>
  </si>
  <si>
    <t xml:space="preserve">- Monitor supplier performance against contractual obligations, communicate with suppliers regarding any necessary adjustments or updates to the agreement, and maintain accurate records of changes.
</t>
  </si>
  <si>
    <t xml:space="preserve">
- 您是如何管理供应商活动以符合供应商协议，并保持协议更新的？
</t>
  </si>
  <si>
    <t xml:space="preserve">
- Communication Log
</t>
  </si>
  <si>
    <t xml:space="preserve">
- Communicate with Supplier
</t>
  </si>
  <si>
    <t xml:space="preserve">
- 在接受所获取的供应商交付物之前，您是如何验证供应商协议是否得到满足的？
</t>
  </si>
  <si>
    <t xml:space="preserve">
- Discrepancy Resolution Records
</t>
  </si>
  <si>
    <t xml:space="preserve">
- Resolve Discrepancies
</t>
  </si>
  <si>
    <t xml:space="preserve">
- 您是如何根据供应商协议管理供应商提交的发票的？
</t>
  </si>
  <si>
    <t xml:space="preserve">
- Documentation of feedback provided
</t>
  </si>
  <si>
    <t xml:space="preserve">- Assess the quality and technical aspects of supplier deliverables through structured reviews or audits, provide feedback to suppliers, and collaborate on improvement plans.
</t>
  </si>
  <si>
    <t xml:space="preserve">
- 您是如何进行供应商绩效活动和选定交付物的技术审查的？
</t>
  </si>
  <si>
    <t xml:space="preserve">
- Performance improvement initiatives
</t>
  </si>
  <si>
    <t xml:space="preserve">
- upon targets, and take corrective actions as necessary to ensure compliance with the agreement.
</t>
  </si>
  <si>
    <t xml:space="preserve">
- 您能解释一下您如何根据供应商协议中的标准管理供应商绩效和流程的吗？
</t>
  </si>
  <si>
    <t xml:space="preserve">
- Strategic recommendations for supplier optimization
</t>
  </si>
  <si>
    <t xml:space="preserve">- Define key performance indicators (KPIs) for supplier performance, collect relevant data, analyze performance trends using statistical techniques, and take strategic actions to optimize supplier relationships.
</t>
  </si>
  <si>
    <t xml:space="preserve">
- 您是如何选择措施并应用分析技术以定量管理供应商达到其绩效目标的？
</t>
  </si>
  <si>
    <t xml:space="preserve">
- Quality assurance checklist for simple tasks.
</t>
  </si>
  <si>
    <t xml:space="preserve">
- Implement basic quality control checks.
</t>
  </si>
  <si>
    <t xml:space="preserve">
- 能否举例说明您的公司如何确保所实施的流程有效地满足一级实践的意图？
</t>
  </si>
  <si>
    <t>Configuration Management</t>
  </si>
  <si>
    <t>Organisational Training</t>
  </si>
  <si>
    <t xml:space="preserve">
- Process development team charter outlining roles and responsibilities.
</t>
  </si>
  <si>
    <t xml:space="preserve">
- Assign dedicated personnel to oversee process development.
</t>
  </si>
  <si>
    <t xml:space="preserve">
- 能详细描述一下用于评估所提供的资源、资金和培训是否足以支持流程开发和实施的方法吗？
</t>
  </si>
  <si>
    <t xml:space="preserve">
- Training materials addressing common process adherence issues.
</t>
  </si>
  <si>
    <t xml:space="preserve">
- Provide guidance and support to teams on process adherence.
</t>
  </si>
  <si>
    <t xml:space="preserve">
- 您能描述一下您的公司是如何验证相关人员是否有效遵循更新后的流程的过程吗？
</t>
  </si>
  <si>
    <t xml:space="preserve">
- Process repository containing relevant guidelines and best practices.
</t>
  </si>
  <si>
    <t xml:space="preserve">
- Leverage organizational knowledge repositories for process guidance.
</t>
  </si>
  <si>
    <t xml:space="preserve">
- 能否举例说明您的组织如何将组织流程和资产整合到日常工作活动中，以增强规划、管理和执行的效果？
</t>
  </si>
  <si>
    <t xml:space="preserve">Evaluate the adherence to and effectiveness of the organizational processes. (Provides insight on potential cost
</t>
  </si>
  <si>
    <t xml:space="preserve">
- Metrics dashboard illustrating process adherence and performance trends.
</t>
  </si>
  <si>
    <t xml:space="preserve">
- Analyze metrics to measure process adherence and performance.
</t>
  </si>
  <si>
    <t xml:space="preserve">
- 您的公司采取什么策略来识别组织流程可能需要改进的领域，并如何实施这些改进？
</t>
  </si>
  <si>
    <t xml:space="preserve">Contribute process
</t>
  </si>
  <si>
    <t xml:space="preserve">
- Presentation materials for knowledge sharing sessions.
</t>
  </si>
  <si>
    <t xml:space="preserve">
- Participate in knowledge sharing sessions to disseminate process expertise.
</t>
  </si>
  <si>
    <t xml:space="preserve">
- 能否描述最近一个由您组织内部个人贡献的流程相关信息或资产如何导致改进或效率提升？
</t>
  </si>
  <si>
    <t xml:space="preserve">
- Documentation outlining strategies for integrating quantitative techniques into processes.
</t>
  </si>
  <si>
    <t xml:space="preserve">
- Foster a culture of continuous improvement through quantitative analysis.
</t>
  </si>
  <si>
    <t xml:space="preserve">
- 您能提供一些例子，说明统计和定量技术的应用如何为您组织内最近的项目或倡议的成功做出贡献吗？
</t>
  </si>
  <si>
    <t xml:space="preserve">
- Executive summary presenting the identified priorities and proposed approach.
</t>
  </si>
  <si>
    <t xml:space="preserve">
- Holding brainstorming sessions with key stakeholders.
</t>
  </si>
  <si>
    <t xml:space="preserve">
- 能描述一下高级管理层制定和完善战略以实现组织目标的方法吗？
</t>
  </si>
  <si>
    <t xml:space="preserve">
- Updated directives document reflecting changes and improvements.
</t>
  </si>
  <si>
    <t xml:space="preserve">
- Reviewing and updating directives based on organizational needs.
</t>
  </si>
  <si>
    <t xml:space="preserve">
- 能举例说明高级管理层如何调整指令以满足组织特定的需求和目标？
</t>
  </si>
  <si>
    <t xml:space="preserve">
- Inventory list of tools and technologies available for process support.
</t>
  </si>
  <si>
    <t xml:space="preserve">
- Providing access to tools and technologies for process support.
</t>
  </si>
  <si>
    <t xml:space="preserve">
- 您能详细介绍一下高级管理层提供的培训和发展机会，以增强流程遵守和绩效改进？
</t>
  </si>
  <si>
    <t xml:space="preserve">
- Meeting minutes documenting information gathered for governance and oversight.
</t>
  </si>
  <si>
    <t xml:space="preserve">
- functional meetings to gather insights.
</t>
  </si>
  <si>
    <t xml:space="preserve">
- 能解释一下高级管理层如何利用收集到的信息提供监督和管理，以确保有效实施流程和绩效改进吗？
</t>
  </si>
  <si>
    <t xml:space="preserve">
- adherence.
</t>
  </si>
  <si>
    <t xml:space="preserve">
- compliance.
</t>
  </si>
  <si>
    <t xml:space="preserve">
- 高级管理层有哪些机制来追究个人在流程实施和绩效改进中的责任？
</t>
  </si>
  <si>
    <t xml:space="preserve">
- Action plan outlining adjustments based on analysis findings.
</t>
  </si>
  <si>
    <t xml:space="preserve">
- Reviewing performance trends and making adjustments.
</t>
  </si>
  <si>
    <t xml:space="preserve">
- 能举例说明高级管理层如何利用收集到的措施来指导决策并推动改进计划吗？
</t>
  </si>
  <si>
    <t xml:space="preserve">
- Individual development plans for employees aligning competencies with process objectives.
</t>
  </si>
  <si>
    <t xml:space="preserve">
- Providing targeted training and development programs.
</t>
  </si>
  <si>
    <t xml:space="preserve">
- 能描述一下高级管理层确保组织流程与整体目标保持一致的流程吗？
</t>
  </si>
  <si>
    <t xml:space="preserve">Senior management verifies that selected decisions are driven by statistical and quantitative analysis related to performance and achievement of quality and process performance objectives. (Strengthens decision
</t>
  </si>
  <si>
    <t xml:space="preserve">
- making.
</t>
  </si>
  <si>
    <t xml:space="preserve">
- 能举例说明高级管理层如何确保决策是由数据和分析驱动的，以实现质量和流程绩效目标吗？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</si>
</sst>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6"/>
      <color theme="1"/>
      <name val="Calibri"/>
      <family val="2"/>
      <scheme val="minor"/>
    </font>
    <font>
      <sz val="10"/>
      <color theme="1"/>
      <name val="Calibri"/>
      <family val="2"/>
      <scheme val="minor"/>
    </font>
    <font>
      <sz val="12"/>
      <color theme="1"/>
      <name val="Calibri"/>
      <family val="2"/>
      <scheme val="minor"/>
    </font>
    <font>
      <b/>
      <sz val="16"/>
      <color theme="1"/>
      <name val="Calibri"/>
      <family val="2"/>
      <scheme val="minor"/>
    </font>
    <font>
      <b/>
      <sz val="12"/>
      <color theme="1"/>
      <name val="Calibri"/>
      <family val="2"/>
      <scheme val="minor"/>
    </font>
    <font>
      <sz val="10"/>
      <name val="Calibri"/>
      <family val="2"/>
      <scheme val="minor"/>
    </font>
    <font>
      <b/>
      <sz val="10"/>
      <name val="Calibri"/>
      <family val="2"/>
      <scheme val="minor"/>
    </font>
    <font>
      <sz val="10"/>
      <color indexed="12"/>
      <name val="Calibri"/>
      <family val="2"/>
      <scheme val="minor"/>
    </font>
    <font>
      <u/>
      <sz val="10"/>
      <color rgb="FF800080"/>
      <name val="宋体"/>
      <charset val="134"/>
    </font>
    <font>
      <u/>
      <sz val="7.5"/>
      <color indexed="12"/>
      <name val="Arial"/>
      <family val="2"/>
    </font>
    <font>
      <b/>
      <sz val="14"/>
      <color indexed="8"/>
      <name val="Calibri"/>
      <family val="2"/>
      <scheme val="minor"/>
    </font>
    <font>
      <b/>
      <sz val="10"/>
      <color theme="1"/>
      <name val="Calibri"/>
      <family val="2"/>
      <scheme val="minor"/>
    </font>
    <font>
      <b/>
      <sz val="12"/>
      <color rgb="FFFF0000"/>
      <name val="Calibri"/>
      <family val="2"/>
      <scheme val="minor"/>
    </font>
    <font>
      <b/>
      <sz val="14"/>
      <color theme="1"/>
      <name val="Calibri"/>
      <family val="2"/>
      <scheme val="minor"/>
    </font>
    <font>
      <b/>
      <sz val="18"/>
      <color theme="1"/>
      <name val="Calibri"/>
      <family val="2"/>
      <scheme val="minor"/>
    </font>
    <font>
      <b/>
      <sz val="11"/>
      <color theme="1"/>
      <name val="Calibri"/>
      <family val="2"/>
      <scheme val="minor"/>
    </font>
    <font>
      <b/>
      <sz val="14"/>
      <color rgb="FFFF0000"/>
      <name val="Calibri"/>
      <family val="2"/>
      <scheme val="minor"/>
    </font>
    <font>
      <b/>
      <sz val="10"/>
      <color rgb="FF000000"/>
      <name val="Calibri"/>
      <family val="2"/>
      <scheme val="minor"/>
    </font>
    <font>
      <sz val="10"/>
      <name val="Arial"/>
      <family val="2"/>
    </font>
    <font>
      <sz val="11"/>
      <color theme="1"/>
      <name val="Calibri"/>
      <family val="2"/>
      <scheme val="minor"/>
    </font>
    <font>
      <u/>
      <sz val="12"/>
      <color indexed="12"/>
      <name val="Arial"/>
      <family val="2"/>
    </font>
    <font>
      <sz val="10"/>
      <name val="Geneva"/>
      <family val="1"/>
    </font>
    <font>
      <sz val="11"/>
      <color rgb="FFFF0000"/>
      <name val="Calibri"/>
      <family val="2"/>
      <scheme val="minor"/>
    </font>
    <font>
      <b/>
      <sz val="14"/>
      <color rgb="FF505050"/>
      <name val="Calibri"/>
      <family val="2"/>
      <scheme val="minor"/>
    </font>
    <font>
      <sz val="9"/>
      <name val="Calibri"/>
      <family val="2"/>
      <scheme val="minor"/>
    </font>
    <font>
      <sz val="9"/>
      <color theme="1"/>
      <name val="Calibri"/>
      <family val="2"/>
      <scheme val="minor"/>
    </font>
    <font>
      <i/>
      <sz val="10"/>
      <color theme="1"/>
      <name val="Calibri"/>
      <family val="2"/>
      <scheme val="minor"/>
    </font>
    <font>
      <sz val="8"/>
      <name val="Calibri"/>
      <family val="2"/>
      <scheme val="minor"/>
    </font>
    <font>
      <u/>
      <sz val="10"/>
      <color theme="1"/>
      <name val="Calibri"/>
      <family val="2"/>
      <scheme val="minor"/>
    </font>
    <font>
      <sz val="14"/>
      <color theme="1"/>
      <name val="Calibri"/>
      <family val="2"/>
      <scheme val="minor"/>
    </font>
    <font>
      <sz val="10"/>
      <name val="Calibri"/>
      <family val="2"/>
    </font>
    <font>
      <b/>
      <sz val="10"/>
      <name val="Calibri"/>
      <family val="2"/>
    </font>
    <font>
      <sz val="10"/>
      <name val="宋体"/>
      <family val="3"/>
      <charset val="134"/>
    </font>
    <font>
      <b/>
      <sz val="12"/>
      <color rgb="FF505050"/>
      <name val="Calibri"/>
      <family val="2"/>
      <scheme val="minor"/>
    </font>
    <font>
      <sz val="12"/>
      <name val="Calibri"/>
      <family val="2"/>
      <scheme val="minor"/>
    </font>
    <font>
      <i/>
      <sz val="10"/>
      <name val="Calibri"/>
      <family val="2"/>
      <scheme val="minor"/>
    </font>
    <font>
      <b/>
      <sz val="11"/>
      <color rgb="FF505050"/>
      <name val="Calibri"/>
      <family val="2"/>
      <scheme val="minor"/>
    </font>
    <font>
      <sz val="9"/>
      <name val="Calibri"/>
      <family val="2"/>
    </font>
    <font>
      <sz val="9"/>
      <color theme="7" tint="-0.499984740745262"/>
      <name val="Calibri"/>
      <family val="2"/>
    </font>
    <font>
      <b/>
      <sz val="9"/>
      <color theme="7" tint="-0.499984740745262"/>
      <name val="Calibri"/>
      <family val="2"/>
    </font>
    <font>
      <b/>
      <sz val="9"/>
      <name val="Calibri"/>
      <family val="2"/>
    </font>
    <font>
      <sz val="9"/>
      <color theme="7" tint="-0.499984740745262"/>
      <name val="宋体"/>
      <family val="3"/>
      <charset val="134"/>
    </font>
    <font>
      <sz val="9"/>
      <name val="Calibri"/>
      <family val="2"/>
      <charset val="134"/>
    </font>
    <font>
      <sz val="9"/>
      <name val="宋体"/>
      <family val="3"/>
      <charset val="134"/>
    </font>
    <font>
      <b/>
      <sz val="9"/>
      <name val="Calibri"/>
      <family val="2"/>
      <scheme val="minor"/>
    </font>
    <font>
      <sz val="10"/>
      <color rgb="FFFF0000"/>
      <name val="Calibri"/>
      <family val="2"/>
      <scheme val="minor"/>
    </font>
    <font>
      <sz val="10"/>
      <color theme="7" tint="-0.499984740745262"/>
      <name val="Calibri"/>
      <family val="2"/>
      <scheme val="minor"/>
    </font>
    <font>
      <b/>
      <sz val="10"/>
      <color rgb="FFFF0000"/>
      <name val="Calibri"/>
      <family val="2"/>
      <scheme val="minor"/>
    </font>
    <font>
      <b/>
      <sz val="10"/>
      <color theme="7" tint="-0.499984740745262"/>
      <name val="Calibri"/>
      <family val="2"/>
      <scheme val="minor"/>
    </font>
    <font>
      <sz val="11"/>
      <color theme="0"/>
      <name val="Calibri"/>
      <family val="2"/>
      <scheme val="minor"/>
    </font>
    <font>
      <sz val="9"/>
      <name val="Calibri"/>
      <family val="3"/>
      <charset val="134"/>
      <scheme val="minor"/>
    </font>
    <font>
      <sz val="11"/>
      <color rgb="FF000000"/>
      <name val="Calibri"/>
      <family val="2"/>
    </font>
  </fonts>
  <fills count="24">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indexed="27"/>
        <bgColor indexed="64"/>
      </patternFill>
    </fill>
    <fill>
      <patternFill patternType="solid">
        <fgColor theme="2" tint="-0.499984740745262"/>
        <bgColor indexed="64"/>
      </patternFill>
    </fill>
    <fill>
      <patternFill patternType="solid">
        <fgColor rgb="FFFFCC99"/>
        <bgColor indexed="64"/>
      </patternFill>
    </fill>
    <fill>
      <patternFill patternType="solid">
        <fgColor rgb="FFD9E1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CCFFFF"/>
        <bgColor indexed="64"/>
      </patternFill>
    </fill>
    <fill>
      <patternFill patternType="solid">
        <fgColor rgb="FFD6BBEB"/>
        <bgColor indexed="64"/>
      </patternFill>
    </fill>
    <fill>
      <patternFill patternType="solid">
        <fgColor theme="8" tint="0.79998168889431442"/>
        <bgColor indexed="64"/>
      </patternFill>
    </fill>
    <fill>
      <patternFill patternType="solid">
        <fgColor rgb="FFF2F7FC"/>
        <bgColor indexed="64"/>
      </patternFill>
    </fill>
    <fill>
      <patternFill patternType="solid">
        <fgColor theme="9" tint="0.59999389629810485"/>
        <bgColor indexed="64"/>
      </patternFill>
    </fill>
    <fill>
      <patternFill patternType="solid">
        <fgColor theme="8" tint="0.79995117038483843"/>
        <bgColor indexed="64"/>
      </patternFill>
    </fill>
    <fill>
      <patternFill patternType="solid">
        <fgColor theme="8" tint="0.79992065187536243"/>
        <bgColor indexed="64"/>
      </patternFill>
    </fill>
    <fill>
      <patternFill patternType="solid">
        <fgColor rgb="FFFFABAB"/>
        <bgColor indexed="64"/>
      </patternFill>
    </fill>
    <fill>
      <patternFill patternType="solid">
        <fgColor theme="0" tint="-0.34998626667073579"/>
        <bgColor indexed="64"/>
      </patternFill>
    </fill>
    <fill>
      <patternFill patternType="solid">
        <fgColor theme="5" tint="0.59999389629810485"/>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538DD5"/>
      </left>
      <right style="thin">
        <color rgb="FF538DD5"/>
      </right>
      <top style="thin">
        <color rgb="FF538DD5"/>
      </top>
      <bottom style="thin">
        <color rgb="FF538DD5"/>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medium">
        <color indexed="64"/>
      </left>
      <right style="medium">
        <color indexed="64"/>
      </right>
      <top style="medium">
        <color indexed="64"/>
      </top>
      <bottom style="medium">
        <color indexed="64"/>
      </bottom>
      <diagonal/>
    </border>
  </borders>
  <cellStyleXfs count="24">
    <xf numFmtId="0" fontId="0" fillId="0" borderId="0"/>
    <xf numFmtId="0" fontId="20" fillId="0" borderId="0" applyNumberFormat="0" applyFill="0" applyBorder="0" applyAlignment="0" applyProtection="0">
      <alignment vertical="top"/>
      <protection locked="0"/>
    </xf>
    <xf numFmtId="0" fontId="29" fillId="0" borderId="0"/>
    <xf numFmtId="0" fontId="30" fillId="0" borderId="0"/>
    <xf numFmtId="0" fontId="30" fillId="0" borderId="0"/>
    <xf numFmtId="0" fontId="29" fillId="0" borderId="0"/>
    <xf numFmtId="0" fontId="10" fillId="0" borderId="0"/>
    <xf numFmtId="0" fontId="9" fillId="0" borderId="0"/>
    <xf numFmtId="0" fontId="9" fillId="0" borderId="0"/>
    <xf numFmtId="0" fontId="29" fillId="0" borderId="0"/>
    <xf numFmtId="0" fontId="9" fillId="0" borderId="0"/>
    <xf numFmtId="0" fontId="7" fillId="0" borderId="0"/>
    <xf numFmtId="0" fontId="6" fillId="0" borderId="0"/>
    <xf numFmtId="0" fontId="6" fillId="0" borderId="0"/>
    <xf numFmtId="0" fontId="6" fillId="0" borderId="0"/>
    <xf numFmtId="0" fontId="32" fillId="0" borderId="0"/>
    <xf numFmtId="0" fontId="5" fillId="0" borderId="0"/>
    <xf numFmtId="0" fontId="5" fillId="0" borderId="0"/>
    <xf numFmtId="0" fontId="4" fillId="0" borderId="0"/>
    <xf numFmtId="0" fontId="3" fillId="0" borderId="0"/>
    <xf numFmtId="0" fontId="3" fillId="0" borderId="0"/>
    <xf numFmtId="0" fontId="29" fillId="0" borderId="0"/>
    <xf numFmtId="0" fontId="2" fillId="0" borderId="0"/>
    <xf numFmtId="0" fontId="1" fillId="0" borderId="0"/>
  </cellStyleXfs>
  <cellXfs count="332">
    <xf numFmtId="0" fontId="0" fillId="0" borderId="0" xfId="0"/>
    <xf numFmtId="0" fontId="16" fillId="3" borderId="1" xfId="2" applyFont="1" applyFill="1" applyBorder="1" applyAlignment="1">
      <alignment horizontal="left" vertical="center"/>
    </xf>
    <xf numFmtId="0" fontId="16" fillId="3" borderId="1" xfId="2" applyFont="1" applyFill="1" applyBorder="1" applyAlignment="1">
      <alignment horizontal="left" vertical="center" wrapText="1"/>
    </xf>
    <xf numFmtId="0" fontId="16" fillId="4" borderId="1" xfId="2" applyFont="1" applyFill="1" applyBorder="1" applyAlignment="1">
      <alignment horizontal="left" vertical="top" wrapText="1"/>
    </xf>
    <xf numFmtId="0" fontId="16" fillId="2" borderId="1" xfId="2" applyFont="1" applyFill="1" applyBorder="1" applyAlignment="1">
      <alignment horizontal="center" vertical="center"/>
    </xf>
    <xf numFmtId="0" fontId="16" fillId="0" borderId="1" xfId="5" applyFont="1" applyBorder="1" applyAlignment="1">
      <alignment horizontal="left" vertical="center" wrapText="1"/>
    </xf>
    <xf numFmtId="0" fontId="18" fillId="0" borderId="1" xfId="5" applyFont="1" applyBorder="1" applyAlignment="1">
      <alignment horizontal="center" vertical="center" wrapText="1"/>
    </xf>
    <xf numFmtId="0" fontId="16" fillId="5" borderId="1" xfId="2" applyFont="1" applyFill="1" applyBorder="1" applyAlignment="1">
      <alignment horizontal="center" vertical="center" wrapText="1"/>
    </xf>
    <xf numFmtId="0" fontId="16" fillId="2" borderId="1" xfId="2" applyFont="1" applyFill="1" applyBorder="1" applyAlignment="1">
      <alignment horizontal="left" vertical="center" wrapText="1"/>
    </xf>
    <xf numFmtId="0" fontId="16" fillId="2" borderId="1" xfId="2" applyFont="1" applyFill="1" applyBorder="1" applyAlignment="1">
      <alignment horizontal="center" vertical="center" wrapText="1"/>
    </xf>
    <xf numFmtId="0" fontId="16" fillId="5" borderId="2" xfId="2" applyFont="1" applyFill="1" applyBorder="1" applyAlignment="1">
      <alignment vertical="center" wrapText="1"/>
    </xf>
    <xf numFmtId="0" fontId="16" fillId="4" borderId="1" xfId="2" applyFont="1" applyFill="1" applyBorder="1" applyAlignment="1">
      <alignment vertical="center" wrapText="1"/>
    </xf>
    <xf numFmtId="0" fontId="19" fillId="0" borderId="1" xfId="1" applyNumberFormat="1" applyFont="1" applyFill="1" applyBorder="1" applyAlignment="1" applyProtection="1">
      <alignment horizontal="center" vertical="center" wrapText="1"/>
    </xf>
    <xf numFmtId="0" fontId="16" fillId="3" borderId="1" xfId="2" applyFont="1" applyFill="1" applyBorder="1" applyAlignment="1">
      <alignment horizontal="center" vertical="center" wrapText="1"/>
    </xf>
    <xf numFmtId="0" fontId="0" fillId="0" borderId="0" xfId="0" applyAlignment="1">
      <alignment horizontal="left" vertical="top" wrapText="1"/>
    </xf>
    <xf numFmtId="0" fontId="20" fillId="0" borderId="0" xfId="1" applyAlignment="1" applyProtection="1"/>
    <xf numFmtId="0" fontId="0" fillId="0" borderId="0" xfId="0" applyAlignment="1">
      <alignment horizontal="left" vertical="top"/>
    </xf>
    <xf numFmtId="0" fontId="17" fillId="10" borderId="2" xfId="2" applyFont="1" applyFill="1" applyBorder="1" applyAlignment="1">
      <alignment vertical="center" wrapText="1"/>
    </xf>
    <xf numFmtId="0" fontId="17" fillId="10" borderId="3" xfId="2" applyFont="1" applyFill="1" applyBorder="1" applyAlignment="1">
      <alignment vertical="center" wrapText="1"/>
    </xf>
    <xf numFmtId="0" fontId="16" fillId="9" borderId="1" xfId="2" applyFont="1" applyFill="1" applyBorder="1" applyAlignment="1">
      <alignment horizontal="left" vertical="center" wrapText="1"/>
    </xf>
    <xf numFmtId="0" fontId="16" fillId="4" borderId="1" xfId="2" applyFont="1" applyFill="1" applyBorder="1" applyAlignment="1">
      <alignment horizontal="left" vertical="center" wrapText="1"/>
    </xf>
    <xf numFmtId="0" fontId="13" fillId="0" borderId="0" xfId="13" applyFont="1"/>
    <xf numFmtId="0" fontId="13" fillId="0" borderId="0" xfId="13" applyFont="1" applyAlignment="1">
      <alignment horizontal="left" indent="1"/>
    </xf>
    <xf numFmtId="0" fontId="31" fillId="0" borderId="0" xfId="1" applyFont="1" applyAlignment="1" applyProtection="1"/>
    <xf numFmtId="0" fontId="22" fillId="12" borderId="5" xfId="13" applyFont="1" applyFill="1" applyBorder="1" applyAlignment="1">
      <alignment horizontal="center" vertical="center" textRotation="90" wrapText="1"/>
    </xf>
    <xf numFmtId="0" fontId="22" fillId="0" borderId="5" xfId="13" applyFont="1" applyBorder="1" applyAlignment="1">
      <alignment horizontal="center" vertical="center" textRotation="90" wrapText="1"/>
    </xf>
    <xf numFmtId="0" fontId="15" fillId="12" borderId="4" xfId="13" applyFont="1" applyFill="1" applyBorder="1" applyAlignment="1">
      <alignment horizontal="center" vertical="center" wrapText="1"/>
    </xf>
    <xf numFmtId="0" fontId="6" fillId="2" borderId="0" xfId="13" applyFill="1"/>
    <xf numFmtId="0" fontId="22" fillId="12" borderId="5" xfId="13" applyFont="1" applyFill="1" applyBorder="1" applyAlignment="1">
      <alignment horizontal="center" vertical="center" wrapText="1"/>
    </xf>
    <xf numFmtId="0" fontId="22" fillId="0" borderId="5" xfId="13" applyFont="1" applyBorder="1" applyAlignment="1">
      <alignment horizontal="center" vertical="center" wrapText="1"/>
    </xf>
    <xf numFmtId="0" fontId="22" fillId="10" borderId="5" xfId="13" applyFont="1" applyFill="1" applyBorder="1" applyAlignment="1">
      <alignment horizontal="center" vertical="center" wrapText="1"/>
    </xf>
    <xf numFmtId="0" fontId="22" fillId="10" borderId="5" xfId="14" quotePrefix="1" applyFont="1" applyFill="1" applyBorder="1" applyAlignment="1">
      <alignment horizontal="center" vertical="center" wrapText="1"/>
    </xf>
    <xf numFmtId="0" fontId="15" fillId="8" borderId="4" xfId="13" applyFont="1" applyFill="1" applyBorder="1" applyAlignment="1">
      <alignment horizontal="center" vertical="center" wrapText="1"/>
    </xf>
    <xf numFmtId="0" fontId="22" fillId="10" borderId="5" xfId="14" applyFont="1" applyFill="1" applyBorder="1" applyAlignment="1">
      <alignment horizontal="center" vertical="center" wrapText="1"/>
    </xf>
    <xf numFmtId="0" fontId="24" fillId="2" borderId="0" xfId="13" applyFont="1" applyFill="1"/>
    <xf numFmtId="0" fontId="11" fillId="2" borderId="0" xfId="13" applyFont="1" applyFill="1"/>
    <xf numFmtId="0" fontId="26" fillId="12" borderId="5" xfId="13" applyFont="1" applyFill="1" applyBorder="1" applyAlignment="1">
      <alignment horizontal="center" vertical="center" wrapText="1"/>
    </xf>
    <xf numFmtId="0" fontId="26" fillId="0" borderId="5" xfId="13" applyFont="1" applyBorder="1" applyAlignment="1">
      <alignment horizontal="center" vertical="center" wrapText="1"/>
    </xf>
    <xf numFmtId="0" fontId="14" fillId="12" borderId="4" xfId="13" applyFont="1" applyFill="1" applyBorder="1" applyAlignment="1">
      <alignment horizontal="center" vertical="center" wrapText="1"/>
    </xf>
    <xf numFmtId="0" fontId="25" fillId="2" borderId="0" xfId="13" applyFont="1" applyFill="1" applyAlignment="1">
      <alignment horizontal="center" vertical="center"/>
    </xf>
    <xf numFmtId="0" fontId="25" fillId="2" borderId="5" xfId="13" applyFont="1" applyFill="1" applyBorder="1" applyAlignment="1">
      <alignment horizontal="center" vertical="center"/>
    </xf>
    <xf numFmtId="0" fontId="27" fillId="2" borderId="0" xfId="13" applyFont="1" applyFill="1"/>
    <xf numFmtId="0" fontId="6" fillId="2" borderId="0" xfId="13" applyFill="1" applyAlignment="1">
      <alignment horizontal="center" vertical="center"/>
    </xf>
    <xf numFmtId="0" fontId="28" fillId="7" borderId="5" xfId="13" applyFont="1" applyFill="1" applyBorder="1" applyAlignment="1">
      <alignment horizontal="center" vertical="center" wrapText="1"/>
    </xf>
    <xf numFmtId="0" fontId="28" fillId="0" borderId="5" xfId="13" applyFont="1" applyBorder="1" applyAlignment="1">
      <alignment horizontal="center" vertical="center" wrapText="1"/>
    </xf>
    <xf numFmtId="0" fontId="21" fillId="2" borderId="0" xfId="13" applyFont="1" applyFill="1"/>
    <xf numFmtId="0" fontId="21" fillId="2" borderId="0" xfId="13" applyFont="1" applyFill="1" applyAlignment="1">
      <alignment horizontal="center" vertical="center"/>
    </xf>
    <xf numFmtId="0" fontId="12" fillId="13" borderId="0" xfId="13" applyFont="1" applyFill="1" applyAlignment="1">
      <alignment horizontal="center" vertical="center" textRotation="90" wrapText="1"/>
    </xf>
    <xf numFmtId="0" fontId="22" fillId="10" borderId="5" xfId="13" quotePrefix="1" applyFont="1" applyFill="1" applyBorder="1" applyAlignment="1">
      <alignment horizontal="center" vertical="center" wrapText="1"/>
    </xf>
    <xf numFmtId="0" fontId="23" fillId="2" borderId="0" xfId="13" applyFont="1" applyFill="1"/>
    <xf numFmtId="0" fontId="6" fillId="0" borderId="0" xfId="13" applyAlignment="1">
      <alignment horizontal="left" vertical="top"/>
    </xf>
    <xf numFmtId="0" fontId="16" fillId="3" borderId="1" xfId="15" applyFont="1" applyFill="1" applyBorder="1" applyAlignment="1">
      <alignment horizontal="left" vertical="center" wrapText="1"/>
    </xf>
    <xf numFmtId="0" fontId="16" fillId="3" borderId="1" xfId="15" applyFont="1" applyFill="1" applyBorder="1" applyAlignment="1">
      <alignment horizontal="center" vertical="center" textRotation="90" wrapText="1"/>
    </xf>
    <xf numFmtId="0" fontId="16" fillId="3" borderId="1" xfId="15" applyFont="1" applyFill="1" applyBorder="1" applyAlignment="1">
      <alignment horizontal="center" vertical="center" wrapText="1"/>
    </xf>
    <xf numFmtId="0" fontId="12" fillId="0" borderId="1" xfId="13" applyFont="1" applyBorder="1" applyAlignment="1">
      <alignment horizontal="left" vertical="center" wrapText="1"/>
    </xf>
    <xf numFmtId="0" fontId="12" fillId="2" borderId="0" xfId="13" applyFont="1" applyFill="1"/>
    <xf numFmtId="0" fontId="12" fillId="0" borderId="1" xfId="13" applyFont="1" applyBorder="1" applyAlignment="1">
      <alignment horizontal="left" vertical="top" wrapText="1"/>
    </xf>
    <xf numFmtId="0" fontId="12" fillId="2" borderId="0" xfId="13" applyFont="1" applyFill="1" applyAlignment="1">
      <alignment horizontal="left" vertical="top" wrapText="1"/>
    </xf>
    <xf numFmtId="0" fontId="12" fillId="2" borderId="0" xfId="13" applyFont="1" applyFill="1" applyAlignment="1">
      <alignment horizontal="center" vertical="center"/>
    </xf>
    <xf numFmtId="0" fontId="12" fillId="0" borderId="1" xfId="13" applyFont="1" applyBorder="1" applyAlignment="1">
      <alignment horizontal="left" vertical="center"/>
    </xf>
    <xf numFmtId="0" fontId="14" fillId="2" borderId="0" xfId="13" applyFont="1" applyFill="1" applyAlignment="1">
      <alignment horizontal="left" vertical="top"/>
    </xf>
    <xf numFmtId="0" fontId="11" fillId="2" borderId="0" xfId="13" applyFont="1" applyFill="1" applyAlignment="1">
      <alignment horizontal="left" vertical="top"/>
    </xf>
    <xf numFmtId="0" fontId="15" fillId="2" borderId="0" xfId="13" applyFont="1" applyFill="1" applyAlignment="1">
      <alignment horizontal="left" vertical="top"/>
    </xf>
    <xf numFmtId="0" fontId="13" fillId="2" borderId="0" xfId="13" applyFont="1" applyFill="1" applyAlignment="1">
      <alignment horizontal="left" vertical="top"/>
    </xf>
    <xf numFmtId="0" fontId="12" fillId="2" borderId="0" xfId="13" applyFont="1" applyFill="1" applyAlignment="1">
      <alignment horizontal="left" vertical="top"/>
    </xf>
    <xf numFmtId="0" fontId="33" fillId="0" borderId="0" xfId="0" applyFont="1"/>
    <xf numFmtId="0" fontId="0" fillId="0" borderId="0" xfId="0" applyAlignment="1">
      <alignment horizontal="right" vertical="top" wrapText="1"/>
    </xf>
    <xf numFmtId="0" fontId="0" fillId="0" borderId="1" xfId="0" applyBorder="1" applyAlignment="1">
      <alignment horizontal="left" vertical="top" wrapText="1"/>
    </xf>
    <xf numFmtId="0" fontId="5" fillId="0" borderId="0" xfId="17"/>
    <xf numFmtId="0" fontId="34" fillId="0" borderId="0" xfId="19" applyFont="1" applyAlignment="1">
      <alignment horizontal="left" vertical="top"/>
    </xf>
    <xf numFmtId="0" fontId="3" fillId="0" borderId="0" xfId="19" applyAlignment="1">
      <alignment horizontal="left" vertical="top"/>
    </xf>
    <xf numFmtId="0" fontId="12" fillId="0" borderId="0" xfId="19" applyFont="1" applyAlignment="1">
      <alignment horizontal="left" vertical="top"/>
    </xf>
    <xf numFmtId="0" fontId="12" fillId="0" borderId="0" xfId="19" applyFont="1" applyAlignment="1">
      <alignment horizontal="center" vertical="center"/>
    </xf>
    <xf numFmtId="0" fontId="12" fillId="0" borderId="0" xfId="19" applyFont="1" applyAlignment="1">
      <alignment horizontal="center" vertical="top"/>
    </xf>
    <xf numFmtId="0" fontId="3" fillId="0" borderId="0" xfId="19"/>
    <xf numFmtId="0" fontId="12" fillId="0" borderId="0" xfId="19" applyFont="1" applyAlignment="1">
      <alignment horizontal="left" vertical="top" wrapText="1"/>
    </xf>
    <xf numFmtId="0" fontId="22" fillId="2" borderId="0" xfId="19" applyFont="1" applyFill="1" applyAlignment="1">
      <alignment horizontal="left" vertical="top"/>
    </xf>
    <xf numFmtId="0" fontId="12" fillId="14" borderId="0" xfId="19" applyFont="1" applyFill="1" applyAlignment="1">
      <alignment horizontal="left" vertical="top"/>
    </xf>
    <xf numFmtId="0" fontId="12" fillId="6" borderId="0" xfId="19" applyFont="1" applyFill="1" applyAlignment="1">
      <alignment horizontal="left" vertical="top"/>
    </xf>
    <xf numFmtId="0" fontId="12" fillId="6" borderId="0" xfId="19" applyFont="1" applyFill="1" applyAlignment="1">
      <alignment horizontal="center" vertical="center"/>
    </xf>
    <xf numFmtId="0" fontId="12" fillId="15" borderId="0" xfId="19" applyFont="1" applyFill="1" applyAlignment="1">
      <alignment horizontal="left" vertical="top"/>
    </xf>
    <xf numFmtId="0" fontId="12" fillId="15" borderId="0" xfId="19" applyFont="1" applyFill="1" applyAlignment="1">
      <alignment horizontal="left" vertical="top" wrapText="1"/>
    </xf>
    <xf numFmtId="0" fontId="12" fillId="0" borderId="0" xfId="19" applyFont="1"/>
    <xf numFmtId="0" fontId="12" fillId="14" borderId="0" xfId="19" applyFont="1" applyFill="1"/>
    <xf numFmtId="0" fontId="12" fillId="6" borderId="0" xfId="19" applyFont="1" applyFill="1"/>
    <xf numFmtId="0" fontId="12" fillId="15" borderId="0" xfId="19" applyFont="1" applyFill="1" applyAlignment="1">
      <alignment horizontal="center" vertical="top"/>
    </xf>
    <xf numFmtId="0" fontId="22" fillId="16" borderId="1" xfId="19" applyFont="1" applyFill="1" applyBorder="1" applyAlignment="1">
      <alignment horizontal="left" vertical="top"/>
    </xf>
    <xf numFmtId="0" fontId="16" fillId="6" borderId="1" xfId="2" applyFont="1" applyFill="1" applyBorder="1" applyAlignment="1">
      <alignment horizontal="left" vertical="top" wrapText="1"/>
    </xf>
    <xf numFmtId="0" fontId="16" fillId="15" borderId="1" xfId="2" applyFont="1" applyFill="1" applyBorder="1" applyAlignment="1">
      <alignment horizontal="left" vertical="top" wrapText="1"/>
    </xf>
    <xf numFmtId="0" fontId="16" fillId="15" borderId="2" xfId="2" applyFont="1" applyFill="1" applyBorder="1" applyAlignment="1">
      <alignment horizontal="left" vertical="top" wrapText="1"/>
    </xf>
    <xf numFmtId="0" fontId="16" fillId="0" borderId="0" xfId="2" applyFont="1" applyAlignment="1">
      <alignment horizontal="left" vertical="top" wrapText="1"/>
    </xf>
    <xf numFmtId="0" fontId="12" fillId="0" borderId="0" xfId="19" applyFont="1" applyAlignment="1">
      <alignment vertical="top"/>
    </xf>
    <xf numFmtId="0" fontId="3" fillId="0" borderId="0" xfId="19" applyAlignment="1">
      <alignment vertical="top"/>
    </xf>
    <xf numFmtId="0" fontId="22" fillId="3" borderId="1" xfId="19" applyFont="1" applyFill="1" applyBorder="1" applyAlignment="1">
      <alignment horizontal="left" vertical="top"/>
    </xf>
    <xf numFmtId="0" fontId="16" fillId="3" borderId="1" xfId="2" applyFont="1" applyFill="1" applyBorder="1" applyAlignment="1">
      <alignment horizontal="left" vertical="top" wrapText="1"/>
    </xf>
    <xf numFmtId="0" fontId="35" fillId="17" borderId="1" xfId="2" quotePrefix="1" applyFont="1" applyFill="1" applyBorder="1" applyAlignment="1">
      <alignment horizontal="left" vertical="top" wrapText="1"/>
    </xf>
    <xf numFmtId="0" fontId="35" fillId="0" borderId="0" xfId="2" quotePrefix="1" applyFont="1" applyAlignment="1">
      <alignment horizontal="left" vertical="top" wrapText="1"/>
    </xf>
    <xf numFmtId="0" fontId="12" fillId="0" borderId="0" xfId="20" applyFont="1" applyAlignment="1" applyProtection="1">
      <alignment horizontal="left" vertical="top" wrapText="1"/>
      <protection locked="0"/>
    </xf>
    <xf numFmtId="0" fontId="12" fillId="0" borderId="0" xfId="20" applyFont="1" applyAlignment="1" applyProtection="1">
      <alignment vertical="top"/>
      <protection locked="0"/>
    </xf>
    <xf numFmtId="0" fontId="16" fillId="17" borderId="1" xfId="2" quotePrefix="1" applyFont="1" applyFill="1" applyBorder="1" applyAlignment="1">
      <alignment horizontal="left" vertical="top" wrapText="1"/>
    </xf>
    <xf numFmtId="0" fontId="16" fillId="17" borderId="1" xfId="2" applyFont="1" applyFill="1" applyBorder="1" applyAlignment="1">
      <alignment horizontal="left" vertical="top" wrapText="1"/>
    </xf>
    <xf numFmtId="0" fontId="22" fillId="19" borderId="1" xfId="19" applyFont="1" applyFill="1" applyBorder="1" applyAlignment="1">
      <alignment horizontal="left" vertical="top"/>
    </xf>
    <xf numFmtId="0" fontId="34" fillId="0" borderId="0" xfId="20" applyFont="1" applyAlignment="1">
      <alignment horizontal="left" vertical="top"/>
    </xf>
    <xf numFmtId="0" fontId="3" fillId="0" borderId="0" xfId="20" applyAlignment="1">
      <alignment horizontal="left" vertical="top"/>
    </xf>
    <xf numFmtId="0" fontId="12" fillId="0" borderId="0" xfId="20" applyFont="1" applyAlignment="1">
      <alignment horizontal="left" vertical="top"/>
    </xf>
    <xf numFmtId="0" fontId="12" fillId="0" borderId="0" xfId="20" applyFont="1" applyAlignment="1">
      <alignment horizontal="center" vertical="top"/>
    </xf>
    <xf numFmtId="0" fontId="3" fillId="0" borderId="0" xfId="20" applyAlignment="1">
      <alignment vertical="top"/>
    </xf>
    <xf numFmtId="0" fontId="12" fillId="0" borderId="0" xfId="20" applyFont="1" applyAlignment="1">
      <alignment horizontal="left" vertical="top" wrapText="1"/>
    </xf>
    <xf numFmtId="0" fontId="22" fillId="2" borderId="0" xfId="20" applyFont="1" applyFill="1" applyAlignment="1">
      <alignment horizontal="left" vertical="top"/>
    </xf>
    <xf numFmtId="0" fontId="12" fillId="14" borderId="0" xfId="20" applyFont="1" applyFill="1" applyAlignment="1">
      <alignment horizontal="left" vertical="top"/>
    </xf>
    <xf numFmtId="0" fontId="12" fillId="6" borderId="0" xfId="20" applyFont="1" applyFill="1" applyAlignment="1">
      <alignment horizontal="left" vertical="top"/>
    </xf>
    <xf numFmtId="0" fontId="12" fillId="6" borderId="0" xfId="20" applyFont="1" applyFill="1" applyAlignment="1">
      <alignment horizontal="center" vertical="center"/>
    </xf>
    <xf numFmtId="0" fontId="12" fillId="6" borderId="0" xfId="20" applyFont="1" applyFill="1" applyAlignment="1">
      <alignment horizontal="left" vertical="top" wrapText="1"/>
    </xf>
    <xf numFmtId="0" fontId="12" fillId="15" borderId="0" xfId="20" applyFont="1" applyFill="1" applyAlignment="1">
      <alignment horizontal="left" vertical="top"/>
    </xf>
    <xf numFmtId="0" fontId="3" fillId="0" borderId="0" xfId="20"/>
    <xf numFmtId="0" fontId="12" fillId="0" borderId="0" xfId="20" applyFont="1"/>
    <xf numFmtId="0" fontId="12" fillId="14" borderId="0" xfId="20" applyFont="1" applyFill="1"/>
    <xf numFmtId="0" fontId="12" fillId="6" borderId="0" xfId="20" applyFont="1" applyFill="1"/>
    <xf numFmtId="0" fontId="12" fillId="15" borderId="0" xfId="20" applyFont="1" applyFill="1" applyAlignment="1">
      <alignment horizontal="center" vertical="top"/>
    </xf>
    <xf numFmtId="0" fontId="22" fillId="16" borderId="1" xfId="20" applyFont="1" applyFill="1" applyBorder="1" applyAlignment="1">
      <alignment horizontal="left" vertical="top"/>
    </xf>
    <xf numFmtId="0" fontId="12" fillId="0" borderId="0" xfId="20" applyFont="1" applyAlignment="1">
      <alignment vertical="top"/>
    </xf>
    <xf numFmtId="0" fontId="22" fillId="3" borderId="1" xfId="20" applyFont="1" applyFill="1" applyBorder="1" applyAlignment="1">
      <alignment horizontal="left" vertical="top"/>
    </xf>
    <xf numFmtId="0" fontId="35" fillId="17" borderId="1" xfId="2" applyFont="1" applyFill="1" applyBorder="1" applyAlignment="1">
      <alignment horizontal="left" vertical="top" wrapText="1"/>
    </xf>
    <xf numFmtId="0" fontId="35" fillId="0" borderId="1" xfId="2" applyFont="1" applyBorder="1" applyAlignment="1">
      <alignment horizontal="left" vertical="top" wrapText="1"/>
    </xf>
    <xf numFmtId="0" fontId="35" fillId="0" borderId="0" xfId="2" applyFont="1" applyAlignment="1">
      <alignment horizontal="left" vertical="top" wrapText="1"/>
    </xf>
    <xf numFmtId="0" fontId="12" fillId="0" borderId="0" xfId="20" applyFont="1" applyAlignment="1" applyProtection="1">
      <alignment horizontal="left" vertical="center"/>
      <protection locked="0"/>
    </xf>
    <xf numFmtId="0" fontId="16" fillId="0" borderId="0" xfId="2" applyFont="1" applyAlignment="1" applyProtection="1">
      <alignment horizontal="left" vertical="top" wrapText="1"/>
      <protection locked="0"/>
    </xf>
    <xf numFmtId="0" fontId="12" fillId="0" borderId="0" xfId="20" applyFont="1" applyAlignment="1">
      <alignment horizontal="left" vertical="center"/>
    </xf>
    <xf numFmtId="0" fontId="12" fillId="0" borderId="0" xfId="20" applyFont="1" applyAlignment="1" applyProtection="1">
      <alignment horizontal="center" vertical="center"/>
      <protection locked="0"/>
    </xf>
    <xf numFmtId="0" fontId="12" fillId="0" borderId="0" xfId="20" applyFont="1" applyAlignment="1" applyProtection="1">
      <alignment vertical="center"/>
      <protection locked="0"/>
    </xf>
    <xf numFmtId="0" fontId="38" fillId="17" borderId="1" xfId="2" quotePrefix="1" applyFont="1" applyFill="1" applyBorder="1" applyAlignment="1">
      <alignment horizontal="left" vertical="top" wrapText="1"/>
    </xf>
    <xf numFmtId="0" fontId="38" fillId="0" borderId="0" xfId="2" quotePrefix="1" applyFont="1" applyAlignment="1">
      <alignment horizontal="left" vertical="top" wrapText="1"/>
    </xf>
    <xf numFmtId="0" fontId="22" fillId="19" borderId="1" xfId="20" applyFont="1" applyFill="1" applyBorder="1" applyAlignment="1">
      <alignment horizontal="left" vertical="top"/>
    </xf>
    <xf numFmtId="0" fontId="12" fillId="0" borderId="0" xfId="20" applyFont="1" applyAlignment="1">
      <alignment horizontal="center" vertical="center"/>
    </xf>
    <xf numFmtId="0" fontId="16" fillId="0" borderId="0" xfId="2" applyFont="1" applyAlignment="1">
      <alignment horizontal="left" vertical="center" wrapText="1"/>
    </xf>
    <xf numFmtId="0" fontId="12" fillId="0" borderId="0" xfId="20" applyFont="1" applyAlignment="1">
      <alignment horizontal="left" vertical="center" wrapText="1"/>
    </xf>
    <xf numFmtId="0" fontId="16" fillId="0" borderId="0" xfId="5" applyFont="1" applyAlignment="1">
      <alignment horizontal="left" vertical="center" wrapText="1"/>
    </xf>
    <xf numFmtId="0" fontId="12" fillId="0" borderId="0" xfId="20" applyFont="1" applyAlignment="1">
      <alignment vertical="center"/>
    </xf>
    <xf numFmtId="0" fontId="12" fillId="17" borderId="1" xfId="20" applyFont="1" applyFill="1" applyBorder="1" applyAlignment="1" applyProtection="1">
      <alignment horizontal="left" vertical="top"/>
      <protection locked="0"/>
    </xf>
    <xf numFmtId="0" fontId="36" fillId="17" borderId="1" xfId="20" applyFont="1" applyFill="1" applyBorder="1" applyAlignment="1" applyProtection="1">
      <alignment horizontal="left" vertical="top" wrapText="1"/>
      <protection locked="0"/>
    </xf>
    <xf numFmtId="0" fontId="36" fillId="0" borderId="0" xfId="20" applyFont="1" applyAlignment="1" applyProtection="1">
      <alignment horizontal="left" vertical="top" wrapText="1"/>
      <protection locked="0"/>
    </xf>
    <xf numFmtId="0" fontId="12" fillId="12" borderId="0" xfId="20" applyFont="1" applyFill="1" applyAlignment="1">
      <alignment vertical="top"/>
    </xf>
    <xf numFmtId="0" fontId="12" fillId="12" borderId="0" xfId="20" applyFont="1" applyFill="1" applyAlignment="1">
      <alignment vertical="top" wrapText="1"/>
    </xf>
    <xf numFmtId="0" fontId="12" fillId="12" borderId="0" xfId="20" applyFont="1" applyFill="1" applyAlignment="1">
      <alignment horizontal="center" vertical="top" wrapText="1"/>
    </xf>
    <xf numFmtId="0" fontId="12" fillId="0" borderId="0" xfId="20" applyFont="1" applyAlignment="1">
      <alignment horizontal="center" vertical="top" wrapText="1"/>
    </xf>
    <xf numFmtId="0" fontId="16" fillId="0" borderId="0" xfId="5" applyFont="1" applyAlignment="1">
      <alignment horizontal="left" vertical="top" wrapText="1"/>
    </xf>
    <xf numFmtId="0" fontId="12" fillId="14" borderId="0" xfId="20" applyFont="1" applyFill="1" applyAlignment="1">
      <alignment horizontal="left" vertical="top" wrapText="1"/>
    </xf>
    <xf numFmtId="0" fontId="12" fillId="15" borderId="0" xfId="20" applyFont="1" applyFill="1" applyAlignment="1">
      <alignment horizontal="left" vertical="top" wrapText="1"/>
    </xf>
    <xf numFmtId="0" fontId="38" fillId="17" borderId="1" xfId="2" applyFont="1" applyFill="1" applyBorder="1" applyAlignment="1">
      <alignment horizontal="left" vertical="top" wrapText="1"/>
    </xf>
    <xf numFmtId="0" fontId="16" fillId="0" borderId="0" xfId="2" quotePrefix="1" applyFont="1" applyAlignment="1">
      <alignment horizontal="left" vertical="top" wrapText="1"/>
    </xf>
    <xf numFmtId="0" fontId="16" fillId="0" borderId="9" xfId="2" applyFont="1" applyBorder="1" applyAlignment="1">
      <alignment horizontal="left" vertical="top" wrapText="1"/>
    </xf>
    <xf numFmtId="0" fontId="3" fillId="0" borderId="13" xfId="20" applyBorder="1"/>
    <xf numFmtId="0" fontId="3" fillId="0" borderId="14" xfId="20" applyBorder="1"/>
    <xf numFmtId="0" fontId="12" fillId="17" borderId="1" xfId="20" applyFont="1" applyFill="1" applyBorder="1" applyAlignment="1" applyProtection="1">
      <alignment horizontal="left" vertical="top" wrapText="1"/>
      <protection locked="0"/>
    </xf>
    <xf numFmtId="0" fontId="12" fillId="12" borderId="0" xfId="20" quotePrefix="1" applyFont="1" applyFill="1" applyAlignment="1">
      <alignment vertical="top" wrapText="1"/>
    </xf>
    <xf numFmtId="0" fontId="12" fillId="0" borderId="0" xfId="20" quotePrefix="1" applyFont="1" applyAlignment="1">
      <alignment vertical="top" wrapText="1"/>
    </xf>
    <xf numFmtId="0" fontId="40" fillId="0" borderId="0" xfId="20" applyFont="1" applyAlignment="1">
      <alignment horizontal="left" vertical="top"/>
    </xf>
    <xf numFmtId="0" fontId="40" fillId="0" borderId="0" xfId="20" applyFont="1" applyAlignment="1">
      <alignment horizontal="center" vertical="center"/>
    </xf>
    <xf numFmtId="0" fontId="22" fillId="20" borderId="1" xfId="20" applyFont="1" applyFill="1" applyBorder="1" applyAlignment="1">
      <alignment horizontal="left" vertical="top"/>
    </xf>
    <xf numFmtId="0" fontId="43" fillId="17" borderId="1" xfId="2" quotePrefix="1" applyFont="1" applyFill="1" applyBorder="1" applyAlignment="1">
      <alignment horizontal="left" vertical="top" wrapText="1"/>
    </xf>
    <xf numFmtId="0" fontId="41" fillId="17" borderId="1" xfId="2" quotePrefix="1" applyFont="1" applyFill="1" applyBorder="1" applyAlignment="1">
      <alignment horizontal="left" vertical="top" wrapText="1"/>
    </xf>
    <xf numFmtId="0" fontId="44" fillId="0" borderId="0" xfId="20" applyFont="1" applyAlignment="1">
      <alignment horizontal="left" vertical="top"/>
    </xf>
    <xf numFmtId="0" fontId="13" fillId="0" borderId="0" xfId="20" applyFont="1" applyAlignment="1">
      <alignment horizontal="left" vertical="top"/>
    </xf>
    <xf numFmtId="0" fontId="13" fillId="0" borderId="0" xfId="20" applyFont="1" applyAlignment="1">
      <alignment horizontal="center" vertical="top"/>
    </xf>
    <xf numFmtId="0" fontId="45" fillId="0" borderId="0" xfId="5" applyFont="1" applyAlignment="1">
      <alignment horizontal="left" vertical="top" wrapText="1"/>
    </xf>
    <xf numFmtId="0" fontId="13" fillId="0" borderId="0" xfId="20" applyFont="1"/>
    <xf numFmtId="0" fontId="12" fillId="15" borderId="0" xfId="20" applyFont="1" applyFill="1"/>
    <xf numFmtId="0" fontId="16" fillId="0" borderId="0" xfId="2" applyFont="1" applyAlignment="1">
      <alignment horizontal="center" vertical="top" wrapText="1"/>
    </xf>
    <xf numFmtId="0" fontId="22" fillId="16" borderId="10" xfId="20" applyFont="1" applyFill="1" applyBorder="1" applyAlignment="1">
      <alignment horizontal="left" vertical="top"/>
    </xf>
    <xf numFmtId="0" fontId="16" fillId="18" borderId="1" xfId="2" applyFont="1" applyFill="1" applyBorder="1" applyAlignment="1">
      <alignment horizontal="left" vertical="top" wrapText="1"/>
    </xf>
    <xf numFmtId="0" fontId="3" fillId="21" borderId="0" xfId="20" applyFill="1"/>
    <xf numFmtId="0" fontId="12" fillId="21" borderId="0" xfId="20" applyFont="1" applyFill="1"/>
    <xf numFmtId="0" fontId="16" fillId="14" borderId="1" xfId="2" applyFont="1" applyFill="1" applyBorder="1" applyAlignment="1">
      <alignment horizontal="left" vertical="top" wrapText="1"/>
    </xf>
    <xf numFmtId="0" fontId="16" fillId="21" borderId="2" xfId="2" applyFont="1" applyFill="1" applyBorder="1" applyAlignment="1">
      <alignment horizontal="left" vertical="top" wrapText="1"/>
    </xf>
    <xf numFmtId="0" fontId="12" fillId="0" borderId="9" xfId="20" applyFont="1" applyBorder="1"/>
    <xf numFmtId="0" fontId="35" fillId="22" borderId="1" xfId="2" applyFont="1" applyFill="1" applyBorder="1" applyAlignment="1">
      <alignment horizontal="left" vertical="top" wrapText="1"/>
    </xf>
    <xf numFmtId="0" fontId="35" fillId="17" borderId="1" xfId="2" quotePrefix="1" applyFont="1" applyFill="1" applyBorder="1" applyAlignment="1">
      <alignment vertical="top" wrapText="1"/>
    </xf>
    <xf numFmtId="0" fontId="35" fillId="0" borderId="0" xfId="2" quotePrefix="1" applyFont="1" applyAlignment="1">
      <alignment vertical="top" wrapText="1"/>
    </xf>
    <xf numFmtId="0" fontId="16" fillId="4" borderId="1" xfId="2" applyFont="1" applyFill="1" applyBorder="1" applyAlignment="1">
      <alignment horizontal="center" vertical="top" wrapText="1"/>
    </xf>
    <xf numFmtId="0" fontId="16" fillId="6" borderId="1" xfId="2" applyFont="1" applyFill="1" applyBorder="1" applyAlignment="1">
      <alignment horizontal="center" vertical="top" wrapText="1"/>
    </xf>
    <xf numFmtId="0" fontId="16" fillId="15" borderId="1" xfId="2" applyFont="1" applyFill="1" applyBorder="1" applyAlignment="1">
      <alignment horizontal="center" vertical="top" wrapText="1"/>
    </xf>
    <xf numFmtId="0" fontId="16" fillId="15" borderId="2" xfId="2" applyFont="1" applyFill="1" applyBorder="1" applyAlignment="1">
      <alignment horizontal="center" vertical="top" wrapText="1"/>
    </xf>
    <xf numFmtId="0" fontId="16" fillId="22" borderId="1" xfId="2" quotePrefix="1" applyFont="1" applyFill="1" applyBorder="1" applyAlignment="1">
      <alignment horizontal="left" vertical="top" wrapText="1"/>
    </xf>
    <xf numFmtId="0" fontId="24" fillId="2" borderId="0" xfId="20" applyFont="1" applyFill="1" applyAlignment="1">
      <alignment horizontal="left" vertical="top"/>
    </xf>
    <xf numFmtId="0" fontId="11" fillId="2" borderId="0" xfId="20" applyFont="1" applyFill="1" applyAlignment="1">
      <alignment horizontal="left" vertical="top"/>
    </xf>
    <xf numFmtId="0" fontId="15" fillId="2" borderId="0" xfId="20" applyFont="1" applyFill="1" applyAlignment="1">
      <alignment horizontal="left" vertical="top"/>
    </xf>
    <xf numFmtId="0" fontId="13" fillId="2" borderId="0" xfId="20" applyFont="1" applyFill="1" applyAlignment="1">
      <alignment horizontal="left" vertical="top"/>
    </xf>
    <xf numFmtId="0" fontId="12" fillId="2" borderId="0" xfId="20" applyFont="1" applyFill="1" applyAlignment="1">
      <alignment horizontal="left" vertical="top"/>
    </xf>
    <xf numFmtId="0" fontId="13" fillId="14" borderId="0" xfId="20" applyFont="1" applyFill="1" applyAlignment="1">
      <alignment horizontal="left" vertical="top"/>
    </xf>
    <xf numFmtId="0" fontId="13" fillId="6" borderId="0" xfId="20" applyFont="1" applyFill="1" applyAlignment="1">
      <alignment horizontal="left" vertical="top"/>
    </xf>
    <xf numFmtId="0" fontId="13" fillId="15" borderId="0" xfId="20" applyFont="1" applyFill="1" applyAlignment="1">
      <alignment horizontal="left" vertical="top"/>
    </xf>
    <xf numFmtId="0" fontId="3" fillId="15" borderId="0" xfId="20" applyFill="1"/>
    <xf numFmtId="0" fontId="3" fillId="18" borderId="0" xfId="20" applyFill="1"/>
    <xf numFmtId="0" fontId="3" fillId="14" borderId="0" xfId="20" applyFill="1"/>
    <xf numFmtId="0" fontId="3" fillId="6" borderId="0" xfId="20" applyFill="1"/>
    <xf numFmtId="0" fontId="12" fillId="18" borderId="0" xfId="20" applyFont="1" applyFill="1"/>
    <xf numFmtId="0" fontId="16" fillId="6" borderId="2" xfId="2" applyFont="1" applyFill="1" applyBorder="1" applyAlignment="1">
      <alignment horizontal="left" vertical="top" wrapText="1"/>
    </xf>
    <xf numFmtId="0" fontId="16" fillId="15" borderId="4" xfId="2" applyFont="1" applyFill="1" applyBorder="1" applyAlignment="1">
      <alignment horizontal="left" vertical="top" wrapText="1"/>
    </xf>
    <xf numFmtId="0" fontId="16" fillId="21" borderId="1" xfId="2" applyFont="1" applyFill="1" applyBorder="1" applyAlignment="1">
      <alignment horizontal="left" vertical="top" wrapText="1"/>
    </xf>
    <xf numFmtId="0" fontId="16" fillId="18" borderId="2" xfId="2" applyFont="1" applyFill="1" applyBorder="1" applyAlignment="1">
      <alignment horizontal="left" vertical="top" wrapText="1"/>
    </xf>
    <xf numFmtId="0" fontId="16" fillId="3" borderId="4" xfId="2" applyFont="1" applyFill="1" applyBorder="1" applyAlignment="1">
      <alignment horizontal="left" vertical="top" wrapText="1"/>
    </xf>
    <xf numFmtId="0" fontId="16" fillId="3" borderId="2" xfId="2" applyFont="1" applyFill="1" applyBorder="1" applyAlignment="1">
      <alignment horizontal="left" vertical="top" wrapText="1"/>
    </xf>
    <xf numFmtId="0" fontId="38" fillId="17" borderId="2" xfId="2" quotePrefix="1" applyFont="1" applyFill="1" applyBorder="1" applyAlignment="1">
      <alignment horizontal="left" vertical="top" wrapText="1"/>
    </xf>
    <xf numFmtId="0" fontId="38" fillId="17" borderId="4" xfId="2" quotePrefix="1" applyFont="1" applyFill="1" applyBorder="1" applyAlignment="1">
      <alignment horizontal="left" vertical="top" wrapText="1"/>
    </xf>
    <xf numFmtId="0" fontId="35" fillId="17" borderId="2" xfId="2" quotePrefix="1" applyFont="1" applyFill="1" applyBorder="1" applyAlignment="1">
      <alignment horizontal="left" vertical="top" wrapText="1"/>
    </xf>
    <xf numFmtId="0" fontId="35" fillId="17" borderId="4" xfId="2" quotePrefix="1" applyFont="1" applyFill="1" applyBorder="1" applyAlignment="1">
      <alignment horizontal="left" vertical="top" wrapText="1"/>
    </xf>
    <xf numFmtId="0" fontId="16" fillId="17" borderId="2" xfId="2" quotePrefix="1" applyFont="1" applyFill="1" applyBorder="1" applyAlignment="1">
      <alignment horizontal="left" vertical="top" wrapText="1"/>
    </xf>
    <xf numFmtId="0" fontId="16" fillId="17" borderId="4" xfId="2" applyFont="1" applyFill="1" applyBorder="1" applyAlignment="1">
      <alignment horizontal="left" vertical="top" wrapText="1"/>
    </xf>
    <xf numFmtId="0" fontId="12" fillId="0" borderId="7" xfId="20" applyFont="1" applyBorder="1" applyAlignment="1">
      <alignment vertical="top"/>
    </xf>
    <xf numFmtId="0" fontId="35" fillId="22" borderId="6" xfId="2" quotePrefix="1" applyFont="1" applyFill="1" applyBorder="1" applyAlignment="1">
      <alignment horizontal="left" vertical="top" wrapText="1"/>
    </xf>
    <xf numFmtId="0" fontId="35" fillId="17" borderId="6" xfId="2" quotePrefix="1" applyFont="1" applyFill="1" applyBorder="1" applyAlignment="1">
      <alignment horizontal="left" vertical="top" wrapText="1"/>
    </xf>
    <xf numFmtId="0" fontId="35" fillId="22" borderId="1" xfId="2" quotePrefix="1" applyFont="1" applyFill="1" applyBorder="1" applyAlignment="1">
      <alignment horizontal="left" vertical="top" wrapText="1"/>
    </xf>
    <xf numFmtId="0" fontId="40" fillId="0" borderId="0" xfId="20" applyFont="1" applyAlignment="1">
      <alignment horizontal="center" vertical="top"/>
    </xf>
    <xf numFmtId="0" fontId="40" fillId="0" borderId="0" xfId="20" applyFont="1" applyAlignment="1">
      <alignment horizontal="left" vertical="top" wrapText="1"/>
    </xf>
    <xf numFmtId="0" fontId="35" fillId="0" borderId="1" xfId="2" quotePrefix="1" applyFont="1" applyBorder="1" applyAlignment="1">
      <alignment horizontal="left" vertical="top" wrapText="1"/>
    </xf>
    <xf numFmtId="0" fontId="35" fillId="0" borderId="9" xfId="2" quotePrefix="1" applyFont="1" applyBorder="1" applyAlignment="1">
      <alignment horizontal="left" vertical="top" wrapText="1"/>
    </xf>
    <xf numFmtId="0" fontId="12" fillId="0" borderId="9" xfId="20" applyFont="1" applyBorder="1" applyAlignment="1">
      <alignment horizontal="left" vertical="top"/>
    </xf>
    <xf numFmtId="0" fontId="12" fillId="0" borderId="0" xfId="20" applyFont="1" applyAlignment="1">
      <alignment horizontal="left"/>
    </xf>
    <xf numFmtId="0" fontId="22" fillId="16" borderId="1" xfId="20" applyFont="1" applyFill="1" applyBorder="1" applyAlignment="1">
      <alignment horizontal="left" vertical="top" wrapText="1"/>
    </xf>
    <xf numFmtId="0" fontId="16" fillId="4" borderId="1" xfId="21" applyFont="1" applyFill="1" applyBorder="1" applyAlignment="1">
      <alignment horizontal="left" vertical="top" wrapText="1"/>
    </xf>
    <xf numFmtId="0" fontId="16" fillId="6" borderId="1" xfId="21" applyFont="1" applyFill="1" applyBorder="1" applyAlignment="1">
      <alignment horizontal="left" vertical="top" wrapText="1"/>
    </xf>
    <xf numFmtId="0" fontId="16" fillId="15" borderId="1" xfId="21" applyFont="1" applyFill="1" applyBorder="1" applyAlignment="1">
      <alignment horizontal="left" vertical="top" wrapText="1"/>
    </xf>
    <xf numFmtId="0" fontId="16" fillId="15" borderId="2" xfId="21" applyFont="1" applyFill="1" applyBorder="1" applyAlignment="1">
      <alignment horizontal="left" vertical="top" wrapText="1"/>
    </xf>
    <xf numFmtId="0" fontId="16" fillId="0" borderId="0" xfId="21" applyFont="1" applyAlignment="1">
      <alignment horizontal="left" vertical="top" wrapText="1"/>
    </xf>
    <xf numFmtId="0" fontId="22" fillId="3" borderId="1" xfId="20" applyFont="1" applyFill="1" applyBorder="1" applyAlignment="1">
      <alignment horizontal="left" vertical="top" wrapText="1"/>
    </xf>
    <xf numFmtId="0" fontId="16" fillId="3" borderId="1" xfId="21" applyFont="1" applyFill="1" applyBorder="1" applyAlignment="1">
      <alignment horizontal="left" vertical="top" wrapText="1"/>
    </xf>
    <xf numFmtId="0" fontId="12" fillId="0" borderId="0" xfId="20" applyFont="1" applyAlignment="1">
      <alignment horizontal="center" vertical="center" wrapText="1"/>
    </xf>
    <xf numFmtId="0" fontId="38" fillId="17" borderId="1" xfId="21" quotePrefix="1" applyFont="1" applyFill="1" applyBorder="1" applyAlignment="1">
      <alignment horizontal="left" vertical="top" wrapText="1"/>
    </xf>
    <xf numFmtId="0" fontId="38" fillId="0" borderId="0" xfId="21" quotePrefix="1" applyFont="1" applyAlignment="1">
      <alignment horizontal="left" vertical="top" wrapText="1"/>
    </xf>
    <xf numFmtId="0" fontId="35" fillId="0" borderId="0" xfId="21" quotePrefix="1" applyFont="1" applyAlignment="1">
      <alignment horizontal="left" vertical="top" wrapText="1"/>
    </xf>
    <xf numFmtId="0" fontId="35" fillId="17" borderId="1" xfId="21" applyFont="1" applyFill="1" applyBorder="1" applyAlignment="1">
      <alignment horizontal="left" vertical="top" wrapText="1"/>
    </xf>
    <xf numFmtId="0" fontId="35" fillId="17" borderId="1" xfId="21" quotePrefix="1" applyFont="1" applyFill="1" applyBorder="1" applyAlignment="1">
      <alignment horizontal="left" vertical="top" wrapText="1"/>
    </xf>
    <xf numFmtId="0" fontId="35" fillId="0" borderId="0" xfId="21" applyFont="1" applyAlignment="1">
      <alignment horizontal="left" vertical="top" wrapText="1"/>
    </xf>
    <xf numFmtId="0" fontId="35" fillId="22" borderId="6" xfId="21" quotePrefix="1" applyFont="1" applyFill="1" applyBorder="1" applyAlignment="1">
      <alignment horizontal="left" vertical="top" wrapText="1"/>
    </xf>
    <xf numFmtId="0" fontId="35" fillId="17" borderId="6" xfId="21" quotePrefix="1" applyFont="1" applyFill="1" applyBorder="1" applyAlignment="1">
      <alignment horizontal="left" vertical="top" wrapText="1"/>
    </xf>
    <xf numFmtId="0" fontId="22" fillId="19" borderId="6" xfId="20" applyFont="1" applyFill="1" applyBorder="1" applyAlignment="1">
      <alignment horizontal="left" vertical="top" wrapText="1"/>
    </xf>
    <xf numFmtId="0" fontId="12" fillId="6" borderId="0" xfId="20" applyFont="1" applyFill="1" applyAlignment="1">
      <alignment horizontal="center" vertical="top"/>
    </xf>
    <xf numFmtId="0" fontId="16" fillId="22" borderId="11" xfId="2" quotePrefix="1" applyFont="1" applyFill="1" applyBorder="1" applyAlignment="1">
      <alignment horizontal="left" vertical="top" wrapText="1"/>
    </xf>
    <xf numFmtId="0" fontId="16" fillId="17" borderId="11" xfId="2" quotePrefix="1" applyFont="1" applyFill="1" applyBorder="1" applyAlignment="1">
      <alignment horizontal="left" vertical="top" wrapText="1"/>
    </xf>
    <xf numFmtId="0" fontId="22" fillId="19" borderId="11" xfId="20" applyFont="1" applyFill="1" applyBorder="1" applyAlignment="1">
      <alignment horizontal="left" vertical="top"/>
    </xf>
    <xf numFmtId="0" fontId="34" fillId="0" borderId="0" xfId="20" applyFont="1" applyAlignment="1" applyProtection="1">
      <alignment vertical="top"/>
      <protection locked="0"/>
    </xf>
    <xf numFmtId="0" fontId="47" fillId="0" borderId="0" xfId="20" applyFont="1" applyAlignment="1" applyProtection="1">
      <alignment vertical="top"/>
      <protection locked="0"/>
    </xf>
    <xf numFmtId="0" fontId="16" fillId="0" borderId="0" xfId="2" applyFont="1" applyAlignment="1" applyProtection="1">
      <alignment horizontal="left" vertical="center" wrapText="1"/>
      <protection locked="0"/>
    </xf>
    <xf numFmtId="0" fontId="12" fillId="0" borderId="0" xfId="20" applyFont="1" applyAlignment="1" applyProtection="1">
      <alignment horizontal="left" vertical="center" wrapText="1"/>
      <protection locked="0"/>
    </xf>
    <xf numFmtId="0" fontId="16" fillId="0" borderId="0" xfId="5" applyFont="1" applyAlignment="1" applyProtection="1">
      <alignment horizontal="left" vertical="center" wrapText="1"/>
      <protection locked="0"/>
    </xf>
    <xf numFmtId="0" fontId="22" fillId="2" borderId="0" xfId="20" applyFont="1" applyFill="1" applyAlignment="1" applyProtection="1">
      <alignment horizontal="left" vertical="top"/>
      <protection locked="0"/>
    </xf>
    <xf numFmtId="0" fontId="12" fillId="14" borderId="0" xfId="20" applyFont="1" applyFill="1" applyAlignment="1" applyProtection="1">
      <alignment horizontal="left" vertical="top"/>
      <protection locked="0"/>
    </xf>
    <xf numFmtId="0" fontId="12" fillId="6" borderId="0" xfId="20" applyFont="1" applyFill="1" applyAlignment="1" applyProtection="1">
      <alignment horizontal="left" vertical="top"/>
      <protection locked="0"/>
    </xf>
    <xf numFmtId="0" fontId="12" fillId="6" borderId="0" xfId="20" applyFont="1" applyFill="1" applyAlignment="1" applyProtection="1">
      <alignment horizontal="center" vertical="center"/>
      <protection locked="0"/>
    </xf>
    <xf numFmtId="0" fontId="12" fillId="15" borderId="0" xfId="20" applyFont="1" applyFill="1" applyAlignment="1" applyProtection="1">
      <alignment horizontal="left" vertical="top"/>
      <protection locked="0"/>
    </xf>
    <xf numFmtId="0" fontId="12" fillId="0" borderId="0" xfId="20" applyFont="1" applyAlignment="1" applyProtection="1">
      <alignment horizontal="left" vertical="top"/>
      <protection locked="0"/>
    </xf>
    <xf numFmtId="0" fontId="12" fillId="0" borderId="0" xfId="20" applyFont="1" applyProtection="1">
      <protection locked="0"/>
    </xf>
    <xf numFmtId="0" fontId="12" fillId="14" borderId="0" xfId="20" applyFont="1" applyFill="1" applyProtection="1">
      <protection locked="0"/>
    </xf>
    <xf numFmtId="0" fontId="12" fillId="6" borderId="0" xfId="20" applyFont="1" applyFill="1" applyProtection="1">
      <protection locked="0"/>
    </xf>
    <xf numFmtId="0" fontId="12" fillId="15" borderId="0" xfId="20" applyFont="1" applyFill="1" applyProtection="1">
      <protection locked="0"/>
    </xf>
    <xf numFmtId="0" fontId="22" fillId="16" borderId="1" xfId="20" applyFont="1" applyFill="1" applyBorder="1" applyAlignment="1" applyProtection="1">
      <alignment horizontal="left" vertical="top" wrapText="1"/>
      <protection locked="0"/>
    </xf>
    <xf numFmtId="0" fontId="16" fillId="4" borderId="1" xfId="2" applyFont="1" applyFill="1" applyBorder="1" applyAlignment="1" applyProtection="1">
      <alignment horizontal="left" vertical="top" wrapText="1"/>
      <protection locked="0"/>
    </xf>
    <xf numFmtId="0" fontId="16" fillId="6" borderId="1" xfId="2" applyFont="1" applyFill="1" applyBorder="1" applyAlignment="1" applyProtection="1">
      <alignment horizontal="left" vertical="top" wrapText="1"/>
      <protection locked="0"/>
    </xf>
    <xf numFmtId="0" fontId="16" fillId="15" borderId="1" xfId="2" applyFont="1" applyFill="1" applyBorder="1" applyAlignment="1" applyProtection="1">
      <alignment horizontal="left" vertical="top" wrapText="1"/>
      <protection locked="0"/>
    </xf>
    <xf numFmtId="0" fontId="22" fillId="3" borderId="1" xfId="20" applyFont="1" applyFill="1" applyBorder="1" applyAlignment="1" applyProtection="1">
      <alignment horizontal="left" vertical="top" wrapText="1"/>
      <protection locked="0"/>
    </xf>
    <xf numFmtId="0" fontId="16" fillId="3" borderId="1" xfId="2" applyFont="1" applyFill="1" applyBorder="1" applyAlignment="1" applyProtection="1">
      <alignment horizontal="left" vertical="top" wrapText="1"/>
      <protection locked="0"/>
    </xf>
    <xf numFmtId="0" fontId="35" fillId="17" borderId="1" xfId="2" quotePrefix="1" applyFont="1" applyFill="1" applyBorder="1" applyAlignment="1" applyProtection="1">
      <alignment horizontal="left" vertical="top" wrapText="1"/>
      <protection locked="0"/>
    </xf>
    <xf numFmtId="0" fontId="35" fillId="0" borderId="0" xfId="2" quotePrefix="1" applyFont="1" applyAlignment="1" applyProtection="1">
      <alignment horizontal="left" vertical="top" wrapText="1"/>
      <protection locked="0"/>
    </xf>
    <xf numFmtId="0" fontId="35" fillId="22" borderId="10" xfId="2" quotePrefix="1" applyFont="1" applyFill="1" applyBorder="1" applyAlignment="1" applyProtection="1">
      <alignment horizontal="left" vertical="top" wrapText="1"/>
      <protection locked="0"/>
    </xf>
    <xf numFmtId="0" fontId="35" fillId="17" borderId="10" xfId="2" quotePrefix="1" applyFont="1" applyFill="1" applyBorder="1" applyAlignment="1" applyProtection="1">
      <alignment horizontal="left" vertical="top" wrapText="1"/>
      <protection locked="0"/>
    </xf>
    <xf numFmtId="0" fontId="22" fillId="19" borderId="10" xfId="20" applyFont="1" applyFill="1" applyBorder="1" applyAlignment="1" applyProtection="1">
      <alignment horizontal="left" vertical="top" wrapText="1"/>
      <protection locked="0"/>
    </xf>
    <xf numFmtId="0" fontId="12" fillId="0" borderId="0" xfId="20" applyFont="1" applyAlignment="1" applyProtection="1">
      <alignment wrapText="1"/>
      <protection locked="0"/>
    </xf>
    <xf numFmtId="0" fontId="13" fillId="0" borderId="0" xfId="20" applyFont="1" applyAlignment="1">
      <alignment horizontal="center" vertical="center"/>
    </xf>
    <xf numFmtId="0" fontId="12" fillId="21" borderId="0" xfId="20" applyFont="1" applyFill="1" applyAlignment="1">
      <alignment horizontal="left" vertical="top"/>
    </xf>
    <xf numFmtId="0" fontId="12" fillId="21" borderId="0" xfId="20" applyFont="1" applyFill="1" applyAlignment="1">
      <alignment horizontal="center" vertical="top"/>
    </xf>
    <xf numFmtId="0" fontId="16" fillId="18" borderId="3" xfId="2" applyFont="1" applyFill="1" applyBorder="1" applyAlignment="1">
      <alignment horizontal="left" vertical="top" wrapText="1"/>
    </xf>
    <xf numFmtId="0" fontId="16" fillId="3" borderId="3" xfId="2" applyFont="1" applyFill="1" applyBorder="1" applyAlignment="1">
      <alignment horizontal="left" vertical="top" wrapText="1"/>
    </xf>
    <xf numFmtId="0" fontId="16" fillId="0" borderId="7" xfId="2" applyFont="1" applyBorder="1" applyAlignment="1">
      <alignment horizontal="left" vertical="top" wrapText="1"/>
    </xf>
    <xf numFmtId="0" fontId="3" fillId="0" borderId="7" xfId="20" applyBorder="1" applyAlignment="1">
      <alignment horizontal="left" vertical="top"/>
    </xf>
    <xf numFmtId="0" fontId="16" fillId="17" borderId="4" xfId="2" quotePrefix="1" applyFont="1" applyFill="1" applyBorder="1" applyAlignment="1">
      <alignment horizontal="left" vertical="top" wrapText="1"/>
    </xf>
    <xf numFmtId="0" fontId="17" fillId="0" borderId="0" xfId="2" applyFont="1" applyAlignment="1">
      <alignment horizontal="center" vertical="top" wrapText="1"/>
    </xf>
    <xf numFmtId="0" fontId="12" fillId="15" borderId="12" xfId="20" applyFont="1" applyFill="1" applyBorder="1" applyAlignment="1">
      <alignment horizontal="left" vertical="top"/>
    </xf>
    <xf numFmtId="0" fontId="49" fillId="17" borderId="1" xfId="2" quotePrefix="1" applyFont="1" applyFill="1" applyBorder="1" applyAlignment="1">
      <alignment horizontal="left" vertical="top" wrapText="1"/>
    </xf>
    <xf numFmtId="0" fontId="53" fillId="17" borderId="1" xfId="2" quotePrefix="1" applyFont="1" applyFill="1" applyBorder="1" applyAlignment="1">
      <alignment horizontal="left" vertical="top" wrapText="1"/>
    </xf>
    <xf numFmtId="0" fontId="48" fillId="17" borderId="1" xfId="2" quotePrefix="1" applyFont="1" applyFill="1" applyBorder="1" applyAlignment="1">
      <alignment horizontal="left" vertical="top" wrapText="1"/>
    </xf>
    <xf numFmtId="0" fontId="49" fillId="0" borderId="0" xfId="2" quotePrefix="1" applyFont="1" applyAlignment="1">
      <alignment horizontal="left" vertical="top" wrapText="1"/>
    </xf>
    <xf numFmtId="0" fontId="22" fillId="16" borderId="1" xfId="20" applyFont="1" applyFill="1" applyBorder="1" applyAlignment="1">
      <alignment vertical="top"/>
    </xf>
    <xf numFmtId="0" fontId="22" fillId="3" borderId="1" xfId="20" applyFont="1" applyFill="1" applyBorder="1" applyAlignment="1">
      <alignment vertical="top"/>
    </xf>
    <xf numFmtId="0" fontId="3" fillId="0" borderId="0" xfId="20" applyAlignment="1">
      <alignment vertical="top" wrapText="1"/>
    </xf>
    <xf numFmtId="0" fontId="22" fillId="19" borderId="1" xfId="20" applyFont="1" applyFill="1" applyBorder="1" applyAlignment="1">
      <alignment vertical="top"/>
    </xf>
    <xf numFmtId="0" fontId="36" fillId="0" borderId="0" xfId="20" applyFont="1" applyAlignment="1">
      <alignment vertical="top" wrapText="1"/>
    </xf>
    <xf numFmtId="0" fontId="36" fillId="0" borderId="0" xfId="20" applyFont="1" applyAlignment="1">
      <alignment vertical="top"/>
    </xf>
    <xf numFmtId="0" fontId="16" fillId="17" borderId="10" xfId="2" quotePrefix="1" applyFont="1" applyFill="1" applyBorder="1" applyAlignment="1">
      <alignment horizontal="left" vertical="top" wrapText="1"/>
    </xf>
    <xf numFmtId="0" fontId="56" fillId="17" borderId="10" xfId="2" quotePrefix="1" applyFont="1" applyFill="1" applyBorder="1" applyAlignment="1">
      <alignment horizontal="left" vertical="top" wrapText="1"/>
    </xf>
    <xf numFmtId="0" fontId="56" fillId="17" borderId="1" xfId="2" quotePrefix="1" applyFont="1" applyFill="1" applyBorder="1" applyAlignment="1">
      <alignment horizontal="left" vertical="top" wrapText="1"/>
    </xf>
    <xf numFmtId="0" fontId="56" fillId="17" borderId="0" xfId="2" quotePrefix="1" applyFont="1" applyFill="1" applyAlignment="1">
      <alignment horizontal="left" vertical="top" wrapText="1"/>
    </xf>
    <xf numFmtId="0" fontId="56" fillId="0" borderId="0" xfId="2" quotePrefix="1" applyFont="1" applyAlignment="1">
      <alignment horizontal="left" vertical="top" wrapText="1"/>
    </xf>
    <xf numFmtId="0" fontId="22" fillId="16" borderId="8" xfId="20" applyFont="1" applyFill="1" applyBorder="1" applyAlignment="1">
      <alignment horizontal="left" vertical="top"/>
    </xf>
    <xf numFmtId="0" fontId="0" fillId="9" borderId="0" xfId="0" applyFill="1"/>
    <xf numFmtId="0" fontId="60" fillId="0" borderId="0" xfId="0" applyFont="1"/>
    <xf numFmtId="0" fontId="0" fillId="0" borderId="0" xfId="0" applyAlignment="1">
      <alignment horizontal="center" vertical="center"/>
    </xf>
    <xf numFmtId="0" fontId="13" fillId="16" borderId="15" xfId="0" applyFont="1" applyFill="1" applyBorder="1" applyAlignment="1">
      <alignment horizontal="center" vertical="center" textRotation="90" wrapText="1"/>
    </xf>
    <xf numFmtId="15" fontId="0" fillId="0" borderId="0" xfId="0" applyNumberFormat="1"/>
    <xf numFmtId="0" fontId="0" fillId="9" borderId="0" xfId="0" applyFill="1" applyAlignment="1">
      <alignment horizontal="center" vertical="center"/>
    </xf>
    <xf numFmtId="0" fontId="0" fillId="16" borderId="0" xfId="0" applyFill="1" applyAlignment="1">
      <alignment horizontal="center" vertical="center"/>
    </xf>
    <xf numFmtId="0" fontId="0" fillId="18" borderId="0" xfId="0" applyFill="1" applyAlignment="1">
      <alignment horizontal="center" vertical="center"/>
    </xf>
    <xf numFmtId="0" fontId="0" fillId="23" borderId="0" xfId="0" applyFill="1" applyAlignment="1">
      <alignment horizontal="center" vertical="center"/>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xf>
    <xf numFmtId="0" fontId="0" fillId="0" borderId="16" xfId="0" applyBorder="1"/>
    <xf numFmtId="15" fontId="0" fillId="0" borderId="16" xfId="0" applyNumberFormat="1" applyBorder="1" applyAlignment="1">
      <alignment horizontal="left"/>
    </xf>
    <xf numFmtId="14" fontId="0" fillId="0" borderId="0" xfId="0" applyNumberFormat="1"/>
    <xf numFmtId="0" fontId="1" fillId="9" borderId="0" xfId="0" applyFont="1" applyFill="1"/>
    <xf numFmtId="0" fontId="1" fillId="0" borderId="0" xfId="0" applyFont="1"/>
    <xf numFmtId="0" fontId="1" fillId="0" borderId="1" xfId="0" applyFont="1" applyBorder="1"/>
    <xf numFmtId="0" fontId="1" fillId="0" borderId="0" xfId="17" applyFont="1"/>
    <xf numFmtId="0" fontId="1" fillId="0" borderId="0" xfId="0" applyFont="1" applyAlignment="1">
      <alignment horizontal="left" vertical="center" wrapText="1"/>
    </xf>
    <xf numFmtId="0" fontId="13" fillId="2" borderId="0" xfId="13" applyFont="1" applyFill="1" applyAlignment="1">
      <alignment horizontal="left" vertical="top" wrapText="1"/>
    </xf>
    <xf numFmtId="0" fontId="12" fillId="0" borderId="0" xfId="20" applyFont="1" applyAlignment="1">
      <alignment horizontal="left" vertical="top" wrapText="1"/>
    </xf>
    <xf numFmtId="0" fontId="3" fillId="0" borderId="0" xfId="20" applyAlignment="1">
      <alignment horizontal="center"/>
    </xf>
    <xf numFmtId="0" fontId="22" fillId="0" borderId="0" xfId="20" applyFont="1" applyAlignment="1">
      <alignment horizontal="center" vertical="center" wrapText="1"/>
    </xf>
    <xf numFmtId="0" fontId="12" fillId="0" borderId="0" xfId="20" applyFont="1" applyAlignment="1">
      <alignment horizontal="left" vertical="top"/>
    </xf>
    <xf numFmtId="0" fontId="22" fillId="0" borderId="5" xfId="13" applyFont="1" applyBorder="1" applyAlignment="1">
      <alignment horizontal="center" vertical="top" wrapText="1"/>
    </xf>
    <xf numFmtId="0" fontId="22" fillId="12" borderId="5" xfId="13" applyFont="1" applyFill="1" applyBorder="1" applyAlignment="1">
      <alignment horizontal="center" vertical="center" wrapText="1"/>
    </xf>
    <xf numFmtId="0" fontId="22" fillId="0" borderId="5" xfId="13" applyFont="1" applyBorder="1" applyAlignment="1">
      <alignment horizontal="center" vertical="center" wrapText="1"/>
    </xf>
    <xf numFmtId="0" fontId="22" fillId="6" borderId="5" xfId="13" applyFont="1" applyFill="1" applyBorder="1" applyAlignment="1">
      <alignment horizontal="center" vertical="center" wrapText="1"/>
    </xf>
    <xf numFmtId="0" fontId="16" fillId="4" borderId="1" xfId="2" applyFont="1" applyFill="1" applyBorder="1" applyAlignment="1">
      <alignment horizontal="left" vertical="center" wrapText="1"/>
    </xf>
    <xf numFmtId="0" fontId="16" fillId="11" borderId="2" xfId="2" applyFont="1" applyFill="1" applyBorder="1" applyAlignment="1">
      <alignment horizontal="center" vertical="center" wrapText="1"/>
    </xf>
    <xf numFmtId="0" fontId="16" fillId="11" borderId="3" xfId="2" applyFont="1" applyFill="1" applyBorder="1" applyAlignment="1">
      <alignment horizontal="center" vertical="center" wrapText="1"/>
    </xf>
    <xf numFmtId="0" fontId="16" fillId="11" borderId="4" xfId="2" applyFont="1" applyFill="1" applyBorder="1" applyAlignment="1">
      <alignment horizontal="center" vertical="center" wrapText="1"/>
    </xf>
    <xf numFmtId="0" fontId="16" fillId="9" borderId="2" xfId="2" applyFont="1" applyFill="1" applyBorder="1" applyAlignment="1">
      <alignment horizontal="left" vertical="center" wrapText="1"/>
    </xf>
    <xf numFmtId="0" fontId="16" fillId="9" borderId="3" xfId="2" applyFont="1" applyFill="1" applyBorder="1" applyAlignment="1">
      <alignment horizontal="left" vertical="center" wrapText="1"/>
    </xf>
    <xf numFmtId="0" fontId="16" fillId="9" borderId="4" xfId="2" applyFont="1" applyFill="1" applyBorder="1" applyAlignment="1">
      <alignment horizontal="left" vertical="center" wrapText="1"/>
    </xf>
    <xf numFmtId="0" fontId="16" fillId="5" borderId="2" xfId="2" applyFont="1" applyFill="1" applyBorder="1" applyAlignment="1">
      <alignment horizontal="center" vertical="center" wrapText="1"/>
    </xf>
    <xf numFmtId="0" fontId="16" fillId="5" borderId="3" xfId="2" applyFont="1" applyFill="1" applyBorder="1" applyAlignment="1">
      <alignment horizontal="center" vertical="center" wrapText="1"/>
    </xf>
    <xf numFmtId="0" fontId="16" fillId="5" borderId="4" xfId="2" applyFont="1" applyFill="1" applyBorder="1" applyAlignment="1">
      <alignment horizontal="center" vertical="center" wrapText="1"/>
    </xf>
  </cellXfs>
  <cellStyles count="24">
    <cellStyle name="Hyperlink" xfId="1" builtinId="8"/>
    <cellStyle name="Normal" xfId="0" builtinId="0"/>
    <cellStyle name="Normal 2" xfId="2" xr:uid="{00000000-0005-0000-0000-00002B000000}"/>
    <cellStyle name="Normal 2 2" xfId="20" xr:uid="{6C251DF8-A834-44AA-ACCD-AA664A5C195C}"/>
    <cellStyle name="Normal 2 2 2" xfId="21" xr:uid="{F39CB695-D021-45DB-841D-038BD752BE2C}"/>
    <cellStyle name="Normal 2 2 6" xfId="9" xr:uid="{B1E10274-F59E-4CDF-8D19-ADF9E5442CCB}"/>
    <cellStyle name="Normal 22" xfId="8" xr:uid="{C66E5CD7-8F57-4E22-9FA7-5BC2B9B207CA}"/>
    <cellStyle name="Normal 3" xfId="3" xr:uid="{00000000-0005-0000-0000-00002E000000}"/>
    <cellStyle name="Normal 3 2" xfId="13" xr:uid="{C841936D-8908-4ED9-AA2B-E546DB73BEF6}"/>
    <cellStyle name="Normal 3 2 2" xfId="18" xr:uid="{F26B3B07-3A05-4B20-85F2-D8A6823691AE}"/>
    <cellStyle name="Normal 3 2 3" xfId="19" xr:uid="{ACFB6BFA-5FA2-427F-94CD-D44E372FE945}"/>
    <cellStyle name="Normal 3 2 4" xfId="22" xr:uid="{C93B0AA3-0745-4CD6-B44B-CFE52DCA4644}"/>
    <cellStyle name="Normal 3 2 5" xfId="23" xr:uid="{1455536B-CBCD-4660-B9C3-A5F14491CA3E}"/>
    <cellStyle name="Normal 4" xfId="6" xr:uid="{3020629D-E2E2-4E35-B9BE-34F1240D3F1B}"/>
    <cellStyle name="Normal 5" xfId="4" xr:uid="{00000000-0005-0000-0000-000034000000}"/>
    <cellStyle name="Normal 5 2" xfId="14" xr:uid="{7E74AD4D-3A3B-4C3D-98AF-6417022559DB}"/>
    <cellStyle name="Normal 6" xfId="11" xr:uid="{F0C9FBCF-34CF-46AE-92DA-9138EBB674DF}"/>
    <cellStyle name="Normal 7" xfId="12" xr:uid="{7782A224-A0FA-4284-84E6-11D3A61563E0}"/>
    <cellStyle name="Normal 7 2" xfId="17" xr:uid="{D557EBD1-C07B-4935-A4FD-6D14AD46B6EB}"/>
    <cellStyle name="Normal 7 4 2 2 2 8 12" xfId="7" xr:uid="{39C3A0A8-960F-487B-A6BA-995D5BFD8A7F}"/>
    <cellStyle name="Normal 7 4 2 2 2 8 3 8" xfId="10" xr:uid="{A11D860C-1C60-4651-8844-BE9DD8254D9A}"/>
    <cellStyle name="Normal 8" xfId="16" xr:uid="{41D1D88C-B6FD-47DB-8B61-747AC4F259FB}"/>
    <cellStyle name="Normal_Consolidate Data 1 2 3" xfId="15" xr:uid="{250BE227-2B9B-450E-B3D8-7E1B921C247A}"/>
    <cellStyle name="常规_CMMI_PIID0809_v1.2" xfId="5" xr:uid="{00000000-0005-0000-0000-000035000000}"/>
  </cellStyles>
  <dxfs count="5841">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rgb="FF00CC00"/>
        </patternFill>
      </fill>
    </dxf>
    <dxf>
      <font>
        <color theme="0"/>
      </font>
      <fill>
        <patternFill>
          <bgColor rgb="FFFF0000"/>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s>
  <tableStyles count="0" defaultTableStyle="TableStyleMedium2" defaultPivotStyle="PivotStyleLight16"/>
  <colors>
    <mruColors>
      <color rgb="FFF9A51A"/>
      <color rgb="FF00CC00"/>
      <color rgb="FF00A551"/>
      <color rgb="FFF05A22"/>
      <color rgb="FF802C19"/>
      <color rgb="FF70BF65"/>
      <color rgb="FF008050"/>
      <color rgb="FFB682B9"/>
      <color rgb="FF6B2B88"/>
      <color rgb="FF007D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3.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Button" lockText="1"/>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7620</xdr:colOff>
          <xdr:row>6</xdr:row>
          <xdr:rowOff>38100</xdr:rowOff>
        </xdr:from>
        <xdr:to>
          <xdr:col>1</xdr:col>
          <xdr:colOff>1706880</xdr:colOff>
          <xdr:row>7</xdr:row>
          <xdr:rowOff>114300</xdr:rowOff>
        </xdr:to>
        <xdr:sp macro="" textlink="">
          <xdr:nvSpPr>
            <xdr:cNvPr id="43009" name="Button 1" hidden="1">
              <a:extLst>
                <a:ext uri="{63B3BB69-23CF-44E3-9099-C40C66FF867C}">
                  <a14:compatExt spid="_x0000_s43009"/>
                </a:ext>
                <a:ext uri="{FF2B5EF4-FFF2-40B4-BE49-F238E27FC236}">
                  <a16:creationId xmlns:a16="http://schemas.microsoft.com/office/drawing/2014/main" id="{00000000-0008-0000-0000-000001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Format PAs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30480</xdr:colOff>
          <xdr:row>11</xdr:row>
          <xdr:rowOff>30480</xdr:rowOff>
        </xdr:from>
        <xdr:to>
          <xdr:col>1</xdr:col>
          <xdr:colOff>1744980</xdr:colOff>
          <xdr:row>12</xdr:row>
          <xdr:rowOff>38100</xdr:rowOff>
        </xdr:to>
        <xdr:sp macro="" textlink="">
          <xdr:nvSpPr>
            <xdr:cNvPr id="43010" name="Button 2" hidden="1">
              <a:extLst>
                <a:ext uri="{63B3BB69-23CF-44E3-9099-C40C66FF867C}">
                  <a14:compatExt spid="_x0000_s43010"/>
                </a:ext>
                <a:ext uri="{FF2B5EF4-FFF2-40B4-BE49-F238E27FC236}">
                  <a16:creationId xmlns:a16="http://schemas.microsoft.com/office/drawing/2014/main" id="{00000000-0008-0000-0000-000002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Filter at Levels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xdr:colOff>
          <xdr:row>19</xdr:row>
          <xdr:rowOff>182880</xdr:rowOff>
        </xdr:from>
        <xdr:to>
          <xdr:col>1</xdr:col>
          <xdr:colOff>1744980</xdr:colOff>
          <xdr:row>21</xdr:row>
          <xdr:rowOff>7620</xdr:rowOff>
        </xdr:to>
        <xdr:sp macro="" textlink="">
          <xdr:nvSpPr>
            <xdr:cNvPr id="43011" name="Button 3" hidden="1">
              <a:extLst>
                <a:ext uri="{63B3BB69-23CF-44E3-9099-C40C66FF867C}">
                  <a14:compatExt spid="_x0000_s43011"/>
                </a:ext>
                <a:ext uri="{FF2B5EF4-FFF2-40B4-BE49-F238E27FC236}">
                  <a16:creationId xmlns:a16="http://schemas.microsoft.com/office/drawing/2014/main" id="{00000000-0008-0000-0000-000003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Clear Filter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0</xdr:colOff>
          <xdr:row>13</xdr:row>
          <xdr:rowOff>0</xdr:rowOff>
        </xdr:from>
        <xdr:to>
          <xdr:col>1</xdr:col>
          <xdr:colOff>1744980</xdr:colOff>
          <xdr:row>14</xdr:row>
          <xdr:rowOff>30480</xdr:rowOff>
        </xdr:to>
        <xdr:sp macro="" textlink="">
          <xdr:nvSpPr>
            <xdr:cNvPr id="43012" name="Button 4" hidden="1">
              <a:extLst>
                <a:ext uri="{63B3BB69-23CF-44E3-9099-C40C66FF867C}">
                  <a14:compatExt spid="_x0000_s43012"/>
                </a:ext>
                <a:ext uri="{FF2B5EF4-FFF2-40B4-BE49-F238E27FC236}">
                  <a16:creationId xmlns:a16="http://schemas.microsoft.com/office/drawing/2014/main" id="{00000000-0008-0000-0000-000004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Filter at PA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30480</xdr:colOff>
          <xdr:row>14</xdr:row>
          <xdr:rowOff>160020</xdr:rowOff>
        </xdr:from>
        <xdr:to>
          <xdr:col>2</xdr:col>
          <xdr:colOff>7620</xdr:colOff>
          <xdr:row>15</xdr:row>
          <xdr:rowOff>182880</xdr:rowOff>
        </xdr:to>
        <xdr:sp macro="" textlink="">
          <xdr:nvSpPr>
            <xdr:cNvPr id="43013" name="Button 5" hidden="1">
              <a:extLst>
                <a:ext uri="{63B3BB69-23CF-44E3-9099-C40C66FF867C}">
                  <a14:compatExt spid="_x0000_s43013"/>
                </a:ext>
                <a:ext uri="{FF2B5EF4-FFF2-40B4-BE49-F238E27FC236}">
                  <a16:creationId xmlns:a16="http://schemas.microsoft.com/office/drawing/2014/main" id="{00000000-0008-0000-0000-000005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Filter at Process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xdr:colOff>
          <xdr:row>17</xdr:row>
          <xdr:rowOff>7620</xdr:rowOff>
        </xdr:from>
        <xdr:to>
          <xdr:col>1</xdr:col>
          <xdr:colOff>1744980</xdr:colOff>
          <xdr:row>18</xdr:row>
          <xdr:rowOff>30480</xdr:rowOff>
        </xdr:to>
        <xdr:sp macro="" textlink="">
          <xdr:nvSpPr>
            <xdr:cNvPr id="43014" name="Button 6" hidden="1">
              <a:extLst>
                <a:ext uri="{63B3BB69-23CF-44E3-9099-C40C66FF867C}">
                  <a14:compatExt spid="_x0000_s43014"/>
                </a:ext>
                <a:ext uri="{FF2B5EF4-FFF2-40B4-BE49-F238E27FC236}">
                  <a16:creationId xmlns:a16="http://schemas.microsoft.com/office/drawing/2014/main" id="{00000000-0008-0000-0000-000006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Filter at PA Instantiation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30480</xdr:colOff>
          <xdr:row>24</xdr:row>
          <xdr:rowOff>30480</xdr:rowOff>
        </xdr:from>
        <xdr:to>
          <xdr:col>2</xdr:col>
          <xdr:colOff>7620</xdr:colOff>
          <xdr:row>25</xdr:row>
          <xdr:rowOff>30480</xdr:rowOff>
        </xdr:to>
        <xdr:sp macro="" textlink="">
          <xdr:nvSpPr>
            <xdr:cNvPr id="43015" name="Button 7" hidden="1">
              <a:extLst>
                <a:ext uri="{63B3BB69-23CF-44E3-9099-C40C66FF867C}">
                  <a14:compatExt spid="_x0000_s43015"/>
                </a:ext>
                <a:ext uri="{FF2B5EF4-FFF2-40B4-BE49-F238E27FC236}">
                  <a16:creationId xmlns:a16="http://schemas.microsoft.com/office/drawing/2014/main" id="{00000000-0008-0000-0000-000007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Set Level='S'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30480</xdr:colOff>
          <xdr:row>22</xdr:row>
          <xdr:rowOff>30480</xdr:rowOff>
        </xdr:from>
        <xdr:to>
          <xdr:col>1</xdr:col>
          <xdr:colOff>1706880</xdr:colOff>
          <xdr:row>23</xdr:row>
          <xdr:rowOff>7620</xdr:rowOff>
        </xdr:to>
        <xdr:sp macro="" textlink="">
          <xdr:nvSpPr>
            <xdr:cNvPr id="43016" name="Button 8" hidden="1">
              <a:extLst>
                <a:ext uri="{63B3BB69-23CF-44E3-9099-C40C66FF867C}">
                  <a14:compatExt spid="_x0000_s43016"/>
                </a:ext>
                <a:ext uri="{FF2B5EF4-FFF2-40B4-BE49-F238E27FC236}">
                  <a16:creationId xmlns:a16="http://schemas.microsoft.com/office/drawing/2014/main" id="{00000000-0008-0000-0000-000008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Clear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xdr:colOff>
          <xdr:row>29</xdr:row>
          <xdr:rowOff>182880</xdr:rowOff>
        </xdr:from>
        <xdr:to>
          <xdr:col>2</xdr:col>
          <xdr:colOff>0</xdr:colOff>
          <xdr:row>31</xdr:row>
          <xdr:rowOff>7620</xdr:rowOff>
        </xdr:to>
        <xdr:sp macro="" textlink="">
          <xdr:nvSpPr>
            <xdr:cNvPr id="43017" name="Button 9" hidden="1">
              <a:extLst>
                <a:ext uri="{63B3BB69-23CF-44E3-9099-C40C66FF867C}">
                  <a14:compatExt spid="_x0000_s43017"/>
                </a:ext>
                <a:ext uri="{FF2B5EF4-FFF2-40B4-BE49-F238E27FC236}">
                  <a16:creationId xmlns:a16="http://schemas.microsoft.com/office/drawing/2014/main" id="{00000000-0008-0000-0000-000009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Set PA='FM'</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762000</xdr:colOff>
          <xdr:row>27</xdr:row>
          <xdr:rowOff>182880</xdr:rowOff>
        </xdr:from>
        <xdr:to>
          <xdr:col>1</xdr:col>
          <xdr:colOff>1744980</xdr:colOff>
          <xdr:row>28</xdr:row>
          <xdr:rowOff>182880</xdr:rowOff>
        </xdr:to>
        <xdr:sp macro="" textlink="">
          <xdr:nvSpPr>
            <xdr:cNvPr id="43018" name="Button 10" hidden="1">
              <a:extLst>
                <a:ext uri="{63B3BB69-23CF-44E3-9099-C40C66FF867C}">
                  <a14:compatExt spid="_x0000_s43018"/>
                </a:ext>
                <a:ext uri="{FF2B5EF4-FFF2-40B4-BE49-F238E27FC236}">
                  <a16:creationId xmlns:a16="http://schemas.microsoft.com/office/drawing/2014/main" id="{00000000-0008-0000-0000-00000A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Clear PAs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30480</xdr:colOff>
          <xdr:row>26</xdr:row>
          <xdr:rowOff>38100</xdr:rowOff>
        </xdr:from>
        <xdr:to>
          <xdr:col>2</xdr:col>
          <xdr:colOff>0</xdr:colOff>
          <xdr:row>27</xdr:row>
          <xdr:rowOff>7620</xdr:rowOff>
        </xdr:to>
        <xdr:sp macro="" textlink="">
          <xdr:nvSpPr>
            <xdr:cNvPr id="43019" name="Button 11" hidden="1">
              <a:extLst>
                <a:ext uri="{63B3BB69-23CF-44E3-9099-C40C66FF867C}">
                  <a14:compatExt spid="_x0000_s43019"/>
                </a:ext>
                <a:ext uri="{FF2B5EF4-FFF2-40B4-BE49-F238E27FC236}">
                  <a16:creationId xmlns:a16="http://schemas.microsoft.com/office/drawing/2014/main" id="{00000000-0008-0000-0000-00000B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Set Instantiation='FM'</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0</xdr:colOff>
          <xdr:row>32</xdr:row>
          <xdr:rowOff>7620</xdr:rowOff>
        </xdr:from>
        <xdr:to>
          <xdr:col>2</xdr:col>
          <xdr:colOff>7620</xdr:colOff>
          <xdr:row>33</xdr:row>
          <xdr:rowOff>38100</xdr:rowOff>
        </xdr:to>
        <xdr:sp macro="" textlink="">
          <xdr:nvSpPr>
            <xdr:cNvPr id="43020" name="Button 12" hidden="1">
              <a:extLst>
                <a:ext uri="{63B3BB69-23CF-44E3-9099-C40C66FF867C}">
                  <a14:compatExt spid="_x0000_s43020"/>
                </a:ext>
                <a:ext uri="{FF2B5EF4-FFF2-40B4-BE49-F238E27FC236}">
                  <a16:creationId xmlns:a16="http://schemas.microsoft.com/office/drawing/2014/main" id="{00000000-0008-0000-0000-00000C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Celar Instantiation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38100</xdr:colOff>
          <xdr:row>42</xdr:row>
          <xdr:rowOff>0</xdr:rowOff>
        </xdr:from>
        <xdr:to>
          <xdr:col>1</xdr:col>
          <xdr:colOff>1722120</xdr:colOff>
          <xdr:row>43</xdr:row>
          <xdr:rowOff>30480</xdr:rowOff>
        </xdr:to>
        <xdr:sp macro="" textlink="">
          <xdr:nvSpPr>
            <xdr:cNvPr id="43021" name="Button 13" hidden="1">
              <a:extLst>
                <a:ext uri="{63B3BB69-23CF-44E3-9099-C40C66FF867C}">
                  <a14:compatExt spid="_x0000_s43021"/>
                </a:ext>
                <a:ext uri="{FF2B5EF4-FFF2-40B4-BE49-F238E27FC236}">
                  <a16:creationId xmlns:a16="http://schemas.microsoft.com/office/drawing/2014/main" id="{00000000-0008-0000-0000-00000D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Show TV 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38100</xdr:colOff>
          <xdr:row>44</xdr:row>
          <xdr:rowOff>7620</xdr:rowOff>
        </xdr:from>
        <xdr:to>
          <xdr:col>1</xdr:col>
          <xdr:colOff>1744980</xdr:colOff>
          <xdr:row>45</xdr:row>
          <xdr:rowOff>30480</xdr:rowOff>
        </xdr:to>
        <xdr:sp macro="" textlink="">
          <xdr:nvSpPr>
            <xdr:cNvPr id="43022" name="Button 14" hidden="1">
              <a:extLst>
                <a:ext uri="{63B3BB69-23CF-44E3-9099-C40C66FF867C}">
                  <a14:compatExt spid="_x0000_s43022"/>
                </a:ext>
                <a:ext uri="{FF2B5EF4-FFF2-40B4-BE49-F238E27FC236}">
                  <a16:creationId xmlns:a16="http://schemas.microsoft.com/office/drawing/2014/main" id="{00000000-0008-0000-0000-00000E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Hide TV 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30480</xdr:colOff>
          <xdr:row>46</xdr:row>
          <xdr:rowOff>7620</xdr:rowOff>
        </xdr:from>
        <xdr:to>
          <xdr:col>1</xdr:col>
          <xdr:colOff>1722120</xdr:colOff>
          <xdr:row>47</xdr:row>
          <xdr:rowOff>45720</xdr:rowOff>
        </xdr:to>
        <xdr:sp macro="" textlink="">
          <xdr:nvSpPr>
            <xdr:cNvPr id="43023" name="Button 15" hidden="1">
              <a:extLst>
                <a:ext uri="{63B3BB69-23CF-44E3-9099-C40C66FF867C}">
                  <a14:compatExt spid="_x0000_s43023"/>
                </a:ext>
                <a:ext uri="{FF2B5EF4-FFF2-40B4-BE49-F238E27FC236}">
                  <a16:creationId xmlns:a16="http://schemas.microsoft.com/office/drawing/2014/main" id="{00000000-0008-0000-0000-00000F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Build TV Sheets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15240</xdr:colOff>
          <xdr:row>11</xdr:row>
          <xdr:rowOff>68580</xdr:rowOff>
        </xdr:from>
        <xdr:to>
          <xdr:col>1</xdr:col>
          <xdr:colOff>967740</xdr:colOff>
          <xdr:row>13</xdr:row>
          <xdr:rowOff>152400</xdr:rowOff>
        </xdr:to>
        <xdr:sp macro="" textlink="">
          <xdr:nvSpPr>
            <xdr:cNvPr id="187393" name="Button 1" hidden="1">
              <a:extLst>
                <a:ext uri="{63B3BB69-23CF-44E3-9099-C40C66FF867C}">
                  <a14:compatExt spid="_x0000_s187393"/>
                </a:ext>
                <a:ext uri="{FF2B5EF4-FFF2-40B4-BE49-F238E27FC236}">
                  <a16:creationId xmlns:a16="http://schemas.microsoft.com/office/drawing/2014/main" id="{00000000-0008-0000-1400-000001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List staff</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45720</xdr:colOff>
          <xdr:row>11</xdr:row>
          <xdr:rowOff>76200</xdr:rowOff>
        </xdr:from>
        <xdr:to>
          <xdr:col>2</xdr:col>
          <xdr:colOff>998220</xdr:colOff>
          <xdr:row>13</xdr:row>
          <xdr:rowOff>144780</xdr:rowOff>
        </xdr:to>
        <xdr:sp macro="" textlink="">
          <xdr:nvSpPr>
            <xdr:cNvPr id="187395" name="Button 3" hidden="1">
              <a:extLst>
                <a:ext uri="{63B3BB69-23CF-44E3-9099-C40C66FF867C}">
                  <a14:compatExt spid="_x0000_s187395"/>
                </a:ext>
                <a:ext uri="{FF2B5EF4-FFF2-40B4-BE49-F238E27FC236}">
                  <a16:creationId xmlns:a16="http://schemas.microsoft.com/office/drawing/2014/main" id="{00000000-0008-0000-1400-000003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staff</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30480</xdr:colOff>
          <xdr:row>11</xdr:row>
          <xdr:rowOff>68580</xdr:rowOff>
        </xdr:from>
        <xdr:to>
          <xdr:col>5</xdr:col>
          <xdr:colOff>982980</xdr:colOff>
          <xdr:row>13</xdr:row>
          <xdr:rowOff>137160</xdr:rowOff>
        </xdr:to>
        <xdr:sp macro="" textlink="">
          <xdr:nvSpPr>
            <xdr:cNvPr id="187396" name="Button 4" hidden="1">
              <a:extLst>
                <a:ext uri="{63B3BB69-23CF-44E3-9099-C40C66FF867C}">
                  <a14:compatExt spid="_x0000_s187396"/>
                </a:ext>
                <a:ext uri="{FF2B5EF4-FFF2-40B4-BE49-F238E27FC236}">
                  <a16:creationId xmlns:a16="http://schemas.microsoft.com/office/drawing/2014/main" id="{00000000-0008-0000-1400-000004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List </a:t>
              </a:r>
            </a:p>
            <a:p>
              <a:pPr algn="ctr" rtl="0">
                <a:defRPr sz="1000"/>
              </a:pPr>
              <a:r>
                <a:rPr lang="en-US" sz="1100" b="0" i="0" u="none" strike="noStrike" baseline="0">
                  <a:solidFill>
                    <a:srgbClr val="000000"/>
                  </a:solidFill>
                  <a:latin typeface="Calibri"/>
                  <a:ea typeface="Calibri"/>
                  <a:cs typeface="Calibri"/>
                </a:rPr>
                <a:t>staff role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53340</xdr:colOff>
          <xdr:row>11</xdr:row>
          <xdr:rowOff>83820</xdr:rowOff>
        </xdr:from>
        <xdr:to>
          <xdr:col>7</xdr:col>
          <xdr:colOff>0</xdr:colOff>
          <xdr:row>13</xdr:row>
          <xdr:rowOff>152400</xdr:rowOff>
        </xdr:to>
        <xdr:sp macro="" textlink="">
          <xdr:nvSpPr>
            <xdr:cNvPr id="187397" name="Button 5" hidden="1">
              <a:extLst>
                <a:ext uri="{63B3BB69-23CF-44E3-9099-C40C66FF867C}">
                  <a14:compatExt spid="_x0000_s187397"/>
                </a:ext>
                <a:ext uri="{FF2B5EF4-FFF2-40B4-BE49-F238E27FC236}">
                  <a16:creationId xmlns:a16="http://schemas.microsoft.com/office/drawing/2014/main" id="{00000000-0008-0000-1400-000005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a:t>
              </a:r>
            </a:p>
            <a:p>
              <a:pPr algn="ctr" rtl="0">
                <a:defRPr sz="1000"/>
              </a:pPr>
              <a:r>
                <a:rPr lang="en-US" sz="1100" b="0" i="0" u="none" strike="noStrike" baseline="0">
                  <a:solidFill>
                    <a:srgbClr val="000000"/>
                  </a:solidFill>
                  <a:latin typeface="Calibri"/>
                  <a:ea typeface="Calibri"/>
                  <a:cs typeface="Calibri"/>
                </a:rPr>
                <a:t>staff role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38100</xdr:colOff>
          <xdr:row>11</xdr:row>
          <xdr:rowOff>38100</xdr:rowOff>
        </xdr:from>
        <xdr:to>
          <xdr:col>9</xdr:col>
          <xdr:colOff>990600</xdr:colOff>
          <xdr:row>13</xdr:row>
          <xdr:rowOff>106680</xdr:rowOff>
        </xdr:to>
        <xdr:sp macro="" textlink="">
          <xdr:nvSpPr>
            <xdr:cNvPr id="187398" name="Button 6" hidden="1">
              <a:extLst>
                <a:ext uri="{63B3BB69-23CF-44E3-9099-C40C66FF867C}">
                  <a14:compatExt spid="_x0000_s187398"/>
                </a:ext>
                <a:ext uri="{FF2B5EF4-FFF2-40B4-BE49-F238E27FC236}">
                  <a16:creationId xmlns:a16="http://schemas.microsoft.com/office/drawing/2014/main" id="{00000000-0008-0000-1400-000006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List work </a:t>
              </a:r>
            </a:p>
            <a:p>
              <a:pPr algn="ctr" rtl="0">
                <a:defRPr sz="1000"/>
              </a:pPr>
              <a:r>
                <a:rPr lang="en-US" sz="1100" b="0" i="0" u="none" strike="noStrike" baseline="0">
                  <a:solidFill>
                    <a:srgbClr val="000000"/>
                  </a:solidFill>
                  <a:latin typeface="Calibri"/>
                  <a:ea typeface="Calibri"/>
                  <a:cs typeface="Calibri"/>
                </a:rPr>
                <a:t>task code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38100</xdr:colOff>
          <xdr:row>11</xdr:row>
          <xdr:rowOff>38100</xdr:rowOff>
        </xdr:from>
        <xdr:to>
          <xdr:col>10</xdr:col>
          <xdr:colOff>990600</xdr:colOff>
          <xdr:row>13</xdr:row>
          <xdr:rowOff>106680</xdr:rowOff>
        </xdr:to>
        <xdr:sp macro="" textlink="">
          <xdr:nvSpPr>
            <xdr:cNvPr id="187399" name="Button 7" hidden="1">
              <a:extLst>
                <a:ext uri="{63B3BB69-23CF-44E3-9099-C40C66FF867C}">
                  <a14:compatExt spid="_x0000_s187399"/>
                </a:ext>
                <a:ext uri="{FF2B5EF4-FFF2-40B4-BE49-F238E27FC236}">
                  <a16:creationId xmlns:a16="http://schemas.microsoft.com/office/drawing/2014/main" id="{00000000-0008-0000-1400-000007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work task code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13</xdr:col>
          <xdr:colOff>22860</xdr:colOff>
          <xdr:row>11</xdr:row>
          <xdr:rowOff>15240</xdr:rowOff>
        </xdr:from>
        <xdr:to>
          <xdr:col>13</xdr:col>
          <xdr:colOff>975360</xdr:colOff>
          <xdr:row>13</xdr:row>
          <xdr:rowOff>83820</xdr:rowOff>
        </xdr:to>
        <xdr:sp macro="" textlink="">
          <xdr:nvSpPr>
            <xdr:cNvPr id="187400" name="Button 8" hidden="1">
              <a:extLst>
                <a:ext uri="{63B3BB69-23CF-44E3-9099-C40C66FF867C}">
                  <a14:compatExt spid="_x0000_s187400"/>
                </a:ext>
                <a:ext uri="{FF2B5EF4-FFF2-40B4-BE49-F238E27FC236}">
                  <a16:creationId xmlns:a16="http://schemas.microsoft.com/office/drawing/2014/main" id="{00000000-0008-0000-1400-000008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List work task status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45720</xdr:colOff>
          <xdr:row>11</xdr:row>
          <xdr:rowOff>7620</xdr:rowOff>
        </xdr:from>
        <xdr:to>
          <xdr:col>14</xdr:col>
          <xdr:colOff>998220</xdr:colOff>
          <xdr:row>13</xdr:row>
          <xdr:rowOff>76200</xdr:rowOff>
        </xdr:to>
        <xdr:sp macro="" textlink="">
          <xdr:nvSpPr>
            <xdr:cNvPr id="187401" name="Button 9" hidden="1">
              <a:extLst>
                <a:ext uri="{63B3BB69-23CF-44E3-9099-C40C66FF867C}">
                  <a14:compatExt spid="_x0000_s187401"/>
                </a:ext>
                <a:ext uri="{FF2B5EF4-FFF2-40B4-BE49-F238E27FC236}">
                  <a16:creationId xmlns:a16="http://schemas.microsoft.com/office/drawing/2014/main" id="{00000000-0008-0000-1400-000009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work task status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17</xdr:col>
          <xdr:colOff>99060</xdr:colOff>
          <xdr:row>11</xdr:row>
          <xdr:rowOff>68580</xdr:rowOff>
        </xdr:from>
        <xdr:to>
          <xdr:col>17</xdr:col>
          <xdr:colOff>876300</xdr:colOff>
          <xdr:row>13</xdr:row>
          <xdr:rowOff>83820</xdr:rowOff>
        </xdr:to>
        <xdr:sp macro="" textlink="">
          <xdr:nvSpPr>
            <xdr:cNvPr id="187402" name="Button 10" hidden="1">
              <a:extLst>
                <a:ext uri="{63B3BB69-23CF-44E3-9099-C40C66FF867C}">
                  <a14:compatExt spid="_x0000_s187402"/>
                </a:ext>
                <a:ext uri="{FF2B5EF4-FFF2-40B4-BE49-F238E27FC236}">
                  <a16:creationId xmlns:a16="http://schemas.microsoft.com/office/drawing/2014/main" id="{00000000-0008-0000-1400-00000A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Setup</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129540</xdr:colOff>
          <xdr:row>1</xdr:row>
          <xdr:rowOff>15240</xdr:rowOff>
        </xdr:from>
        <xdr:to>
          <xdr:col>2</xdr:col>
          <xdr:colOff>144780</xdr:colOff>
          <xdr:row>3</xdr:row>
          <xdr:rowOff>99060</xdr:rowOff>
        </xdr:to>
        <xdr:sp macro="" textlink="">
          <xdr:nvSpPr>
            <xdr:cNvPr id="190465" name="Button 1" hidden="1">
              <a:extLst>
                <a:ext uri="{63B3BB69-23CF-44E3-9099-C40C66FF867C}">
                  <a14:compatExt spid="_x0000_s190465"/>
                </a:ext>
                <a:ext uri="{FF2B5EF4-FFF2-40B4-BE49-F238E27FC236}">
                  <a16:creationId xmlns:a16="http://schemas.microsoft.com/office/drawing/2014/main" id="{00000000-0008-0000-1500-000001E8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List tasks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502920</xdr:colOff>
          <xdr:row>1</xdr:row>
          <xdr:rowOff>0</xdr:rowOff>
        </xdr:from>
        <xdr:to>
          <xdr:col>3</xdr:col>
          <xdr:colOff>236220</xdr:colOff>
          <xdr:row>3</xdr:row>
          <xdr:rowOff>68580</xdr:rowOff>
        </xdr:to>
        <xdr:sp macro="" textlink="">
          <xdr:nvSpPr>
            <xdr:cNvPr id="190466" name="Button 2" hidden="1">
              <a:extLst>
                <a:ext uri="{63B3BB69-23CF-44E3-9099-C40C66FF867C}">
                  <a14:compatExt spid="_x0000_s190466"/>
                </a:ext>
                <a:ext uri="{FF2B5EF4-FFF2-40B4-BE49-F238E27FC236}">
                  <a16:creationId xmlns:a16="http://schemas.microsoft.com/office/drawing/2014/main" id="{00000000-0008-0000-1500-000002E8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tasks</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381000</xdr:colOff>
          <xdr:row>0</xdr:row>
          <xdr:rowOff>106680</xdr:rowOff>
        </xdr:from>
        <xdr:to>
          <xdr:col>3</xdr:col>
          <xdr:colOff>2552700</xdr:colOff>
          <xdr:row>2</xdr:row>
          <xdr:rowOff>45720</xdr:rowOff>
        </xdr:to>
        <xdr:sp macro="" textlink="">
          <xdr:nvSpPr>
            <xdr:cNvPr id="44033" name="Button 1" hidden="1">
              <a:extLst>
                <a:ext uri="{63B3BB69-23CF-44E3-9099-C40C66FF867C}">
                  <a14:compatExt spid="_x0000_s44033"/>
                </a:ext>
                <a:ext uri="{FF2B5EF4-FFF2-40B4-BE49-F238E27FC236}">
                  <a16:creationId xmlns:a16="http://schemas.microsoft.com/office/drawing/2014/main" id="{00000000-0008-0000-1600-000001A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Extract findings from DB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182880</xdr:colOff>
          <xdr:row>0</xdr:row>
          <xdr:rowOff>144780</xdr:rowOff>
        </xdr:from>
        <xdr:to>
          <xdr:col>2</xdr:col>
          <xdr:colOff>876300</xdr:colOff>
          <xdr:row>2</xdr:row>
          <xdr:rowOff>38100</xdr:rowOff>
        </xdr:to>
        <xdr:sp macro="" textlink="">
          <xdr:nvSpPr>
            <xdr:cNvPr id="44034" name="Button 2" hidden="1">
              <a:extLst>
                <a:ext uri="{63B3BB69-23CF-44E3-9099-C40C66FF867C}">
                  <a14:compatExt spid="_x0000_s44034"/>
                </a:ext>
                <a:ext uri="{FF2B5EF4-FFF2-40B4-BE49-F238E27FC236}">
                  <a16:creationId xmlns:a16="http://schemas.microsoft.com/office/drawing/2014/main" id="{00000000-0008-0000-1600-000002A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findings to DB</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2400300</xdr:colOff>
          <xdr:row>0</xdr:row>
          <xdr:rowOff>106680</xdr:rowOff>
        </xdr:from>
        <xdr:to>
          <xdr:col>5</xdr:col>
          <xdr:colOff>1417320</xdr:colOff>
          <xdr:row>2</xdr:row>
          <xdr:rowOff>45720</xdr:rowOff>
        </xdr:to>
        <xdr:sp macro="" textlink="">
          <xdr:nvSpPr>
            <xdr:cNvPr id="75777" name="Button 1" hidden="1">
              <a:extLst>
                <a:ext uri="{63B3BB69-23CF-44E3-9099-C40C66FF867C}">
                  <a14:compatExt spid="_x0000_s75777"/>
                </a:ext>
                <a:ext uri="{FF2B5EF4-FFF2-40B4-BE49-F238E27FC236}">
                  <a16:creationId xmlns:a16="http://schemas.microsoft.com/office/drawing/2014/main" id="{00000000-0008-0000-1700-0000012801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Extract questions from DB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144780</xdr:colOff>
          <xdr:row>0</xdr:row>
          <xdr:rowOff>121920</xdr:rowOff>
        </xdr:from>
        <xdr:to>
          <xdr:col>4</xdr:col>
          <xdr:colOff>571500</xdr:colOff>
          <xdr:row>2</xdr:row>
          <xdr:rowOff>30480</xdr:rowOff>
        </xdr:to>
        <xdr:sp macro="" textlink="">
          <xdr:nvSpPr>
            <xdr:cNvPr id="75778" name="Button 2" hidden="1">
              <a:extLst>
                <a:ext uri="{63B3BB69-23CF-44E3-9099-C40C66FF867C}">
                  <a14:compatExt spid="_x0000_s75778"/>
                </a:ext>
                <a:ext uri="{FF2B5EF4-FFF2-40B4-BE49-F238E27FC236}">
                  <a16:creationId xmlns:a16="http://schemas.microsoft.com/office/drawing/2014/main" id="{00000000-0008-0000-1700-0000022801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questions to DB</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ablesLookup"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2022-04-11to04-17%20(A5)%20C58476%20Aviation\10_57v07_Aviation_CAS_Plan.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ableLookup"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tgard/Documents/2_Reference/2_CMMI/Appraisals/General/CMMI_practice_OE_question%20ma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Lookup"/>
      <sheetName val="#REF"/>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Release"/>
      <sheetName val="Guide"/>
      <sheetName val="Control"/>
      <sheetName val="Agreement 3"/>
      <sheetName val="Planning"/>
      <sheetName val="StartupInfo"/>
      <sheetName val="Project&amp;Support"/>
      <sheetName val="Staff"/>
      <sheetName val="StaffGuide"/>
      <sheetName val="PvtProjectFTEs"/>
      <sheetName val="Sheet1"/>
      <sheetName val="PvtStaffDistinct"/>
      <sheetName val="PvtPACheck"/>
      <sheetName val="P1PA-SS"/>
      <sheetName val="P1PA-RSG"/>
      <sheetName val="P1PA-R"/>
      <sheetName val="P2CA"/>
      <sheetName val="P3RF"/>
      <sheetName val="Schedule"/>
      <sheetName val="PvtCheck1"/>
      <sheetName val="Schedule2"/>
      <sheetName val="PvtEffort"/>
      <sheetName val="Schedule4-1P"/>
      <sheetName val="Schedule4-1A"/>
      <sheetName val="Schedule4-2"/>
      <sheetName val="ATM_PA"/>
      <sheetName val="C_Resource_Estimates"/>
      <sheetName val="C_Support"/>
      <sheetName val="C_Projects"/>
      <sheetName val="C_OUParticipants"/>
      <sheetName val="C_OUProjects"/>
      <sheetName val="C_OUPracticeAreas"/>
      <sheetName val="OULC"/>
      <sheetName val="PvtPartDistinct"/>
      <sheetName val="PvtPart_PA"/>
      <sheetName val="PvtPart_PrjSup"/>
      <sheetName val="PvtPart_Session"/>
      <sheetName val="pptxCertificate"/>
      <sheetName val="pptxCover"/>
      <sheetName val="pptxLink1"/>
      <sheetName val="pptxLink2"/>
      <sheetName val="pptxLink3"/>
      <sheetName val="pptxLink4"/>
      <sheetName val="pptxLink5"/>
      <sheetName val="pptxLink6"/>
      <sheetName val="pptxLink7"/>
      <sheetName val="Tables"/>
      <sheetName val="BASE"/>
    </sheetNames>
    <sheetDataSet>
      <sheetData sheetId="0"/>
      <sheetData sheetId="1"/>
      <sheetData sheetId="2"/>
      <sheetData sheetId="3"/>
      <sheetData sheetId="4"/>
      <sheetData sheetId="5"/>
      <sheetData sheetId="6"/>
      <sheetData sheetId="7">
        <row r="3">
          <cell r="A3" t="str">
            <v>p1</v>
          </cell>
          <cell r="B3" t="str">
            <v>p1ATCS</v>
          </cell>
        </row>
        <row r="4">
          <cell r="A4" t="str">
            <v>p2</v>
          </cell>
          <cell r="B4" t="str">
            <v>p2CSIM</v>
          </cell>
        </row>
        <row r="5">
          <cell r="A5" t="str">
            <v>p3</v>
          </cell>
          <cell r="B5" t="str">
            <v>p3SSOM</v>
          </cell>
        </row>
        <row r="6">
          <cell r="A6" t="str">
            <v>p4</v>
          </cell>
          <cell r="B6" t="str">
            <v>p4ABIS</v>
          </cell>
        </row>
        <row r="7">
          <cell r="A7" t="str">
            <v>p5</v>
          </cell>
          <cell r="B7" t="str">
            <v>p5AMIN</v>
          </cell>
        </row>
        <row r="8">
          <cell r="A8" t="str">
            <v>s1</v>
          </cell>
          <cell r="B8" t="str">
            <v>s1CM</v>
          </cell>
        </row>
        <row r="9">
          <cell r="A9" t="str">
            <v>s2</v>
          </cell>
          <cell r="B9" t="str">
            <v>s2EPG-MA</v>
          </cell>
        </row>
        <row r="10">
          <cell r="A10" t="str">
            <v>s3</v>
          </cell>
          <cell r="B10" t="str">
            <v>s3HR</v>
          </cell>
        </row>
        <row r="11">
          <cell r="A11" t="str">
            <v>s4</v>
          </cell>
          <cell r="B11" t="str">
            <v>s4PPQA</v>
          </cell>
        </row>
      </sheetData>
      <sheetData sheetId="8"/>
      <sheetData sheetId="9">
        <row r="3">
          <cell r="A3" t="str">
            <v>Analyst</v>
          </cell>
          <cell r="B3" t="str">
            <v>[4] Engineering</v>
          </cell>
          <cell r="L3" t="str">
            <v>x</v>
          </cell>
          <cell r="R3" t="str">
            <v>x</v>
          </cell>
        </row>
        <row r="4">
          <cell r="A4" t="str">
            <v>Configuration manager</v>
          </cell>
          <cell r="B4" t="str">
            <v>[5] Configuration Management</v>
          </cell>
          <cell r="D4" t="str">
            <v>x</v>
          </cell>
        </row>
        <row r="5">
          <cell r="A5" t="str">
            <v>Designer</v>
          </cell>
          <cell r="B5" t="str">
            <v>[4] Engineering</v>
          </cell>
          <cell r="L5" t="str">
            <v>x</v>
          </cell>
          <cell r="T5" t="str">
            <v>x</v>
          </cell>
        </row>
        <row r="6">
          <cell r="A6" t="str">
            <v>Developer</v>
          </cell>
          <cell r="B6" t="str">
            <v>[4] Engineering</v>
          </cell>
          <cell r="L6" t="str">
            <v>x</v>
          </cell>
          <cell r="Q6" t="str">
            <v>x</v>
          </cell>
        </row>
        <row r="7">
          <cell r="A7" t="str">
            <v>Executive</v>
          </cell>
          <cell r="B7" t="str">
            <v>[9] Senior Management</v>
          </cell>
          <cell r="G7" t="str">
            <v>x</v>
          </cell>
          <cell r="H7" t="str">
            <v>x</v>
          </cell>
        </row>
        <row r="8">
          <cell r="A8" t="str">
            <v>Measurements manager</v>
          </cell>
          <cell r="B8" t="str">
            <v>[6] Process Management</v>
          </cell>
          <cell r="C8" t="str">
            <v>x</v>
          </cell>
          <cell r="E8" t="str">
            <v>x</v>
          </cell>
          <cell r="I8" t="str">
            <v>x</v>
          </cell>
        </row>
        <row r="9">
          <cell r="A9" t="str">
            <v>Process Assurance Manager</v>
          </cell>
          <cell r="B9" t="str">
            <v>[8] Process Quality Assurance</v>
          </cell>
          <cell r="P9" t="str">
            <v>x</v>
          </cell>
        </row>
        <row r="10">
          <cell r="A10" t="str">
            <v>Process manager</v>
          </cell>
          <cell r="B10" t="str">
            <v>[6] Process Management</v>
          </cell>
          <cell r="E10" t="str">
            <v>x</v>
          </cell>
          <cell r="N10" t="str">
            <v>x</v>
          </cell>
          <cell r="O10" t="str">
            <v>x</v>
          </cell>
        </row>
        <row r="11">
          <cell r="A11" t="str">
            <v>Project manager</v>
          </cell>
          <cell r="B11" t="str">
            <v>[3] Project Management</v>
          </cell>
          <cell r="C11" t="str">
            <v>x</v>
          </cell>
          <cell r="E11" t="str">
            <v>x</v>
          </cell>
          <cell r="F11" t="str">
            <v>x</v>
          </cell>
          <cell r="J11" t="str">
            <v>x</v>
          </cell>
          <cell r="L11" t="str">
            <v>x</v>
          </cell>
          <cell r="M11" t="str">
            <v>x</v>
          </cell>
          <cell r="S11" t="str">
            <v>x</v>
          </cell>
        </row>
        <row r="12">
          <cell r="A12" t="str">
            <v>Tester</v>
          </cell>
          <cell r="B12" t="str">
            <v>[4] Engineering</v>
          </cell>
          <cell r="L12" t="str">
            <v>x</v>
          </cell>
          <cell r="U12" t="str">
            <v>x</v>
          </cell>
        </row>
        <row r="13">
          <cell r="A13" t="str">
            <v>Training manager</v>
          </cell>
          <cell r="B13" t="str">
            <v>[7] Organisational Training</v>
          </cell>
          <cell r="K13" t="str">
            <v>x</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5">
          <cell r="B5" t="str">
            <v>Afghanistan</v>
          </cell>
          <cell r="D5" t="str">
            <v>(A-01) Agriculture, forestry and fishing - Crop and animal production, hunting and related service activities</v>
          </cell>
          <cell r="F5" t="str">
            <v>Maturity Level 2</v>
          </cell>
          <cell r="H5" t="str">
            <v>CMMI Development V2.0 (CMMI-DEV) with SAM</v>
          </cell>
          <cell r="L5" t="str">
            <v>Location</v>
          </cell>
          <cell r="N5" t="str">
            <v>UTC</v>
          </cell>
          <cell r="R5" t="str">
            <v>Discovery</v>
          </cell>
          <cell r="T5" t="str">
            <v>Demonstration</v>
          </cell>
          <cell r="V5" t="str">
            <v>Consultants</v>
          </cell>
          <cell r="X5" t="str">
            <v>Description of the location(s) within the OU where appraisal activities will take place</v>
          </cell>
          <cell r="Z5" t="str">
            <v>Access to the storage of OE on the OU network</v>
          </cell>
          <cell r="AB5" t="str">
            <v>Duration</v>
          </cell>
          <cell r="AD5" t="str">
            <v>Personnel</v>
          </cell>
          <cell r="AF5" t="str">
            <v>Team member authors one or more processes</v>
          </cell>
          <cell r="AH5" t="str">
            <v>Executive Session</v>
          </cell>
          <cell r="AJ5" t="str">
            <v>Individual reports to another team member</v>
          </cell>
          <cell r="AL5" t="str">
            <v>Final Findings</v>
          </cell>
        </row>
        <row r="6">
          <cell r="B6" t="str">
            <v>Åland Islands</v>
          </cell>
          <cell r="D6" t="str">
            <v>(A-02) Agriculture, forestry and fishing - Forestry and logging</v>
          </cell>
          <cell r="F6" t="str">
            <v>Maturity Level 3</v>
          </cell>
          <cell r="H6" t="str">
            <v>CMMI Development V2.0 (CMMI-DEV) without SAM</v>
          </cell>
          <cell r="L6" t="str">
            <v>Customer</v>
          </cell>
          <cell r="N6" t="str">
            <v>(UTC-12:00) International Date Line West</v>
          </cell>
          <cell r="R6" t="str">
            <v>Managed Discovery</v>
          </cell>
          <cell r="T6" t="str">
            <v>OE Database</v>
          </cell>
          <cell r="V6" t="str">
            <v>Project Team Members</v>
          </cell>
          <cell r="X6" t="str">
            <v>Accommodations and travel support for ATMs, as needed</v>
          </cell>
          <cell r="Z6" t="str">
            <v>Appropriate computer equipment for the appraisal team to use throughout the appraisal</v>
          </cell>
          <cell r="AB6" t="str">
            <v>Funding</v>
          </cell>
          <cell r="AD6" t="str">
            <v>Logistics</v>
          </cell>
          <cell r="AF6" t="str">
            <v>Team member is a member of the organization's process group</v>
          </cell>
          <cell r="AH6" t="str">
            <v>Lessons Learned</v>
          </cell>
          <cell r="AJ6" t="str">
            <v>Individual reports to management within the OU</v>
          </cell>
          <cell r="AL6" t="str">
            <v>Sampled Project and OSF-level Practice Characterization Worksheets</v>
          </cell>
        </row>
        <row r="7">
          <cell r="B7" t="str">
            <v>Albania</v>
          </cell>
          <cell r="D7" t="str">
            <v>(A-03) Agriculture, forestry and fishing - Fishing and aquaculter</v>
          </cell>
          <cell r="F7" t="str">
            <v>Maturity Level 4</v>
          </cell>
          <cell r="H7" t="str">
            <v>CMMI Services V2.0 (CMMI-SVC) with SAM</v>
          </cell>
          <cell r="L7" t="str">
            <v>Size</v>
          </cell>
          <cell r="N7" t="str">
            <v>(UTC-11:00) Coordinated Universal Time-11</v>
          </cell>
          <cell r="R7" t="str">
            <v>Verification</v>
          </cell>
          <cell r="T7" t="str">
            <v>Data Call</v>
          </cell>
          <cell r="V7" t="str">
            <v>ATL</v>
          </cell>
          <cell r="X7" t="str">
            <v>Meals, snacks, beverages, etc. for the appraisal team and participants</v>
          </cell>
          <cell r="Z7" t="str">
            <v>Required tools and software</v>
          </cell>
          <cell r="AB7" t="str">
            <v>Schedule Constraints</v>
          </cell>
          <cell r="AD7" t="str">
            <v>Facilities</v>
          </cell>
          <cell r="AF7" t="str">
            <v>Team member is a process owner</v>
          </cell>
          <cell r="AH7" t="str">
            <v>Process Improvement Action Plan</v>
          </cell>
          <cell r="AJ7" t="str">
            <v>Individual reports to any org support functions or in-scope projects within the OU</v>
          </cell>
          <cell r="AL7" t="str">
            <v>Sampled Project and OSF-level Ratings Worksheets</v>
          </cell>
        </row>
        <row r="8">
          <cell r="B8" t="str">
            <v>Algeria</v>
          </cell>
          <cell r="D8" t="str">
            <v>(B-05) Mining and quarrying - Mining of coal and lignite</v>
          </cell>
          <cell r="F8" t="str">
            <v>Maturity Level 5</v>
          </cell>
          <cell r="H8" t="str">
            <v>CMMI Services V2.0 (CMMI-SVC) without SAM</v>
          </cell>
          <cell r="L8" t="str">
            <v>Organizational Structure</v>
          </cell>
          <cell r="N8" t="str">
            <v>(UTC-10:00) Hawaii</v>
          </cell>
          <cell r="T8" t="str">
            <v>Interview</v>
          </cell>
          <cell r="V8" t="str">
            <v>OU</v>
          </cell>
          <cell r="X8" t="str">
            <v>Equipment and material requirements for ATMs.</v>
          </cell>
          <cell r="Z8" t="str">
            <v>Security and access needs (e.g., badges, escorts, etc.)</v>
          </cell>
          <cell r="AB8" t="str">
            <v>Security and Information Management</v>
          </cell>
          <cell r="AD8" t="str">
            <v>Schedule</v>
          </cell>
          <cell r="AF8" t="str">
            <v>Team member has a supervisory authority over one or more parts of the OU</v>
          </cell>
          <cell r="AH8" t="str">
            <v>Recommendation Report</v>
          </cell>
          <cell r="AJ8" t="str">
            <v>Individual is employed by the ATL's organization</v>
          </cell>
          <cell r="AL8" t="str">
            <v>Schedule</v>
          </cell>
        </row>
        <row r="9">
          <cell r="B9" t="str">
            <v>American Samoa</v>
          </cell>
          <cell r="D9" t="str">
            <v>(B-06) Mining and quarrying - Extraction of crude petroleum and natural gas</v>
          </cell>
          <cell r="F9" t="str">
            <v>Capability Level</v>
          </cell>
          <cell r="H9" t="str">
            <v>CMMI Supplier Management V2.0 (CMMI-SPM)</v>
          </cell>
          <cell r="L9" t="str">
            <v>Type of Work</v>
          </cell>
          <cell r="N9" t="str">
            <v>(UTC-10:00) Aleutian Islands</v>
          </cell>
          <cell r="T9" t="str">
            <v>Presentation</v>
          </cell>
          <cell r="V9" t="str">
            <v>Other</v>
          </cell>
          <cell r="X9" t="str">
            <v>Other</v>
          </cell>
          <cell r="Z9" t="str">
            <v>A room or rooms that can be used for performing interviews and delivering presentations</v>
          </cell>
          <cell r="AB9" t="str">
            <v>Specific Sample Size</v>
          </cell>
          <cell r="AD9" t="str">
            <v>Cost</v>
          </cell>
          <cell r="AF9" t="str">
            <v>Team member has served on previous appraisals in the same OU</v>
          </cell>
          <cell r="AH9" t="str">
            <v>Other</v>
          </cell>
          <cell r="AJ9" t="str">
            <v>Individual is employed by the org helping the OU develop, deploy, or provide consulting for processes</v>
          </cell>
          <cell r="AL9" t="str">
            <v>Executive Summary</v>
          </cell>
        </row>
        <row r="10">
          <cell r="B10" t="str">
            <v>Andorra</v>
          </cell>
          <cell r="D10" t="str">
            <v>(B-07) Mining and quarrying - Mining of metal ores</v>
          </cell>
          <cell r="L10" t="str">
            <v>Other</v>
          </cell>
          <cell r="N10" t="str">
            <v>(UTC-09:30) Marquesas Islands</v>
          </cell>
          <cell r="T10" t="str">
            <v>Written</v>
          </cell>
          <cell r="Z10" t="str">
            <v>Appropriate telecommunications equipment and rooms to accommodate interviews conducted using virtual techniques</v>
          </cell>
          <cell r="AB10" t="str">
            <v>Staffing</v>
          </cell>
          <cell r="AD10" t="str">
            <v>Data</v>
          </cell>
          <cell r="AF10" t="str">
            <v>Team member has been interviewed or provided evidence</v>
          </cell>
          <cell r="AJ10" t="str">
            <v>Other</v>
          </cell>
          <cell r="AL10" t="str">
            <v>Other</v>
          </cell>
        </row>
        <row r="11">
          <cell r="B11" t="str">
            <v>Angola</v>
          </cell>
          <cell r="D11" t="str">
            <v>(B-08) Mining and quarrying - Other mining and quarrying</v>
          </cell>
          <cell r="N11" t="str">
            <v>(UTC-09:00) Coordinated Universal Time-09</v>
          </cell>
          <cell r="T11" t="str">
            <v>Other</v>
          </cell>
          <cell r="Z11" t="str">
            <v>A facility with a projector available for performing the opening presentation findings briefings</v>
          </cell>
          <cell r="AB11" t="str">
            <v>Other</v>
          </cell>
          <cell r="AD11" t="str">
            <v>Other</v>
          </cell>
          <cell r="AF11" t="str">
            <v>Team member is involved in process or product quality audits</v>
          </cell>
        </row>
        <row r="12">
          <cell r="B12" t="str">
            <v>Anguilla</v>
          </cell>
          <cell r="D12" t="str">
            <v>(B-09) Mining and quarrying - Mining support service activities</v>
          </cell>
          <cell r="N12" t="str">
            <v>(UTC-09:00) Alaska</v>
          </cell>
          <cell r="Z12" t="str">
            <v>Access to a copier</v>
          </cell>
          <cell r="AF12" t="str">
            <v>Team member provided coaching, consulting, or labor for the OU in support of this appraisal</v>
          </cell>
        </row>
        <row r="13">
          <cell r="B13" t="str">
            <v>Antarctica</v>
          </cell>
          <cell r="D13" t="str">
            <v>(C-10) Manufacturing - Manufacture of food products</v>
          </cell>
          <cell r="N13" t="str">
            <v>(UTC-08:00) Pacific Time (US &amp; Canada)</v>
          </cell>
          <cell r="Z13" t="str">
            <v>Access to a printer that can be used to print potentially appraisal-confidential information</v>
          </cell>
          <cell r="AF13" t="str">
            <v>Team member is internal to the organization being appraised</v>
          </cell>
        </row>
        <row r="14">
          <cell r="B14" t="str">
            <v>Antigua &amp; Barbuda</v>
          </cell>
          <cell r="D14" t="str">
            <v>(C-11) Manufacturing - Manufacture of beverages</v>
          </cell>
          <cell r="N14" t="str">
            <v>(UTC-08:00) Coordinated Universal Time-08</v>
          </cell>
          <cell r="Z14" t="str">
            <v>Office supplies (e.g., self-sticking flip chart paper, notepads or other paper, white board pens, magic markers, writing pens)</v>
          </cell>
          <cell r="AF14" t="str">
            <v>Translator is an ATM</v>
          </cell>
        </row>
        <row r="15">
          <cell r="B15" t="str">
            <v>Argentina</v>
          </cell>
          <cell r="D15" t="str">
            <v>(C-12) Manufacturing - Manufacture of tobacco products</v>
          </cell>
          <cell r="N15" t="str">
            <v>(UTC-08:00) Baja California</v>
          </cell>
          <cell r="Z15" t="str">
            <v>Projector(s) for use throughout the appraisal, as needed</v>
          </cell>
          <cell r="AF15" t="str">
            <v>Translator works for appraised organization</v>
          </cell>
        </row>
        <row r="16">
          <cell r="B16" t="str">
            <v>Armenia</v>
          </cell>
          <cell r="D16" t="str">
            <v>(C-13) Manufacturing - Manufacture of textiles</v>
          </cell>
          <cell r="N16" t="str">
            <v>(UTC-07:00) Mountain Time (US &amp; Canada)</v>
          </cell>
          <cell r="Z16" t="str">
            <v>Document storage boxes (if necessary)</v>
          </cell>
          <cell r="AF16" t="str">
            <v>Translator works within the OU</v>
          </cell>
        </row>
        <row r="17">
          <cell r="B17" t="str">
            <v>Aruba</v>
          </cell>
          <cell r="D17" t="str">
            <v>(C-14) Manufacturing - Manufacture of wearing apparel</v>
          </cell>
          <cell r="N17" t="str">
            <v>(UTC-07:00) Chihuahua, La Paz, Mazatlan</v>
          </cell>
          <cell r="Z17" t="str">
            <v>A mechanism for use by the appraisal team to securely dispose of notes and intermediate work products to protect confidentiality and non-attribution.</v>
          </cell>
          <cell r="AF17" t="str">
            <v>Translator works for a consulting company that has supported the OU with process development or implementation</v>
          </cell>
        </row>
        <row r="18">
          <cell r="B18" t="str">
            <v>Ascension Island</v>
          </cell>
          <cell r="D18" t="str">
            <v>(C-15) Manufacturing - Manufacture of leather and related products</v>
          </cell>
          <cell r="N18" t="str">
            <v>(UTC-07:00) Arizona</v>
          </cell>
          <cell r="AF18" t="str">
            <v>Appraisal Team Leader is internal to the OU (only applies to Evaluation appraisals)</v>
          </cell>
        </row>
        <row r="19">
          <cell r="B19" t="str">
            <v>Australia</v>
          </cell>
          <cell r="D19" t="str">
            <v>(C-16) Manufacturing - Manufacture of wood and of products of wood and cork, except furniture; manufacture of articles of straw and plaiting materials</v>
          </cell>
          <cell r="N19" t="str">
            <v>(UTC-06:00) Saskatchewan</v>
          </cell>
          <cell r="AF19" t="str">
            <v>Other</v>
          </cell>
        </row>
        <row r="20">
          <cell r="B20" t="str">
            <v>Austria</v>
          </cell>
          <cell r="D20" t="str">
            <v>(C-17) Manufacturing - Manufacture of paper and paper products</v>
          </cell>
          <cell r="N20" t="str">
            <v>(UTC-06:00) Guadalajara, Mexico City, Monterrey</v>
          </cell>
        </row>
        <row r="21">
          <cell r="B21" t="str">
            <v>Azerbaijan</v>
          </cell>
          <cell r="D21" t="str">
            <v>(C-18) Manufacturing - Printing and reproduction of recorded media</v>
          </cell>
          <cell r="N21" t="str">
            <v>(UTC-06:00) Easter Island</v>
          </cell>
        </row>
        <row r="22">
          <cell r="B22" t="str">
            <v>Bahamas</v>
          </cell>
          <cell r="D22" t="str">
            <v>(C-19) Manufacturing - Manufacture of coke and refined petroleum products</v>
          </cell>
          <cell r="N22" t="str">
            <v>(UTC-06:00) Central Time (US &amp; Canada)</v>
          </cell>
        </row>
        <row r="23">
          <cell r="B23" t="str">
            <v>Bahrain</v>
          </cell>
          <cell r="D23" t="str">
            <v>(C-20) Manufacturing - Manufacture of chemicals and chemical products</v>
          </cell>
          <cell r="N23" t="str">
            <v>(UTC-06:00) Central America</v>
          </cell>
        </row>
        <row r="24">
          <cell r="B24" t="str">
            <v>Bangladesh</v>
          </cell>
          <cell r="D24" t="str">
            <v>(C-21) Manufacturing - Manufacture of basic pharmaceutical products and pharmaceutical preparations</v>
          </cell>
          <cell r="N24" t="str">
            <v>(UTC-05:00) Turks and Caicos</v>
          </cell>
        </row>
        <row r="25">
          <cell r="B25" t="str">
            <v>Barbados</v>
          </cell>
          <cell r="D25" t="str">
            <v>(C-22) Manufacturing - Manufacture of rubber and plastics products</v>
          </cell>
          <cell r="N25" t="str">
            <v>(UTC-05:00) Indiana (East)</v>
          </cell>
        </row>
        <row r="26">
          <cell r="B26" t="str">
            <v>Belarus</v>
          </cell>
          <cell r="D26" t="str">
            <v>(C-23) Manufacturing - Manufacture of other non-metallic mineral products</v>
          </cell>
          <cell r="N26" t="str">
            <v>(UTC-05:00) Havana</v>
          </cell>
        </row>
        <row r="27">
          <cell r="B27" t="str">
            <v>Belgium</v>
          </cell>
          <cell r="D27" t="str">
            <v>(C-24) Manufacturing - Manufacture of basic metals</v>
          </cell>
          <cell r="N27" t="str">
            <v>(UTC-05:00) Haiti</v>
          </cell>
        </row>
        <row r="28">
          <cell r="B28" t="str">
            <v>Belize</v>
          </cell>
          <cell r="D28" t="str">
            <v>(C-25) Manufacturing - Manufacture of fabricated metal products, except machinery and equipment</v>
          </cell>
          <cell r="N28" t="str">
            <v>(UTC-05:00) Eastern Time (US &amp; Canada)</v>
          </cell>
        </row>
        <row r="29">
          <cell r="B29" t="str">
            <v>Benin</v>
          </cell>
          <cell r="D29" t="str">
            <v>(C-26) Manufacturing - Manufacture of computer, electronic and optical products</v>
          </cell>
          <cell r="N29" t="str">
            <v>(UTC-05:00) Chetumal</v>
          </cell>
        </row>
        <row r="30">
          <cell r="B30" t="str">
            <v>Bermuda</v>
          </cell>
          <cell r="D30" t="str">
            <v>(C-27) Manufacturing - Manufacture of electrical equipment</v>
          </cell>
          <cell r="N30" t="str">
            <v>(UTC-05:00) Bogota, Lima, Quito, Rio Branco</v>
          </cell>
        </row>
        <row r="31">
          <cell r="B31" t="str">
            <v>Bhutan</v>
          </cell>
          <cell r="D31" t="str">
            <v>(C-28) Manufacturing - Manufacture of machinery and equipment n.e.c.</v>
          </cell>
          <cell r="N31" t="str">
            <v>(UTC-04:00) Santiago</v>
          </cell>
        </row>
        <row r="32">
          <cell r="B32" t="str">
            <v>Bolivia</v>
          </cell>
          <cell r="D32" t="str">
            <v>(C-29) Manufacturing - Manufacture of motor vehicles, trailers and semi-trailers</v>
          </cell>
          <cell r="N32" t="str">
            <v>(UTC-04:00) Georgetown, La Paz, Manaus, San Juan</v>
          </cell>
        </row>
        <row r="33">
          <cell r="B33" t="str">
            <v>Bosnia &amp; Herzegovina</v>
          </cell>
          <cell r="D33" t="str">
            <v>(C-30) Manufacturing - Manufacture of other transport equipment</v>
          </cell>
          <cell r="N33" t="str">
            <v>(UTC-04:00) Cuiaba</v>
          </cell>
        </row>
        <row r="34">
          <cell r="B34" t="str">
            <v>Botswana</v>
          </cell>
          <cell r="D34" t="str">
            <v>(C-31) Manufacturing - Manufacture of furniture</v>
          </cell>
          <cell r="N34" t="str">
            <v>(UTC-04:00) Caracas</v>
          </cell>
        </row>
        <row r="35">
          <cell r="B35" t="str">
            <v>Brazil</v>
          </cell>
          <cell r="D35" t="str">
            <v>(C-32) Manufacturing - Other manufacturing</v>
          </cell>
          <cell r="N35" t="str">
            <v>(UTC-04:00) Atlantic Time (Canada)</v>
          </cell>
        </row>
        <row r="36">
          <cell r="B36" t="str">
            <v>British Indian Ocean Territory</v>
          </cell>
          <cell r="D36" t="str">
            <v>(C-33) Manufacturing - Repair and installation of machinery and equipment</v>
          </cell>
          <cell r="N36" t="str">
            <v>(UTC-04:00) Asuncion</v>
          </cell>
          <cell r="U36" t="str">
            <v>PracticeCount</v>
          </cell>
          <cell r="V36">
            <v>1</v>
          </cell>
          <cell r="W36">
            <v>2</v>
          </cell>
          <cell r="X36">
            <v>3</v>
          </cell>
          <cell r="Y36">
            <v>4</v>
          </cell>
          <cell r="Z36">
            <v>5</v>
          </cell>
        </row>
        <row r="37">
          <cell r="B37" t="str">
            <v>British Virgin Islands</v>
          </cell>
          <cell r="D37" t="str">
            <v>(D-35) Electricity, gas, steam and air conditioning supply</v>
          </cell>
          <cell r="N37" t="str">
            <v>(UTC-03:30) Newfoundland</v>
          </cell>
          <cell r="U37" t="str">
            <v>CAR</v>
          </cell>
          <cell r="V37">
            <v>1</v>
          </cell>
          <cell r="W37">
            <v>3</v>
          </cell>
          <cell r="X37">
            <v>8</v>
          </cell>
          <cell r="Y37">
            <v>10</v>
          </cell>
          <cell r="Z37">
            <v>11</v>
          </cell>
        </row>
        <row r="38">
          <cell r="B38" t="str">
            <v>Brunei</v>
          </cell>
          <cell r="D38" t="str">
            <v>(E-36) Water supply; sewerage, waste management and remediation activities - Water collection, treatment and supply</v>
          </cell>
          <cell r="N38" t="str">
            <v>(UTC-03:00) Salvador</v>
          </cell>
          <cell r="U38" t="str">
            <v>CM</v>
          </cell>
          <cell r="V38">
            <v>1</v>
          </cell>
          <cell r="W38">
            <v>7</v>
          </cell>
          <cell r="X38">
            <v>7</v>
          </cell>
          <cell r="Y38">
            <v>7</v>
          </cell>
          <cell r="Z38">
            <v>7</v>
          </cell>
        </row>
        <row r="39">
          <cell r="B39" t="str">
            <v>Bulgaria</v>
          </cell>
          <cell r="D39" t="str">
            <v>(E-37) Water supply; sewerage, waste management and remediation activities - Sewerage</v>
          </cell>
          <cell r="N39" t="str">
            <v>(UTC-03:00) Saint Pierre and Miquelon</v>
          </cell>
          <cell r="U39" t="str">
            <v>DAR</v>
          </cell>
          <cell r="V39">
            <v>2</v>
          </cell>
          <cell r="W39">
            <v>7</v>
          </cell>
          <cell r="X39">
            <v>8</v>
          </cell>
          <cell r="Y39">
            <v>8</v>
          </cell>
          <cell r="Z39">
            <v>8</v>
          </cell>
        </row>
        <row r="40">
          <cell r="B40" t="str">
            <v>Burkina Faso</v>
          </cell>
          <cell r="D40" t="str">
            <v>(E-38) Water supply; sewerage, waste management and remediation activities - Waste collection, treatment and disposal activities; materials recovery</v>
          </cell>
          <cell r="N40" t="str">
            <v>(UTC-03:00) Punta Arenas</v>
          </cell>
          <cell r="U40" t="str">
            <v>EST</v>
          </cell>
          <cell r="V40">
            <v>1</v>
          </cell>
          <cell r="W40">
            <v>4</v>
          </cell>
          <cell r="X40">
            <v>6</v>
          </cell>
          <cell r="Y40">
            <v>6</v>
          </cell>
          <cell r="Z40">
            <v>6</v>
          </cell>
        </row>
        <row r="41">
          <cell r="B41" t="str">
            <v>Burundi</v>
          </cell>
          <cell r="D41" t="str">
            <v>(E-39) Water supply; sewerage, waste management and remediation activities - Remediation activities and other waste management services</v>
          </cell>
          <cell r="N41" t="str">
            <v>(UTC-03:00) Montevideo</v>
          </cell>
          <cell r="U41" t="str">
            <v>GOV</v>
          </cell>
          <cell r="V41">
            <v>1</v>
          </cell>
          <cell r="W41">
            <v>5</v>
          </cell>
          <cell r="X41">
            <v>7</v>
          </cell>
          <cell r="Y41">
            <v>8</v>
          </cell>
          <cell r="Z41">
            <v>8</v>
          </cell>
        </row>
        <row r="42">
          <cell r="B42" t="str">
            <v>Cambodia</v>
          </cell>
          <cell r="D42" t="str">
            <v>(F-41) Construction - Construction of buildings</v>
          </cell>
          <cell r="N42" t="str">
            <v>(UTC-03:00) Greenland</v>
          </cell>
          <cell r="U42" t="str">
            <v>II</v>
          </cell>
          <cell r="V42">
            <v>1</v>
          </cell>
          <cell r="W42">
            <v>3</v>
          </cell>
          <cell r="X42">
            <v>6</v>
          </cell>
          <cell r="Y42">
            <v>6</v>
          </cell>
          <cell r="Z42">
            <v>6</v>
          </cell>
        </row>
        <row r="43">
          <cell r="B43" t="str">
            <v>Cameroon</v>
          </cell>
          <cell r="D43" t="str">
            <v>(F-42) Construction - Civil engineering</v>
          </cell>
          <cell r="N43" t="str">
            <v>(UTC-03:00) City of Buenos Aires</v>
          </cell>
          <cell r="U43" t="str">
            <v>MC</v>
          </cell>
          <cell r="V43">
            <v>2</v>
          </cell>
          <cell r="W43">
            <v>6</v>
          </cell>
          <cell r="X43">
            <v>10</v>
          </cell>
          <cell r="Y43">
            <v>10</v>
          </cell>
          <cell r="Z43">
            <v>10</v>
          </cell>
        </row>
        <row r="44">
          <cell r="B44" t="str">
            <v>Canada</v>
          </cell>
          <cell r="D44" t="str">
            <v>(F-43) Construction - Specialized construction activities</v>
          </cell>
          <cell r="N44" t="str">
            <v>(UTC-03:00) Cayenne, Fortaleza</v>
          </cell>
          <cell r="U44" t="str">
            <v>MPM</v>
          </cell>
          <cell r="V44">
            <v>2</v>
          </cell>
          <cell r="W44">
            <v>8</v>
          </cell>
          <cell r="X44">
            <v>14</v>
          </cell>
          <cell r="Y44">
            <v>19</v>
          </cell>
          <cell r="Z44">
            <v>22</v>
          </cell>
        </row>
        <row r="45">
          <cell r="B45" t="str">
            <v>Canary Islands</v>
          </cell>
          <cell r="D45" t="str">
            <v>(G-45) Wholesale and retail trade; repair of motor vehicles and motorcycles - Wholesale and retail trade and repair of motor vehicles and motorcycles</v>
          </cell>
          <cell r="N45" t="str">
            <v>(UTC-03:00) Brasilia</v>
          </cell>
          <cell r="U45" t="str">
            <v>OT</v>
          </cell>
          <cell r="V45">
            <v>1</v>
          </cell>
          <cell r="W45">
            <v>3</v>
          </cell>
          <cell r="X45">
            <v>9</v>
          </cell>
          <cell r="Y45">
            <v>9</v>
          </cell>
          <cell r="Z45">
            <v>9</v>
          </cell>
        </row>
        <row r="46">
          <cell r="B46" t="str">
            <v>Cape Verde</v>
          </cell>
          <cell r="D46" t="str">
            <v>(G-46) Wholesale and retail trade; repair of motor vehicles and motorcycles - Wholesale trade, except of motor vehicles and motorcycles</v>
          </cell>
          <cell r="N46" t="str">
            <v>(UTC-03:00) Araguaina</v>
          </cell>
          <cell r="U46" t="str">
            <v>PAD</v>
          </cell>
          <cell r="V46">
            <v>1</v>
          </cell>
          <cell r="W46">
            <v>4</v>
          </cell>
          <cell r="X46">
            <v>11</v>
          </cell>
          <cell r="Y46">
            <v>11</v>
          </cell>
          <cell r="Z46">
            <v>11</v>
          </cell>
        </row>
        <row r="47">
          <cell r="B47" t="str">
            <v>Caribbean Netherlands</v>
          </cell>
          <cell r="D47" t="str">
            <v>(G-47) Wholesale and retail trade; repair of motor vehicles and motorcycles - Retail trade, except of motor vehicles and motorcycles</v>
          </cell>
          <cell r="N47" t="str">
            <v>(UTC-02:00) Mid-Atlantic - Old</v>
          </cell>
          <cell r="U47" t="str">
            <v>PCM</v>
          </cell>
          <cell r="V47">
            <v>3</v>
          </cell>
          <cell r="W47">
            <v>5</v>
          </cell>
          <cell r="X47">
            <v>11</v>
          </cell>
          <cell r="Y47">
            <v>11</v>
          </cell>
          <cell r="Z47">
            <v>11</v>
          </cell>
        </row>
        <row r="48">
          <cell r="B48" t="str">
            <v>Cayman Islands</v>
          </cell>
          <cell r="D48" t="str">
            <v>(H-49) Transportation and storage - Land transport and transport via pipelines</v>
          </cell>
          <cell r="N48" t="str">
            <v>(UTC-02:00) Coordinated Universal Time-02</v>
          </cell>
          <cell r="U48" t="str">
            <v>PI</v>
          </cell>
          <cell r="V48">
            <v>1</v>
          </cell>
          <cell r="W48">
            <v>7</v>
          </cell>
          <cell r="X48">
            <v>10</v>
          </cell>
          <cell r="Y48">
            <v>10</v>
          </cell>
          <cell r="Z48">
            <v>10</v>
          </cell>
        </row>
        <row r="49">
          <cell r="B49" t="str">
            <v>Central African Republic</v>
          </cell>
          <cell r="D49" t="str">
            <v>(H-50) Transportation and storage - Water transport</v>
          </cell>
          <cell r="N49" t="str">
            <v>(UTC-01:00) Cabo Verde Is.</v>
          </cell>
          <cell r="U49" t="str">
            <v>PLAN</v>
          </cell>
          <cell r="V49">
            <v>2</v>
          </cell>
          <cell r="W49">
            <v>10</v>
          </cell>
          <cell r="X49">
            <v>14</v>
          </cell>
          <cell r="Y49">
            <v>15</v>
          </cell>
          <cell r="Z49">
            <v>15</v>
          </cell>
        </row>
        <row r="50">
          <cell r="B50" t="str">
            <v>Ceuta &amp; Melilla</v>
          </cell>
          <cell r="D50" t="str">
            <v>(H-51) Transportation and storage - Air transport</v>
          </cell>
          <cell r="N50" t="str">
            <v>(UTC-01:00) Azores</v>
          </cell>
          <cell r="U50" t="str">
            <v>PQA</v>
          </cell>
          <cell r="V50">
            <v>1</v>
          </cell>
          <cell r="W50">
            <v>5</v>
          </cell>
          <cell r="X50">
            <v>6</v>
          </cell>
          <cell r="Y50">
            <v>6</v>
          </cell>
          <cell r="Z50">
            <v>6</v>
          </cell>
        </row>
        <row r="51">
          <cell r="B51" t="str">
            <v>Chad</v>
          </cell>
          <cell r="D51" t="str">
            <v>(H-52) Transportation and storage - Warehousing and support activities for transportation</v>
          </cell>
          <cell r="N51" t="str">
            <v>(UTC+00:00) Dublin, Edinburgh, Lisbon, London</v>
          </cell>
          <cell r="U51" t="str">
            <v>PR</v>
          </cell>
          <cell r="V51">
            <v>1</v>
          </cell>
          <cell r="W51">
            <v>5</v>
          </cell>
          <cell r="X51">
            <v>6</v>
          </cell>
          <cell r="Y51">
            <v>6</v>
          </cell>
          <cell r="Z51">
            <v>6</v>
          </cell>
        </row>
        <row r="52">
          <cell r="B52" t="str">
            <v>Chile</v>
          </cell>
          <cell r="D52" t="str">
            <v>(H-53) Transportation and storage - Postal and courier activities</v>
          </cell>
          <cell r="N52" t="str">
            <v>(UTC+00:00) Monrovia, Reykjavik</v>
          </cell>
          <cell r="U52" t="str">
            <v>RDM</v>
          </cell>
          <cell r="V52">
            <v>1</v>
          </cell>
          <cell r="W52">
            <v>7</v>
          </cell>
          <cell r="X52">
            <v>14</v>
          </cell>
          <cell r="Y52">
            <v>14</v>
          </cell>
          <cell r="Z52">
            <v>14</v>
          </cell>
        </row>
        <row r="53">
          <cell r="B53" t="str">
            <v>China</v>
          </cell>
          <cell r="D53" t="str">
            <v>(I-55) Accommodation and food service activities - Accommodation</v>
          </cell>
          <cell r="N53" t="str">
            <v>(UTC+00:00) Sao Tome</v>
          </cell>
          <cell r="U53" t="str">
            <v>RSK</v>
          </cell>
          <cell r="V53">
            <v>1</v>
          </cell>
          <cell r="W53">
            <v>3</v>
          </cell>
          <cell r="X53">
            <v>8</v>
          </cell>
          <cell r="Y53">
            <v>8</v>
          </cell>
          <cell r="Z53">
            <v>8</v>
          </cell>
        </row>
        <row r="54">
          <cell r="B54" t="str">
            <v>Christmas Island</v>
          </cell>
          <cell r="D54" t="str">
            <v>(I-56) Accommodation and food service activities - Food and beverage service activities</v>
          </cell>
          <cell r="N54" t="str">
            <v>(UTC+01:00) Amsterdam, Berlin, Bern, Rome, Stockholm, Vienna</v>
          </cell>
          <cell r="U54" t="str">
            <v>SAM</v>
          </cell>
          <cell r="V54">
            <v>3</v>
          </cell>
          <cell r="W54">
            <v>7</v>
          </cell>
          <cell r="X54">
            <v>9</v>
          </cell>
          <cell r="Y54">
            <v>9</v>
          </cell>
          <cell r="Z54">
            <v>9</v>
          </cell>
        </row>
        <row r="55">
          <cell r="B55" t="str">
            <v>Cocos (Keeling) Islands</v>
          </cell>
          <cell r="D55" t="str">
            <v>(J-58) Information and communication - Publishing activities</v>
          </cell>
          <cell r="N55" t="str">
            <v>(UTC+01:00) Belgrade, Bratislava, Budapest, Ljubljana, Prague</v>
          </cell>
          <cell r="U55" t="str">
            <v>TS</v>
          </cell>
          <cell r="V55">
            <v>1</v>
          </cell>
          <cell r="W55">
            <v>4</v>
          </cell>
          <cell r="X55">
            <v>10</v>
          </cell>
          <cell r="Y55">
            <v>10</v>
          </cell>
          <cell r="Z55">
            <v>10</v>
          </cell>
        </row>
        <row r="56">
          <cell r="B56" t="str">
            <v>Colombia</v>
          </cell>
          <cell r="D56" t="str">
            <v>(J-59) Information and communication - Motion picture, video and television programme production, sound recording and music publishing activities</v>
          </cell>
          <cell r="N56" t="str">
            <v>(UTC+01:00) Brussels, Copenhagen, Madrid, Paris</v>
          </cell>
          <cell r="U56" t="str">
            <v>VV</v>
          </cell>
          <cell r="V56">
            <v>2</v>
          </cell>
          <cell r="W56">
            <v>5</v>
          </cell>
          <cell r="X56">
            <v>7</v>
          </cell>
          <cell r="Y56">
            <v>7</v>
          </cell>
          <cell r="Z56">
            <v>7</v>
          </cell>
        </row>
        <row r="57">
          <cell r="B57" t="str">
            <v>Comoros</v>
          </cell>
          <cell r="D57" t="str">
            <v>(J-60) Information and communication - Programming and broadcasting activities</v>
          </cell>
          <cell r="N57" t="str">
            <v>(UTC+01:00) Casablanca</v>
          </cell>
        </row>
        <row r="58">
          <cell r="B58" t="str">
            <v>Congo - Brazzaville</v>
          </cell>
          <cell r="D58" t="str">
            <v>(J-61) Information and communication - Telecommunications</v>
          </cell>
          <cell r="N58" t="str">
            <v>(UTC+01:00) Sarajevo, Skopje, Warsaw, Zagreb</v>
          </cell>
        </row>
        <row r="59">
          <cell r="B59" t="str">
            <v>Congo - Kinshasa</v>
          </cell>
          <cell r="D59" t="str">
            <v>(J-62) Information and communication - Computer programming, consultancy and related activities</v>
          </cell>
          <cell r="N59" t="str">
            <v>(UTC+01:00) West Central Africa</v>
          </cell>
        </row>
        <row r="60">
          <cell r="B60" t="str">
            <v>Cook Islands</v>
          </cell>
          <cell r="D60" t="str">
            <v>(J-63) Information and communication - Information service activities</v>
          </cell>
          <cell r="N60" t="str">
            <v>(UTC+02:00) Amman</v>
          </cell>
        </row>
        <row r="61">
          <cell r="B61" t="str">
            <v>Costa Rica</v>
          </cell>
          <cell r="D61" t="str">
            <v>(K-64) Financial and insurance activities - Financial service activities, except insurance and pension funding</v>
          </cell>
          <cell r="N61" t="str">
            <v>(UTC+02:00) Athens, Bucharest</v>
          </cell>
        </row>
        <row r="62">
          <cell r="B62" t="str">
            <v>Côte d’Ivoire</v>
          </cell>
          <cell r="D62" t="str">
            <v>(K-65) Financial and insurance activities - Insurance, reinsurance and pension funding, except compulsory social security</v>
          </cell>
          <cell r="N62" t="str">
            <v>(UTC+02:00) Beirut</v>
          </cell>
        </row>
        <row r="63">
          <cell r="B63" t="str">
            <v>Croatia</v>
          </cell>
          <cell r="D63" t="str">
            <v>(K-66) Financial and insurance activities - Activities auxiliary to financial service and insurance activities</v>
          </cell>
          <cell r="N63" t="str">
            <v>(UTC+02:00) Cairo</v>
          </cell>
        </row>
        <row r="64">
          <cell r="B64" t="str">
            <v>Cuba</v>
          </cell>
          <cell r="D64" t="str">
            <v>(L-68) Real estate activities</v>
          </cell>
          <cell r="N64" t="str">
            <v>(UTC+02:00) Chisinau</v>
          </cell>
        </row>
        <row r="65">
          <cell r="B65" t="str">
            <v>Curaçao</v>
          </cell>
          <cell r="D65" t="str">
            <v>(M-69) Professional, scientific and technical activities - Legal and accounting activities</v>
          </cell>
          <cell r="N65" t="str">
            <v>(UTC+02:00) Damascus</v>
          </cell>
        </row>
        <row r="66">
          <cell r="B66" t="str">
            <v>Cyprus</v>
          </cell>
          <cell r="D66" t="str">
            <v>(M-70) Professional, scientific and technical activities - Activities of head offices; management consultancy activities</v>
          </cell>
          <cell r="N66" t="str">
            <v>(UTC+02:00) Gaza, Hebron</v>
          </cell>
        </row>
        <row r="67">
          <cell r="B67" t="str">
            <v>Czechia</v>
          </cell>
          <cell r="D67" t="str">
            <v>(M-71) Professional, scientific and technical activities - Architectural and engineering activities; technical testing and analysis</v>
          </cell>
          <cell r="N67" t="str">
            <v>(UTC+02:00) Harare, Pretoria</v>
          </cell>
        </row>
        <row r="68">
          <cell r="B68" t="str">
            <v>Denmark</v>
          </cell>
          <cell r="D68" t="str">
            <v>(M-72) Professional, scientific and technical activities - Scientific research and development</v>
          </cell>
          <cell r="N68" t="str">
            <v>(UTC+02:00) Helsinki, Kyiv, Riga, Sofia, Tallinn, Vilnius</v>
          </cell>
        </row>
        <row r="69">
          <cell r="B69" t="str">
            <v>Diego Garcia</v>
          </cell>
          <cell r="D69" t="str">
            <v>(M-73) Professional, scientific and technical activities - Advertising and market research</v>
          </cell>
          <cell r="N69" t="str">
            <v>(UTC+02:00) Jerusalem</v>
          </cell>
        </row>
        <row r="70">
          <cell r="B70" t="str">
            <v>Djibouti</v>
          </cell>
          <cell r="D70" t="str">
            <v>(M-74) Professional, scientific and technical activities - Other professional, scientific and technical activities</v>
          </cell>
          <cell r="N70" t="str">
            <v>(UTC+02:00) Kaliningrad</v>
          </cell>
        </row>
        <row r="71">
          <cell r="B71" t="str">
            <v>Dominica</v>
          </cell>
          <cell r="D71" t="str">
            <v>(M-75) Professional, scientific and technical activities - Veterinary activities</v>
          </cell>
          <cell r="N71" t="str">
            <v>(UTC+02:00) Khartoum</v>
          </cell>
        </row>
        <row r="72">
          <cell r="B72" t="str">
            <v>Dominican Republic</v>
          </cell>
          <cell r="D72" t="str">
            <v>(N-77) Administrative and support service activities - Rental and leasing activities</v>
          </cell>
          <cell r="N72" t="str">
            <v>(UTC+02:00) Tripoli</v>
          </cell>
        </row>
        <row r="73">
          <cell r="B73" t="str">
            <v>Ecuador</v>
          </cell>
          <cell r="D73" t="str">
            <v>(N-78) Administrative and support service activities - Employment activities</v>
          </cell>
          <cell r="N73" t="str">
            <v>(UTC+02:00) Windhoek</v>
          </cell>
        </row>
        <row r="74">
          <cell r="B74" t="str">
            <v>Egypt</v>
          </cell>
          <cell r="D74" t="str">
            <v>(N-79) Administrative and support service activities - Travel agency, tour operator, reservation service and related activities</v>
          </cell>
          <cell r="N74" t="str">
            <v>(UTC+03:00) Baghdad</v>
          </cell>
        </row>
        <row r="75">
          <cell r="B75" t="str">
            <v>El Salvador</v>
          </cell>
          <cell r="D75" t="str">
            <v>(N-80) Administrative and support service activities - Security and investigation activities</v>
          </cell>
          <cell r="N75" t="str">
            <v>(UTC+03:00) Istanbul</v>
          </cell>
        </row>
        <row r="76">
          <cell r="B76" t="str">
            <v>Equatorial Guinea</v>
          </cell>
          <cell r="D76" t="str">
            <v>(N-81) Administrative and support service activities - Services to buildings and landscape activities</v>
          </cell>
          <cell r="N76" t="str">
            <v>(UTC+03:00) Kuwait, Riyadh</v>
          </cell>
        </row>
        <row r="77">
          <cell r="B77" t="str">
            <v>Eritrea</v>
          </cell>
          <cell r="D77" t="str">
            <v>(N-82) Administrative and support service activities - Office administrative, office support and other business support activities</v>
          </cell>
          <cell r="N77" t="str">
            <v>(UTC+03:00) Minsk</v>
          </cell>
        </row>
        <row r="78">
          <cell r="B78" t="str">
            <v>Estonia</v>
          </cell>
          <cell r="D78" t="str">
            <v>(O-84) Public administration and defence; compulsory social security</v>
          </cell>
          <cell r="N78" t="str">
            <v>(UTC+03:00) Moscow, St. Petersburg</v>
          </cell>
        </row>
        <row r="79">
          <cell r="B79" t="str">
            <v>Ethiopia</v>
          </cell>
          <cell r="D79" t="str">
            <v>(P-85) Education</v>
          </cell>
          <cell r="N79" t="str">
            <v>(UTC+03:00) Nairobi</v>
          </cell>
        </row>
        <row r="80">
          <cell r="B80" t="str">
            <v>Eurozone</v>
          </cell>
          <cell r="D80" t="str">
            <v>(Q-86) Human health and social work activities - Human health activities</v>
          </cell>
          <cell r="N80" t="str">
            <v>(UTC+03:30) Tehran</v>
          </cell>
        </row>
        <row r="81">
          <cell r="B81" t="str">
            <v>Falkland Islands</v>
          </cell>
          <cell r="D81" t="str">
            <v>(Q-87) Human health and social work activities - Residential care activities</v>
          </cell>
          <cell r="N81" t="str">
            <v>(UTC+04:00) Abu Dhabi, Muscat</v>
          </cell>
        </row>
        <row r="82">
          <cell r="B82" t="str">
            <v>Faroe Islands</v>
          </cell>
          <cell r="D82" t="str">
            <v>(Q-88) Human health and social work activities - Social work activities without accommodation</v>
          </cell>
          <cell r="N82" t="str">
            <v>(UTC+04:00) Astrakhan, Ulyanovsk</v>
          </cell>
        </row>
        <row r="83">
          <cell r="B83" t="str">
            <v>Fiji</v>
          </cell>
          <cell r="D83" t="str">
            <v>(R-90) Arts, entertainment and recreation - Creative, arts and entertainment activities</v>
          </cell>
          <cell r="N83" t="str">
            <v>(UTC+04:00) Baku</v>
          </cell>
        </row>
        <row r="84">
          <cell r="B84" t="str">
            <v>Finland</v>
          </cell>
          <cell r="D84" t="str">
            <v>(R-91) Arts, entertainment and recreation - Libraries, archives, museums and other cultural activities</v>
          </cell>
          <cell r="N84" t="str">
            <v>(UTC+04:00) Izhevsk, Samara</v>
          </cell>
        </row>
        <row r="85">
          <cell r="B85" t="str">
            <v>France</v>
          </cell>
          <cell r="D85" t="str">
            <v>(R-92) Arts, entertainment and recreation - Gambling and betting activities</v>
          </cell>
          <cell r="N85" t="str">
            <v>(UTC+04:00) Port Louis</v>
          </cell>
        </row>
        <row r="86">
          <cell r="B86" t="str">
            <v>French Guiana</v>
          </cell>
          <cell r="D86" t="str">
            <v>(R-93) Arts, entertainment and recreation - Sports activities and amusement and recreation activities</v>
          </cell>
          <cell r="N86" t="str">
            <v>(UTC+04:00) Saratov</v>
          </cell>
        </row>
        <row r="87">
          <cell r="B87" t="str">
            <v>French Polynesia</v>
          </cell>
          <cell r="D87" t="str">
            <v>(S-94) Other service activities - Activities of membership organizations</v>
          </cell>
          <cell r="N87" t="str">
            <v>(UTC+04:00) Tbilisi</v>
          </cell>
        </row>
        <row r="88">
          <cell r="B88" t="str">
            <v>French Southern Territories</v>
          </cell>
          <cell r="D88" t="str">
            <v>(S-95) Other service activities - Repair of computers and personal and household goods</v>
          </cell>
          <cell r="N88" t="str">
            <v>(UTC+04:00) Volgograd</v>
          </cell>
        </row>
        <row r="89">
          <cell r="B89" t="str">
            <v>Gabon</v>
          </cell>
          <cell r="D89" t="str">
            <v>(S-96) Other service activities - Other personal service activities</v>
          </cell>
          <cell r="N89" t="str">
            <v>(UTC+04:00) Yerevan</v>
          </cell>
        </row>
        <row r="90">
          <cell r="B90" t="str">
            <v>Gambia</v>
          </cell>
          <cell r="D90" t="str">
            <v>(T-97) Activities of households as employers; undifferentiated goods- and services-producing activities of households for own use - Activities of households as employers of domestic personnel</v>
          </cell>
          <cell r="N90" t="str">
            <v>(UTC+04:30) Kabul</v>
          </cell>
        </row>
        <row r="91">
          <cell r="B91" t="str">
            <v>Georgia</v>
          </cell>
          <cell r="D91" t="str">
            <v>(T-98) Activities of households as employers; undifferentiated goods- and services-producing activities of households for own use - Undifferentiated goods- and services-producing activities of private households for own use</v>
          </cell>
          <cell r="N91" t="str">
            <v>(UTC+05:00) Ashgabat, Tashkent</v>
          </cell>
        </row>
        <row r="92">
          <cell r="B92" t="str">
            <v>Germany</v>
          </cell>
          <cell r="D92" t="str">
            <v>(U-99) Activities of extraterritorial organizations and bodies</v>
          </cell>
          <cell r="N92" t="str">
            <v>(UTC+05:00) Ekaterinburg</v>
          </cell>
        </row>
        <row r="93">
          <cell r="B93" t="str">
            <v>Ghana</v>
          </cell>
          <cell r="N93" t="str">
            <v>(UTC+05:00) Islamabad, Karachi</v>
          </cell>
        </row>
        <row r="94">
          <cell r="B94" t="str">
            <v>Gibraltar</v>
          </cell>
          <cell r="N94" t="str">
            <v>(UTC+05:00) Qyzylorda</v>
          </cell>
        </row>
        <row r="95">
          <cell r="B95" t="str">
            <v>Greece</v>
          </cell>
          <cell r="N95" t="str">
            <v>(UTC+05:30) Chennai, Kolkata, Mumbai, New Delhi</v>
          </cell>
        </row>
        <row r="96">
          <cell r="B96" t="str">
            <v>Greenland</v>
          </cell>
          <cell r="N96" t="str">
            <v>(UTC+05:30) Sri Jayawardenepura</v>
          </cell>
        </row>
        <row r="97">
          <cell r="B97" t="str">
            <v>Grenada</v>
          </cell>
          <cell r="N97" t="str">
            <v>(UTC+05:45) Kathmandu</v>
          </cell>
        </row>
        <row r="98">
          <cell r="B98" t="str">
            <v>Guadeloupe</v>
          </cell>
          <cell r="N98" t="str">
            <v>(UTC+06:00) Astana</v>
          </cell>
        </row>
        <row r="99">
          <cell r="B99" t="str">
            <v>Guam</v>
          </cell>
          <cell r="N99" t="str">
            <v>(UTC+06:00) Dhaka</v>
          </cell>
        </row>
        <row r="100">
          <cell r="B100" t="str">
            <v>Guatemala</v>
          </cell>
          <cell r="N100" t="str">
            <v>(UTC+06:00) Omsk</v>
          </cell>
        </row>
        <row r="101">
          <cell r="B101" t="str">
            <v>Guernsey</v>
          </cell>
          <cell r="N101" t="str">
            <v>(UTC+06:30) Yangon (Rangoon)</v>
          </cell>
        </row>
        <row r="102">
          <cell r="B102" t="str">
            <v>Guinea</v>
          </cell>
          <cell r="N102" t="str">
            <v>(UTC+07:00) Bangkok, Hanoi, Jakarta</v>
          </cell>
        </row>
        <row r="103">
          <cell r="B103" t="str">
            <v>Guinea-Bissau</v>
          </cell>
          <cell r="N103" t="str">
            <v>(UTC+07:00) Barnaul, Gorno-Altaysk</v>
          </cell>
        </row>
        <row r="104">
          <cell r="B104" t="str">
            <v>Guyana</v>
          </cell>
          <cell r="N104" t="str">
            <v>(UTC+07:00) Hovd</v>
          </cell>
        </row>
        <row r="105">
          <cell r="B105" t="str">
            <v>Haiti</v>
          </cell>
          <cell r="N105" t="str">
            <v>(UTC+07:00) Krasnoyarsk</v>
          </cell>
        </row>
        <row r="106">
          <cell r="B106" t="str">
            <v>Honduras</v>
          </cell>
          <cell r="N106" t="str">
            <v>(UTC+07:00) Novosibirsk</v>
          </cell>
        </row>
        <row r="107">
          <cell r="B107" t="str">
            <v>Hong Kong SAR China</v>
          </cell>
          <cell r="N107" t="str">
            <v>(UTC+07:00) Tomsk</v>
          </cell>
        </row>
        <row r="108">
          <cell r="B108" t="str">
            <v>Hungary</v>
          </cell>
          <cell r="N108" t="str">
            <v>(UTC+08:00) Beijing, Chongqing, Hong Kong, Urumqi</v>
          </cell>
        </row>
        <row r="109">
          <cell r="B109" t="str">
            <v>Iceland</v>
          </cell>
          <cell r="N109" t="str">
            <v>(UTC+08:00) Irkutsk</v>
          </cell>
        </row>
        <row r="110">
          <cell r="B110" t="str">
            <v>India</v>
          </cell>
          <cell r="N110" t="str">
            <v>(UTC+08:00) Kuala Lumpur, Singapore</v>
          </cell>
        </row>
        <row r="111">
          <cell r="B111" t="str">
            <v>Indonesia</v>
          </cell>
          <cell r="N111" t="str">
            <v>(UTC+08:00) Perth</v>
          </cell>
        </row>
        <row r="112">
          <cell r="B112" t="str">
            <v>Iran</v>
          </cell>
          <cell r="N112" t="str">
            <v>(UTC+08:00) Taipei</v>
          </cell>
        </row>
        <row r="113">
          <cell r="B113" t="str">
            <v>Iraq</v>
          </cell>
          <cell r="N113" t="str">
            <v>(UTC+08:00) Ulaanbaatar</v>
          </cell>
        </row>
        <row r="114">
          <cell r="B114" t="str">
            <v>Ireland</v>
          </cell>
          <cell r="N114" t="str">
            <v>(UTC+08:45) Eucla</v>
          </cell>
        </row>
        <row r="115">
          <cell r="B115" t="str">
            <v>Isle of Man</v>
          </cell>
          <cell r="N115" t="str">
            <v>(UTC+09:00) Chita</v>
          </cell>
        </row>
        <row r="116">
          <cell r="B116" t="str">
            <v>Israel</v>
          </cell>
          <cell r="N116" t="str">
            <v>(UTC+09:00) Osaka, Sapporo, Tokyo</v>
          </cell>
        </row>
        <row r="117">
          <cell r="B117" t="str">
            <v>Italy</v>
          </cell>
          <cell r="N117" t="str">
            <v>(UTC+09:00) Pyongyang</v>
          </cell>
        </row>
        <row r="118">
          <cell r="B118" t="str">
            <v>Jamaica</v>
          </cell>
          <cell r="N118" t="str">
            <v>(UTC+09:00) Seoul</v>
          </cell>
        </row>
        <row r="119">
          <cell r="B119" t="str">
            <v>Japan</v>
          </cell>
          <cell r="N119" t="str">
            <v>(UTC+09:00) Yakutsk</v>
          </cell>
        </row>
        <row r="120">
          <cell r="B120" t="str">
            <v>Jersey</v>
          </cell>
          <cell r="N120" t="str">
            <v>(UTC+09:30) Adelaide</v>
          </cell>
        </row>
        <row r="121">
          <cell r="B121" t="str">
            <v>Jordan</v>
          </cell>
          <cell r="N121" t="str">
            <v>(UTC+09:30) Darwin</v>
          </cell>
        </row>
        <row r="122">
          <cell r="B122" t="str">
            <v>Kazakhstan</v>
          </cell>
          <cell r="N122" t="str">
            <v>(UTC+10:00) Brisbane</v>
          </cell>
        </row>
        <row r="123">
          <cell r="B123" t="str">
            <v>Kenya</v>
          </cell>
          <cell r="N123" t="str">
            <v>(UTC+10:00) Canberra, Melbourne, Sydney</v>
          </cell>
        </row>
        <row r="124">
          <cell r="B124" t="str">
            <v>Kiribati</v>
          </cell>
          <cell r="N124" t="str">
            <v>(UTC+10:00) Guam, Port Moresby</v>
          </cell>
        </row>
        <row r="125">
          <cell r="B125" t="str">
            <v>Kosovo</v>
          </cell>
          <cell r="N125" t="str">
            <v>(UTC+10:00) Hobart</v>
          </cell>
        </row>
        <row r="126">
          <cell r="B126" t="str">
            <v>Kuwait</v>
          </cell>
          <cell r="N126" t="str">
            <v>(UTC+10:00) Vladivostok</v>
          </cell>
        </row>
        <row r="127">
          <cell r="B127" t="str">
            <v>Kyrgyzstan</v>
          </cell>
          <cell r="N127" t="str">
            <v>(UTC+10:30) Lord Howe Island</v>
          </cell>
        </row>
        <row r="128">
          <cell r="B128" t="str">
            <v>Laos</v>
          </cell>
          <cell r="N128" t="str">
            <v>(UTC+11:00) Bougainville Island</v>
          </cell>
        </row>
        <row r="129">
          <cell r="B129" t="str">
            <v>Latvia</v>
          </cell>
          <cell r="N129" t="str">
            <v>(UTC+11:00) Chokurdakh</v>
          </cell>
        </row>
        <row r="130">
          <cell r="B130" t="str">
            <v>Lebanon</v>
          </cell>
          <cell r="N130" t="str">
            <v>(UTC+11:00) Magadan</v>
          </cell>
        </row>
        <row r="131">
          <cell r="B131" t="str">
            <v>Lesotho</v>
          </cell>
          <cell r="N131" t="str">
            <v>(UTC+11:00) Norfolk Island</v>
          </cell>
        </row>
        <row r="132">
          <cell r="B132" t="str">
            <v>Liberia</v>
          </cell>
          <cell r="N132" t="str">
            <v>(UTC+11:00) Sakhalin</v>
          </cell>
        </row>
        <row r="133">
          <cell r="B133" t="str">
            <v>Libya</v>
          </cell>
          <cell r="N133" t="str">
            <v>(UTC+11:00) Solomon Is., New Caledonia</v>
          </cell>
        </row>
        <row r="134">
          <cell r="B134" t="str">
            <v>Liechtenstein</v>
          </cell>
          <cell r="N134" t="str">
            <v>(UTC+12:00) Anadyr, Petropavlovsk-Kamchatsky</v>
          </cell>
        </row>
        <row r="135">
          <cell r="B135" t="str">
            <v>Lithuania</v>
          </cell>
          <cell r="N135" t="str">
            <v>(UTC+12:00) Auckland, Wellington</v>
          </cell>
        </row>
        <row r="136">
          <cell r="B136" t="str">
            <v>Luxembourg</v>
          </cell>
          <cell r="N136" t="str">
            <v>(UTC+12:00) Coordinated Universal Time+12</v>
          </cell>
        </row>
        <row r="137">
          <cell r="B137" t="str">
            <v>Macau SAR China</v>
          </cell>
          <cell r="N137" t="str">
            <v>(UTC+12:00) Fiji</v>
          </cell>
        </row>
        <row r="138">
          <cell r="B138" t="str">
            <v>Macedonia</v>
          </cell>
          <cell r="N138" t="str">
            <v>(UTC+12:00) Petropavlovsk-Kamchatsky - Old</v>
          </cell>
        </row>
        <row r="139">
          <cell r="B139" t="str">
            <v>Madagascar</v>
          </cell>
          <cell r="N139" t="str">
            <v>(UTC+12:45) Chatham Islands</v>
          </cell>
        </row>
        <row r="140">
          <cell r="B140" t="str">
            <v>Malawi</v>
          </cell>
          <cell r="N140" t="str">
            <v>(UTC+13:00) Coordinated Universal Time+13</v>
          </cell>
        </row>
        <row r="141">
          <cell r="B141" t="str">
            <v>Malaysia</v>
          </cell>
          <cell r="N141" t="str">
            <v>(UTC+13:00) Nuku'alofa</v>
          </cell>
        </row>
        <row r="142">
          <cell r="B142" t="str">
            <v>Maldives</v>
          </cell>
          <cell r="N142" t="str">
            <v>(UTC+13:00) Samoa</v>
          </cell>
        </row>
        <row r="143">
          <cell r="B143" t="str">
            <v>Mali</v>
          </cell>
          <cell r="N143" t="str">
            <v>(UTC+14:00) Kiritimati Island</v>
          </cell>
        </row>
        <row r="144">
          <cell r="B144" t="str">
            <v>Malta</v>
          </cell>
        </row>
        <row r="145">
          <cell r="B145" t="str">
            <v>Marshall Islands</v>
          </cell>
        </row>
        <row r="146">
          <cell r="B146" t="str">
            <v>Martinique</v>
          </cell>
        </row>
        <row r="147">
          <cell r="B147" t="str">
            <v>Mauritania</v>
          </cell>
        </row>
        <row r="148">
          <cell r="B148" t="str">
            <v>Mauritius</v>
          </cell>
        </row>
        <row r="149">
          <cell r="B149" t="str">
            <v>Mayotte</v>
          </cell>
        </row>
        <row r="150">
          <cell r="B150" t="str">
            <v>Mexico</v>
          </cell>
        </row>
        <row r="151">
          <cell r="B151" t="str">
            <v>Micronesia</v>
          </cell>
        </row>
        <row r="152">
          <cell r="B152" t="str">
            <v>Moldova</v>
          </cell>
        </row>
        <row r="153">
          <cell r="B153" t="str">
            <v>Monaco</v>
          </cell>
        </row>
        <row r="154">
          <cell r="B154" t="str">
            <v>Mongolia</v>
          </cell>
        </row>
        <row r="155">
          <cell r="B155" t="str">
            <v>Montenegro</v>
          </cell>
        </row>
        <row r="156">
          <cell r="B156" t="str">
            <v>Montserrat</v>
          </cell>
        </row>
        <row r="157">
          <cell r="B157" t="str">
            <v>Morocco</v>
          </cell>
        </row>
        <row r="158">
          <cell r="B158" t="str">
            <v>Mozambique</v>
          </cell>
        </row>
        <row r="159">
          <cell r="B159" t="str">
            <v>Myanmar (Burma)</v>
          </cell>
        </row>
        <row r="160">
          <cell r="B160" t="str">
            <v>Namibia</v>
          </cell>
        </row>
        <row r="161">
          <cell r="B161" t="str">
            <v>Nauru</v>
          </cell>
        </row>
        <row r="162">
          <cell r="B162" t="str">
            <v>Nepal</v>
          </cell>
        </row>
        <row r="163">
          <cell r="B163" t="str">
            <v>Netherlands</v>
          </cell>
        </row>
        <row r="164">
          <cell r="B164" t="str">
            <v>New Caledonia</v>
          </cell>
        </row>
        <row r="165">
          <cell r="B165" t="str">
            <v>New Zealand</v>
          </cell>
        </row>
        <row r="166">
          <cell r="B166" t="str">
            <v>Nicaragua</v>
          </cell>
        </row>
        <row r="167">
          <cell r="B167" t="str">
            <v>Niger</v>
          </cell>
        </row>
        <row r="168">
          <cell r="B168" t="str">
            <v>Nigeria</v>
          </cell>
        </row>
        <row r="169">
          <cell r="B169" t="str">
            <v>Niue</v>
          </cell>
        </row>
        <row r="170">
          <cell r="B170" t="str">
            <v>Norfolk Island</v>
          </cell>
        </row>
        <row r="171">
          <cell r="B171" t="str">
            <v>North Korea</v>
          </cell>
        </row>
        <row r="172">
          <cell r="B172" t="str">
            <v>Northern Mariana Islands</v>
          </cell>
        </row>
        <row r="173">
          <cell r="B173" t="str">
            <v>Norway</v>
          </cell>
        </row>
        <row r="174">
          <cell r="B174" t="str">
            <v>Oman</v>
          </cell>
        </row>
        <row r="175">
          <cell r="B175" t="str">
            <v>Pakistan</v>
          </cell>
        </row>
        <row r="176">
          <cell r="B176" t="str">
            <v>Palau</v>
          </cell>
        </row>
        <row r="177">
          <cell r="B177" t="str">
            <v>Palestinian Territories</v>
          </cell>
        </row>
        <row r="178">
          <cell r="B178" t="str">
            <v>Panama</v>
          </cell>
        </row>
        <row r="179">
          <cell r="B179" t="str">
            <v>Papua New Guinea</v>
          </cell>
        </row>
        <row r="180">
          <cell r="B180" t="str">
            <v>Paraguay</v>
          </cell>
        </row>
        <row r="181">
          <cell r="B181" t="str">
            <v>Peru</v>
          </cell>
        </row>
        <row r="182">
          <cell r="B182" t="str">
            <v>Philippines</v>
          </cell>
        </row>
        <row r="183">
          <cell r="B183" t="str">
            <v>Pitcairn Islands</v>
          </cell>
        </row>
        <row r="184">
          <cell r="B184" t="str">
            <v>Poland</v>
          </cell>
        </row>
        <row r="185">
          <cell r="B185" t="str">
            <v>Portugal</v>
          </cell>
        </row>
        <row r="186">
          <cell r="B186" t="str">
            <v>Puerto Rico</v>
          </cell>
        </row>
        <row r="187">
          <cell r="B187" t="str">
            <v>Qatar</v>
          </cell>
        </row>
        <row r="188">
          <cell r="B188" t="str">
            <v>Réunion</v>
          </cell>
        </row>
        <row r="189">
          <cell r="B189" t="str">
            <v>Romania</v>
          </cell>
        </row>
        <row r="190">
          <cell r="B190" t="str">
            <v>Russia</v>
          </cell>
        </row>
        <row r="191">
          <cell r="B191" t="str">
            <v>Rwanda</v>
          </cell>
        </row>
        <row r="192">
          <cell r="B192" t="str">
            <v>Samoa</v>
          </cell>
        </row>
        <row r="193">
          <cell r="B193" t="str">
            <v>San Marino</v>
          </cell>
        </row>
        <row r="194">
          <cell r="B194" t="str">
            <v>São Tomé &amp; Príncipe</v>
          </cell>
        </row>
        <row r="195">
          <cell r="B195" t="str">
            <v>Saudi Arabia</v>
          </cell>
        </row>
        <row r="196">
          <cell r="B196" t="str">
            <v>Senegal</v>
          </cell>
        </row>
        <row r="197">
          <cell r="B197" t="str">
            <v>Serbia</v>
          </cell>
        </row>
        <row r="198">
          <cell r="B198" t="str">
            <v>Seychelles</v>
          </cell>
        </row>
        <row r="199">
          <cell r="B199" t="str">
            <v>Sierra Leone</v>
          </cell>
        </row>
        <row r="200">
          <cell r="B200" t="str">
            <v>Singapore</v>
          </cell>
        </row>
        <row r="201">
          <cell r="B201" t="str">
            <v>Sint Maarten</v>
          </cell>
        </row>
        <row r="202">
          <cell r="B202" t="str">
            <v>Slovakia</v>
          </cell>
        </row>
        <row r="203">
          <cell r="B203" t="str">
            <v>Slovenia</v>
          </cell>
        </row>
        <row r="204">
          <cell r="B204" t="str">
            <v>Solomon Islands</v>
          </cell>
        </row>
        <row r="205">
          <cell r="B205" t="str">
            <v>Somalia</v>
          </cell>
        </row>
        <row r="206">
          <cell r="B206" t="str">
            <v>South Africa</v>
          </cell>
        </row>
        <row r="207">
          <cell r="B207" t="str">
            <v>South Georgia &amp; South Sandwich Islands</v>
          </cell>
        </row>
        <row r="208">
          <cell r="B208" t="str">
            <v>South Korea</v>
          </cell>
        </row>
        <row r="209">
          <cell r="B209" t="str">
            <v>South Sudan</v>
          </cell>
        </row>
        <row r="210">
          <cell r="B210" t="str">
            <v>Spain</v>
          </cell>
        </row>
        <row r="211">
          <cell r="B211" t="str">
            <v>Sri Lanka</v>
          </cell>
        </row>
        <row r="212">
          <cell r="B212" t="str">
            <v>St. Barthélemy</v>
          </cell>
        </row>
        <row r="213">
          <cell r="B213" t="str">
            <v>St. Helena</v>
          </cell>
        </row>
        <row r="214">
          <cell r="B214" t="str">
            <v>St. Kitts &amp; Nevis</v>
          </cell>
        </row>
        <row r="215">
          <cell r="B215" t="str">
            <v>St. Lucia</v>
          </cell>
        </row>
        <row r="216">
          <cell r="B216" t="str">
            <v>St. Martin</v>
          </cell>
        </row>
        <row r="217">
          <cell r="B217" t="str">
            <v>St. Pierre &amp; Miquelon</v>
          </cell>
        </row>
        <row r="218">
          <cell r="B218" t="str">
            <v>St. Vincent &amp; Grenadines</v>
          </cell>
        </row>
        <row r="219">
          <cell r="B219" t="str">
            <v>Sudan</v>
          </cell>
        </row>
        <row r="220">
          <cell r="B220" t="str">
            <v>Suriname</v>
          </cell>
        </row>
        <row r="221">
          <cell r="B221" t="str">
            <v>Svalbard &amp; Jan Mayen</v>
          </cell>
        </row>
        <row r="222">
          <cell r="B222" t="str">
            <v>Swaziland</v>
          </cell>
        </row>
        <row r="223">
          <cell r="B223" t="str">
            <v>Sweden</v>
          </cell>
        </row>
        <row r="224">
          <cell r="B224" t="str">
            <v>Switzerland</v>
          </cell>
        </row>
        <row r="225">
          <cell r="B225" t="str">
            <v>Syria</v>
          </cell>
        </row>
        <row r="226">
          <cell r="B226" t="str">
            <v>Taiwan</v>
          </cell>
        </row>
        <row r="227">
          <cell r="B227" t="str">
            <v>Tajikistan</v>
          </cell>
        </row>
        <row r="228">
          <cell r="B228" t="str">
            <v>Tanzania</v>
          </cell>
        </row>
        <row r="229">
          <cell r="B229" t="str">
            <v>Thailand</v>
          </cell>
        </row>
        <row r="230">
          <cell r="B230" t="str">
            <v>Timor,-Leste</v>
          </cell>
        </row>
        <row r="231">
          <cell r="B231" t="str">
            <v>Togo</v>
          </cell>
        </row>
        <row r="232">
          <cell r="B232" t="str">
            <v>Tokelau</v>
          </cell>
        </row>
        <row r="233">
          <cell r="B233" t="str">
            <v>Tonga</v>
          </cell>
        </row>
        <row r="234">
          <cell r="B234" t="str">
            <v>Trinidad &amp; Tobago</v>
          </cell>
        </row>
        <row r="235">
          <cell r="B235" t="str">
            <v>Tristan da Cunha</v>
          </cell>
        </row>
        <row r="236">
          <cell r="B236" t="str">
            <v>Tunisia</v>
          </cell>
        </row>
        <row r="237">
          <cell r="B237" t="str">
            <v>Turkey</v>
          </cell>
        </row>
        <row r="238">
          <cell r="B238" t="str">
            <v>Turkmenistan</v>
          </cell>
        </row>
        <row r="239">
          <cell r="B239" t="str">
            <v>Turks &amp; Caicos Islands</v>
          </cell>
        </row>
        <row r="240">
          <cell r="B240" t="str">
            <v>Tuvalu</v>
          </cell>
        </row>
        <row r="241">
          <cell r="B241" t="str">
            <v>U.S. Outlying Islands</v>
          </cell>
        </row>
        <row r="242">
          <cell r="B242" t="str">
            <v>U.S. Virgin Islands</v>
          </cell>
        </row>
        <row r="243">
          <cell r="B243" t="str">
            <v>Uganda</v>
          </cell>
        </row>
        <row r="244">
          <cell r="B244" t="str">
            <v>Ukraine</v>
          </cell>
        </row>
        <row r="245">
          <cell r="B245" t="str">
            <v>United Arab Emirates</v>
          </cell>
        </row>
        <row r="246">
          <cell r="B246" t="str">
            <v>United Kingdom</v>
          </cell>
        </row>
        <row r="247">
          <cell r="B247" t="str">
            <v>United States</v>
          </cell>
        </row>
        <row r="248">
          <cell r="B248" t="str">
            <v>Uruguay</v>
          </cell>
        </row>
        <row r="249">
          <cell r="B249" t="str">
            <v>Uzbekistan</v>
          </cell>
        </row>
        <row r="250">
          <cell r="B250" t="str">
            <v>Vanuatu</v>
          </cell>
        </row>
        <row r="251">
          <cell r="B251" t="str">
            <v>Vatican City</v>
          </cell>
        </row>
        <row r="252">
          <cell r="B252" t="str">
            <v>Venezuela</v>
          </cell>
        </row>
        <row r="253">
          <cell r="B253" t="str">
            <v>Vietnam</v>
          </cell>
        </row>
        <row r="254">
          <cell r="B254" t="str">
            <v>Wallis &amp; Futuna</v>
          </cell>
        </row>
        <row r="255">
          <cell r="B255" t="str">
            <v>Western Sahara</v>
          </cell>
        </row>
        <row r="256">
          <cell r="B256" t="str">
            <v>Yemen</v>
          </cell>
        </row>
        <row r="257">
          <cell r="B257" t="str">
            <v>Zambia</v>
          </cell>
        </row>
        <row r="258">
          <cell r="B258" t="str">
            <v xml:space="preserve">Zimbabwe </v>
          </cell>
        </row>
      </sheetData>
      <sheetData sheetId="4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Lookup"/>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le"/>
      <sheetName val="role"/>
      <sheetName val="Setup"/>
      <sheetName val="GOV"/>
      <sheetName val="II-Subgroup 1"/>
      <sheetName val="II-Subgroup 2"/>
      <sheetName val="CM"/>
      <sheetName val="PQA"/>
      <sheetName val="MPM"/>
      <sheetName val="CAR"/>
      <sheetName val="PAD"/>
      <sheetName val="PCM"/>
      <sheetName val="OT"/>
      <sheetName val="DAR"/>
      <sheetName val="EST"/>
      <sheetName val="MC"/>
      <sheetName val="PR"/>
      <sheetName val="PLAN"/>
      <sheetName val="RSK"/>
      <sheetName val="RDM"/>
      <sheetName val="PI"/>
      <sheetName val="TS"/>
      <sheetName val="VV"/>
      <sheetName val="SAM"/>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13" Type="http://schemas.openxmlformats.org/officeDocument/2006/relationships/ctrlProp" Target="../ctrlProps/ctrlProp4.xml"/><Relationship Id="rId18" Type="http://schemas.openxmlformats.org/officeDocument/2006/relationships/ctrlProp" Target="../ctrlProps/ctrlProp9.xml"/><Relationship Id="rId3" Type="http://schemas.openxmlformats.org/officeDocument/2006/relationships/hyperlink" Target="https://go.microsoft.com/fwlink/?linkid=866658" TargetMode="External"/><Relationship Id="rId21" Type="http://schemas.openxmlformats.org/officeDocument/2006/relationships/ctrlProp" Target="../ctrlProps/ctrlProp12.xml"/><Relationship Id="rId7" Type="http://schemas.openxmlformats.org/officeDocument/2006/relationships/printerSettings" Target="../printerSettings/printerSettings1.bin"/><Relationship Id="rId12" Type="http://schemas.openxmlformats.org/officeDocument/2006/relationships/ctrlProp" Target="../ctrlProps/ctrlProp3.xml"/><Relationship Id="rId17" Type="http://schemas.openxmlformats.org/officeDocument/2006/relationships/ctrlProp" Target="../ctrlProps/ctrlProp8.xml"/><Relationship Id="rId2" Type="http://schemas.openxmlformats.org/officeDocument/2006/relationships/hyperlink" Target="https://docs.microsoft.com/en-us/sql/connect/oledb/download-oledb-driver-for-sql-server?view=sql-server-ver15" TargetMode="External"/><Relationship Id="rId16" Type="http://schemas.openxmlformats.org/officeDocument/2006/relationships/ctrlProp" Target="../ctrlProps/ctrlProp7.xml"/><Relationship Id="rId20" Type="http://schemas.openxmlformats.org/officeDocument/2006/relationships/ctrlProp" Target="../ctrlProps/ctrlProp11.xml"/><Relationship Id="rId1" Type="http://schemas.openxmlformats.org/officeDocument/2006/relationships/hyperlink" Target="https://www.whatismyip.com/" TargetMode="External"/><Relationship Id="rId6" Type="http://schemas.openxmlformats.org/officeDocument/2006/relationships/hyperlink" Target="https://www.onlinedoctranslator.com/en/translationform" TargetMode="External"/><Relationship Id="rId11" Type="http://schemas.openxmlformats.org/officeDocument/2006/relationships/ctrlProp" Target="../ctrlProps/ctrlProp2.xml"/><Relationship Id="rId24" Type="http://schemas.openxmlformats.org/officeDocument/2006/relationships/ctrlProp" Target="../ctrlProps/ctrlProp15.xml"/><Relationship Id="rId5" Type="http://schemas.openxmlformats.org/officeDocument/2006/relationships/hyperlink" Target="https://translate.google.com/?sl=auto&amp;tl=en&amp;op=translate" TargetMode="External"/><Relationship Id="rId15" Type="http://schemas.openxmlformats.org/officeDocument/2006/relationships/ctrlProp" Target="../ctrlProps/ctrlProp6.xml"/><Relationship Id="rId23" Type="http://schemas.openxmlformats.org/officeDocument/2006/relationships/ctrlProp" Target="../ctrlProps/ctrlProp14.xml"/><Relationship Id="rId10" Type="http://schemas.openxmlformats.org/officeDocument/2006/relationships/ctrlProp" Target="../ctrlProps/ctrlProp1.xml"/><Relationship Id="rId19" Type="http://schemas.openxmlformats.org/officeDocument/2006/relationships/ctrlProp" Target="../ctrlProps/ctrlProp10.xml"/><Relationship Id="rId4" Type="http://schemas.openxmlformats.org/officeDocument/2006/relationships/hyperlink" Target="https://www.microsoft.com/en-us/sql-server/sql-server-downloads" TargetMode="External"/><Relationship Id="rId9" Type="http://schemas.openxmlformats.org/officeDocument/2006/relationships/vmlDrawing" Target="../drawings/vmlDrawing1.vml"/><Relationship Id="rId14" Type="http://schemas.openxmlformats.org/officeDocument/2006/relationships/ctrlProp" Target="../ctrlProps/ctrlProp5.xml"/><Relationship Id="rId22" Type="http://schemas.openxmlformats.org/officeDocument/2006/relationships/ctrlProp" Target="../ctrlProps/ctrlProp13.xml"/></Relationships>
</file>

<file path=xl/worksheets/_rels/sheet2.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5-&#35774;&#35745;/05-&#36141;&#20080;,&#22797;&#29992;,&#33258;&#21046;&#35780;&#20215;&#34920;(QCUBIC-SJTB-TS-Purchase,%20reuse,%20self-made%20evaluation)V1.0.xlsx" TargetMode="External"/><Relationship Id="rId3"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5-&#35780;&#23457;&#31649;&#29702;/05-&#35774;&#35745;&#35780;&#23457;/01-&#27010;&#35201;&#35774;&#35745;&#35828;&#26126;&#20070;/05-&#35780;&#23457;&#25253;&#21578;_&#27010;&#35201;&#35774;&#35745;&#20070;(QCUBIC-SJTB-PR-ReviewRpt)V1.1.xls" TargetMode="External"/><Relationship Id="rId7"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4-&#20915;&#31574;&#20998;&#26512;/01-&#20915;&#31574;&#20998;&#26512;&#25253;&#21578;&#65288;QCUBIC-SJTB-dar-evaluaterpt)V1.0.xls" TargetMode="External"/><Relationship Id="rId2"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5-&#35774;&#35745;/03-&#35814;&#32454;&#35774;&#35745;&#35828;&#26126;&#20070;(QCUBIC-SJTB-TS-DD)V1.0.docx" TargetMode="External"/><Relationship Id="rId1"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5-&#35774;&#35745;/01-&#27010;&#35201;&#35774;&#35745;&#20070;(QCUBIC-SJTB-TS-BD)V1.0.doc" TargetMode="External"/><Relationship Id="rId6"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3-&#35774;&#35745;/&#35774;&#35745;&#36807;&#31243;&#25991;&#20214;(QCUBIC-SPI-TS-Proc-Design)V1.2.doc" TargetMode="External"/><Relationship Id="rId11" Type="http://schemas.openxmlformats.org/officeDocument/2006/relationships/printerSettings" Target="../printerSettings/printerSettings2.bin"/><Relationship Id="rId5"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5-&#35774;&#35745;/04-&#29992;&#25143;&#25163;&#20876;(QCUBIC-SJTB-TS-Tem-UserMPMnual)V1.0.doc" TargetMode="External"/><Relationship Id="rId10"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3-&#35774;&#35745;/&#35774;&#35745;&#25351;&#21335;(QCUBIC-SPI-TS-Guid-Design)V1.2.doc" TargetMode="External"/><Relationship Id="rId4"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5-&#35780;&#23457;&#31649;&#29702;/05-&#35774;&#35745;&#35780;&#23457;/02-&#35814;&#32454;&#35774;&#35745;&#35828;&#26126;&#20070;/05-&#35780;&#23457;&#25253;&#21578;_&#35814;&#32454;&#35774;&#35745;(QCUBIC-SJTB-PR-ReviewRpt)V1.1.xls" TargetMode="External"/><Relationship Id="rId9"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3-&#35774;&#35745;/&#35774;&#35745;&#35268;&#33539;(QCUBIC-SPI-TS-Std-Design)V1.2.doc"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5-&#35774;&#35745;/01-&#27010;&#35201;&#35774;&#35745;&#20070;(QCUBIC-SJTB-TS-BD)V1.0.doc" TargetMode="External"/><Relationship Id="rId3"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4-&#23454;&#29616;/&#23454;&#29616;&#36807;&#31243;&#25991;&#20214;%20(QCUBIC-SPI-DEV-Proc-Doc)V1.2.doc" TargetMode="External"/><Relationship Id="rId7"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7-&#27979;&#35797;/02-&#38598;&#25104;&#27979;&#35797;/04-&#38598;&#25104;&#27979;&#35797;&#25253;&#21578;(QCUBIC-SJTB-LP_VV_IntegrationTestRet)V1.0.doc" TargetMode="External"/><Relationship Id="rId12" Type="http://schemas.openxmlformats.org/officeDocument/2006/relationships/printerSettings" Target="../printerSettings/printerSettings3.bin"/><Relationship Id="rId2"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6-&#23454;&#29616;/02-&#20135;&#21697;&#38598;&#25104;/06-&#20135;&#21697;&#38598;&#25104;&#38454;&#27573;&#25253;&#21578;/03-&#20135;&#21697;&#38598;&#25104;&#38454;&#27573;&#25253;&#21578;(QCUBIC-SJTB-PI-InterimReport-3)V1.0.doc" TargetMode="External"/><Relationship Id="rId1"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6-&#23454;&#29616;/02-&#20135;&#21697;&#38598;&#25104;/01-&#20135;&#21697;&#38598;&#25104;&#35745;&#21010;(QCUBIC-SJTB-PI-Plan)V1.0.doc" TargetMode="External"/><Relationship Id="rId6"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7-&#27979;&#35797;/02-&#38598;&#25104;&#27979;&#35797;/01-&#38598;&#25104;&#27979;&#35797;&#29992;&#20363;(QCUBIC-SJTB-VV-TestCase-SystemTest)V1.0.xlsx" TargetMode="External"/><Relationship Id="rId11"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6-&#23454;&#29616;/03-&#20195;&#30721;&#26816;&#26597;/02-&#20195;&#30721;&#35843;&#35797;BUG&#31649;&#29702;&#34920;(QCUBIC-SJTB-VV-CDBugList)V1.0.xls" TargetMode="External"/><Relationship Id="rId5"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6-&#23454;&#29616;/02-&#20135;&#21697;&#38598;&#25104;/03-&#20135;&#21697;&#38598;&#25104;&#26816;&#26597;&#21015;&#34920;(QCUBIC-SJTB-PI-PIChkList)V1.0.xls" TargetMode="External"/><Relationship Id="rId10"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6-&#23454;&#29616;/02-&#20135;&#21697;&#38598;&#25104;/04-&#25509;&#21475;&#26816;&#26597;&#21015;&#34920;(QCUBIC-SJTB-PI-PIChkList)V1.0.xls" TargetMode="External"/><Relationship Id="rId4"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5-&#27979;&#35797;/02-&#20135;&#21697;&#38598;&#25104;&#21450;&#38598;&#25104;&#27979;&#35797;/&#20135;&#21697;&#38598;&#25104;&#25351;&#21335;(QCUBIC-SPI-VV-Guid-PI)V1.2.doc" TargetMode="External"/><Relationship Id="rId9"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5-&#35774;&#35745;/03-&#35814;&#32454;&#35774;&#35745;&#35828;&#26126;&#20070;(QCUBIC-SJTB-TS-DD)V1.0.docx"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3-&#35745;&#21010;&#35780;&#23457;/01-&#35780;&#23457;&#20934;&#22791;&#34920;_&#39033;&#30446;&#35745;&#21010;(QCUBIC-XNTS-PR-ReviewPrp)V1.0.doc" TargetMode="External"/><Relationship Id="rId13" Type="http://schemas.openxmlformats.org/officeDocument/2006/relationships/printerSettings" Target="../printerSettings/printerSettings4.bin"/><Relationship Id="rId3"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4-&#38656;&#27714;&#35780;&#23457;/01-&#38656;&#27714;&#35268;&#26684;&#35828;&#26126;&#20070;/05-&#35780;&#23457;&#25253;&#21578;_&#38656;&#27714;&#35268;&#26684;&#35828;&#26126;&#20070;(QCUBIC-XNTS-PR-ReviewRpt)V1.1.xls" TargetMode="External"/><Relationship Id="rId7"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7-&#27979;&#35797;&#35780;&#23457;/02-&#31995;&#32479;&#27979;&#35797;&#29992;&#20363;/05-&#35780;&#23457;&#25253;&#21578;_&#31995;&#32479;&#27979;&#35797;&#29992;&#20363;(QCUBIC-XNTS-PR-ReviewRpt)V1.1.xls" TargetMode="External"/><Relationship Id="rId12"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1-&#35780;&#23457;&#32570;&#38519;&#31649;&#29702;&#34920;(QCUBIC-XNTS-MC-DefectList)V1.0.xls" TargetMode="External"/><Relationship Id="rId2"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3-&#35745;&#21010;&#35780;&#23457;/05-&#35780;&#23457;&#25253;&#21578;_&#39033;&#30446;&#35745;&#21010;(QCUBIC-XNTS-PR-ReviewRpt)V1.1.xls" TargetMode="External"/><Relationship Id="rId1"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3-&#39033;&#30446;&#31574;&#21010;/03-&#39033;&#30446;&#35745;&#21010;&#20070;%20(QCUBIC-XNTS-PLAN-Plan)V1.1.doc" TargetMode="External"/><Relationship Id="rId6"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5-&#35774;&#35745;&#35780;&#23457;/02-&#35814;&#32454;&#35774;&#35745;&#35828;&#26126;&#20070;/05-&#35780;&#23457;&#25253;&#21578;_&#35814;&#32454;&#35774;&#35745;(QCUBIC-XNTS-PR-ReviewRpt)V1.1.xls" TargetMode="External"/><Relationship Id="rId11"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5-&#35780;&#23457;&#31649;&#29702;/&#35780;&#23457;&#25351;&#21335;(QCUBIC-SPI-VV-Guid-Review)V1.2.doc" TargetMode="External"/><Relationship Id="rId5"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5-&#35774;&#35745;&#35780;&#23457;/01-&#27010;&#35201;&#35774;&#35745;&#35828;&#26126;&#20070;/05-&#35780;&#23457;&#25253;&#21578;_&#27010;&#35201;&#35774;&#35745;&#20070;(QCUBIC-XNTS-PR-ReviewRpt)V1.1.xls" TargetMode="External"/><Relationship Id="rId10"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5-&#35780;&#23457;&#31649;&#29702;/&#35780;&#23457;&#31649;&#29702;&#36807;&#31243;&#25991;&#20214;(QCUBIC-SPI-VV-Proc-Doc)V1.2.doc" TargetMode="External"/><Relationship Id="rId4"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4-&#38656;&#27714;&#35780;&#23457;/02-&#29992;&#25143;&#38656;&#27714;&#35828;&#26126;&#20070;/03-&#35780;&#23457;&#25253;&#21578;_&#29992;&#25143;&#38656;&#27714;&#35828;&#26126;&#20070;(QCUBIC-XNTS-PR-ReviewRpt)V1.0.xls" TargetMode="External"/><Relationship Id="rId9"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3-&#35745;&#21010;&#35780;&#23457;/02-&#35780;&#23457;&#26816;&#26597;&#34920;_&#39033;&#30446;&#35745;&#21010;(QCUBIC-XNTS-PR-RevChkList)V1.0.xl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6-&#35797;&#36816;&#34892;&#21450;&#39564;&#25910;/&#35797;&#36816;&#34892;&#21450;&#39564;&#25910;&#36807;&#31243;&#25991;&#20214;(QCUBIC-SPI-DA-Proc-Doc)V1.2.doc" TargetMode="External"/><Relationship Id="rId3"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7-&#27979;&#35797;/03-&#31995;&#32479;&#27979;&#35797;/04-&#31995;&#32479;&#27979;&#35797;&#25253;&#21578;(QCUBIC-XNTS-VV-TestReport-SystemTest)V1.0.doc" TargetMode="External"/><Relationship Id="rId7"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5-&#27979;&#35797;/&#27979;&#35797;&#29992;&#20363;&#35268;&#33539;(QCUBIC-SPI-VV-Tem-STD-TestExampleStd)V1.2.doc" TargetMode="External"/><Relationship Id="rId2"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7-&#27979;&#35797;/03-&#31995;&#32479;&#27979;&#35797;/03-&#31995;&#32479;&#27979;&#35797;BUG&#31649;&#29702;&#34920;(QCUBIC-XNTS-VV-STBugList)V1.0.xls" TargetMode="External"/><Relationship Id="rId1"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7-&#27979;&#35797;/01-&#27979;&#35797;&#35745;&#21010;(QCUBIC-XNTS-VV-TestPlan)V1.0.doc" TargetMode="External"/><Relationship Id="rId6"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8-&#35797;&#36816;&#34892;&#21450;&#39564;&#25910;/02-&#39564;&#25910;/03-&#39564;&#25910;&#25253;&#21578;(QCUBIC-XNTS-VV-TestReport-AcceptenceReport)V1.0.doc" TargetMode="External"/><Relationship Id="rId5"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8-&#35797;&#36816;&#34892;&#21450;&#39564;&#25910;/02-&#39564;&#25910;/01-&#39564;&#25910;&#35745;&#21010;(QCUBIC-XNTS-DA-AcceptencePlan)V1.0.doc" TargetMode="External"/><Relationship Id="rId10" Type="http://schemas.openxmlformats.org/officeDocument/2006/relationships/printerSettings" Target="../printerSettings/printerSettings5.bin"/><Relationship Id="rId4"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7-&#27979;&#35797;/02-&#38598;&#25104;&#27979;&#35797;/04-&#38598;&#25104;&#27979;&#35797;&#25253;&#21578;(QCUBIC-XNTS-LP_VV_IntegrationTestRet)V1.0.doc" TargetMode="External"/><Relationship Id="rId9"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5-&#27979;&#35797;/&#36719;&#20214;&#27979;&#35797;&#36807;&#31243;&#25991;&#20214;(QCUBIC-SPI-Tes-Proc-Doc)V1.2.doc"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AnthonyG/6_PIID/2022-08-21to08-26%20(A3)%20C61017%20Beijing%20QCUBIC%20Technologies/Beijing%20QCUBIC%20-%20appraisal%20documentation/01-&#32452;&#32455;&#32423;/02-&#32452;&#32455;&#24037;&#20316;&#24211;/03-PQA&#27963;&#21160;&#24211;/&#32452;&#32455;&#32423;&#24037;&#20316;&#20135;&#21697;&#21644;&#36807;&#31243;&#26816;&#26597;&#34920;(QCUBIC-ORG-PQA-Checklist_20200627)V1.0.xls" TargetMode="External"/><Relationship Id="rId2" Type="http://schemas.openxmlformats.org/officeDocument/2006/relationships/hyperlink" Target="../../../AnthonyG/6_PIID/2022-08-21to08-26%20(A3)%20C61017%20Beijing%20QCUBIC%20Technologies/Beijing%20QCUBIC%20-%20appraisal%20documentation/01-&#32452;&#32455;&#32423;/02-&#32452;&#32455;&#24037;&#20316;&#24211;/03-PQA&#27963;&#21160;&#24211;/&#32452;&#32455;&#32423;&#19981;&#31526;&#21512;&#39033;&#31649;&#29702;&#34920;(QCUBIC-SPI-PQA-NCList)V1.2.xls" TargetMode="External"/><Relationship Id="rId1" Type="http://schemas.openxmlformats.org/officeDocument/2006/relationships/hyperlink" Target="../../../AnthonyG/6_PIID/2022-08-21to08-26%20(A3)%20C61017%20Beijing%20QCUBIC%20Technologies/Beijing%20QCUBIC%20-%20appraisal%20documentation/01-&#32452;&#32455;&#32423;/02-&#32452;&#32455;&#24037;&#20316;&#24211;/03-PQA&#27963;&#21160;&#24211;/&#32452;&#32455;&#32423;&#30340;&#36136;&#37327;&#20445;&#35777;&#35745;&#21010;(QCUBIC-SPI-PQA-OQAPlan)V1.4.xls" TargetMode="External"/><Relationship Id="rId5" Type="http://schemas.openxmlformats.org/officeDocument/2006/relationships/hyperlink" Target="../../../AnthonyG/6_PIID/2022-08-21to08-26%20(A3)%20C61017%20Beijing%20QCUBIC%20Technologies/Beijing%20QCUBIC%20-%20appraisal%20documentation/01-&#32452;&#32455;&#32423;/02-&#32452;&#32455;&#24037;&#20316;&#24211;/02-EPG&#27963;&#21160;&#24211;/07-EPG&#36319;&#36394;/05-&#36807;&#31243;&#25913;&#36827;&#24314;&#35758;&#34920;/&#36807;&#31243;&#25913;&#36827;&#24314;&#35758;&#34920;(QCUBIC-SPI-PIM-SPIAdvic)V1.2.xls" TargetMode="External"/><Relationship Id="rId4" Type="http://schemas.openxmlformats.org/officeDocument/2006/relationships/hyperlink" Target="../../../AnthonyG/6_PIID/2022-08-21to08-26%20(A3)%20C61017%20Beijing%20QCUBIC%20Technologies/Beijing%20QCUBIC%20-%20appraisal%20documentation/01-&#32452;&#32455;&#32423;/02-&#32452;&#32455;&#24037;&#20316;&#24211;/03-PQA&#27963;&#21160;&#24211;/&#32452;&#32455;&#36136;&#37327;&#20445;&#35777;&#25253;&#21578;/&#36136;&#37327;&#20445;&#35777;&#25253;&#21578;(QCUBIC-SPI-PQA-Report_20200627)V1.0.xl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4-&#38656;&#27714;/01-&#38656;&#27714;&#35843;&#30740;&#35745;&#21010;(QCUBIC-XNTS-RDM-Plan)V1.0.doc" TargetMode="External"/><Relationship Id="rId3"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4-&#38656;&#27714;/03-&#29992;&#25143;&#38656;&#27714;&#35828;&#26126;&#20070;(QCUBIC-XNTS-RDM-CRS)V1.1.doc" TargetMode="External"/><Relationship Id="rId7"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3-&#39033;&#30446;&#31574;&#21010;/03-&#39033;&#30446;&#35745;&#21010;&#20070;%20(QCUBIC-XNTS-PLAN-Plan)V1.1.doc" TargetMode="External"/><Relationship Id="rId2"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4-&#38656;&#27714;/02-&#38656;&#27714;&#35268;&#26684;&#35828;&#26126;&#20070;%20(QCUBIC-XNTS-RDM-SRS)V1.1.doc" TargetMode="External"/><Relationship Id="rId1"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4-&#38656;&#27714;/04-&#38656;&#27714;&#35843;&#30740;&#25253;&#21578;/01-&#38656;&#27714;&#35843;&#30740;&#25253;&#21578;(QCUBIC-XNTS-RDM-Report-20220113pm)V1.0.doc" TargetMode="External"/><Relationship Id="rId6"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4-&#38656;&#27714;/05-&#38656;&#27714;&#36319;&#36394;&#30697;&#38453;/01-&#38656;&#27714;&#36319;&#36394;&#30697;&#38453;(QCUBIC-XNTS-RDM-RTX)V1.1.xls" TargetMode="External"/><Relationship Id="rId11" Type="http://schemas.openxmlformats.org/officeDocument/2006/relationships/printerSettings" Target="../printerSettings/printerSettings6.bin"/><Relationship Id="rId5"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4-&#38656;&#27714;&#35780;&#23457;/01-&#38656;&#27714;&#35268;&#26684;&#35828;&#26126;&#20070;/02-&#35780;&#23457;&#26816;&#26597;&#34920;_&#38656;&#27714;&#35268;&#26684;&#35828;&#26126;&#20070;(QCUBIC-XNTS-PR-Revchklist)V1.0.xls" TargetMode="External"/><Relationship Id="rId10"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6-&#21464;&#26356;&#31649;&#29702;/02-&#21464;&#26356;&#21015;&#34920;(QCUBIC-XNTS-MC-CRecoRDM)V1.0.xls" TargetMode="External"/><Relationship Id="rId4"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4-&#38656;&#27714;&#35780;&#23457;/01-&#38656;&#27714;&#35268;&#26684;&#35828;&#26126;&#20070;/05-&#35780;&#23457;&#25253;&#21578;_&#38656;&#27714;&#35268;&#26684;&#35828;&#26126;&#20070;(QCUBIC-XNTS-PR-ReviewRpt)V1.1.xls" TargetMode="External"/><Relationship Id="rId9"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6-&#21464;&#26356;&#31649;&#29702;/03-&#21464;&#26356;&#32467;&#26524;&#25253;&#21578;(QCUBIC-XNTS-mc-changereport_001)V1.0.doc"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1-&#32452;&#32455;&#32423;/02-&#32452;&#32455;&#24037;&#20316;&#24211;/02-EPG&#27963;&#21160;&#24211;/03-&#36807;&#31243;&#25913;&#36827;&#35745;&#21010;/&#36807;&#31243;&#25913;&#36827;&#35745;&#21010;&#35780;&#23457;&#25253;&#21578;(QCUBIC-SPI-VV-Tem-ReviewRpt)V1.2.xls" TargetMode="External"/><Relationship Id="rId3" Type="http://schemas.openxmlformats.org/officeDocument/2006/relationships/hyperlink" Target="../../../AnthonyG/6_PIID/2022-08-21to08-26%20(A3)%20C61017%20Beijing%20QCUBIC%20Technologies/Beijing%20QCUBIC%20-%20appraisal%20documentation/01-&#32452;&#32455;&#32423;/02-&#32452;&#32455;&#24037;&#20316;&#24211;/02-EPG&#27963;&#21160;&#24211;/&#36807;&#31243;&#25913;&#36827;&#24635;&#32467;&#25253;&#21578;.ppt" TargetMode="External"/><Relationship Id="rId7" Type="http://schemas.openxmlformats.org/officeDocument/2006/relationships/hyperlink" Target="../../../AnthonyG/6_PIID/2022-08-21to08-26%20(A3)%20C61017%20Beijing%20QCUBIC%20Technologies/Beijing%20QCUBIC%20-%20appraisal%20documentation/01-&#32452;&#32455;&#32423;/02-&#32452;&#32455;&#24037;&#20316;&#24211;/02-EPG&#27963;&#21160;&#24211;/03-&#36807;&#31243;&#25913;&#36827;&#35745;&#21010;/&#20851;&#38190;&#23376;&#36807;&#31243;&#36873;&#25321;(QCUBIC_PCM_Select%20subprocess)V1.0.xls" TargetMode="External"/><Relationship Id="rId12" Type="http://schemas.openxmlformats.org/officeDocument/2006/relationships/hyperlink" Target="../../../AnthonyG/6_PIID/2022-08-21to08-26%20(A3)%20C61017%20Beijing%20QCUBIC%20Technologies/Beijing%20QCUBIC%20-%20appraisal%20documentation/01-&#32452;&#32455;&#32423;/02-&#32452;&#32455;&#24037;&#20316;&#24211;/02-EPG&#27963;&#21160;&#24211;/06-&#36807;&#31243;&#25512;&#24191;/&#36807;&#31243;&#37096;&#32626;&#35745;&#21010;(QCUBIC-SPI-PIM-PSPreadPlan)V1.2.doc" TargetMode="External"/><Relationship Id="rId2" Type="http://schemas.openxmlformats.org/officeDocument/2006/relationships/hyperlink" Target="../../../AnthonyG/6_PIID/2022-08-21to08-26%20(A3)%20C61017%20Beijing%20QCUBIC%20Technologies/Beijing%20QCUBIC%20-%20appraisal%20documentation/01-&#32452;&#32455;&#32423;/02-&#32452;&#32455;&#24037;&#20316;&#24211;/02-EPG&#27963;&#21160;&#24211;/02-&#29616;&#22330;&#35786;&#26029;/&#21271;&#20140;&#24555;&#31435;&#26041;&#31185;&#25216;&#26377;&#38480;&#20844;&#21496;&#29616;&#22330;&#35786;&#26029;&#25253;&#21578;.ppt" TargetMode="External"/><Relationship Id="rId1" Type="http://schemas.openxmlformats.org/officeDocument/2006/relationships/hyperlink" Target="../../../AnthonyG/6_PIID/2022-08-21to08-26%20(A3)%20C61017%20Beijing%20QCUBIC%20Technologies/Beijing%20QCUBIC%20-%20appraisal%20documentation/01-&#32452;&#32455;&#32423;/02-&#32452;&#32455;&#24037;&#20316;&#24211;/02-EPG&#27963;&#21160;&#24211;/03-&#36807;&#31243;&#25913;&#36827;&#35745;&#21010;/&#36807;&#31243;&#25913;&#36827;&#35745;&#21010;(QCUBIC-SPI-PIM-PIPlan)V1.2.doc" TargetMode="External"/><Relationship Id="rId6" Type="http://schemas.openxmlformats.org/officeDocument/2006/relationships/hyperlink" Target="../../../AnthonyG/6_PIID/2022-08-21to08-26%20(A3)%20C61017%20Beijing%20QCUBIC%20Technologies/Beijing%20QCUBIC%20-%20appraisal%20documentation/01-&#32452;&#32455;&#32423;/01-&#32452;&#32455;&#36130;&#23500;&#24211;/01-&#26631;&#20934;&#36807;&#31243;&#25991;&#20214;&#24211;" TargetMode="External"/><Relationship Id="rId11" Type="http://schemas.openxmlformats.org/officeDocument/2006/relationships/hyperlink" Target="../../../AnthonyG/6_PIID/2022-08-21to08-26%20(A3)%20C61017%20Beijing%20QCUBIC%20Technologies/Beijing%20QCUBIC%20-%20appraisal%20documentation/01-&#32452;&#32455;&#32423;/02-&#32452;&#32455;&#24037;&#20316;&#24211;/02-EPG&#27963;&#21160;&#24211;/07-EPG&#36319;&#36394;/06-&#36807;&#31243;&#25913;&#36827;&#37324;&#31243;&#30865;/&#36807;&#31243;&#25913;&#36827;&#37324;&#31243;&#30865;&#25253;&#21578;(ORG_PCM_Milestone_20220628)V1.0.doc" TargetMode="External"/><Relationship Id="rId5" Type="http://schemas.openxmlformats.org/officeDocument/2006/relationships/hyperlink" Target="../../../AnthonyG/6_PIID/2022-08-21to08-26%20(A3)%20C61017%20Beijing%20QCUBIC%20Technologies/Beijing%20QCUBIC%20-%20appraisal%20documentation/01-&#32452;&#32455;&#32423;/02-&#32452;&#32455;&#24037;&#20316;&#24211;/02-EPG&#27963;&#21160;&#24211;/07-EPG&#36319;&#36394;/05-&#36807;&#31243;&#25913;&#36827;&#24314;&#35758;&#34920;/&#36807;&#31243;&#25913;&#36827;&#24314;&#35758;&#34920;(QCUBIC-SPI-PIM-SPIAdvic)V1.2.xls" TargetMode="External"/><Relationship Id="rId10" Type="http://schemas.openxmlformats.org/officeDocument/2006/relationships/hyperlink" Target="../../../AnthonyG/6_PIID/2022-08-21to08-26%20(A3)%20C61017%20Beijing%20QCUBIC%20Technologies/Beijing%20QCUBIC%20-%20appraisal%20documentation/01-&#32452;&#32455;&#32423;/02-&#32452;&#32455;&#24037;&#20316;&#24211;/02-EPG&#27963;&#21160;&#24211;/05-&#39033;&#30446;&#35797;&#28857;/&#35797;&#28857;&#34892;&#21160;&#35745;&#21010;(QCUBIC-SPI-PIM-PilotPlan)V1.1.doc" TargetMode="External"/><Relationship Id="rId4" Type="http://schemas.openxmlformats.org/officeDocument/2006/relationships/hyperlink" Target="../../../AnthonyG/6_PIID/2022-08-21to08-26%20(A3)%20C61017%20Beijing%20QCUBIC%20Technologies/Beijing%20QCUBIC%20-%20appraisal%20documentation/01-&#32452;&#32455;&#32423;/02-&#32452;&#32455;&#24037;&#20316;&#24211;/02-EPG&#27963;&#21160;&#24211;/01-EPG&#31456;&#31243;/EPG&#31456;&#31243;(QCUBIC-SPI-PIM-Std-EPGRule)V1.2.doc" TargetMode="External"/><Relationship Id="rId9" Type="http://schemas.openxmlformats.org/officeDocument/2006/relationships/hyperlink" Target="../../../AnthonyG/6_PIID/2022-08-21to08-26%20(A3)%20C61017%20Beijing%20QCUBIC%20Technologies/Beijing%20QCUBIC%20-%20appraisal%20documentation/01-&#32452;&#32455;&#32423;/01-&#32452;&#32455;&#36130;&#23500;&#2421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1-&#32452;&#32455;&#32423;/01-&#32452;&#32455;&#36130;&#23500;&#24211;/&#32452;&#32455;&#36807;&#31243;&#26694;&#26550;&#22270;.png" TargetMode="External"/><Relationship Id="rId3" Type="http://schemas.openxmlformats.org/officeDocument/2006/relationships/hyperlink" Target="../../../AnthonyG/6_PIID/2022-08-21to08-26%20(A3)%20C61017%20Beijing%20QCUBIC%20Technologies/Beijing%20QCUBIC%20-%20appraisal%20documentation/01-&#32452;&#32455;&#32423;/01-&#32452;&#32455;&#36130;&#23500;&#24211;" TargetMode="External"/><Relationship Id="rId7" Type="http://schemas.openxmlformats.org/officeDocument/2006/relationships/hyperlink" Target="../../../AnthonyG/6_PIID/2022-08-21to08-26%20(A3)%20C61017%20Beijing%20QCUBIC%20Technologies/Beijing%20QCUBIC%20-%20appraisal%20documentation/01-&#32452;&#32455;&#32423;/01-&#32452;&#32455;&#36130;&#23500;&#24211;/&#30740;&#21457;&#39033;&#30446;&#27969;&#31243;&#26694;&#26550;&#22270;.png" TargetMode="External"/><Relationship Id="rId12"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3-&#24230;&#37327;&#20998;&#26512;/&#24230;&#37327;&#20998;&#26512;&#25351;&#21335;%20(QCUBIC-SPI-MPM-Guid-Doc)V1.2.doc" TargetMode="External"/><Relationship Id="rId2" Type="http://schemas.openxmlformats.org/officeDocument/2006/relationships/hyperlink" Target="../../../AnthonyG/6_PIID/2022-08-21to08-26%20(A3)%20C61017%20Beijing%20QCUBIC%20Technologies/Beijing%20QCUBIC%20-%20appraisal%20documentation/01-&#32452;&#32455;&#32423;/01-&#32452;&#32455;&#36130;&#23500;&#24211;/03-&#21487;&#22797;&#29992;&#24211;" TargetMode="External"/><Relationship Id="rId1" Type="http://schemas.openxmlformats.org/officeDocument/2006/relationships/hyperlink" Target="../../../AnthonyG/6_PIID/2022-08-21to08-26%20(A3)%20C61017%20Beijing%20QCUBIC%20Technologies/Beijing%20QCUBIC%20-%20appraisal%20documentation/01-&#32452;&#32455;&#32423;/01-&#32452;&#32455;&#36130;&#23500;&#24211;/01-&#26631;&#20934;&#36807;&#31243;&#25991;&#20214;&#24211;" TargetMode="External"/><Relationship Id="rId6" Type="http://schemas.openxmlformats.org/officeDocument/2006/relationships/hyperlink" Target="../../../AnthonyG/6_PIID/2022-08-21to08-26%20(A3)%20C61017%20Beijing%20QCUBIC%20Technologies/Beijing%20QCUBIC%20-%20appraisal%20documentation/01-&#32452;&#32455;&#32423;/01-&#32452;&#32455;&#36130;&#23500;&#24211;/01-&#26631;&#20934;&#36807;&#31243;&#25991;&#20214;&#24211;/04-&#32452;&#32455;&#36807;&#31243;&#31867;/02-&#36807;&#31243;&#36164;&#20135;&#31649;&#29702;/&#36807;&#31243;&#36164;&#20135;&#31649;&#29702;&#36807;&#31243;&#25991;&#20214;%20(QCUBIC-SPI-OPAL-Proc-Doc)V1.2.doc" TargetMode="External"/><Relationship Id="rId11" Type="http://schemas.openxmlformats.org/officeDocument/2006/relationships/hyperlink" Target="../../../AnthonyG/6_PIID/2022-08-21to08-26%20(A3)%20C61017%20Beijing%20QCUBIC%20Technologies/Beijing%20QCUBIC%20-%20appraisal%20documentation/01-&#32452;&#32455;&#32423;/02-&#32452;&#32455;&#24037;&#20316;&#24211;/06-&#24230;&#37327;/&#32452;&#32455;&#24230;&#37327;&#34920;(QCUBIC-SPI-MPM-Tem-datasheet)V1.3.xls" TargetMode="External"/><Relationship Id="rId5" Type="http://schemas.openxmlformats.org/officeDocument/2006/relationships/hyperlink" Target="../../../AnthonyG/6_PIID/2022-08-21to08-26%20(A3)%20C61017%20Beijing%20QCUBIC%20Technologies/Beijing%20QCUBIC%20-%20appraisal%20documentation/01-&#32452;&#32455;&#32423;/01-&#32452;&#32455;&#36130;&#23500;&#24211;/01-&#26631;&#20934;&#36807;&#31243;&#25991;&#20214;&#24211;/04-&#32452;&#32455;&#36807;&#31243;&#31867;/02-&#36807;&#31243;&#36164;&#20135;&#31649;&#29702;/&#36807;&#31243;&#36164;&#20135;&#24211;&#31649;&#29702;&#25351;&#21335;%20(QCUBIC-SPI-OPAL-Guid-Assetlib)V1.2.doc" TargetMode="External"/><Relationship Id="rId10" Type="http://schemas.openxmlformats.org/officeDocument/2006/relationships/hyperlink" Target="../../../AnthonyG/6_PIID/2022-08-21to08-26%20(A3)%20C61017%20Beijing%20QCUBIC%20Technologies/Beijing%20QCUBIC%20-%20appraisal%20documentation/01-&#32452;&#32455;&#32423;/01-&#32452;&#32455;&#36130;&#23500;&#24211;/01-&#26631;&#20934;&#36807;&#31243;&#25991;&#20214;&#24211;/04-&#32452;&#32455;&#36807;&#31243;&#31867;/02-&#36807;&#31243;&#36164;&#20135;&#31649;&#29702;/&#24037;&#20316;&#29615;&#22659;&#26631;&#20934;(QCUBIC-SPI-OPAL-Std-Environment)V1.2(1).doc" TargetMode="External"/><Relationship Id="rId4" Type="http://schemas.openxmlformats.org/officeDocument/2006/relationships/hyperlink" Target="../../../AnthonyG/6_PIID/2022-08-21to08-26%20(A3)%20C61017%20Beijing%20QCUBIC%20Technologies/Beijing%20QCUBIC%20-%20appraisal%20documentation/01-&#32452;&#32455;&#32423;/02-&#32452;&#32455;&#24037;&#20316;&#24211;/02-EPG&#27963;&#21160;&#24211;/03-&#36807;&#31243;&#25913;&#36827;&#35745;&#21010;/&#36807;&#31243;&#25913;&#36827;&#35745;&#21010;(QCUBIC-SPI-PIM-PIPlan)V1.2.doc" TargetMode="External"/><Relationship Id="rId9" Type="http://schemas.openxmlformats.org/officeDocument/2006/relationships/hyperlink" Target="../../../AnthonyG/6_PIID/2022-08-21to08-26%20(A3)%20C61017%20Beijing%20QCUBIC%20Technologies/Beijing%20QCUBIC%20-%20appraisal%20documentation/01-&#32452;&#32455;&#32423;/01-&#32452;&#32455;&#36130;&#23500;&#24211;/01-&#26631;&#20934;&#36807;&#31243;&#25991;&#20214;&#24211;/04-&#32452;&#32455;&#36807;&#31243;&#31867;/02-&#36807;&#31243;&#36164;&#20135;&#31649;&#29702;/&#35009;&#21098;&#25351;&#21335;%20(QCUBIC-SPI-OPAL-Guid-Tailor)V1.2.xls" TargetMode="External"/></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3-&#24230;&#37327;&#20998;&#26512;/&#24230;&#37327;&#20998;&#26512;&#25351;&#21335;%20(QCUBIC-SPI-MPM-Guid-Doc)V1.2.doc" TargetMode="External"/><Relationship Id="rId7" Type="http://schemas.openxmlformats.org/officeDocument/2006/relationships/hyperlink" Target="../../../AnthonyG/6_PIID/2022-08-21to08-26%20(A3)%20C61017%20Beijing%20QCUBIC%20Technologies/Beijing%20QCUBIC%20-%20appraisal%20documentation/01-&#32452;&#32455;&#32423;/02-&#32452;&#32455;&#24037;&#20316;&#24211;/01-&#20250;&#35758;&#35760;&#24405;/&#39640;&#23618;&#20250;&#35758;&#35760;&#24405;(QCUBIC-SPI-MeetingRcd-2020-06-03)V1.0.doc" TargetMode="External"/><Relationship Id="rId2" Type="http://schemas.openxmlformats.org/officeDocument/2006/relationships/hyperlink" Target="../../../AnthonyG/6_PIID/2022-08-21to08-26%20(A3)%20C61017%20Beijing%20QCUBIC%20Technologies/Beijing%20QCUBIC%20-%20appraisal%20documentation/01-&#32452;&#32455;&#32423;/02-&#32452;&#32455;&#24037;&#20316;&#24211;/06-&#24230;&#37327;/&#32452;&#32455;&#24230;&#37327;&#35745;&#21010;(QCUBIC-SPI-MPM-Plan)V1.3.xls" TargetMode="External"/><Relationship Id="rId1" Type="http://schemas.openxmlformats.org/officeDocument/2006/relationships/hyperlink" Target="../../../AnthonyG/6_PIID/2022-08-21to08-26%20(A3)%20C61017%20Beijing%20QCUBIC%20Technologies/Beijing%20QCUBIC%20-%20appraisal%20documentation/01-&#32452;&#32455;&#32423;/02-&#32452;&#32455;&#24037;&#20316;&#24211;/06-&#24230;&#37327;/&#32452;&#32455;&#24230;&#37327;&#34920;(QCUBIC-SPI-MPM-Tem-datasheet)V1.3.xls" TargetMode="External"/><Relationship Id="rId6" Type="http://schemas.openxmlformats.org/officeDocument/2006/relationships/hyperlink" Target="../../../AnthonyG/6_PIID/2022-08-21to08-26%20(A3)%20C61017%20Beijing%20QCUBIC%20Technologies/Beijing%20QCUBIC%20-%20appraisal%20documentation/01-&#32452;&#32455;&#32423;/02-&#32452;&#32455;&#24037;&#20316;&#24211;/02-EPG&#27963;&#21160;&#24211;/07-EPG&#36319;&#36394;/01-EPG&#26376;&#25253;/EPG&#26376;&#25253;2020-06.xls" TargetMode="External"/><Relationship Id="rId5" Type="http://schemas.openxmlformats.org/officeDocument/2006/relationships/hyperlink" Target="../../../AnthonyG/6_PIID/2022-08-21to08-26%20(A3)%20C61017%20Beijing%20QCUBIC%20Technologies/Beijing%20QCUBIC%20-%20appraisal%20documentation/01-&#32452;&#32455;&#32423;/02-&#32452;&#32455;&#24037;&#20316;&#24211;/03-PQA&#27963;&#21160;&#24211;/&#32452;&#32455;&#32423;&#24037;&#20316;&#20135;&#21697;&#21644;&#36807;&#31243;&#26816;&#26597;&#34920;(QCUBIC-ORG-PQA-Checklist_20200627)V1.0.xls" TargetMode="External"/><Relationship Id="rId4"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3-&#24230;&#37327;&#20998;&#26512;/&#24230;&#37327;&#20998;&#26512;&#36807;&#31243;&#25991;&#20214;%20(QCUBIC-SPI-MPM-Proc-Doc)V1.2.doc"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AnthonyG/6_PIID/2022-08-21to08-26%20(A3)%20C61017%20Beijing%20QCUBIC%20Technologies/Beijing%20QCUBIC%20-%20appraisal%20documentation/02-&#39033;&#30446;&#32423;/P1-Qcubic&#25968;&#25454;&#24211;&#31649;&#29702;&#24037;&#20855;%20V1.0/02-&#20840;&#31243;&#31649;&#29702;/02-&#39118;&#38505;&#21644;&#26426;&#20250;&#31649;&#29702;/02-&#39118;&#38505;&#21644;&#26426;&#20250;&#31649;&#29702;&#35745;&#21010;(QCUBIC-SJKGL-RSK-plan)V1.0.doc" TargetMode="External"/><Relationship Id="rId2" Type="http://schemas.openxmlformats.org/officeDocument/2006/relationships/hyperlink" Target="../../../AnthonyG/6_PIID/2022-08-21to08-26%20(A3)%20C61017%20Beijing%20QCUBIC%20Technologies/Beijing%20QCUBIC%20-%20appraisal%20documentation/02-&#39033;&#30446;&#32423;/P1-Qcubic&#25968;&#25454;&#24211;&#31649;&#29702;&#24037;&#20855;%20V1.0/02-&#20840;&#31243;&#31649;&#29702;/02-&#39118;&#38505;&#21644;&#26426;&#20250;&#31649;&#29702;/01-&#39118;&#38505;&#21644;&#26426;&#20250;&#26816;&#26597;&#34920;(QCUBIC-SJKGL-RSK-rc)V1.0.xls" TargetMode="External"/><Relationship Id="rId1" Type="http://schemas.openxmlformats.org/officeDocument/2006/relationships/hyperlink" Target="../../../AnthonyG/6_PIID/2022-08-21to08-26%20(A3)%20C61017%20Beijing%20QCUBIC%20Technologies/Beijing%20QCUBIC%20-%20appraisal%20documentation/02-&#39033;&#30446;&#32423;/P1-Qcubic&#25968;&#25454;&#24211;&#31649;&#29702;&#24037;&#20855;%20V1.0/02-&#20840;&#31243;&#31649;&#29702;/02-&#39118;&#38505;&#21644;&#26426;&#20250;&#31649;&#29702;/03-&#39118;&#38505;&#21644;&#26426;&#20250;&#31649;&#29702;&#19968;&#35272;&#34920;(QCUBIC-SJKGL-RSK-chk&amp;tracking)V1.2.xls" TargetMode="External"/><Relationship Id="rId6" Type="http://schemas.openxmlformats.org/officeDocument/2006/relationships/printerSettings" Target="../printerSettings/printerSettings8.bin"/><Relationship Id="rId5" Type="http://schemas.openxmlformats.org/officeDocument/2006/relationships/hyperlink" Target="../../../AnthonyG/6_PIID/2022-08-21to08-26%20(A3)%20C61017%20Beijing%20QCUBIC%20Technologies/Beijing%20QCUBIC%20-%20appraisal%20documentation/01-&#32452;&#32455;&#32423;/01-&#32452;&#32455;&#36130;&#23500;&#24211;/01-&#26631;&#20934;&#36807;&#31243;&#25991;&#20214;&#24211;/01-&#39033;&#30446;&#31649;&#29702;&#35268;&#33539;/05-&#39118;&#38505;&#21644;&#26426;&#20250;&#31649;&#29702;/&#39118;&#38505;&#21644;&#26426;&#20250;&#31649;&#29702;&#25351;&#21335;(QCUBIC-SPI-RSK-Guid-Management)V1.2.doc" TargetMode="External"/><Relationship Id="rId4" Type="http://schemas.openxmlformats.org/officeDocument/2006/relationships/hyperlink" Target="../../../AnthonyG/6_PIID/2022-08-21to08-26%20(A3)%20C61017%20Beijing%20QCUBIC%20Technologies/Beijing%20QCUBIC%20-%20appraisal%20documentation/01-&#32452;&#32455;&#32423;/01-&#32452;&#32455;&#36130;&#23500;&#24211;/01-&#26631;&#20934;&#36807;&#31243;&#25991;&#20214;&#24211;/01-&#39033;&#30446;&#31649;&#29702;&#35268;&#33539;/05-&#39118;&#38505;&#21644;&#26426;&#20250;&#31649;&#29702;/&#39118;&#38505;&#21644;&#26426;&#20250;&#31649;&#29702;&#36807;&#31243;&#25991;&#20214;(QCUBIC-SPI-RSK-Proc-Doc)V1.2.doc"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1-&#32452;&#32455;&#32423;/02-&#32452;&#32455;&#24037;&#20316;&#24211;/05-OT&#22521;&#35757;&#24211;/02_&#20154;&#21147;&#36164;&#28304;&#24211;/02_&#23703;&#20301;&#32844;&#36131;/&#23703;&#20301;&#32844;&#36131;&#35828;&#26126;&#20070;(ORG-OT-T01)V1.0.xls" TargetMode="External"/><Relationship Id="rId3"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1&#24180;&#22521;&#35757;&#35745;&#21010;/08_&#22521;&#35757;&#24635;&#32467;&#25253;&#21578;" TargetMode="External"/><Relationship Id="rId7" Type="http://schemas.openxmlformats.org/officeDocument/2006/relationships/hyperlink" Target="../../../AnthonyG/6_PIID/2022-08-21to08-26%20(A3)%20C61017%20Beijing%20QCUBIC%20Technologies/Beijing%20QCUBIC%20-%20appraisal%20documentation/01-&#32452;&#32455;&#32423;/02-&#32452;&#32455;&#24037;&#20316;&#24211;/05-OT&#22521;&#35757;&#24211;/02_&#20154;&#21147;&#36164;&#28304;&#24211;/01_&#21592;&#24037;&#20449;&#24687;/&#21592;&#24037;&#25216;&#26415;&#21450;&#24037;&#20316;&#32463;&#21382;&#19968;&#35272;&#34920;(ORG_OT_Skills%20and%20Experience%20List)V1.0.xls" TargetMode="External"/><Relationship Id="rId12" Type="http://schemas.openxmlformats.org/officeDocument/2006/relationships/printerSettings" Target="../printerSettings/printerSettings9.bin"/><Relationship Id="rId2" Type="http://schemas.openxmlformats.org/officeDocument/2006/relationships/hyperlink" Target="../../../AnthonyG/6_PIID/2022-08-21to08-26%20(A3)%20C61017%20Beijing%20QCUBIC%20Technologies/Beijing%20QCUBIC%20-%20appraisal%20documentation/01-&#32452;&#32455;&#32423;/02-&#32452;&#32455;&#24037;&#20316;&#24211;/05-OT&#22521;&#35757;&#24211;/04_&#20869;&#37096;&#22521;&#35757;&#35762;&#24072;&#22521;&#35757;" TargetMode="External"/><Relationship Id="rId1"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2&#24180;&#22521;&#35757;&#35745;&#21010;/02_&#24180;&#24230;&#22521;&#35757;&#35745;&#21010;/2022&#22521;&#35757;&#35838;&#31243;&#34920;(ORG_OT_TraininCNSchedule)V1.0.xls" TargetMode="External"/><Relationship Id="rId6" Type="http://schemas.openxmlformats.org/officeDocument/2006/relationships/hyperlink" Target="../../../AnthonyG/6_PIID/2022-08-21to08-26%20(A3)%20C61017%20Beijing%20QCUBIC%20Technologies/Beijing%20QCUBIC%20-%20appraisal%20documentation/01-&#32452;&#32455;&#32423;/02-&#32452;&#32455;&#24037;&#20316;&#24211;/05-OT&#22521;&#35757;&#24211;/02_&#20154;&#21147;&#36164;&#28304;&#24211;/01_&#21592;&#24037;&#20449;&#24687;/&#21592;&#24037;---&#23703;&#20301;&#30693;&#35782;&#25216;&#33021;&#30697;&#38453;.xls" TargetMode="External"/><Relationship Id="rId11" Type="http://schemas.openxmlformats.org/officeDocument/2006/relationships/hyperlink" Target="../../../AnthonyG/6_PIID/2022-08-21to08-26%20(A3)%20C61017%20Beijing%20QCUBIC%20Technologies/Beijing%20QCUBIC%20-%20appraisal%20documentation/01-&#32452;&#32455;&#32423;/02-&#32452;&#32455;&#24037;&#20316;&#24211;/05-OT&#22521;&#35757;&#24211;" TargetMode="External"/><Relationship Id="rId5" Type="http://schemas.openxmlformats.org/officeDocument/2006/relationships/hyperlink" Target="../../../AnthonyG/6_PIID/2022-08-21to08-26%20(A3)%20C61017%20Beijing%20QCUBIC%20Technologies/Beijing%20QCUBIC%20-%20appraisal%20documentation/01-&#32452;&#32455;&#32423;/02-&#32452;&#32455;&#24037;&#20316;&#24211;/05-OT&#22521;&#35757;&#24211;/04_&#20869;&#37096;&#22521;&#35757;&#35762;&#24072;&#22521;&#35757;/06_&#23398;&#21592;&#32771;&#26680;&#35780;&#20215;&#34920;/&#22521;&#35757;&#20869;&#37096;&#35762;&#24072;&#22521;&#35757;(ORG-OT-TrainingEVVuationlist)V1.0.xls" TargetMode="External"/><Relationship Id="rId10"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2&#24180;&#22521;&#35757;&#35745;&#21010;/02_&#24180;&#24230;&#22521;&#35757;&#35745;&#21010;/OT-&#32452;&#32455;&#22521;&#35757;&#35745;&#21010;&#35780;&#23457;&#35760;&#24405;2022.xlsx" TargetMode="External"/><Relationship Id="rId4"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2&#24180;&#22521;&#35757;&#35745;&#21010;/01_&#22521;&#35757;&#38656;&#27714;&#35843;&#30740;/&#22521;&#35757;&#38656;&#27714;&#35843;&#30740;&#34920;(ORG_OT_TrainingReqDevTable)V1.1.xls" TargetMode="External"/><Relationship Id="rId9"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1_&#20844;&#21496;&#25112;&#30053;&#22521;&#35757;&#35268;&#21010;/&#20844;&#21496;&#25112;&#30053;&#22521;&#35757;&#35268;&#21010;(ORG_OT_FutureTraining)V1.0.doc"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4-&#37324;&#31243;&#30865;&#29366;&#24577;&#25253;&#21578;/06-&#39564;&#25910;&#37324;&#31243;&#30865;&#29366;&#24577;&#25253;&#21578;(QCUBIC-SJTB-MC-VVMilestoneRpt)V1.0.doc" TargetMode="External"/><Relationship Id="rId13"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1-&#39033;&#30446;&#23450;&#20041;&#36807;&#31243;%20(QCUBIC-SJTB-PLAN-PDP)V1.0.xls" TargetMode="External"/><Relationship Id="rId3"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4-&#37324;&#31243;&#30865;&#29366;&#24577;&#25253;&#21578;/01-&#31574;&#21010;&#37324;&#31243;&#30865;&#29366;&#24577;&#25253;&#21578;(QCUBIC-SJTB-MC-PlanMilestoneRpt)V1.0.doc" TargetMode="External"/><Relationship Id="rId7"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4-&#37324;&#31243;&#30865;&#29366;&#24577;&#25253;&#21578;/05-&#27979;&#35797;&#37324;&#31243;&#30865;&#29366;&#24577;&#25253;&#21578;(QCUBIC-SJTB-MC-TestMilestoneRpt)V1.0.doc" TargetMode="External"/><Relationship Id="rId12"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4-&#39033;&#30446;&#36827;&#24230;&#35745;&#21010;(QCUBIC-SJTB-PLAN-Schedule)V1.1.mpp" TargetMode="External"/><Relationship Id="rId2"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2-&#39033;&#30446;&#21608;&#25253;(QCUBIC-SJTB-MC-weeklyrpt)v1.1.xls" TargetMode="External"/><Relationship Id="rId1"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3-&#39033;&#30446;&#35745;&#21010;&#20070;%20(QCUBIC-SJTB-PLAN-Plan)V1.0.doc" TargetMode="External"/><Relationship Id="rId6"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4-&#37324;&#31243;&#30865;&#29366;&#24577;&#25253;&#21578;/04-&#32534;&#30721;&#37324;&#31243;&#30865;&#29366;&#24577;&#25253;&#21578;(QCUBIC-SJTB-MC-CodingMilestoneRpt)V1.0.doc" TargetMode="External"/><Relationship Id="rId11"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8-&#37197;&#32622;&#31649;&#29702;/01-&#39033;&#30446;&#37197;&#32622;&#31649;&#29702;&#35745;&#21010;%20(QCUBIC-SJTB-CM-Plan)V1.0.doc" TargetMode="External"/><Relationship Id="rId5"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4-&#37324;&#31243;&#30865;&#29366;&#24577;&#25253;&#21578;/03-&#35774;&#35745;&#37324;&#31243;&#30865;&#29366;&#24577;&#25253;&#21578;(QCUBIC-SJTB-MC-DesMilestoneRpt)V1.0.doc" TargetMode="External"/><Relationship Id="rId10"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7-&#36136;&#37327;&#20445;&#35777;/01-&#36136;&#37327;&#20445;&#35777;&#35745;&#21010;(QCUBIC-SJTB-PQA-Plan)V1.0.doc" TargetMode="External"/><Relationship Id="rId4"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4-&#37324;&#31243;&#30865;&#29366;&#24577;&#25253;&#21578;/02-&#38656;&#27714;&#37324;&#31243;&#30865;&#29366;&#24577;&#25253;&#21578;(QCUBIC-SJTB-MC-RDMilestoneRpt)V1.1.doc" TargetMode="External"/><Relationship Id="rId9"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1-&#38382;&#39064;&#31649;&#29702;&#34920;(QCUBIC-SJTB-MC-IssueList)V1.1.xls" TargetMode="External"/><Relationship Id="rId14"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11.bin"/><Relationship Id="rId3"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5-&#35780;&#23457;&#31649;&#29702;/03-&#35745;&#21010;&#35780;&#23457;/05-&#35780;&#23457;&#25253;&#21578;_&#39033;&#30446;&#35745;&#21010;(QCUBIC-SJTB-PR-ReviewRpt)V1.1.xls" TargetMode="External"/><Relationship Id="rId7"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5-&#20851;&#38190;&#20381;&#36182;&#20851;&#31995;&#36319;&#36394;&#31649;&#29702;&#34920;(QCUBIC-SJTB-Key%20dependency%20tracking%20management%20table)V1.0.xls" TargetMode="External"/><Relationship Id="rId2"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3-&#39033;&#30446;&#35745;&#21010;&#20070;%20(QCUBIC-SJTB-PLAN-Plan)V1.0.doc" TargetMode="External"/><Relationship Id="rId1"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4-&#39033;&#30446;&#36827;&#24230;&#35745;&#21010;(QCUBIC-SJTB-PLAN-Schedule)V1.1.mpp" TargetMode="External"/><Relationship Id="rId6"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3-&#24230;&#37327;&#20998;&#26512;/02-&#39033;&#30446;&#24230;&#37327;&#25968;&#25454;&#34920;(QCUBIC-SJTB-MPM-datasheet)V1.0.xls" TargetMode="External"/><Relationship Id="rId5" Type="http://schemas.openxmlformats.org/officeDocument/2006/relationships/hyperlink" Target="../../../AnthonyG/6_PIID/2022-08-21to08-26%20(A3)%20C61017%20Beijing%20QCUBIC%20Technologies/Beijing%20QCUBIC%20-%20appraisal%20documentation/01-&#32452;&#32455;&#32423;/01-&#32452;&#32455;&#36130;&#23500;&#24211;/01-&#26631;&#20934;&#36807;&#31243;&#25991;&#20214;&#24211;/04-&#32452;&#32455;&#36807;&#31243;&#31867;/02-&#36807;&#31243;&#36164;&#20135;&#31649;&#29702;/&#35009;&#21098;&#25351;&#21335;%20(QCUBIC-SPI-OPAL-Guid-Tailor)V1.2.xls" TargetMode="External"/><Relationship Id="rId4"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1-&#39033;&#30446;&#23450;&#20041;&#36807;&#31243;%20(QCUBIC-SJTB-PLAN-PDP)V1.0.xls" TargetMode="External"/></Relationships>
</file>

<file path=xl/worksheets/_rels/sheet15.xml.rels><?xml version="1.0" encoding="UTF-8" standalone="yes"?>
<Relationships xmlns="http://schemas.openxmlformats.org/package/2006/relationships"><Relationship Id="rId8" Type="http://schemas.openxmlformats.org/officeDocument/2006/relationships/printerSettings" Target="../printerSettings/printerSettings12.bin"/><Relationship Id="rId3"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3-&#39033;&#30446;&#35745;&#21010;&#20070;%20(QCUBIC-SJTB-PLAN-Plan)V1.0.doc" TargetMode="External"/><Relationship Id="rId7" Type="http://schemas.openxmlformats.org/officeDocument/2006/relationships/hyperlink" Target="../../../AnthonyG/6_PIID/2022-08-21to08-26%20(A3)%20C61017%20Beijing%20QCUBIC%20Technologies/Beijing%20QCUBIC%20-%20appraisal%20documentation/01-&#32452;&#32455;&#32423;/01-&#32452;&#32455;&#36130;&#23500;&#24211;/01-&#26631;&#20934;&#36807;&#31243;&#25991;&#20214;&#24211;" TargetMode="External"/><Relationship Id="rId2"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3-&#24230;&#37327;&#20998;&#26512;/02-&#39033;&#30446;&#24230;&#37327;&#25968;&#25454;&#34920;(QCUBIC-SJTB-MPM-datasheet)V1.0.xls" TargetMode="External"/><Relationship Id="rId1"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2-&#20272;&#31639;&#24037;&#20316;&#20070;%20(QCUBIC-SJTB-PLAN-Evaluate)V1.2.xls" TargetMode="External"/><Relationship Id="rId6" Type="http://schemas.openxmlformats.org/officeDocument/2006/relationships/hyperlink" Target="../../../AnthonyG/6_PIID/2022-08-21to08-26%20(A3)%20C61017%20Beijing%20QCUBIC%20Technologies/Beijing%20QCUBIC%20-%20appraisal%20documentation/01-&#32452;&#32455;&#32423;/02-&#32452;&#32455;&#24037;&#20316;&#24211;/06-&#24230;&#37327;/&#32452;&#32455;&#24230;&#37327;&#34920;(QCUBIC-SPI-MPM-Tem-datasheet)V1.3.xls" TargetMode="External"/><Relationship Id="rId5" Type="http://schemas.openxmlformats.org/officeDocument/2006/relationships/hyperlink" Target="../../../AnthonyG/6_PIID/2022-08-21to08-26%20(A3)%20C61017%20Beijing%20QCUBIC%20Technologies/Beijing%20QCUBIC%20-%20appraisal%20documentation/01-&#32452;&#32455;&#32423;/01-&#32452;&#32455;&#36130;&#23500;&#24211;/01-&#26631;&#20934;&#36807;&#31243;&#25991;&#20214;&#24211;/01-&#39033;&#30446;&#31649;&#29702;&#35268;&#33539;/03-&#39033;&#30446;&#20272;&#31639;/&#20272;&#31639;&#25351;&#21335;(QCUBIC-SPI-EST-Guid-Evaluate)V1.2.doc" TargetMode="External"/><Relationship Id="rId4"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3-&#21608;&#20250;&#35758;&#32426;&#35201;/01-&#20250;&#35758;&#35760;&#24405;(QCUBIC-SJTB-meetingrcd-20220107)V1.0.doc"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7-&#21407;&#22240;&#20998;&#26512;&#21644;&#35299;&#20915;&#36807;&#31243;/&#21407;&#22240;&#20998;&#26512;&#21644;&#35299;&#20915;&#36807;&#31243;(QCUBIC-SPI-CAR_Pro)V1.2.docx" TargetMode="External"/><Relationship Id="rId1" Type="http://schemas.openxmlformats.org/officeDocument/2006/relationships/hyperlink" Target="../../../AnthonyG/6_PIID/2022-08-21to08-26%20(A3)%20C61017%20Beijing%20QCUBIC%20Technologies/Beijing%20QCUBIC%20-%20appraisal%20documentation/01-&#32452;&#32455;&#32423;/02-&#32452;&#32455;&#24037;&#20316;&#24211;/06-&#24230;&#37327;/&#21407;&#22240;&#20998;&#26512;&#21644;&#35299;&#20915;&#26041;&#26696;&#25253;&#21578;(QCUBIC-SPI-CAR_Data%20quality%20analysis)V1.0.xls"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4-&#20915;&#31574;&#20998;&#26512;/&#20915;&#31574;&#20998;&#26512;&#21644;&#35299;&#20915;&#26041;&#26696;(QCUBIC-SPI-OPAL-Tem-Proc)V1.2.doc" TargetMode="External"/><Relationship Id="rId1" Type="http://schemas.openxmlformats.org/officeDocument/2006/relationships/hyperlink" Target="../../../AnthonyG/6_PIID/2022-08-21to08-26%20(A3)%20C61017%20Beijing%20QCUBIC%20Technologies/Beijing%20QCUBIC%20-%20appraisal%20documentation/01-&#32452;&#32455;&#32423;/02-&#32452;&#32455;&#24037;&#20316;&#24211;/02-EPG&#27963;&#21160;&#24211;/08-&#20915;&#31574;&#20998;&#26512;/01-&#20915;&#31574;&#20998;&#26512;&#25253;&#21578;&#65288;QCUBIC-SPI-dar-evaluaterpt)V1.0.xls"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2-&#37197;&#32622;&#31649;&#29702;/&#37197;&#32622;&#31649;&#29702;&#36807;&#31243;&#25991;&#20214;(QCUBIC-SPI-CM-Proc-Doc)V1.2.doc" TargetMode="External"/><Relationship Id="rId2" Type="http://schemas.openxmlformats.org/officeDocument/2006/relationships/hyperlink" Target="../../../AnthonyG/6_PIID/2022-08-21to08-26%20(A3)%20C61017%20Beijing%20QCUBIC%20Technologies/Beijing%20QCUBIC%20-%20appraisal%20documentation/01-&#32452;&#32455;&#32423;/02-&#32452;&#32455;&#24037;&#20316;&#24211;/04-CM&#27963;&#21160;&#24211;/&#32452;&#32455;&#37197;&#32622;&#24211;&#20869;&#23481;&#21015;&#34920;(ORG_-CM-TEM-PALList)V1.2.xls" TargetMode="External"/><Relationship Id="rId1" Type="http://schemas.openxmlformats.org/officeDocument/2006/relationships/hyperlink" Target="../../../AnthonyG/6_PIID/2022-08-21to08-26%20(A3)%20C61017%20Beijing%20QCUBIC%20Technologies/Beijing%20QCUBIC%20-%20appraisal%20documentation/01-&#32452;&#32455;&#32423;/02-&#32452;&#32455;&#24037;&#20316;&#24211;/04-CM&#27963;&#21160;&#24211;/&#32452;&#32455;&#32423;&#37197;&#32622;&#31649;&#29702;&#35745;&#21010;(QCUBIC-SPI-CM-OCMPlan)V1.2.xls" TargetMode="External"/><Relationship Id="rId6" Type="http://schemas.openxmlformats.org/officeDocument/2006/relationships/printerSettings" Target="../printerSettings/printerSettings14.bin"/><Relationship Id="rId5" Type="http://schemas.openxmlformats.org/officeDocument/2006/relationships/hyperlink" Target="../../../AnthonyG/6_PIID/2022-08-21to08-26%20(A3)%20C61017%20Beijing%20QCUBIC%20Technologies/Beijing%20QCUBIC%20-%20appraisal%20documentation/01-&#32452;&#32455;&#32423;/02-&#32452;&#32455;&#24037;&#20316;&#24211;/04-CM&#27963;&#21160;&#24211;/&#32452;&#32455;&#32423;&#37197;&#32622;&#23457;&#35745;&#25253;&#21578;(QCUBIC-SPI-CM-Organization-level%20configuration%20audit%20report)V1.3.xls" TargetMode="External"/><Relationship Id="rId4" Type="http://schemas.openxmlformats.org/officeDocument/2006/relationships/hyperlink" Target="../../../AnthonyG/6_PIID/2022-08-21to08-26%20(A3)%20C61017%20Beijing%20QCUBIC%20Technologies/Beijing%20QCUBIC%20-%20appraisal%20documentation/01-&#32452;&#32455;&#32423;/02-&#32452;&#32455;&#24037;&#20316;&#24211;/04-CM&#27963;&#21160;&#24211;/&#22522;&#32447;&#21457;&#24067;&#25253;&#21578;%20(QCUBIC-spi-cm-release)V1.1.xls"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1-&#32452;&#32455;&#32423;/02-&#32452;&#32455;&#24037;&#20316;&#24211;/02-EPG&#27963;&#21160;&#24211;/&#36807;&#31243;&#25913;&#36827;&#24635;&#32467;&#25253;&#21578;.ppt" TargetMode="External"/><Relationship Id="rId3" Type="http://schemas.openxmlformats.org/officeDocument/2006/relationships/hyperlink" Target="../../../AnthonyG/6_PIID/2022-08-21to08-26%20(A3)%20C61017%20Beijing%20QCUBIC%20Technologies/Beijing%20QCUBIC%20-%20appraisal%20documentation/02-&#39033;&#30446;&#32423;/P1-Qcubic&#25968;&#25454;&#24211;&#31649;&#29702;&#24037;&#20855;%20V1.0/01-&#29983;&#23384;&#21608;&#26399;/03-&#39033;&#30446;&#31574;&#21010;/03-&#39033;&#30446;&#35745;&#21010;&#20070;%20(QCUBIC-SJKGL-PLAN-Plan)V1.1.doc" TargetMode="External"/><Relationship Id="rId7" Type="http://schemas.openxmlformats.org/officeDocument/2006/relationships/hyperlink" Target="../../../AnthonyG/6_PIID/2022-08-21to08-26%20(A3)%20C61017%20Beijing%20QCUBIC%20Technologies/Beijing%20QCUBIC%20-%20appraisal%20documentation/01-&#32452;&#32455;&#32423;/02-&#32452;&#32455;&#24037;&#20316;&#24211;/06-&#24230;&#37327;/&#32452;&#32455;&#24230;&#37327;&#34920;(QCUBIC-SPI-MPM-Tem-datasheet)V1.3.xls" TargetMode="External"/><Relationship Id="rId2"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3-&#39033;&#30446;&#31574;&#21010;/03-&#39033;&#30446;&#35745;&#21010;&#20070;%20(QCUBIC-XNTS-PLAN-Plan)V1.1.doc" TargetMode="External"/><Relationship Id="rId1" Type="http://schemas.openxmlformats.org/officeDocument/2006/relationships/hyperlink" Target="../../../AnthonyG/6_PIID/2022-08-21to08-26%20(A3)%20C61017%20Beijing%20QCUBIC%20Technologies/Beijing%20QCUBIC%20-%20appraisal%20documentation/01-&#32452;&#32455;&#32423;/01-&#32452;&#32455;&#36130;&#23500;&#24211;/01-&#26631;&#20934;&#36807;&#31243;&#25991;&#20214;&#24211;" TargetMode="External"/><Relationship Id="rId6" Type="http://schemas.openxmlformats.org/officeDocument/2006/relationships/hyperlink" Target="../../../AnthonyG/6_PIID/2022-08-21to08-26%20(A3)%20C61017%20Beijing%20QCUBIC%20Technologies/Beijing%20QCUBIC%20-%20appraisal%20documentation/01-&#32452;&#32455;&#32423;/02-&#32452;&#32455;&#24037;&#20316;&#24211;/03-PQA&#27963;&#21160;&#24211;/&#32452;&#32455;&#32423;&#19981;&#31526;&#21512;&#39033;&#31649;&#29702;&#34920;(QCUBIC-SPI-PQA-NCList)V1.2.xls" TargetMode="External"/><Relationship Id="rId5" Type="http://schemas.openxmlformats.org/officeDocument/2006/relationships/hyperlink" Target="../../../AnthonyG/6_PIID/2022-08-21to08-26%20(A3)%20C61017%20Beijing%20QCUBIC%20Technologies/Beijing%20QCUBIC%20-%20appraisal%20documentation/01-&#32452;&#32455;&#32423;/02-&#32452;&#32455;&#24037;&#20316;&#24211;/02-EPG&#27963;&#21160;&#24211;/03-&#36807;&#31243;&#25913;&#36827;&#35745;&#21010;/&#36807;&#31243;&#25913;&#36827;&#35745;&#21010;(QCUBIC-SPI-PIM-PIPlan)V1.2.doc" TargetMode="External"/><Relationship Id="rId10" Type="http://schemas.openxmlformats.org/officeDocument/2006/relationships/printerSettings" Target="../printerSettings/printerSettings15.bin"/><Relationship Id="rId4"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3-&#39033;&#30446;&#35745;&#21010;&#20070;%20(QCUBIC-SJTB-PLAN-Plan)V1.0.doc" TargetMode="External"/><Relationship Id="rId9" Type="http://schemas.openxmlformats.org/officeDocument/2006/relationships/hyperlink" Target="../../../AnthonyG/6_PIID/2022-08-21to08-26%20(A3)%20C61017%20Beijing%20QCUBIC%20Technologies/Beijing%20QCUBIC%20-%20appraisal%20documentation/01-&#32452;&#32455;&#32423;/02-&#32452;&#32455;&#24037;&#20316;&#24211;/02-EPG&#27963;&#21160;&#24211;/07-EPG&#36319;&#36394;/05-&#36807;&#31243;&#25913;&#36827;&#24314;&#35758;&#34920;/&#36807;&#31243;&#25913;&#36827;&#24314;&#35758;&#34920;(QCUBIC-SPI-PIM-SPIAdvic)V1.2.xls"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1-&#32452;&#32455;&#32423;/02-&#32452;&#32455;&#24037;&#20316;&#24211;/02-EPG&#27963;&#21160;&#24211;/07-EPG&#36319;&#36394;/06-&#36807;&#31243;&#25913;&#36827;&#37324;&#31243;&#30865;/&#36807;&#31243;&#25913;&#36827;&#37324;&#31243;&#30865;&#25253;&#21578;(ORG_PCM_Milestone_20220628)V1.0.doc" TargetMode="External"/><Relationship Id="rId3"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2&#24180;&#22521;&#35757;&#35745;&#21010;/02_&#24180;&#24230;&#22521;&#35757;&#35745;&#21010;/2022&#22521;&#35757;&#35838;&#31243;&#34920;(ORG_OT_TraininCNSchedule)V1.0.xls" TargetMode="External"/><Relationship Id="rId7" Type="http://schemas.openxmlformats.org/officeDocument/2006/relationships/hyperlink" Target="../../../AnthonyG/6_PIID/2022-08-21to08-26%20(A3)%20C61017%20Beijing%20QCUBIC%20Technologies/Beijing%20QCUBIC%20-%20appraisal%20documentation/01-&#32452;&#32455;&#32423;/02-&#32452;&#32455;&#24037;&#20316;&#24211;/02-EPG&#27963;&#21160;&#24211;/&#36807;&#31243;&#25913;&#36827;&#24635;&#32467;&#25253;&#21578;.ppt" TargetMode="External"/><Relationship Id="rId12" Type="http://schemas.openxmlformats.org/officeDocument/2006/relationships/printerSettings" Target="../printerSettings/printerSettings16.bin"/><Relationship Id="rId2" Type="http://schemas.openxmlformats.org/officeDocument/2006/relationships/hyperlink" Target="../../../AnthonyG/6_PIID/2022-08-21to08-26%20(A3)%20C61017%20Beijing%20QCUBIC%20Technologies/Beijing%20QCUBIC%20-%20appraisal%20documentation/01-&#32452;&#32455;&#32423;/02-&#32452;&#32455;&#24037;&#20316;&#24211;/02-EPG&#27963;&#21160;&#24211;/03-&#36807;&#31243;&#25913;&#36827;&#35745;&#21010;/&#36807;&#31243;&#25913;&#36827;&#35745;&#21010;(QCUBIC-SPI-PIM-PIPlan)V1.2.doc" TargetMode="External"/><Relationship Id="rId1" Type="http://schemas.openxmlformats.org/officeDocument/2006/relationships/hyperlink" Target="../../../AnthonyG/6_PIID/2022-08-21to08-26%20(A3)%20C61017%20Beijing%20QCUBIC%20Technologies/Beijing%20QCUBIC%20-%20appraisal%20documentation/01-&#32452;&#32455;&#32423;/01-&#32452;&#32455;&#36130;&#23500;&#24211;/01-&#26631;&#20934;&#36807;&#31243;&#25991;&#20214;&#24211;/04-&#32452;&#32455;&#36807;&#31243;&#31867;/02-&#36807;&#31243;&#36164;&#20135;&#31649;&#29702;/&#32452;&#32455;&#26041;&#38024;%20(QCUBIC-SPI-OPAL-Ply-Doc)V1.2.doc" TargetMode="External"/><Relationship Id="rId6" Type="http://schemas.openxmlformats.org/officeDocument/2006/relationships/hyperlink" Target="../../../AnthonyG/6_PIID/2022-08-21to08-26%20(A3)%20C61017%20Beijing%20QCUBIC%20Technologies/Beijing%20QCUBIC%20-%20appraisal%20documentation/01-&#32452;&#32455;&#32423;/02-&#32452;&#32455;&#24037;&#20316;&#24211;/01-&#20250;&#35758;&#35760;&#24405;" TargetMode="External"/><Relationship Id="rId11" Type="http://schemas.openxmlformats.org/officeDocument/2006/relationships/hyperlink" Target="../../../AnthonyG/6_PIID/2022-08-21to08-26%20(A3)%20C61017%20Beijing%20QCUBIC%20Technologies/Beijing%20QCUBIC%20-%20appraisal%20documentation/01-&#32452;&#32455;&#32423;/02-&#32452;&#32455;&#24037;&#20316;&#24211;/03-PQA&#27963;&#21160;&#24211;/&#32452;&#32455;&#32423;&#30340;&#36136;&#37327;&#20445;&#35777;&#35745;&#21010;(QCUBIC-SPI-PQA-OQAPlan)V1.4.xls" TargetMode="External"/><Relationship Id="rId5"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1&#24180;&#22521;&#35757;&#35745;&#21010;/08_&#22521;&#35757;&#24635;&#32467;&#25253;&#21578;" TargetMode="External"/><Relationship Id="rId10" Type="http://schemas.openxmlformats.org/officeDocument/2006/relationships/hyperlink" Target="../../../AnthonyG/6_PIID/2022-08-21to08-26%20(A3)%20C61017%20Beijing%20QCUBIC%20Technologies/Beijing%20QCUBIC%20-%20appraisal%20documentation/01-&#32452;&#32455;&#32423;/02-&#32452;&#32455;&#24037;&#20316;&#24211;/06-&#24230;&#37327;/&#32452;&#32455;&#24230;&#37327;&#35745;&#21010;(QCUBIC-SPI-MPM-Plan)V1.3.xls" TargetMode="External"/><Relationship Id="rId4"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2&#24180;&#22521;&#35757;&#35745;&#21010;/06_&#23398;&#21592;&#32771;&#26680;&#35780;&#20215;&#34920;" TargetMode="External"/><Relationship Id="rId9" Type="http://schemas.openxmlformats.org/officeDocument/2006/relationships/hyperlink" Target="../../../AnthonyG/6_PIID/2022-08-21to08-26%20(A3)%20C61017%20Beijing%20QCUBIC%20Technologies/Beijing%20QCUBIC%20-%20appraisal%20documentation/01-&#32452;&#32455;&#32423;/02-&#32452;&#32455;&#24037;&#20316;&#24211;/06-&#24230;&#37327;/&#32452;&#32455;&#24230;&#37327;&#34920;(QCUBIC-SPI-MPM-Tem-datasheet)V1.3.xls" TargetMode="External"/></Relationships>
</file>

<file path=xl/worksheets/_rels/sheet21.xml.rels><?xml version="1.0" encoding="UTF-8" standalone="yes"?>
<Relationships xmlns="http://schemas.openxmlformats.org/package/2006/relationships"><Relationship Id="rId8" Type="http://schemas.openxmlformats.org/officeDocument/2006/relationships/ctrlProp" Target="../ctrlProps/ctrlProp20.xml"/><Relationship Id="rId3" Type="http://schemas.openxmlformats.org/officeDocument/2006/relationships/vmlDrawing" Target="../drawings/vmlDrawing2.vml"/><Relationship Id="rId7" Type="http://schemas.openxmlformats.org/officeDocument/2006/relationships/ctrlProp" Target="../ctrlProps/ctrlProp19.xml"/><Relationship Id="rId12" Type="http://schemas.openxmlformats.org/officeDocument/2006/relationships/ctrlProp" Target="../ctrlProps/ctrlProp24.xml"/><Relationship Id="rId2" Type="http://schemas.openxmlformats.org/officeDocument/2006/relationships/drawing" Target="../drawings/drawing2.xml"/><Relationship Id="rId1" Type="http://schemas.openxmlformats.org/officeDocument/2006/relationships/printerSettings" Target="../printerSettings/printerSettings17.bin"/><Relationship Id="rId6" Type="http://schemas.openxmlformats.org/officeDocument/2006/relationships/ctrlProp" Target="../ctrlProps/ctrlProp18.xml"/><Relationship Id="rId11" Type="http://schemas.openxmlformats.org/officeDocument/2006/relationships/ctrlProp" Target="../ctrlProps/ctrlProp23.xml"/><Relationship Id="rId5" Type="http://schemas.openxmlformats.org/officeDocument/2006/relationships/ctrlProp" Target="../ctrlProps/ctrlProp17.xml"/><Relationship Id="rId10" Type="http://schemas.openxmlformats.org/officeDocument/2006/relationships/ctrlProp" Target="../ctrlProps/ctrlProp22.xml"/><Relationship Id="rId4" Type="http://schemas.openxmlformats.org/officeDocument/2006/relationships/ctrlProp" Target="../ctrlProps/ctrlProp16.xml"/><Relationship Id="rId9" Type="http://schemas.openxmlformats.org/officeDocument/2006/relationships/ctrlProp" Target="../ctrlProps/ctrlProp2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8.bin"/><Relationship Id="rId5" Type="http://schemas.openxmlformats.org/officeDocument/2006/relationships/ctrlProp" Target="../ctrlProps/ctrlProp26.xml"/><Relationship Id="rId4" Type="http://schemas.openxmlformats.org/officeDocument/2006/relationships/ctrlProp" Target="../ctrlProps/ctrlProp25.xml"/></Relationships>
</file>

<file path=xl/worksheets/_rels/sheet23.xml.rels><?xml version="1.0" encoding="UTF-8" standalone="yes"?>
<Relationships xmlns="http://schemas.openxmlformats.org/package/2006/relationships"><Relationship Id="rId3" Type="http://schemas.openxmlformats.org/officeDocument/2006/relationships/ctrlProp" Target="../ctrlProps/ctrlProp27.xml"/><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ctrlProp" Target="../ctrlProps/ctrlProp28.xml"/></Relationships>
</file>

<file path=xl/worksheets/_rels/sheet24.xml.rels><?xml version="1.0" encoding="UTF-8" standalone="yes"?>
<Relationships xmlns="http://schemas.openxmlformats.org/package/2006/relationships"><Relationship Id="rId3" Type="http://schemas.openxmlformats.org/officeDocument/2006/relationships/ctrlProp" Target="../ctrlProps/ctrlProp29.xml"/><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ctrlProp" Target="../ctrlProps/ctrlProp30.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translate.google.com/?sl=auto&amp;tl=en&amp;op=translate" TargetMode="External"/><Relationship Id="rId1" Type="http://schemas.openxmlformats.org/officeDocument/2006/relationships/hyperlink" Target="https://www.onlinedoctranslator.com/en/translationform"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43E81-2C3E-4CC7-9D25-099066E1DCE7}">
  <sheetPr codeName="Sheet31">
    <tabColor rgb="FF0070C0"/>
  </sheetPr>
  <dimension ref="B2:M52"/>
  <sheetViews>
    <sheetView workbookViewId="0">
      <selection activeCell="D43" sqref="D43"/>
    </sheetView>
  </sheetViews>
  <sheetFormatPr defaultColWidth="11.33203125" defaultRowHeight="14.4"/>
  <cols>
    <col min="2" max="2" width="25.44140625" customWidth="1"/>
    <col min="3" max="3" width="5.33203125" customWidth="1"/>
  </cols>
  <sheetData>
    <row r="2" spans="2:13">
      <c r="B2" s="15" t="s">
        <v>0</v>
      </c>
    </row>
    <row r="3" spans="2:13">
      <c r="B3" s="15" t="s">
        <v>1</v>
      </c>
    </row>
    <row r="4" spans="2:13">
      <c r="B4" s="15"/>
    </row>
    <row r="5" spans="2:13">
      <c r="B5" s="308" t="s">
        <v>2</v>
      </c>
      <c r="C5" s="293"/>
      <c r="D5" s="293"/>
      <c r="E5" s="293"/>
      <c r="F5" s="293"/>
      <c r="G5" s="293"/>
      <c r="H5" s="293"/>
      <c r="I5" s="293"/>
      <c r="J5" s="293"/>
      <c r="K5" s="293"/>
      <c r="L5" s="293"/>
      <c r="M5" s="293"/>
    </row>
    <row r="8" spans="2:13">
      <c r="H8" s="309"/>
      <c r="J8" s="309"/>
    </row>
    <row r="10" spans="2:13">
      <c r="B10" s="309" t="s">
        <v>3</v>
      </c>
      <c r="C10" s="309" t="s">
        <v>4</v>
      </c>
    </row>
    <row r="12" spans="2:13">
      <c r="D12" s="309" t="s">
        <v>5</v>
      </c>
    </row>
    <row r="14" spans="2:13">
      <c r="D14" s="309" t="s">
        <v>6</v>
      </c>
    </row>
    <row r="16" spans="2:13">
      <c r="D16" s="309" t="s">
        <v>7</v>
      </c>
    </row>
    <row r="18" spans="4:6">
      <c r="D18" s="309" t="s">
        <v>8</v>
      </c>
    </row>
    <row r="21" spans="4:6">
      <c r="D21" s="309" t="s">
        <v>9</v>
      </c>
      <c r="F21" s="309"/>
    </row>
    <row r="23" spans="4:6">
      <c r="D23" s="309" t="s">
        <v>10</v>
      </c>
    </row>
    <row r="25" spans="4:6">
      <c r="D25" s="309" t="s">
        <v>11</v>
      </c>
    </row>
    <row r="27" spans="4:6">
      <c r="D27" s="309" t="s">
        <v>12</v>
      </c>
    </row>
    <row r="29" spans="4:6">
      <c r="D29" s="309" t="s">
        <v>13</v>
      </c>
    </row>
    <row r="30" spans="4:6">
      <c r="F30" s="309"/>
    </row>
    <row r="31" spans="4:6">
      <c r="D31" s="309" t="s">
        <v>14</v>
      </c>
    </row>
    <row r="33" spans="2:13">
      <c r="D33" s="309" t="s">
        <v>15</v>
      </c>
    </row>
    <row r="34" spans="2:13">
      <c r="G34" s="310"/>
    </row>
    <row r="36" spans="2:13">
      <c r="B36" s="65" t="s">
        <v>16</v>
      </c>
    </row>
    <row r="37" spans="2:13">
      <c r="B37" s="15" t="s">
        <v>17</v>
      </c>
    </row>
    <row r="38" spans="2:13">
      <c r="B38" s="15" t="s">
        <v>18</v>
      </c>
    </row>
    <row r="39" spans="2:13">
      <c r="B39" s="15" t="s">
        <v>19</v>
      </c>
    </row>
    <row r="40" spans="2:13">
      <c r="B40" s="15" t="s">
        <v>20</v>
      </c>
    </row>
    <row r="41" spans="2:13">
      <c r="B41" s="308" t="s">
        <v>21</v>
      </c>
      <c r="C41" s="293"/>
      <c r="D41" s="293"/>
      <c r="E41" s="293"/>
      <c r="F41" s="293"/>
      <c r="G41" s="293"/>
      <c r="H41" s="293"/>
      <c r="I41" s="293"/>
      <c r="J41" s="293"/>
      <c r="K41" s="293"/>
      <c r="L41" s="293"/>
      <c r="M41" s="293"/>
    </row>
    <row r="52" spans="4:4">
      <c r="D52" s="294"/>
    </row>
  </sheetData>
  <phoneticPr fontId="61" type="noConversion"/>
  <hyperlinks>
    <hyperlink ref="B2" r:id="rId1" xr:uid="{E2B289EB-57B3-4AC4-B4F7-FE064FD9BA58}"/>
    <hyperlink ref="B37" r:id="rId2" xr:uid="{0B65FCF2-94F3-4482-9A47-79347D61655C}"/>
    <hyperlink ref="B38" r:id="rId3" xr:uid="{8F17E8A8-9448-4350-B5F1-5750AA665565}"/>
    <hyperlink ref="B3" r:id="rId4" xr:uid="{3243276B-4864-460C-B9EB-B34C4E3BA126}"/>
    <hyperlink ref="B39" r:id="rId5" xr:uid="{AF2E33A8-1B8F-465C-BD11-01E0D7E5F610}"/>
    <hyperlink ref="B40" r:id="rId6" xr:uid="{3E8B2D96-1E79-44E9-8B9E-5025840746CA}"/>
  </hyperlinks>
  <pageMargins left="0.7" right="0.7" top="0.75" bottom="0.75" header="0.3" footer="0.3"/>
  <pageSetup paperSize="9" orientation="portrait" r:id="rId7"/>
  <drawing r:id="rId8"/>
  <legacyDrawing r:id="rId9"/>
  <mc:AlternateContent xmlns:mc="http://schemas.openxmlformats.org/markup-compatibility/2006">
    <mc:Choice Requires="x14">
      <controls>
        <mc:AlternateContent xmlns:mc="http://schemas.openxmlformats.org/markup-compatibility/2006">
          <mc:Choice Requires="x14">
            <control shapeId="43009" r:id="rId10" name="Button 1">
              <controlPr defaultSize="0" print="0" autoFill="0" autoPict="0" macro="[0]!Format_PAs_Click">
                <anchor moveWithCells="1" sizeWithCells="1">
                  <from>
                    <xdr:col>1</xdr:col>
                    <xdr:colOff>7620</xdr:colOff>
                    <xdr:row>6</xdr:row>
                    <xdr:rowOff>38100</xdr:rowOff>
                  </from>
                  <to>
                    <xdr:col>1</xdr:col>
                    <xdr:colOff>1706880</xdr:colOff>
                    <xdr:row>7</xdr:row>
                    <xdr:rowOff>114300</xdr:rowOff>
                  </to>
                </anchor>
              </controlPr>
            </control>
          </mc:Choice>
        </mc:AlternateContent>
        <mc:AlternateContent xmlns:mc="http://schemas.openxmlformats.org/markup-compatibility/2006">
          <mc:Choice Requires="x14">
            <control shapeId="43010" r:id="rId11" name="Button 2">
              <controlPr defaultSize="0" print="0" autoFill="0" autoPict="0" macro="[0]!Filter_on_Level">
                <anchor moveWithCells="1" sizeWithCells="1">
                  <from>
                    <xdr:col>1</xdr:col>
                    <xdr:colOff>30480</xdr:colOff>
                    <xdr:row>11</xdr:row>
                    <xdr:rowOff>30480</xdr:rowOff>
                  </from>
                  <to>
                    <xdr:col>1</xdr:col>
                    <xdr:colOff>1744980</xdr:colOff>
                    <xdr:row>12</xdr:row>
                    <xdr:rowOff>38100</xdr:rowOff>
                  </to>
                </anchor>
              </controlPr>
            </control>
          </mc:Choice>
        </mc:AlternateContent>
        <mc:AlternateContent xmlns:mc="http://schemas.openxmlformats.org/markup-compatibility/2006">
          <mc:Choice Requires="x14">
            <control shapeId="43011" r:id="rId12" name="Button 3">
              <controlPr defaultSize="0" print="0" autoFill="0" autoPict="0" macro="[0]!Filter_Clear">
                <anchor moveWithCells="1" sizeWithCells="1">
                  <from>
                    <xdr:col>1</xdr:col>
                    <xdr:colOff>7620</xdr:colOff>
                    <xdr:row>19</xdr:row>
                    <xdr:rowOff>182880</xdr:rowOff>
                  </from>
                  <to>
                    <xdr:col>1</xdr:col>
                    <xdr:colOff>1744980</xdr:colOff>
                    <xdr:row>21</xdr:row>
                    <xdr:rowOff>7620</xdr:rowOff>
                  </to>
                </anchor>
              </controlPr>
            </control>
          </mc:Choice>
        </mc:AlternateContent>
        <mc:AlternateContent xmlns:mc="http://schemas.openxmlformats.org/markup-compatibility/2006">
          <mc:Choice Requires="x14">
            <control shapeId="43012" r:id="rId13" name="Button 4">
              <controlPr defaultSize="0" print="0" autoFill="0" autoPict="0" macro="[0]!Filter_on_PA_level">
                <anchor moveWithCells="1" sizeWithCells="1">
                  <from>
                    <xdr:col>1</xdr:col>
                    <xdr:colOff>0</xdr:colOff>
                    <xdr:row>13</xdr:row>
                    <xdr:rowOff>0</xdr:rowOff>
                  </from>
                  <to>
                    <xdr:col>1</xdr:col>
                    <xdr:colOff>1744980</xdr:colOff>
                    <xdr:row>14</xdr:row>
                    <xdr:rowOff>30480</xdr:rowOff>
                  </to>
                </anchor>
              </controlPr>
            </control>
          </mc:Choice>
        </mc:AlternateContent>
        <mc:AlternateContent xmlns:mc="http://schemas.openxmlformats.org/markup-compatibility/2006">
          <mc:Choice Requires="x14">
            <control shapeId="43013" r:id="rId14" name="Button 5">
              <controlPr defaultSize="0" print="0" autoFill="0" autoPict="0" macro="[0]!Filter_on_Process_level">
                <anchor moveWithCells="1" sizeWithCells="1">
                  <from>
                    <xdr:col>1</xdr:col>
                    <xdr:colOff>30480</xdr:colOff>
                    <xdr:row>14</xdr:row>
                    <xdr:rowOff>160020</xdr:rowOff>
                  </from>
                  <to>
                    <xdr:col>2</xdr:col>
                    <xdr:colOff>7620</xdr:colOff>
                    <xdr:row>15</xdr:row>
                    <xdr:rowOff>182880</xdr:rowOff>
                  </to>
                </anchor>
              </controlPr>
            </control>
          </mc:Choice>
        </mc:AlternateContent>
        <mc:AlternateContent xmlns:mc="http://schemas.openxmlformats.org/markup-compatibility/2006">
          <mc:Choice Requires="x14">
            <control shapeId="43014" r:id="rId15" name="Button 6">
              <controlPr defaultSize="0" print="0" autoFill="0" autoPict="0" macro="[0]!Filter_on_PA_Instantiation_level">
                <anchor moveWithCells="1" sizeWithCells="1">
                  <from>
                    <xdr:col>1</xdr:col>
                    <xdr:colOff>7620</xdr:colOff>
                    <xdr:row>17</xdr:row>
                    <xdr:rowOff>7620</xdr:rowOff>
                  </from>
                  <to>
                    <xdr:col>1</xdr:col>
                    <xdr:colOff>1744980</xdr:colOff>
                    <xdr:row>18</xdr:row>
                    <xdr:rowOff>30480</xdr:rowOff>
                  </to>
                </anchor>
              </controlPr>
            </control>
          </mc:Choice>
        </mc:AlternateContent>
        <mc:AlternateContent xmlns:mc="http://schemas.openxmlformats.org/markup-compatibility/2006">
          <mc:Choice Requires="x14">
            <control shapeId="43015" r:id="rId16" name="Button 7">
              <controlPr defaultSize="0" print="0" autoFill="0" autoPict="0" macro="[0]!Set_char_for_level">
                <anchor moveWithCells="1" sizeWithCells="1">
                  <from>
                    <xdr:col>1</xdr:col>
                    <xdr:colOff>30480</xdr:colOff>
                    <xdr:row>24</xdr:row>
                    <xdr:rowOff>30480</xdr:rowOff>
                  </from>
                  <to>
                    <xdr:col>2</xdr:col>
                    <xdr:colOff>7620</xdr:colOff>
                    <xdr:row>25</xdr:row>
                    <xdr:rowOff>30480</xdr:rowOff>
                  </to>
                </anchor>
              </controlPr>
            </control>
          </mc:Choice>
        </mc:AlternateContent>
        <mc:AlternateContent xmlns:mc="http://schemas.openxmlformats.org/markup-compatibility/2006">
          <mc:Choice Requires="x14">
            <control shapeId="43016" r:id="rId17" name="Button 8">
              <controlPr defaultSize="0" print="0" autoFill="0" autoPict="0" macro="[0]!Clear_char_for_level">
                <anchor moveWithCells="1" sizeWithCells="1">
                  <from>
                    <xdr:col>1</xdr:col>
                    <xdr:colOff>30480</xdr:colOff>
                    <xdr:row>22</xdr:row>
                    <xdr:rowOff>30480</xdr:rowOff>
                  </from>
                  <to>
                    <xdr:col>1</xdr:col>
                    <xdr:colOff>1706880</xdr:colOff>
                    <xdr:row>23</xdr:row>
                    <xdr:rowOff>7620</xdr:rowOff>
                  </to>
                </anchor>
              </controlPr>
            </control>
          </mc:Choice>
        </mc:AlternateContent>
        <mc:AlternateContent xmlns:mc="http://schemas.openxmlformats.org/markup-compatibility/2006">
          <mc:Choice Requires="x14">
            <control shapeId="43017" r:id="rId18" name="Button 9">
              <controlPr defaultSize="0" print="0" autoFill="0" autoPict="0" macro="[0]!Set_char_for_Prac_OU">
                <anchor moveWithCells="1" sizeWithCells="1">
                  <from>
                    <xdr:col>1</xdr:col>
                    <xdr:colOff>7620</xdr:colOff>
                    <xdr:row>29</xdr:row>
                    <xdr:rowOff>182880</xdr:rowOff>
                  </from>
                  <to>
                    <xdr:col>2</xdr:col>
                    <xdr:colOff>0</xdr:colOff>
                    <xdr:row>31</xdr:row>
                    <xdr:rowOff>7620</xdr:rowOff>
                  </to>
                </anchor>
              </controlPr>
            </control>
          </mc:Choice>
        </mc:AlternateContent>
        <mc:AlternateContent xmlns:mc="http://schemas.openxmlformats.org/markup-compatibility/2006">
          <mc:Choice Requires="x14">
            <control shapeId="43018" r:id="rId19" name="Button 10">
              <controlPr defaultSize="0" print="0" autoFill="0" autoPict="0" macro="[0]!Clear_char_for_Prac_OU">
                <anchor moveWithCells="1" sizeWithCells="1">
                  <from>
                    <xdr:col>0</xdr:col>
                    <xdr:colOff>762000</xdr:colOff>
                    <xdr:row>27</xdr:row>
                    <xdr:rowOff>182880</xdr:rowOff>
                  </from>
                  <to>
                    <xdr:col>1</xdr:col>
                    <xdr:colOff>1744980</xdr:colOff>
                    <xdr:row>28</xdr:row>
                    <xdr:rowOff>182880</xdr:rowOff>
                  </to>
                </anchor>
              </controlPr>
            </control>
          </mc:Choice>
        </mc:AlternateContent>
        <mc:AlternateContent xmlns:mc="http://schemas.openxmlformats.org/markup-compatibility/2006">
          <mc:Choice Requires="x14">
            <control shapeId="43019" r:id="rId20" name="Button 11">
              <controlPr defaultSize="0" print="0" autoFill="0" autoPict="0" macro="[0]!Set_char_for_Prac_instantiation">
                <anchor moveWithCells="1" sizeWithCells="1">
                  <from>
                    <xdr:col>1</xdr:col>
                    <xdr:colOff>30480</xdr:colOff>
                    <xdr:row>26</xdr:row>
                    <xdr:rowOff>38100</xdr:rowOff>
                  </from>
                  <to>
                    <xdr:col>2</xdr:col>
                    <xdr:colOff>0</xdr:colOff>
                    <xdr:row>27</xdr:row>
                    <xdr:rowOff>7620</xdr:rowOff>
                  </to>
                </anchor>
              </controlPr>
            </control>
          </mc:Choice>
        </mc:AlternateContent>
        <mc:AlternateContent xmlns:mc="http://schemas.openxmlformats.org/markup-compatibility/2006">
          <mc:Choice Requires="x14">
            <control shapeId="43020" r:id="rId21" name="Button 12">
              <controlPr defaultSize="0" print="0" autoFill="0" autoPict="0" macro="[0]!Clear_char_for_Prac_instantiation">
                <anchor moveWithCells="1" sizeWithCells="1">
                  <from>
                    <xdr:col>1</xdr:col>
                    <xdr:colOff>0</xdr:colOff>
                    <xdr:row>32</xdr:row>
                    <xdr:rowOff>7620</xdr:rowOff>
                  </from>
                  <to>
                    <xdr:col>2</xdr:col>
                    <xdr:colOff>7620</xdr:colOff>
                    <xdr:row>33</xdr:row>
                    <xdr:rowOff>38100</xdr:rowOff>
                  </to>
                </anchor>
              </controlPr>
            </control>
          </mc:Choice>
        </mc:AlternateContent>
        <mc:AlternateContent xmlns:mc="http://schemas.openxmlformats.org/markup-compatibility/2006">
          <mc:Choice Requires="x14">
            <control shapeId="43021" r:id="rId22" name="Button 13">
              <controlPr defaultSize="0" print="0" autoFill="0" autoPict="0" macro="[0]!ShowAllTVSheets">
                <anchor moveWithCells="1" sizeWithCells="1">
                  <from>
                    <xdr:col>1</xdr:col>
                    <xdr:colOff>38100</xdr:colOff>
                    <xdr:row>42</xdr:row>
                    <xdr:rowOff>0</xdr:rowOff>
                  </from>
                  <to>
                    <xdr:col>1</xdr:col>
                    <xdr:colOff>1722120</xdr:colOff>
                    <xdr:row>43</xdr:row>
                    <xdr:rowOff>30480</xdr:rowOff>
                  </to>
                </anchor>
              </controlPr>
            </control>
          </mc:Choice>
        </mc:AlternateContent>
        <mc:AlternateContent xmlns:mc="http://schemas.openxmlformats.org/markup-compatibility/2006">
          <mc:Choice Requires="x14">
            <control shapeId="43022" r:id="rId23" name="Button 14">
              <controlPr defaultSize="0" print="0" autoFill="0" autoPict="0" macro="[0]!HideAllTVSheets">
                <anchor moveWithCells="1" sizeWithCells="1">
                  <from>
                    <xdr:col>1</xdr:col>
                    <xdr:colOff>38100</xdr:colOff>
                    <xdr:row>44</xdr:row>
                    <xdr:rowOff>7620</xdr:rowOff>
                  </from>
                  <to>
                    <xdr:col>1</xdr:col>
                    <xdr:colOff>1744980</xdr:colOff>
                    <xdr:row>45</xdr:row>
                    <xdr:rowOff>30480</xdr:rowOff>
                  </to>
                </anchor>
              </controlPr>
            </control>
          </mc:Choice>
        </mc:AlternateContent>
        <mc:AlternateContent xmlns:mc="http://schemas.openxmlformats.org/markup-compatibility/2006">
          <mc:Choice Requires="x14">
            <control shapeId="43023" r:id="rId24" name="Button 15">
              <controlPr defaultSize="0" print="0" autoFill="0" autoPict="0" macro="[0]!builTVsheets">
                <anchor moveWithCells="1" sizeWithCells="1">
                  <from>
                    <xdr:col>1</xdr:col>
                    <xdr:colOff>30480</xdr:colOff>
                    <xdr:row>46</xdr:row>
                    <xdr:rowOff>7620</xdr:rowOff>
                  </from>
                  <to>
                    <xdr:col>1</xdr:col>
                    <xdr:colOff>1722120</xdr:colOff>
                    <xdr:row>47</xdr:row>
                    <xdr:rowOff>45720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DB2A-75A3-422F-8789-4964FF8C0B35}">
  <sheetPr codeName="Sheet1">
    <tabColor rgb="FFFF6600"/>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4.4"/>
  <cols>
    <col min="1" max="1" width="34.6640625" style="74" customWidth="1"/>
    <col min="2" max="4" width="7.88671875" style="74" customWidth="1"/>
    <col min="5" max="13" width="15.6640625" style="74" customWidth="1"/>
    <col min="14" max="14" width="18" style="74" customWidth="1"/>
    <col min="15" max="15" width="82.88671875" style="74" customWidth="1"/>
    <col min="16" max="16" width="3.6640625" style="74" customWidth="1"/>
    <col min="17" max="17" width="25.6640625" style="74" customWidth="1"/>
    <col min="18" max="18" width="88.6640625" style="74" customWidth="1"/>
    <col min="19" max="20" width="20.6640625" style="74" customWidth="1"/>
    <col min="21" max="21" width="64.33203125" style="74" hidden="1" customWidth="1"/>
    <col min="22" max="16384" width="8.6640625" style="74"/>
  </cols>
  <sheetData>
    <row r="1" spans="1:27" ht="18">
      <c r="A1" s="69" t="s">
        <v>22</v>
      </c>
      <c r="B1" s="69"/>
      <c r="C1" s="69"/>
      <c r="D1" s="69"/>
      <c r="E1" s="70"/>
      <c r="F1" s="71"/>
      <c r="G1" s="72"/>
      <c r="H1" s="73"/>
      <c r="I1" s="73"/>
      <c r="J1" s="73"/>
      <c r="K1" s="73"/>
      <c r="L1" s="73"/>
      <c r="M1" s="73"/>
      <c r="N1" s="73"/>
      <c r="O1" s="73"/>
      <c r="P1" s="73"/>
      <c r="Q1" s="73"/>
    </row>
    <row r="2" spans="1:27">
      <c r="A2" s="75" t="s">
        <v>23</v>
      </c>
      <c r="B2" s="75"/>
      <c r="C2" s="75"/>
      <c r="D2" s="75"/>
      <c r="E2" s="71" t="s">
        <v>24</v>
      </c>
      <c r="F2" s="71"/>
      <c r="G2" s="72"/>
      <c r="H2" s="73"/>
      <c r="I2" s="73"/>
      <c r="J2" s="73"/>
      <c r="K2" s="73"/>
      <c r="L2" s="73"/>
      <c r="M2" s="73"/>
      <c r="N2" s="73"/>
      <c r="O2" s="73"/>
      <c r="P2" s="73"/>
      <c r="Q2" s="73"/>
    </row>
    <row r="3" spans="1:27">
      <c r="A3" s="71" t="s">
        <v>25</v>
      </c>
      <c r="B3" s="71"/>
      <c r="C3" s="71"/>
      <c r="D3" s="71"/>
      <c r="E3" s="71" t="s">
        <v>26</v>
      </c>
      <c r="F3" s="71"/>
      <c r="G3" s="72"/>
      <c r="H3" s="73"/>
      <c r="I3" s="73"/>
      <c r="J3" s="73"/>
      <c r="K3" s="73"/>
      <c r="L3" s="73"/>
      <c r="M3" s="73"/>
      <c r="N3" s="73"/>
      <c r="O3" s="73"/>
      <c r="P3" s="73"/>
      <c r="Q3" s="73"/>
    </row>
    <row r="4" spans="1:27">
      <c r="A4" s="76"/>
      <c r="B4" s="76"/>
      <c r="C4" s="76"/>
      <c r="D4" s="76"/>
      <c r="E4" s="77" t="s">
        <v>27</v>
      </c>
      <c r="F4" s="78" t="s">
        <v>28</v>
      </c>
      <c r="G4" s="78"/>
      <c r="H4" s="79"/>
      <c r="I4" s="80" t="s">
        <v>29</v>
      </c>
      <c r="J4" s="81"/>
      <c r="K4" s="81"/>
      <c r="L4" s="81"/>
      <c r="M4" s="80"/>
      <c r="N4" s="80"/>
      <c r="O4" s="71"/>
      <c r="P4" s="71"/>
      <c r="Q4" s="71"/>
      <c r="R4" s="71"/>
      <c r="S4" s="71"/>
      <c r="T4" s="75"/>
    </row>
    <row r="5" spans="1:27">
      <c r="A5" s="82"/>
      <c r="B5" s="82"/>
      <c r="C5" s="82"/>
      <c r="D5" s="82"/>
      <c r="E5" s="83" t="s">
        <v>30</v>
      </c>
      <c r="F5" s="84" t="s">
        <v>31</v>
      </c>
      <c r="G5" s="84"/>
      <c r="H5" s="79"/>
      <c r="I5" s="80" t="s">
        <v>32</v>
      </c>
      <c r="J5" s="81"/>
      <c r="K5" s="81"/>
      <c r="L5" s="81"/>
      <c r="M5" s="85"/>
      <c r="N5" s="85"/>
      <c r="O5" s="73"/>
      <c r="P5" s="73"/>
      <c r="Q5" s="73"/>
      <c r="R5" s="82"/>
      <c r="S5" s="71"/>
      <c r="T5" s="75"/>
      <c r="U5" s="82"/>
    </row>
    <row r="6" spans="1:27" s="92" customFormat="1">
      <c r="A6" s="86"/>
      <c r="B6" s="86"/>
      <c r="C6" s="86"/>
      <c r="D6" s="86"/>
      <c r="E6" s="3" t="s">
        <v>33</v>
      </c>
      <c r="F6" s="87" t="s">
        <v>34</v>
      </c>
      <c r="G6" s="87" t="s">
        <v>35</v>
      </c>
      <c r="H6" s="87" t="s">
        <v>36</v>
      </c>
      <c r="I6" s="88" t="s">
        <v>37</v>
      </c>
      <c r="J6" s="88" t="s">
        <v>38</v>
      </c>
      <c r="K6" s="88" t="s">
        <v>39</v>
      </c>
      <c r="L6" s="88" t="s">
        <v>40</v>
      </c>
      <c r="M6" s="88" t="s">
        <v>41</v>
      </c>
      <c r="N6" s="89" t="s">
        <v>42</v>
      </c>
      <c r="O6" s="90"/>
      <c r="P6" s="90"/>
      <c r="Q6" s="90"/>
      <c r="R6" s="91"/>
      <c r="S6" s="91"/>
      <c r="T6" s="91"/>
    </row>
    <row r="7" spans="1:27" s="92" customFormat="1" ht="69.900000000000006" customHeight="1">
      <c r="A7" s="93" t="s">
        <v>43</v>
      </c>
      <c r="B7" s="93"/>
      <c r="C7" s="93"/>
      <c r="D7" s="93"/>
      <c r="E7" s="94" t="s">
        <v>44</v>
      </c>
      <c r="F7" s="94" t="s">
        <v>45</v>
      </c>
      <c r="G7" s="94" t="s">
        <v>46</v>
      </c>
      <c r="H7" s="94" t="s">
        <v>47</v>
      </c>
      <c r="I7" s="94" t="s">
        <v>48</v>
      </c>
      <c r="J7" s="94" t="s">
        <v>49</v>
      </c>
      <c r="K7" s="94" t="s">
        <v>50</v>
      </c>
      <c r="L7" s="94" t="s">
        <v>51</v>
      </c>
      <c r="M7" s="94" t="s">
        <v>52</v>
      </c>
      <c r="N7" s="94" t="s">
        <v>53</v>
      </c>
      <c r="O7" s="90"/>
      <c r="P7" s="90"/>
      <c r="Q7" s="90"/>
    </row>
    <row r="8" spans="1:27" s="92" customFormat="1" ht="110.4" customHeight="1">
      <c r="A8" s="86" t="s">
        <v>54</v>
      </c>
      <c r="B8" s="86"/>
      <c r="C8" s="86"/>
      <c r="D8" s="86"/>
      <c r="E8" s="95" t="s">
        <v>55</v>
      </c>
      <c r="F8" s="95" t="s">
        <v>56</v>
      </c>
      <c r="G8" s="95" t="s">
        <v>57</v>
      </c>
      <c r="H8" s="95" t="s">
        <v>58</v>
      </c>
      <c r="I8" s="95" t="s">
        <v>59</v>
      </c>
      <c r="J8" s="95" t="s">
        <v>60</v>
      </c>
      <c r="K8" s="95" t="s">
        <v>61</v>
      </c>
      <c r="L8" s="95" t="s">
        <v>62</v>
      </c>
      <c r="M8" s="95" t="s">
        <v>63</v>
      </c>
      <c r="N8" s="95" t="s">
        <v>64</v>
      </c>
      <c r="O8" s="96"/>
      <c r="P8" s="96"/>
      <c r="Q8" s="96"/>
    </row>
    <row r="9" spans="1:27" s="92" customFormat="1" ht="228">
      <c r="A9" s="86" t="s">
        <v>65</v>
      </c>
      <c r="B9" s="86"/>
      <c r="C9" s="86"/>
      <c r="D9" s="86"/>
      <c r="E9" s="95" t="s">
        <v>66</v>
      </c>
      <c r="F9" s="95" t="s">
        <v>67</v>
      </c>
      <c r="G9" s="95" t="s">
        <v>68</v>
      </c>
      <c r="H9" s="95" t="s">
        <v>69</v>
      </c>
      <c r="I9" s="95" t="s">
        <v>70</v>
      </c>
      <c r="J9" s="95" t="s">
        <v>71</v>
      </c>
      <c r="K9" s="95" t="s">
        <v>72</v>
      </c>
      <c r="L9" s="95" t="s">
        <v>73</v>
      </c>
      <c r="M9" s="95" t="s">
        <v>74</v>
      </c>
      <c r="N9" s="95" t="s">
        <v>75</v>
      </c>
      <c r="O9" s="96"/>
      <c r="P9" s="96"/>
      <c r="Q9" s="96"/>
    </row>
    <row r="10" spans="1:27" s="92" customFormat="1" ht="96.6">
      <c r="A10" s="86" t="s">
        <v>76</v>
      </c>
      <c r="B10" s="86"/>
      <c r="C10" s="86"/>
      <c r="D10" s="86"/>
      <c r="E10" s="99"/>
      <c r="F10" s="99" t="s">
        <v>77</v>
      </c>
      <c r="G10" s="99" t="s">
        <v>78</v>
      </c>
      <c r="H10" s="99" t="s">
        <v>79</v>
      </c>
      <c r="I10" s="99" t="s">
        <v>80</v>
      </c>
      <c r="J10" s="99" t="s">
        <v>81</v>
      </c>
      <c r="K10" s="99" t="s">
        <v>82</v>
      </c>
      <c r="L10" s="99" t="s">
        <v>83</v>
      </c>
      <c r="M10" s="99" t="s">
        <v>84</v>
      </c>
      <c r="N10" s="100" t="s">
        <v>85</v>
      </c>
      <c r="O10" s="90"/>
      <c r="P10" s="90"/>
      <c r="Q10" s="90"/>
    </row>
    <row r="11" spans="1:27" s="92" customFormat="1" ht="55.2">
      <c r="A11" s="101" t="s">
        <v>86</v>
      </c>
      <c r="B11" s="101"/>
      <c r="C11" s="101"/>
      <c r="D11" s="101"/>
      <c r="E11" s="99"/>
      <c r="F11" s="99" t="s">
        <v>87</v>
      </c>
      <c r="G11" s="99" t="s">
        <v>88</v>
      </c>
      <c r="H11" s="99" t="s">
        <v>89</v>
      </c>
      <c r="I11" s="99" t="s">
        <v>90</v>
      </c>
      <c r="J11" s="99" t="s">
        <v>91</v>
      </c>
      <c r="K11" s="99" t="s">
        <v>92</v>
      </c>
      <c r="L11" s="99" t="s">
        <v>93</v>
      </c>
      <c r="M11" s="99" t="s">
        <v>94</v>
      </c>
      <c r="N11" s="100" t="s">
        <v>95</v>
      </c>
      <c r="O11" s="90"/>
      <c r="P11" s="90"/>
      <c r="Q11" s="90"/>
    </row>
    <row r="15" spans="1:27" customFormat="1">
      <c r="A15" t="s">
        <v>96</v>
      </c>
      <c r="B15" t="s">
        <v>97</v>
      </c>
      <c r="C15" t="s">
        <v>98</v>
      </c>
      <c r="D15" s="309" t="s">
        <v>99</v>
      </c>
      <c r="E15" s="14" t="s">
        <v>33</v>
      </c>
      <c r="F15" s="14" t="s">
        <v>34</v>
      </c>
      <c r="G15" s="14" t="s">
        <v>35</v>
      </c>
      <c r="H15" s="14" t="s">
        <v>36</v>
      </c>
      <c r="I15" s="14" t="s">
        <v>37</v>
      </c>
      <c r="J15" s="14" t="s">
        <v>38</v>
      </c>
      <c r="K15" s="14" t="s">
        <v>39</v>
      </c>
      <c r="L15" s="14" t="s">
        <v>40</v>
      </c>
      <c r="M15" s="14" t="s">
        <v>41</v>
      </c>
      <c r="N15" s="14" t="s">
        <v>42</v>
      </c>
    </row>
    <row r="16" spans="1:27">
      <c r="A16" t="s">
        <v>100</v>
      </c>
      <c r="B16" s="15" t="s">
        <v>97</v>
      </c>
      <c r="C16" s="15" t="str">
        <f>HYPERLINK("02-项目级\P2-Qcubic to MySQL数据同步工具 V1.0\01-生存周期\05-设计\01-概要设计书(QCUBIC-SJTB-TS-BD)V1.0-engl.docx", "engl")</f>
        <v>engl</v>
      </c>
      <c r="D16"/>
      <c r="E16" t="s">
        <v>101</v>
      </c>
      <c r="F16" t="s">
        <v>101</v>
      </c>
      <c r="G16" t="s">
        <v>101</v>
      </c>
      <c r="H16"/>
      <c r="I16" t="s">
        <v>101</v>
      </c>
      <c r="J16" t="s">
        <v>101</v>
      </c>
      <c r="K16" t="s">
        <v>101</v>
      </c>
      <c r="L16" t="s">
        <v>101</v>
      </c>
      <c r="M16" t="s">
        <v>101</v>
      </c>
      <c r="N16" t="s">
        <v>101</v>
      </c>
      <c r="O16"/>
      <c r="P16"/>
      <c r="Q16"/>
      <c r="R16"/>
      <c r="S16"/>
      <c r="T16"/>
      <c r="U16"/>
      <c r="V16"/>
      <c r="W16"/>
      <c r="X16"/>
      <c r="Y16"/>
      <c r="Z16"/>
      <c r="AA16"/>
    </row>
    <row r="17" spans="1:27">
      <c r="A17" t="s">
        <v>100</v>
      </c>
      <c r="B17" s="15" t="s">
        <v>97</v>
      </c>
      <c r="C17" s="15" t="str">
        <f>HYPERLINK("02-项目级\P2-Qcubic to MySQL数据同步工具 V1.0\01-生存周期\05-设计\03-详细设计说明书(QCUBIC-SJTB-TS-DD)V1.0-engl.docx", "engl")</f>
        <v>engl</v>
      </c>
      <c r="D17"/>
      <c r="E17" t="s">
        <v>101</v>
      </c>
      <c r="F17" t="s">
        <v>101</v>
      </c>
      <c r="G17" t="s">
        <v>101</v>
      </c>
      <c r="H17"/>
      <c r="I17" t="s">
        <v>101</v>
      </c>
      <c r="J17" t="s">
        <v>101</v>
      </c>
      <c r="K17" t="s">
        <v>101</v>
      </c>
      <c r="L17" t="s">
        <v>101</v>
      </c>
      <c r="M17" t="s">
        <v>101</v>
      </c>
      <c r="N17" t="s">
        <v>101</v>
      </c>
      <c r="O17"/>
      <c r="P17"/>
      <c r="Q17"/>
      <c r="R17"/>
      <c r="S17"/>
      <c r="T17"/>
      <c r="U17"/>
      <c r="V17"/>
      <c r="W17"/>
      <c r="X17"/>
      <c r="Y17"/>
      <c r="Z17"/>
      <c r="AA17"/>
    </row>
    <row r="18" spans="1:27">
      <c r="A18" t="s">
        <v>100</v>
      </c>
      <c r="B18" s="15" t="s">
        <v>97</v>
      </c>
      <c r="C18" s="15" t="str">
        <f>HYPERLINK("02-项目级\P2-Qcubic to MySQL数据同步工具 V1.0\02-全程管理\05-评审管理\05-设计评审\01-概要设计说明书\05-评审报告_概要设计书(QCUBIC-SJTB-PR-ReviewRpt)V1.1-engl.xlsx", "engl")</f>
        <v>engl</v>
      </c>
      <c r="D18"/>
      <c r="E18"/>
      <c r="F18"/>
      <c r="G18" t="s">
        <v>101</v>
      </c>
      <c r="H18"/>
      <c r="I18"/>
      <c r="J18"/>
      <c r="K18"/>
      <c r="L18"/>
      <c r="M18"/>
      <c r="N18"/>
      <c r="O18"/>
      <c r="P18"/>
      <c r="Q18"/>
      <c r="R18"/>
      <c r="S18"/>
      <c r="T18"/>
      <c r="U18"/>
      <c r="V18"/>
      <c r="W18"/>
      <c r="X18"/>
      <c r="Y18"/>
      <c r="Z18"/>
      <c r="AA18"/>
    </row>
    <row r="19" spans="1:27">
      <c r="A19" t="s">
        <v>100</v>
      </c>
      <c r="B19" s="15" t="s">
        <v>97</v>
      </c>
      <c r="C19" s="15" t="str">
        <f>HYPERLINK("02-项目级\P2-Qcubic to MySQL数据同步工具 V1.0\02-全程管理\05-评审管理\05-设计评审\02-详细设计说明书\05-评审报告_详细设计(QCUBIC-SJTB-PR-ReviewRpt)V1.1-engl.xlsx", "engl")</f>
        <v>engl</v>
      </c>
      <c r="D19"/>
      <c r="E19"/>
      <c r="F19"/>
      <c r="G19" t="s">
        <v>101</v>
      </c>
      <c r="H19"/>
      <c r="I19"/>
      <c r="J19"/>
      <c r="K19"/>
      <c r="L19"/>
      <c r="M19"/>
      <c r="N19"/>
      <c r="O19"/>
      <c r="P19"/>
      <c r="Q19"/>
      <c r="R19"/>
      <c r="S19"/>
      <c r="T19"/>
      <c r="U19"/>
      <c r="V19"/>
      <c r="W19"/>
      <c r="X19"/>
      <c r="Y19"/>
      <c r="Z19"/>
      <c r="AA19"/>
    </row>
    <row r="20" spans="1:27">
      <c r="A20" t="s">
        <v>100</v>
      </c>
      <c r="B20" s="15" t="s">
        <v>97</v>
      </c>
      <c r="C20" s="15" t="str">
        <f>HYPERLINK("02-项目级\P2-Qcubic to MySQL数据同步工具 V1.0\01-生存周期\05-设计\04-用户手册(QCUBIC-SJTB-TS-Tem-UserMPMnual)V1.0-engl.docx", "engl")</f>
        <v>engl</v>
      </c>
      <c r="D20"/>
      <c r="E20"/>
      <c r="F20"/>
      <c r="G20"/>
      <c r="H20" t="s">
        <v>101</v>
      </c>
      <c r="I20"/>
      <c r="J20"/>
      <c r="K20"/>
      <c r="L20"/>
      <c r="M20"/>
      <c r="N20"/>
      <c r="O20"/>
      <c r="P20"/>
      <c r="Q20"/>
      <c r="R20"/>
      <c r="S20"/>
      <c r="T20"/>
      <c r="U20"/>
      <c r="V20"/>
      <c r="W20"/>
      <c r="X20"/>
      <c r="Y20"/>
      <c r="Z20"/>
      <c r="AA20"/>
    </row>
    <row r="21" spans="1:27">
      <c r="A21" t="s">
        <v>100</v>
      </c>
      <c r="B21" s="15" t="s">
        <v>97</v>
      </c>
      <c r="C21" s="15" t="str">
        <f>HYPERLINK("01-组织级\01-组织财富库\01-标准过程文件库\02-软件工程规范\03-设计\设计过程文件(QCUBIC-SPI-TS-Proc-Design)V1.2-engl.docx", "engl")</f>
        <v>engl</v>
      </c>
      <c r="D21"/>
      <c r="E21"/>
      <c r="F21"/>
      <c r="G21"/>
      <c r="H21"/>
      <c r="I21" t="s">
        <v>101</v>
      </c>
      <c r="J21"/>
      <c r="K21"/>
      <c r="L21"/>
      <c r="M21"/>
      <c r="N21"/>
      <c r="O21"/>
      <c r="P21"/>
      <c r="Q21"/>
      <c r="R21"/>
      <c r="S21"/>
      <c r="T21"/>
      <c r="U21"/>
      <c r="V21"/>
      <c r="W21"/>
      <c r="X21"/>
      <c r="Y21"/>
      <c r="Z21"/>
      <c r="AA21"/>
    </row>
    <row r="22" spans="1:27">
      <c r="A22" t="s">
        <v>100</v>
      </c>
      <c r="B22" s="15" t="s">
        <v>97</v>
      </c>
      <c r="C22" s="15" t="str">
        <f>HYPERLINK("02-项目级\P2-Qcubic to MySQL数据同步工具 V1.0\02-全程管理\04-决策分析\01-决策分析报告（QCUBIC-SJTB-dar-evaluaterpt)V1.0-engl.xlsx", "engl")</f>
        <v>engl</v>
      </c>
      <c r="D22"/>
      <c r="E22"/>
      <c r="F22"/>
      <c r="G22"/>
      <c r="H22"/>
      <c r="I22"/>
      <c r="J22" t="s">
        <v>101</v>
      </c>
      <c r="K22"/>
      <c r="L22" t="s">
        <v>101</v>
      </c>
      <c r="M22"/>
      <c r="N22"/>
      <c r="O22"/>
      <c r="P22"/>
      <c r="Q22"/>
      <c r="R22"/>
      <c r="S22"/>
      <c r="T22"/>
      <c r="U22"/>
      <c r="V22"/>
      <c r="W22"/>
      <c r="X22"/>
      <c r="Y22"/>
      <c r="Z22"/>
      <c r="AA22"/>
    </row>
    <row r="23" spans="1:27">
      <c r="A23" t="s">
        <v>100</v>
      </c>
      <c r="B23" s="15" t="s">
        <v>97</v>
      </c>
      <c r="C23" s="15" t="str">
        <f>HYPERLINK("02-项目级\P2-Qcubic to MySQL数据同步工具 V1.0\01-生存周期\05-设计\05-购买,复用,自制评价表(QCUBIC-SJTB-TS-Purchase, reuse, self-made evaluation)V1.0-engl.xlsx", "engl")</f>
        <v>engl</v>
      </c>
      <c r="D23"/>
      <c r="E23"/>
      <c r="F23"/>
      <c r="G23"/>
      <c r="H23"/>
      <c r="I23"/>
      <c r="J23"/>
      <c r="K23" t="s">
        <v>101</v>
      </c>
      <c r="L23"/>
      <c r="M23"/>
      <c r="N23"/>
      <c r="O23"/>
      <c r="P23"/>
      <c r="Q23"/>
      <c r="R23"/>
      <c r="S23"/>
      <c r="T23"/>
      <c r="U23"/>
      <c r="V23"/>
      <c r="W23"/>
      <c r="X23"/>
      <c r="Y23"/>
      <c r="Z23"/>
      <c r="AA23"/>
    </row>
    <row r="24" spans="1:27">
      <c r="A24" t="s">
        <v>100</v>
      </c>
      <c r="B24" s="15" t="s">
        <v>97</v>
      </c>
      <c r="C24" s="15" t="str">
        <f>HYPERLINK("01-组织级\01-组织财富库\01-标准过程文件库\02-软件工程规范\03-设计\设计规范(QCUBIC-SPI-TS-Std-Design)V1.2-engl.docx", "engl")</f>
        <v>engl</v>
      </c>
      <c r="D24"/>
      <c r="E24"/>
      <c r="F24"/>
      <c r="G24"/>
      <c r="H24"/>
      <c r="I24"/>
      <c r="J24"/>
      <c r="K24"/>
      <c r="L24"/>
      <c r="M24"/>
      <c r="N24" t="s">
        <v>101</v>
      </c>
      <c r="O24"/>
      <c r="P24"/>
      <c r="Q24"/>
      <c r="R24"/>
      <c r="S24"/>
      <c r="T24"/>
      <c r="U24"/>
      <c r="V24"/>
      <c r="W24"/>
      <c r="X24"/>
      <c r="Y24"/>
      <c r="Z24"/>
      <c r="AA24"/>
    </row>
    <row r="25" spans="1:27">
      <c r="A25" t="s">
        <v>100</v>
      </c>
      <c r="B25" s="15" t="s">
        <v>97</v>
      </c>
      <c r="C25" s="15" t="str">
        <f>HYPERLINK("01-组织级\01-组织财富库\01-标准过程文件库\02-软件工程规范\03-设计\设计指南(QCUBIC-SPI-TS-Guid-Design)V1.2-engl.docx", "engl")</f>
        <v>engl</v>
      </c>
      <c r="D25"/>
      <c r="E25"/>
      <c r="F25"/>
      <c r="G25"/>
      <c r="H25"/>
      <c r="I25"/>
      <c r="J25"/>
      <c r="K25"/>
      <c r="L25"/>
      <c r="M25"/>
      <c r="N25" t="s">
        <v>101</v>
      </c>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85AF0877-3CFB-47BF-8E9F-0D9341E0D197}"/>
    <hyperlink ref="B17" r:id="rId2" xr:uid="{E490767F-1011-4D55-B4BE-38F2238FE70B}"/>
    <hyperlink ref="B18" r:id="rId3" xr:uid="{E839397A-B0A6-4A83-8D12-A1398BA7E865}"/>
    <hyperlink ref="B19" r:id="rId4" xr:uid="{318AF12D-253E-41F4-9EEF-286E8A98E8C0}"/>
    <hyperlink ref="B20" r:id="rId5" xr:uid="{CCE65270-F156-45CB-9A28-16ABCA7105D8}"/>
    <hyperlink ref="B21" r:id="rId6" xr:uid="{D73B745A-A79A-4920-8F95-9875A1DF3315}"/>
    <hyperlink ref="B22" r:id="rId7" xr:uid="{80D59632-8779-46F7-BF95-76C4EAE13876}"/>
    <hyperlink ref="B23" r:id="rId8" xr:uid="{98EE996E-571C-4F95-8357-B5EEA88BDEA5}"/>
    <hyperlink ref="B24" r:id="rId9" xr:uid="{4385AA62-0AA3-4166-B685-CF38DA0A8063}"/>
    <hyperlink ref="B25" r:id="rId10" xr:uid="{BB20CCF2-93A2-4CF3-A862-A12C818DD445}"/>
  </hyperlinks>
  <pageMargins left="0.7" right="0.7" top="0.75" bottom="0.75" header="0.3" footer="0.3"/>
  <pageSetup orientation="portrait" horizontalDpi="300" verticalDpi="300"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9652-76D8-41D3-9BE8-1E06E239B99E}">
  <sheetPr codeName="Sheet9">
    <tabColor rgb="FFFF6600"/>
  </sheetPr>
  <dimension ref="A1:AA100"/>
  <sheetViews>
    <sheetView zoomScale="70" zoomScaleNormal="70"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4.4"/>
  <cols>
    <col min="1" max="1" width="32.44140625" style="106" customWidth="1"/>
    <col min="2" max="4" width="7.88671875" style="106" customWidth="1"/>
    <col min="5" max="14" width="15.6640625" style="106" customWidth="1"/>
    <col min="15" max="15" width="70.88671875" style="106" customWidth="1"/>
    <col min="16" max="16" width="3.6640625" style="106" customWidth="1"/>
    <col min="17" max="17" width="32.33203125" style="106" customWidth="1"/>
    <col min="18" max="18" width="96.44140625" style="106" customWidth="1"/>
    <col min="19" max="19" width="8.6640625" style="106"/>
    <col min="20" max="20" width="10.33203125" style="106" bestFit="1" customWidth="1"/>
    <col min="21" max="21" width="20.44140625" style="106" bestFit="1" customWidth="1"/>
    <col min="22" max="16384" width="8.6640625" style="106"/>
  </cols>
  <sheetData>
    <row r="1" spans="1:27" ht="18">
      <c r="A1" s="102" t="s">
        <v>102</v>
      </c>
      <c r="B1" s="102"/>
      <c r="C1" s="102"/>
      <c r="D1" s="102"/>
      <c r="E1" s="103"/>
      <c r="F1" s="104"/>
      <c r="G1" s="105"/>
      <c r="H1" s="105"/>
      <c r="I1" s="105"/>
      <c r="J1" s="105"/>
      <c r="K1" s="105"/>
      <c r="L1" s="105"/>
      <c r="M1" s="105"/>
      <c r="N1" s="105"/>
      <c r="O1" s="105"/>
      <c r="P1" s="105"/>
      <c r="Q1" s="105"/>
    </row>
    <row r="2" spans="1:27">
      <c r="A2" s="107" t="s">
        <v>23</v>
      </c>
      <c r="B2" s="107"/>
      <c r="C2" s="107"/>
      <c r="D2" s="107"/>
      <c r="E2" s="104" t="s">
        <v>103</v>
      </c>
      <c r="F2" s="104"/>
      <c r="G2" s="105"/>
      <c r="H2" s="105"/>
      <c r="I2" s="105"/>
      <c r="J2" s="105"/>
      <c r="K2" s="105"/>
      <c r="L2" s="105"/>
      <c r="M2" s="105"/>
      <c r="N2" s="105"/>
      <c r="O2" s="105"/>
      <c r="P2" s="105"/>
      <c r="Q2" s="105"/>
    </row>
    <row r="3" spans="1:27">
      <c r="A3" s="104" t="s">
        <v>25</v>
      </c>
      <c r="B3" s="104"/>
      <c r="C3" s="104"/>
      <c r="D3" s="104"/>
      <c r="E3" s="104" t="s">
        <v>104</v>
      </c>
      <c r="F3" s="104"/>
      <c r="G3" s="105"/>
      <c r="H3" s="105"/>
      <c r="I3" s="105"/>
      <c r="J3" s="105"/>
      <c r="K3" s="105"/>
      <c r="L3" s="105"/>
      <c r="M3" s="105"/>
      <c r="N3" s="105"/>
      <c r="O3" s="105"/>
      <c r="P3" s="105"/>
      <c r="Q3" s="105"/>
    </row>
    <row r="4" spans="1:27">
      <c r="A4" s="108"/>
      <c r="B4" s="108"/>
      <c r="C4" s="108"/>
      <c r="D4" s="108"/>
      <c r="E4" s="109" t="s">
        <v>27</v>
      </c>
      <c r="F4" s="110" t="s">
        <v>28</v>
      </c>
      <c r="G4" s="110"/>
      <c r="H4" s="111"/>
      <c r="I4" s="110"/>
      <c r="J4" s="112"/>
      <c r="K4" s="112"/>
      <c r="L4" s="113" t="s">
        <v>29</v>
      </c>
      <c r="M4" s="113"/>
      <c r="N4" s="113"/>
      <c r="O4" s="104"/>
      <c r="P4" s="104"/>
      <c r="Q4" s="104"/>
      <c r="R4" s="104"/>
      <c r="S4" s="104"/>
      <c r="T4" s="107"/>
      <c r="U4" s="114"/>
      <c r="V4" s="114"/>
    </row>
    <row r="5" spans="1:27">
      <c r="A5" s="115"/>
      <c r="B5" s="115"/>
      <c r="C5" s="115"/>
      <c r="D5" s="115"/>
      <c r="E5" s="116" t="s">
        <v>30</v>
      </c>
      <c r="F5" s="117" t="s">
        <v>31</v>
      </c>
      <c r="G5" s="117"/>
      <c r="H5" s="111"/>
      <c r="I5" s="117"/>
      <c r="J5" s="112"/>
      <c r="K5" s="112"/>
      <c r="L5" s="113" t="s">
        <v>32</v>
      </c>
      <c r="M5" s="118"/>
      <c r="N5" s="118"/>
      <c r="O5" s="105"/>
      <c r="P5" s="105"/>
      <c r="Q5" s="105"/>
      <c r="R5" s="115"/>
      <c r="S5" s="104"/>
      <c r="T5" s="107"/>
      <c r="U5" s="115"/>
      <c r="V5" s="114"/>
    </row>
    <row r="6" spans="1:27">
      <c r="A6" s="119"/>
      <c r="B6" s="119"/>
      <c r="C6" s="119"/>
      <c r="D6" s="119"/>
      <c r="E6" s="3" t="s">
        <v>105</v>
      </c>
      <c r="F6" s="87" t="s">
        <v>106</v>
      </c>
      <c r="G6" s="87" t="s">
        <v>107</v>
      </c>
      <c r="H6" s="87" t="s">
        <v>108</v>
      </c>
      <c r="I6" s="87" t="s">
        <v>109</v>
      </c>
      <c r="J6" s="87" t="s">
        <v>110</v>
      </c>
      <c r="K6" s="87" t="s">
        <v>111</v>
      </c>
      <c r="L6" s="88" t="s">
        <v>112</v>
      </c>
      <c r="M6" s="88" t="s">
        <v>113</v>
      </c>
      <c r="N6" s="89" t="s">
        <v>114</v>
      </c>
      <c r="O6" s="90"/>
      <c r="P6" s="90"/>
      <c r="Q6" s="90"/>
      <c r="R6" s="120"/>
      <c r="S6" s="120"/>
      <c r="T6" s="120"/>
    </row>
    <row r="7" spans="1:27" ht="124.2">
      <c r="A7" s="121" t="s">
        <v>43</v>
      </c>
      <c r="B7" s="121"/>
      <c r="C7" s="121"/>
      <c r="D7" s="121"/>
      <c r="E7" s="94" t="s">
        <v>115</v>
      </c>
      <c r="F7" s="94" t="s">
        <v>116</v>
      </c>
      <c r="G7" s="94" t="s">
        <v>117</v>
      </c>
      <c r="H7" s="94" t="s">
        <v>118</v>
      </c>
      <c r="I7" s="94" t="s">
        <v>119</v>
      </c>
      <c r="J7" s="94" t="s">
        <v>120</v>
      </c>
      <c r="K7" s="94" t="s">
        <v>121</v>
      </c>
      <c r="L7" s="94" t="s">
        <v>122</v>
      </c>
      <c r="M7" s="94" t="s">
        <v>123</v>
      </c>
      <c r="N7" s="94" t="s">
        <v>124</v>
      </c>
      <c r="O7" s="90"/>
      <c r="P7" s="90"/>
      <c r="Q7" s="90"/>
    </row>
    <row r="8" spans="1:27" ht="156">
      <c r="A8" s="119" t="s">
        <v>54</v>
      </c>
      <c r="B8" s="119"/>
      <c r="C8" s="119"/>
      <c r="D8" s="119"/>
      <c r="E8" s="122" t="s">
        <v>125</v>
      </c>
      <c r="F8" s="122" t="s">
        <v>126</v>
      </c>
      <c r="G8" s="122" t="s">
        <v>127</v>
      </c>
      <c r="H8" s="122" t="s">
        <v>128</v>
      </c>
      <c r="I8" s="122" t="s">
        <v>129</v>
      </c>
      <c r="J8" s="122" t="s">
        <v>130</v>
      </c>
      <c r="K8" s="122" t="s">
        <v>131</v>
      </c>
      <c r="L8" s="122" t="s">
        <v>132</v>
      </c>
      <c r="M8" s="123" t="s">
        <v>133</v>
      </c>
      <c r="N8" s="123" t="s">
        <v>134</v>
      </c>
      <c r="O8" s="124"/>
      <c r="P8" s="124"/>
      <c r="Q8" s="124"/>
    </row>
    <row r="9" spans="1:27" ht="246" customHeight="1">
      <c r="A9" s="119" t="s">
        <v>65</v>
      </c>
      <c r="B9" s="119"/>
      <c r="C9" s="119"/>
      <c r="D9" s="119"/>
      <c r="E9" s="122" t="s">
        <v>135</v>
      </c>
      <c r="F9" s="122" t="s">
        <v>136</v>
      </c>
      <c r="G9" s="122" t="s">
        <v>137</v>
      </c>
      <c r="H9" s="122" t="s">
        <v>138</v>
      </c>
      <c r="I9" s="122" t="s">
        <v>139</v>
      </c>
      <c r="J9" s="122" t="s">
        <v>140</v>
      </c>
      <c r="K9" s="122" t="s">
        <v>141</v>
      </c>
      <c r="L9" s="122" t="s">
        <v>142</v>
      </c>
      <c r="M9" s="122" t="s">
        <v>143</v>
      </c>
      <c r="N9" s="122" t="s">
        <v>144</v>
      </c>
      <c r="O9" s="124"/>
      <c r="P9" s="124"/>
      <c r="Q9" s="124"/>
    </row>
    <row r="10" spans="1:27" ht="116.85" customHeight="1">
      <c r="A10" s="119" t="s">
        <v>76</v>
      </c>
      <c r="B10" s="119"/>
      <c r="C10" s="119"/>
      <c r="D10" s="119"/>
      <c r="E10" s="130"/>
      <c r="F10" s="130" t="s">
        <v>145</v>
      </c>
      <c r="G10" s="130" t="s">
        <v>146</v>
      </c>
      <c r="H10" s="130" t="s">
        <v>147</v>
      </c>
      <c r="I10" s="130" t="s">
        <v>148</v>
      </c>
      <c r="J10" s="130" t="s">
        <v>149</v>
      </c>
      <c r="K10" s="130" t="s">
        <v>150</v>
      </c>
      <c r="L10" s="130" t="s">
        <v>151</v>
      </c>
      <c r="M10" s="130" t="s">
        <v>152</v>
      </c>
      <c r="N10" s="130" t="s">
        <v>153</v>
      </c>
      <c r="O10" s="131"/>
      <c r="P10" s="131"/>
      <c r="Q10" s="131"/>
    </row>
    <row r="11" spans="1:27" ht="116.85" customHeight="1">
      <c r="A11" s="132" t="s">
        <v>86</v>
      </c>
      <c r="B11" s="132"/>
      <c r="C11" s="132"/>
      <c r="D11" s="132"/>
      <c r="E11" s="130"/>
      <c r="F11" s="130" t="s">
        <v>154</v>
      </c>
      <c r="G11" s="130" t="s">
        <v>155</v>
      </c>
      <c r="H11" s="130" t="s">
        <v>156</v>
      </c>
      <c r="I11" s="130" t="s">
        <v>157</v>
      </c>
      <c r="J11" s="130" t="s">
        <v>158</v>
      </c>
      <c r="K11" s="130" t="s">
        <v>159</v>
      </c>
      <c r="L11" s="130" t="s">
        <v>160</v>
      </c>
      <c r="M11" s="130" t="s">
        <v>161</v>
      </c>
      <c r="N11" s="130" t="s">
        <v>162</v>
      </c>
      <c r="O11" s="131"/>
      <c r="P11" s="131"/>
      <c r="Q11" s="131"/>
    </row>
    <row r="12" spans="1:27" s="114" customFormat="1" ht="15" customHeight="1">
      <c r="A12" s="106"/>
      <c r="B12" s="106"/>
      <c r="C12" s="106"/>
      <c r="D12" s="106"/>
      <c r="E12" s="106"/>
      <c r="F12" s="106"/>
      <c r="G12" s="106"/>
      <c r="H12" s="106"/>
      <c r="I12" s="106"/>
      <c r="J12" s="106"/>
      <c r="K12" s="106"/>
      <c r="L12" s="106"/>
      <c r="M12" s="106"/>
      <c r="N12" s="106"/>
      <c r="O12" s="106"/>
      <c r="P12" s="106"/>
      <c r="Q12" s="106"/>
      <c r="R12" s="106"/>
      <c r="S12" s="106"/>
      <c r="T12" s="106"/>
      <c r="U12" s="90"/>
    </row>
    <row r="13" spans="1:27" s="114" customFormat="1" ht="15" customHeight="1">
      <c r="A13" s="106"/>
      <c r="B13" s="106"/>
      <c r="C13" s="106"/>
      <c r="D13" s="106"/>
      <c r="E13" s="106"/>
      <c r="F13" s="106"/>
      <c r="G13" s="106"/>
      <c r="H13" s="106"/>
      <c r="I13" s="106"/>
      <c r="J13" s="106"/>
      <c r="K13" s="106"/>
      <c r="L13" s="106"/>
      <c r="M13" s="106"/>
      <c r="N13" s="106"/>
      <c r="O13" s="106"/>
      <c r="P13" s="106"/>
      <c r="Q13" s="106"/>
      <c r="R13" s="106"/>
      <c r="S13" s="106"/>
      <c r="T13" s="106"/>
    </row>
    <row r="14" spans="1:27" s="114" customFormat="1" ht="15" customHeight="1">
      <c r="A14" s="106"/>
      <c r="B14" s="106"/>
      <c r="C14" s="106"/>
      <c r="D14" s="106"/>
      <c r="E14" s="106"/>
      <c r="F14" s="106"/>
      <c r="G14" s="106"/>
      <c r="H14" s="106"/>
      <c r="I14" s="106"/>
      <c r="J14" s="106"/>
      <c r="K14" s="106"/>
      <c r="L14" s="106"/>
      <c r="M14" s="106"/>
      <c r="N14" s="106"/>
      <c r="O14" s="106"/>
      <c r="P14" s="106"/>
      <c r="Q14" s="106"/>
      <c r="R14" s="106"/>
      <c r="S14" s="106"/>
      <c r="T14" s="106"/>
    </row>
    <row r="15" spans="1:27" customFormat="1">
      <c r="A15" t="s">
        <v>96</v>
      </c>
      <c r="B15" t="s">
        <v>97</v>
      </c>
      <c r="C15" t="s">
        <v>98</v>
      </c>
      <c r="D15" s="309" t="s">
        <v>99</v>
      </c>
      <c r="E15" s="14" t="s">
        <v>105</v>
      </c>
      <c r="F15" s="14" t="s">
        <v>106</v>
      </c>
      <c r="G15" s="14" t="s">
        <v>107</v>
      </c>
      <c r="H15" s="14" t="s">
        <v>108</v>
      </c>
      <c r="I15" s="14" t="s">
        <v>109</v>
      </c>
      <c r="J15" s="14" t="s">
        <v>110</v>
      </c>
      <c r="K15" s="14" t="s">
        <v>111</v>
      </c>
      <c r="L15" s="14" t="s">
        <v>112</v>
      </c>
      <c r="M15" s="14" t="s">
        <v>113</v>
      </c>
      <c r="N15" s="14" t="s">
        <v>114</v>
      </c>
    </row>
    <row r="16" spans="1:27" s="114" customFormat="1" ht="15" customHeight="1">
      <c r="A16" s="309" t="s">
        <v>163</v>
      </c>
      <c r="B16" s="15" t="s">
        <v>97</v>
      </c>
      <c r="C16" s="15" t="str">
        <f>HYPERLINK("02-项目级\P2-Qcubic to MySQL数据同步工具 V1.0\01-生存周期\06-实现\02-产品集成\01-产品集成计划(QCUBIC-SJTB-PI-Plan)V1.0-engl.docx", "engl")</f>
        <v>engl</v>
      </c>
      <c r="D16"/>
      <c r="E16" t="s">
        <v>101</v>
      </c>
      <c r="F16" t="s">
        <v>101</v>
      </c>
      <c r="G16" t="s">
        <v>101</v>
      </c>
      <c r="H16" t="s">
        <v>101</v>
      </c>
      <c r="I16"/>
      <c r="J16"/>
      <c r="K16"/>
      <c r="L16"/>
      <c r="M16"/>
      <c r="N16"/>
      <c r="O16"/>
      <c r="P16"/>
      <c r="Q16"/>
      <c r="R16"/>
      <c r="S16"/>
      <c r="T16"/>
      <c r="U16"/>
      <c r="V16"/>
      <c r="W16"/>
      <c r="X16"/>
      <c r="Y16"/>
      <c r="Z16"/>
      <c r="AA16"/>
    </row>
    <row r="17" spans="1:27" s="114" customFormat="1">
      <c r="A17" s="309" t="s">
        <v>164</v>
      </c>
      <c r="B17" s="15" t="s">
        <v>97</v>
      </c>
      <c r="C17" s="15" t="str">
        <f>HYPERLINK("02-项目级\P2-Qcubic to MySQL数据同步工具 V1.0\01-生存周期\06-实现\02-产品集成\06-产品集成阶段报告\03-产品集成阶段报告(QCUBIC-SJTB-PI-InterimReport-3)V1.0-engl.docx", "engl")</f>
        <v>engl</v>
      </c>
      <c r="D17"/>
      <c r="E17" t="s">
        <v>101</v>
      </c>
      <c r="F17"/>
      <c r="G17"/>
      <c r="H17" t="s">
        <v>101</v>
      </c>
      <c r="I17"/>
      <c r="J17" t="s">
        <v>101</v>
      </c>
      <c r="K17" t="s">
        <v>101</v>
      </c>
      <c r="L17"/>
      <c r="M17"/>
      <c r="N17" t="s">
        <v>101</v>
      </c>
      <c r="O17"/>
      <c r="P17"/>
      <c r="Q17"/>
      <c r="R17"/>
      <c r="S17"/>
      <c r="T17"/>
      <c r="U17"/>
      <c r="V17"/>
      <c r="W17"/>
      <c r="X17"/>
      <c r="Y17"/>
      <c r="Z17"/>
      <c r="AA17"/>
    </row>
    <row r="18" spans="1:27">
      <c r="A18" t="s">
        <v>100</v>
      </c>
      <c r="B18" s="15" t="s">
        <v>97</v>
      </c>
      <c r="C18" s="15" t="str">
        <f>HYPERLINK("01-组织级\01-组织财富库\01-标准过程文件库\02-软件工程规范\04-实现\实现过程文件 (QCUBIC-SPI-DEV-Proc-Doc)V1.2-engl.docx", "engl")</f>
        <v>engl</v>
      </c>
      <c r="D18"/>
      <c r="E18"/>
      <c r="F18"/>
      <c r="G18"/>
      <c r="H18" t="s">
        <v>101</v>
      </c>
      <c r="I18"/>
      <c r="J18"/>
      <c r="K18"/>
      <c r="L18"/>
      <c r="M18"/>
      <c r="N18"/>
      <c r="O18"/>
      <c r="P18"/>
      <c r="Q18"/>
      <c r="R18"/>
      <c r="S18"/>
      <c r="T18"/>
      <c r="U18"/>
      <c r="V18"/>
      <c r="W18"/>
      <c r="X18"/>
      <c r="Y18"/>
      <c r="Z18"/>
      <c r="AA18"/>
    </row>
    <row r="19" spans="1:27">
      <c r="A19" t="s">
        <v>100</v>
      </c>
      <c r="B19" s="15" t="s">
        <v>97</v>
      </c>
      <c r="C19" s="15" t="str">
        <f>HYPERLINK("01-组织级\01-组织财富库\01-标准过程文件库\02-软件工程规范\05-测试\02-产品集成及集成测试\产品集成指南(QCUBIC-SPI-VV-Guid-PI)V1.2-engl.docx", "engl")</f>
        <v>engl</v>
      </c>
      <c r="D19"/>
      <c r="E19"/>
      <c r="F19"/>
      <c r="G19"/>
      <c r="H19" t="s">
        <v>101</v>
      </c>
      <c r="I19"/>
      <c r="J19"/>
      <c r="K19"/>
      <c r="L19"/>
      <c r="M19"/>
      <c r="N19"/>
      <c r="O19"/>
      <c r="P19"/>
      <c r="Q19"/>
      <c r="R19"/>
      <c r="S19"/>
      <c r="T19"/>
      <c r="U19"/>
      <c r="V19"/>
      <c r="W19"/>
      <c r="X19"/>
      <c r="Y19"/>
      <c r="Z19"/>
      <c r="AA19"/>
    </row>
    <row r="20" spans="1:27">
      <c r="A20" t="s">
        <v>100</v>
      </c>
      <c r="B20" s="15" t="s">
        <v>97</v>
      </c>
      <c r="C20" s="15" t="str">
        <f>HYPERLINK("02-项目级\P2-Qcubic to MySQL数据同步工具 V1.0\01-生存周期\06-实现\02-产品集成\03-产品集成检查列表(QCUBIC-SJTB-PI-PIChkList)V1.0-engl.xlsx", "engl")</f>
        <v>engl</v>
      </c>
      <c r="D20"/>
      <c r="E20"/>
      <c r="F20"/>
      <c r="G20"/>
      <c r="H20"/>
      <c r="I20" t="s">
        <v>101</v>
      </c>
      <c r="J20"/>
      <c r="K20"/>
      <c r="L20"/>
      <c r="M20"/>
      <c r="N20"/>
      <c r="O20"/>
      <c r="P20"/>
      <c r="Q20"/>
      <c r="R20"/>
      <c r="S20"/>
      <c r="T20"/>
      <c r="U20"/>
      <c r="V20"/>
      <c r="W20"/>
      <c r="X20"/>
      <c r="Y20"/>
      <c r="Z20"/>
      <c r="AA20"/>
    </row>
    <row r="21" spans="1:27">
      <c r="A21" t="s">
        <v>100</v>
      </c>
      <c r="B21" s="15" t="s">
        <v>97</v>
      </c>
      <c r="C21" s="15" t="str">
        <f>HYPERLINK("02-项目级\P2-Qcubic to MySQL数据同步工具 V1.0\01-生存周期\07-测试\02-集成测试\01-集成测试用例(QCUBIC-SJTB-VV-TestCase-SystemTest)V1.0-engl.xlsx", "engl")</f>
        <v>engl</v>
      </c>
      <c r="D21"/>
      <c r="E21"/>
      <c r="F21"/>
      <c r="G21"/>
      <c r="H21"/>
      <c r="I21"/>
      <c r="J21" t="s">
        <v>101</v>
      </c>
      <c r="K21"/>
      <c r="L21"/>
      <c r="M21"/>
      <c r="N21"/>
      <c r="O21"/>
      <c r="P21"/>
      <c r="Q21"/>
      <c r="R21"/>
      <c r="S21"/>
      <c r="T21"/>
      <c r="U21"/>
      <c r="V21"/>
      <c r="W21"/>
      <c r="X21"/>
      <c r="Y21"/>
      <c r="Z21"/>
      <c r="AA21"/>
    </row>
    <row r="22" spans="1:27">
      <c r="A22" t="s">
        <v>100</v>
      </c>
      <c r="B22" s="15" t="s">
        <v>97</v>
      </c>
      <c r="C22" s="15" t="str">
        <f>HYPERLINK("02-项目级\P2-Qcubic to MySQL数据同步工具 V1.0\01-生存周期\07-测试\02-集成测试\04-集成测试报告(QCUBIC-SJTB-LP_VV_IntegrationTestRet)V1.0-engl.docx", "engl")</f>
        <v>engl</v>
      </c>
      <c r="D22"/>
      <c r="E22"/>
      <c r="F22"/>
      <c r="G22"/>
      <c r="H22"/>
      <c r="I22"/>
      <c r="J22" t="s">
        <v>101</v>
      </c>
      <c r="K22"/>
      <c r="L22"/>
      <c r="M22"/>
      <c r="N22"/>
      <c r="O22"/>
      <c r="P22"/>
      <c r="Q22"/>
      <c r="R22"/>
      <c r="S22"/>
      <c r="T22"/>
      <c r="U22"/>
      <c r="V22"/>
      <c r="W22"/>
      <c r="X22"/>
      <c r="Y22"/>
      <c r="Z22"/>
      <c r="AA22"/>
    </row>
    <row r="23" spans="1:27">
      <c r="A23" t="s">
        <v>100</v>
      </c>
      <c r="B23" s="15" t="s">
        <v>97</v>
      </c>
      <c r="C23" s="15" t="str">
        <f>HYPERLINK("02-项目级\P2-Qcubic to MySQL数据同步工具 V1.0\01-生存周期\05-设计\01-概要设计书(QCUBIC-SJTB-TS-BD)V1.0-engl.docx", "engl")</f>
        <v>engl</v>
      </c>
      <c r="D23"/>
      <c r="E23"/>
      <c r="F23"/>
      <c r="G23"/>
      <c r="H23"/>
      <c r="I23"/>
      <c r="J23"/>
      <c r="K23"/>
      <c r="L23" t="s">
        <v>101</v>
      </c>
      <c r="M23" t="s">
        <v>101</v>
      </c>
      <c r="N23"/>
      <c r="O23"/>
      <c r="P23"/>
      <c r="Q23"/>
      <c r="R23"/>
      <c r="S23"/>
      <c r="T23"/>
      <c r="U23"/>
      <c r="V23"/>
      <c r="W23"/>
      <c r="X23"/>
      <c r="Y23"/>
      <c r="Z23"/>
      <c r="AA23"/>
    </row>
    <row r="24" spans="1:27">
      <c r="A24" t="s">
        <v>100</v>
      </c>
      <c r="B24" s="15" t="s">
        <v>97</v>
      </c>
      <c r="C24" s="15" t="str">
        <f>HYPERLINK("02-项目级\P2-Qcubic to MySQL数据同步工具 V1.0\01-生存周期\05-设计\03-详细设计说明书(QCUBIC-SJTB-TS-DD)V1.0-engl.docx", "engl")</f>
        <v>engl</v>
      </c>
      <c r="D24"/>
      <c r="E24"/>
      <c r="F24"/>
      <c r="G24"/>
      <c r="H24"/>
      <c r="I24"/>
      <c r="J24"/>
      <c r="K24"/>
      <c r="L24" t="s">
        <v>101</v>
      </c>
      <c r="M24" t="s">
        <v>101</v>
      </c>
      <c r="N24"/>
      <c r="O24"/>
      <c r="P24"/>
      <c r="Q24"/>
      <c r="R24"/>
      <c r="S24"/>
      <c r="T24"/>
      <c r="U24"/>
      <c r="V24"/>
      <c r="W24"/>
      <c r="X24"/>
      <c r="Y24"/>
      <c r="Z24"/>
      <c r="AA24"/>
    </row>
    <row r="25" spans="1:27">
      <c r="A25" t="s">
        <v>100</v>
      </c>
      <c r="B25" s="15" t="s">
        <v>97</v>
      </c>
      <c r="C25" s="15" t="str">
        <f>HYPERLINK("02-项目级\P2-Qcubic to MySQL数据同步工具 V1.0\01-生存周期\06-实现\02-产品集成\04-接口检查列表(QCUBIC-SJTB-PI-PIChkList)V1.0-engl.xlsx", "engl")</f>
        <v>engl</v>
      </c>
      <c r="D25"/>
      <c r="E25"/>
      <c r="F25"/>
      <c r="G25"/>
      <c r="H25"/>
      <c r="I25"/>
      <c r="J25"/>
      <c r="K25"/>
      <c r="L25" t="s">
        <v>101</v>
      </c>
      <c r="M25" t="s">
        <v>101</v>
      </c>
      <c r="N25" t="s">
        <v>101</v>
      </c>
      <c r="O25"/>
      <c r="P25"/>
      <c r="Q25"/>
      <c r="R25"/>
      <c r="S25"/>
      <c r="T25"/>
      <c r="U25"/>
      <c r="V25"/>
      <c r="W25"/>
      <c r="X25"/>
      <c r="Y25"/>
      <c r="Z25"/>
      <c r="AA25"/>
    </row>
    <row r="26" spans="1:27">
      <c r="A26" t="s">
        <v>100</v>
      </c>
      <c r="B26" s="15" t="s">
        <v>97</v>
      </c>
      <c r="C26" s="15" t="str">
        <f>HYPERLINK("02-项目级\P2-Qcubic to MySQL数据同步工具 V1.0\01-生存周期\06-实现\03-代码检查\02-代码调试BUG管理表(QCUBIC-SJTB-VV-CDBugList)V1.0-engl.xlsx", "engl")</f>
        <v>engl</v>
      </c>
      <c r="D26"/>
      <c r="E26"/>
      <c r="F26"/>
      <c r="G26"/>
      <c r="H26"/>
      <c r="I26"/>
      <c r="J26"/>
      <c r="K26"/>
      <c r="L26" t="s">
        <v>101</v>
      </c>
      <c r="M26" t="s">
        <v>101</v>
      </c>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A6640C69-E27E-47B7-BFCB-A73F10ED3F66}"/>
    <hyperlink ref="B17" r:id="rId2" xr:uid="{CD95B5A7-C280-4895-B773-4ADA64B50E31}"/>
    <hyperlink ref="B18" r:id="rId3" xr:uid="{6624AD50-15DC-4470-8763-CEE9A91EE319}"/>
    <hyperlink ref="B19" r:id="rId4" xr:uid="{0DA33597-17E4-4A50-9B00-916188B7954D}"/>
    <hyperlink ref="B20" r:id="rId5" xr:uid="{B542ECFB-F783-4731-8A32-2C57B61F5604}"/>
    <hyperlink ref="B21" r:id="rId6" xr:uid="{ACB07F59-D265-473C-93D3-9E93C5CD7107}"/>
    <hyperlink ref="B22" r:id="rId7" xr:uid="{58256472-95DA-4AEE-8932-0B39D01CC8B8}"/>
    <hyperlink ref="B23" r:id="rId8" xr:uid="{AB0106E8-DE31-4D0E-A3AC-42CCE2EB33CD}"/>
    <hyperlink ref="B24" r:id="rId9" xr:uid="{F0B4BDBA-A4A0-49C9-BB77-1DA1A1CA4767}"/>
    <hyperlink ref="B25" r:id="rId10" xr:uid="{593AF37F-C2C3-4962-B76D-A46032DE6EFC}"/>
    <hyperlink ref="B26" r:id="rId11" xr:uid="{3E025626-293D-456E-974E-12F76D515288}"/>
  </hyperlinks>
  <pageMargins left="0.7" right="0.7" top="0.75" bottom="0.75" header="0.3" footer="0.3"/>
  <pageSetup paperSize="9" orientation="portrait" verticalDpi="300"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3417-2AA4-46B3-B442-0C1F44A18303}">
  <sheetPr codeName="Sheet10">
    <tabColor rgb="FF802C19"/>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32.44140625" style="115" customWidth="1"/>
    <col min="2" max="4" width="7.88671875" style="115" customWidth="1"/>
    <col min="5" max="8" width="20.6640625" style="115" customWidth="1"/>
    <col min="9" max="10" width="20.6640625" style="133" customWidth="1"/>
    <col min="11" max="11" width="76.88671875" style="133" customWidth="1"/>
    <col min="12" max="12" width="3.6640625" style="133" customWidth="1"/>
    <col min="13" max="13" width="20.6640625" style="133" customWidth="1"/>
    <col min="14" max="14" width="77.88671875" style="133" customWidth="1"/>
    <col min="15" max="17" width="8.6640625" style="133"/>
    <col min="18" max="16384" width="8.6640625" style="115"/>
  </cols>
  <sheetData>
    <row r="1" spans="1:27" s="134" customFormat="1" ht="18">
      <c r="A1" s="102" t="s">
        <v>165</v>
      </c>
      <c r="B1" s="102"/>
      <c r="C1" s="102"/>
      <c r="D1" s="102"/>
      <c r="E1" s="104"/>
      <c r="F1" s="103"/>
      <c r="G1" s="104"/>
      <c r="H1" s="104"/>
      <c r="I1" s="133"/>
      <c r="J1" s="133"/>
      <c r="K1" s="133"/>
      <c r="L1" s="133"/>
      <c r="M1" s="133"/>
      <c r="N1" s="133"/>
      <c r="O1" s="133"/>
      <c r="P1" s="133"/>
      <c r="Q1" s="133"/>
    </row>
    <row r="2" spans="1:27" s="135" customFormat="1">
      <c r="A2" s="107" t="s">
        <v>23</v>
      </c>
      <c r="B2" s="107"/>
      <c r="C2" s="107"/>
      <c r="D2" s="107"/>
      <c r="E2" s="104" t="s">
        <v>166</v>
      </c>
      <c r="F2" s="104"/>
      <c r="G2" s="104"/>
      <c r="H2" s="104"/>
      <c r="I2" s="133"/>
      <c r="J2" s="133"/>
      <c r="K2" s="133"/>
      <c r="L2" s="133"/>
      <c r="M2" s="133"/>
      <c r="N2" s="133"/>
      <c r="O2" s="133"/>
      <c r="P2" s="133"/>
      <c r="Q2" s="133"/>
    </row>
    <row r="3" spans="1:27" s="135" customFormat="1">
      <c r="A3" s="104" t="s">
        <v>25</v>
      </c>
      <c r="B3" s="104"/>
      <c r="C3" s="104"/>
      <c r="D3" s="104"/>
      <c r="E3" s="104" t="s">
        <v>167</v>
      </c>
      <c r="F3" s="104"/>
      <c r="G3" s="104"/>
      <c r="H3" s="104"/>
      <c r="I3" s="133"/>
      <c r="J3" s="133"/>
      <c r="K3" s="133"/>
      <c r="L3" s="133"/>
      <c r="M3" s="133"/>
      <c r="N3" s="133"/>
      <c r="O3" s="133"/>
      <c r="P3" s="133"/>
      <c r="Q3" s="133"/>
    </row>
    <row r="4" spans="1:27" s="135" customFormat="1" ht="14.4">
      <c r="A4" s="108"/>
      <c r="B4" s="108"/>
      <c r="C4" s="108"/>
      <c r="D4" s="108"/>
      <c r="E4" s="109" t="s">
        <v>27</v>
      </c>
      <c r="F4" s="110" t="s">
        <v>28</v>
      </c>
      <c r="G4" s="110"/>
      <c r="H4" s="111"/>
      <c r="I4" s="110"/>
      <c r="J4" s="113" t="s">
        <v>29</v>
      </c>
      <c r="K4" s="104"/>
      <c r="L4" s="104"/>
      <c r="M4" s="104"/>
      <c r="N4" s="104"/>
      <c r="O4" s="107"/>
      <c r="P4" s="114"/>
      <c r="Q4" s="114"/>
    </row>
    <row r="5" spans="1:27" s="136" customFormat="1" ht="14.4">
      <c r="A5" s="115"/>
      <c r="B5" s="115"/>
      <c r="C5" s="115"/>
      <c r="D5" s="115"/>
      <c r="E5" s="116" t="s">
        <v>30</v>
      </c>
      <c r="F5" s="117" t="s">
        <v>31</v>
      </c>
      <c r="G5" s="117"/>
      <c r="H5" s="111"/>
      <c r="I5" s="117"/>
      <c r="J5" s="113" t="s">
        <v>32</v>
      </c>
      <c r="K5" s="104"/>
      <c r="L5" s="104"/>
      <c r="M5" s="104"/>
      <c r="N5" s="104"/>
      <c r="O5" s="107"/>
      <c r="P5" s="115"/>
      <c r="Q5" s="114"/>
    </row>
    <row r="6" spans="1:27" s="127" customFormat="1">
      <c r="A6" s="119"/>
      <c r="B6" s="119"/>
      <c r="C6" s="119"/>
      <c r="D6" s="119"/>
      <c r="E6" s="3" t="s">
        <v>168</v>
      </c>
      <c r="F6" s="87" t="s">
        <v>169</v>
      </c>
      <c r="G6" s="87" t="s">
        <v>170</v>
      </c>
      <c r="H6" s="87" t="s">
        <v>171</v>
      </c>
      <c r="I6" s="87" t="s">
        <v>172</v>
      </c>
      <c r="J6" s="88" t="s">
        <v>173</v>
      </c>
      <c r="K6" s="90"/>
      <c r="L6" s="90"/>
      <c r="M6" s="90"/>
      <c r="N6" s="133"/>
      <c r="O6" s="133"/>
      <c r="P6" s="133"/>
      <c r="Q6" s="133"/>
    </row>
    <row r="7" spans="1:27" s="127" customFormat="1" ht="84" customHeight="1">
      <c r="A7" s="121" t="s">
        <v>174</v>
      </c>
      <c r="B7" s="121"/>
      <c r="C7" s="121"/>
      <c r="D7" s="121"/>
      <c r="E7" s="94" t="s">
        <v>175</v>
      </c>
      <c r="F7" s="94" t="s">
        <v>176</v>
      </c>
      <c r="G7" s="94" t="s">
        <v>177</v>
      </c>
      <c r="H7" s="94" t="s">
        <v>178</v>
      </c>
      <c r="I7" s="94" t="s">
        <v>179</v>
      </c>
      <c r="J7" s="94" t="s">
        <v>180</v>
      </c>
      <c r="K7" s="90"/>
      <c r="L7" s="90"/>
      <c r="M7" s="90"/>
      <c r="N7" s="133"/>
      <c r="O7" s="133"/>
      <c r="P7" s="133"/>
      <c r="Q7" s="133"/>
    </row>
    <row r="8" spans="1:27" s="127" customFormat="1" ht="48">
      <c r="A8" s="119" t="s">
        <v>54</v>
      </c>
      <c r="B8" s="119"/>
      <c r="C8" s="119"/>
      <c r="D8" s="119"/>
      <c r="E8" s="122" t="s">
        <v>181</v>
      </c>
      <c r="F8" s="95" t="s">
        <v>182</v>
      </c>
      <c r="G8" s="95" t="s">
        <v>183</v>
      </c>
      <c r="H8" s="95" t="s">
        <v>184</v>
      </c>
      <c r="I8" s="95" t="s">
        <v>185</v>
      </c>
      <c r="J8" s="95" t="s">
        <v>186</v>
      </c>
      <c r="K8" s="96"/>
      <c r="L8" s="96"/>
      <c r="M8" s="96"/>
      <c r="N8" s="133"/>
      <c r="O8" s="133"/>
      <c r="P8" s="133"/>
      <c r="Q8" s="133"/>
    </row>
    <row r="9" spans="1:27" s="127" customFormat="1" ht="156">
      <c r="A9" s="119" t="s">
        <v>65</v>
      </c>
      <c r="B9" s="119"/>
      <c r="C9" s="119"/>
      <c r="D9" s="119"/>
      <c r="E9" s="95" t="s">
        <v>187</v>
      </c>
      <c r="F9" s="95" t="s">
        <v>188</v>
      </c>
      <c r="G9" s="95" t="s">
        <v>189</v>
      </c>
      <c r="H9" s="95" t="s">
        <v>190</v>
      </c>
      <c r="I9" s="122" t="s">
        <v>191</v>
      </c>
      <c r="J9" s="95" t="s">
        <v>192</v>
      </c>
      <c r="K9" s="96"/>
      <c r="L9" s="96"/>
      <c r="M9" s="96"/>
      <c r="N9" s="133"/>
      <c r="O9" s="133"/>
      <c r="P9" s="133"/>
      <c r="Q9" s="133"/>
    </row>
    <row r="10" spans="1:27" ht="72">
      <c r="A10" s="119" t="s">
        <v>76</v>
      </c>
      <c r="B10" s="119"/>
      <c r="C10" s="119"/>
      <c r="D10" s="119"/>
      <c r="E10" s="138"/>
      <c r="F10" s="139" t="s">
        <v>193</v>
      </c>
      <c r="G10" s="139" t="s">
        <v>194</v>
      </c>
      <c r="H10" s="139" t="s">
        <v>195</v>
      </c>
      <c r="I10" s="139" t="s">
        <v>196</v>
      </c>
      <c r="J10" s="139" t="s">
        <v>197</v>
      </c>
      <c r="K10" s="140"/>
      <c r="L10" s="140"/>
      <c r="M10" s="97"/>
    </row>
    <row r="11" spans="1:27" s="120" customFormat="1" ht="41.4">
      <c r="A11" s="141" t="s">
        <v>86</v>
      </c>
      <c r="B11" s="141"/>
      <c r="C11" s="141"/>
      <c r="D11" s="141"/>
      <c r="E11" s="142"/>
      <c r="F11" s="142" t="s">
        <v>198</v>
      </c>
      <c r="G11" s="142" t="s">
        <v>199</v>
      </c>
      <c r="H11" s="142" t="s">
        <v>200</v>
      </c>
      <c r="I11" s="143" t="s">
        <v>201</v>
      </c>
      <c r="J11" s="143" t="s">
        <v>202</v>
      </c>
      <c r="K11" s="144"/>
      <c r="L11" s="144"/>
      <c r="M11" s="144"/>
      <c r="N11" s="105"/>
      <c r="O11" s="105"/>
      <c r="P11" s="105"/>
      <c r="Q11" s="105"/>
      <c r="R11" s="105"/>
      <c r="S11" s="105"/>
      <c r="T11" s="105"/>
      <c r="U11" s="105"/>
    </row>
    <row r="15" spans="1:27" customFormat="1" ht="14.4">
      <c r="A15" t="s">
        <v>96</v>
      </c>
      <c r="B15" t="s">
        <v>97</v>
      </c>
      <c r="C15" t="s">
        <v>98</v>
      </c>
      <c r="D15" s="309" t="s">
        <v>99</v>
      </c>
      <c r="E15" s="14" t="s">
        <v>168</v>
      </c>
      <c r="F15" s="14" t="s">
        <v>169</v>
      </c>
      <c r="G15" s="14" t="s">
        <v>170</v>
      </c>
      <c r="H15" s="14" t="s">
        <v>171</v>
      </c>
      <c r="I15" s="14" t="s">
        <v>172</v>
      </c>
      <c r="J15" s="14" t="s">
        <v>173</v>
      </c>
    </row>
    <row r="16" spans="1:27" ht="14.4">
      <c r="A16" t="s">
        <v>100</v>
      </c>
      <c r="B16" s="15" t="s">
        <v>97</v>
      </c>
      <c r="C16" s="15" t="str">
        <f>HYPERLINK("02-项目级\P3-主从数据库复制及性能提升项目\01-生存周期\03-项目策划\03-项目计划书 (QCUBIC-XNTS-PLAN-Plan)V1.1-engl.docx", "engl")</f>
        <v>engl</v>
      </c>
      <c r="D16"/>
      <c r="E16" t="s">
        <v>101</v>
      </c>
      <c r="F16"/>
      <c r="G16"/>
      <c r="H16" t="s">
        <v>101</v>
      </c>
      <c r="I16"/>
      <c r="J16"/>
      <c r="K16"/>
      <c r="L16"/>
      <c r="M16"/>
      <c r="N16"/>
      <c r="O16"/>
      <c r="P16"/>
      <c r="Q16"/>
      <c r="R16"/>
      <c r="S16"/>
      <c r="T16"/>
      <c r="U16"/>
      <c r="V16"/>
      <c r="W16"/>
      <c r="X16"/>
      <c r="Y16"/>
      <c r="Z16"/>
      <c r="AA16"/>
    </row>
    <row r="17" spans="1:27" ht="14.4">
      <c r="A17" t="s">
        <v>100</v>
      </c>
      <c r="B17" s="15" t="s">
        <v>97</v>
      </c>
      <c r="C17" s="15" t="str">
        <f>HYPERLINK("02-项目级\P3-主从数据库复制及性能提升项目\02-全程管理\05-评审管理\03-计划评审\05-评审报告_项目计划(QCUBIC-XNTS-PR-ReviewRpt)V1.1-engl.xlsx", "engl")</f>
        <v>engl</v>
      </c>
      <c r="D17"/>
      <c r="E17" t="s">
        <v>101</v>
      </c>
      <c r="F17" t="s">
        <v>101</v>
      </c>
      <c r="G17" t="s">
        <v>101</v>
      </c>
      <c r="H17" t="s">
        <v>101</v>
      </c>
      <c r="I17" t="s">
        <v>101</v>
      </c>
      <c r="J17"/>
      <c r="K17"/>
      <c r="L17"/>
      <c r="M17"/>
      <c r="N17"/>
      <c r="O17"/>
      <c r="P17"/>
      <c r="Q17"/>
      <c r="R17"/>
      <c r="S17"/>
      <c r="T17"/>
      <c r="U17"/>
      <c r="V17"/>
      <c r="W17"/>
      <c r="X17"/>
      <c r="Y17"/>
      <c r="Z17"/>
      <c r="AA17"/>
    </row>
    <row r="18" spans="1:27" ht="14.4">
      <c r="A18" t="s">
        <v>100</v>
      </c>
      <c r="B18" s="15" t="s">
        <v>97</v>
      </c>
      <c r="C18" s="15" t="str">
        <f>HYPERLINK("02-项目级\P3-主从数据库复制及性能提升项目\02-全程管理\05-评审管理\04-需求评审\01-需求规格说明书\05-评审报告_需求规格说明书(QCUBIC-XNTS-PR-ReviewRpt)V1.1-engl.xlsx", "engl")</f>
        <v>engl</v>
      </c>
      <c r="D18"/>
      <c r="E18" t="s">
        <v>101</v>
      </c>
      <c r="F18"/>
      <c r="G18" t="s">
        <v>101</v>
      </c>
      <c r="H18" t="s">
        <v>101</v>
      </c>
      <c r="I18" t="s">
        <v>101</v>
      </c>
      <c r="J18"/>
      <c r="K18"/>
      <c r="L18"/>
      <c r="M18"/>
      <c r="N18"/>
      <c r="O18"/>
      <c r="P18"/>
      <c r="Q18"/>
      <c r="R18"/>
      <c r="S18"/>
      <c r="T18"/>
      <c r="U18"/>
      <c r="V18"/>
      <c r="W18"/>
      <c r="X18"/>
      <c r="Y18"/>
      <c r="Z18"/>
      <c r="AA18"/>
    </row>
    <row r="19" spans="1:27" ht="14.4">
      <c r="A19" t="s">
        <v>100</v>
      </c>
      <c r="B19" s="15" t="s">
        <v>97</v>
      </c>
      <c r="C19" s="15" t="str">
        <f>HYPERLINK("02-项目级\P3-主从数据库复制及性能提升项目\02-全程管理\05-评审管理\04-需求评审\02-用户需求说明书\03-评审报告_用户需求说明书(QCUBIC-XNTS-PR-ReviewRpt)V1.0-engl.xlsx", "engl")</f>
        <v>engl</v>
      </c>
      <c r="D19"/>
      <c r="E19" t="s">
        <v>101</v>
      </c>
      <c r="F19"/>
      <c r="G19" t="s">
        <v>101</v>
      </c>
      <c r="H19" t="s">
        <v>101</v>
      </c>
      <c r="I19" t="s">
        <v>101</v>
      </c>
      <c r="J19"/>
      <c r="K19"/>
      <c r="L19"/>
      <c r="M19"/>
      <c r="N19"/>
      <c r="O19"/>
      <c r="P19"/>
      <c r="Q19"/>
      <c r="R19"/>
      <c r="S19"/>
      <c r="T19"/>
      <c r="U19"/>
      <c r="V19"/>
      <c r="W19"/>
      <c r="X19"/>
      <c r="Y19"/>
      <c r="Z19"/>
      <c r="AA19"/>
    </row>
    <row r="20" spans="1:27" ht="14.4">
      <c r="A20" t="s">
        <v>100</v>
      </c>
      <c r="B20" s="15" t="s">
        <v>97</v>
      </c>
      <c r="C20" s="15" t="str">
        <f>HYPERLINK("02-项目级\P3-主从数据库复制及性能提升项目\02-全程管理\05-评审管理\05-设计评审\01-概要设计说明书\05-评审报告_概要设计书(QCUBIC-XNTS-PR-ReviewRpt)V1.1-engl.xlsx", "engl")</f>
        <v>engl</v>
      </c>
      <c r="D20"/>
      <c r="E20" t="s">
        <v>101</v>
      </c>
      <c r="F20"/>
      <c r="G20" t="s">
        <v>101</v>
      </c>
      <c r="H20" t="s">
        <v>101</v>
      </c>
      <c r="I20" t="s">
        <v>101</v>
      </c>
      <c r="J20"/>
      <c r="K20"/>
      <c r="L20"/>
      <c r="M20"/>
      <c r="N20"/>
      <c r="O20"/>
      <c r="P20"/>
      <c r="Q20"/>
      <c r="R20"/>
      <c r="S20"/>
      <c r="T20"/>
      <c r="U20"/>
      <c r="V20"/>
      <c r="W20"/>
      <c r="X20"/>
      <c r="Y20"/>
      <c r="Z20"/>
      <c r="AA20"/>
    </row>
    <row r="21" spans="1:27" ht="14.4">
      <c r="A21" t="s">
        <v>100</v>
      </c>
      <c r="B21" s="15" t="s">
        <v>97</v>
      </c>
      <c r="C21" s="15" t="str">
        <f>HYPERLINK("02-项目级\P3-主从数据库复制及性能提升项目\02-全程管理\05-评审管理\05-设计评审\02-详细设计说明书\05-评审报告_详细设计(QCUBIC-XNTS-PR-ReviewRpt)V1.1-engl.xlsx", "engl")</f>
        <v>engl</v>
      </c>
      <c r="D21"/>
      <c r="E21" t="s">
        <v>101</v>
      </c>
      <c r="F21"/>
      <c r="G21" t="s">
        <v>101</v>
      </c>
      <c r="H21" t="s">
        <v>101</v>
      </c>
      <c r="I21" t="s">
        <v>101</v>
      </c>
      <c r="J21"/>
      <c r="K21"/>
      <c r="L21"/>
      <c r="M21"/>
      <c r="N21"/>
      <c r="O21"/>
      <c r="P21"/>
      <c r="Q21"/>
      <c r="R21"/>
      <c r="S21"/>
      <c r="T21"/>
      <c r="U21"/>
      <c r="V21"/>
      <c r="W21"/>
      <c r="X21"/>
      <c r="Y21"/>
      <c r="Z21"/>
      <c r="AA21"/>
    </row>
    <row r="22" spans="1:27" ht="14.4">
      <c r="A22" t="s">
        <v>100</v>
      </c>
      <c r="B22" s="15" t="s">
        <v>97</v>
      </c>
      <c r="C22" s="15" t="str">
        <f>HYPERLINK("02-项目级\P3-主从数据库复制及性能提升项目\02-全程管理\05-评审管理\07-测试评审\02-系统测试用例\05-评审报告_系统测试用例(QCUBIC-XNTS-PR-ReviewRpt)V1.1-engl.xlsx", "engl")</f>
        <v>engl</v>
      </c>
      <c r="D22"/>
      <c r="E22" t="s">
        <v>101</v>
      </c>
      <c r="F22"/>
      <c r="G22" t="s">
        <v>101</v>
      </c>
      <c r="H22" t="s">
        <v>101</v>
      </c>
      <c r="I22" t="s">
        <v>101</v>
      </c>
      <c r="J22" t="s">
        <v>101</v>
      </c>
      <c r="K22"/>
      <c r="L22"/>
      <c r="M22"/>
      <c r="N22"/>
      <c r="O22"/>
      <c r="P22"/>
      <c r="Q22"/>
      <c r="R22"/>
      <c r="S22"/>
      <c r="T22"/>
      <c r="U22"/>
      <c r="V22"/>
      <c r="W22"/>
      <c r="X22"/>
      <c r="Y22"/>
      <c r="Z22"/>
      <c r="AA22"/>
    </row>
    <row r="23" spans="1:27" ht="14.4">
      <c r="A23" t="s">
        <v>100</v>
      </c>
      <c r="B23" s="15" t="s">
        <v>97</v>
      </c>
      <c r="C23" s="15" t="str">
        <f>HYPERLINK("02-项目级\P3-主从数据库复制及性能提升项目\02-全程管理\05-评审管理\03-计划评审\01-评审准备表_项目计划(QCUBIC-XNTS-PR-ReviewPrp)V1.0-engl.docx", "engl")</f>
        <v>engl</v>
      </c>
      <c r="D23"/>
      <c r="E23"/>
      <c r="F23" t="s">
        <v>101</v>
      </c>
      <c r="G23"/>
      <c r="H23"/>
      <c r="I23"/>
      <c r="J23"/>
      <c r="K23"/>
      <c r="L23"/>
      <c r="M23"/>
      <c r="N23"/>
      <c r="O23"/>
      <c r="P23"/>
      <c r="Q23"/>
      <c r="R23"/>
      <c r="S23"/>
      <c r="T23"/>
      <c r="U23"/>
      <c r="V23"/>
      <c r="W23"/>
      <c r="X23"/>
      <c r="Y23"/>
      <c r="Z23"/>
      <c r="AA23"/>
    </row>
    <row r="24" spans="1:27" ht="14.4">
      <c r="A24" t="s">
        <v>100</v>
      </c>
      <c r="B24" s="15" t="s">
        <v>97</v>
      </c>
      <c r="C24" s="15" t="str">
        <f>HYPERLINK("02-项目级\P3-主从数据库复制及性能提升项目\02-全程管理\05-评审管理\03-计划评审\02-评审检查表_项目计划(QCUBIC-XNTS-PR-RevChkList)V1.0-engl.xlsx", "engl")</f>
        <v>engl</v>
      </c>
      <c r="D24"/>
      <c r="E24"/>
      <c r="F24" t="s">
        <v>101</v>
      </c>
      <c r="G24"/>
      <c r="H24"/>
      <c r="I24"/>
      <c r="J24"/>
      <c r="K24"/>
      <c r="L24"/>
      <c r="M24"/>
      <c r="N24"/>
      <c r="O24"/>
      <c r="P24"/>
      <c r="Q24"/>
      <c r="R24"/>
      <c r="S24"/>
      <c r="T24"/>
      <c r="U24"/>
      <c r="V24"/>
      <c r="W24"/>
      <c r="X24"/>
      <c r="Y24"/>
      <c r="Z24"/>
      <c r="AA24"/>
    </row>
    <row r="25" spans="1:27" ht="14.4">
      <c r="A25" t="s">
        <v>100</v>
      </c>
      <c r="B25" s="15" t="s">
        <v>97</v>
      </c>
      <c r="C25" s="15" t="str">
        <f>HYPERLINK("01-组织级\01-组织财富库\01-标准过程文件库\03-支持类\05-评审管理\评审管理过程文件(QCUBIC-SPI-VV-Proc-Doc)V1.2-engl.docx", "engl")</f>
        <v>engl</v>
      </c>
      <c r="D25"/>
      <c r="E25"/>
      <c r="F25" t="s">
        <v>101</v>
      </c>
      <c r="G25"/>
      <c r="H25" t="s">
        <v>101</v>
      </c>
      <c r="I25"/>
      <c r="J25"/>
      <c r="K25"/>
      <c r="L25"/>
      <c r="M25"/>
      <c r="N25"/>
      <c r="O25"/>
      <c r="P25"/>
      <c r="Q25"/>
      <c r="R25"/>
      <c r="S25"/>
      <c r="T25"/>
      <c r="U25"/>
      <c r="V25"/>
      <c r="W25"/>
      <c r="X25"/>
      <c r="Y25"/>
      <c r="Z25"/>
      <c r="AA25"/>
    </row>
    <row r="26" spans="1:27" ht="14.4">
      <c r="A26" t="s">
        <v>100</v>
      </c>
      <c r="B26" s="15" t="s">
        <v>97</v>
      </c>
      <c r="C26" s="15" t="str">
        <f>HYPERLINK("01-组织级\01-组织财富库\01-标准过程文件库\03-支持类\05-评审管理\评审指南(QCUBIC-SPI-VV-Guid-Review)V1.2-engl.docx", "engl")</f>
        <v>engl</v>
      </c>
      <c r="D26"/>
      <c r="E26"/>
      <c r="F26" t="s">
        <v>101</v>
      </c>
      <c r="G26"/>
      <c r="H26"/>
      <c r="I26"/>
      <c r="J26"/>
      <c r="K26"/>
      <c r="L26"/>
      <c r="M26"/>
      <c r="N26"/>
      <c r="O26"/>
      <c r="P26"/>
      <c r="Q26"/>
      <c r="R26"/>
      <c r="S26"/>
      <c r="T26"/>
      <c r="U26"/>
      <c r="V26"/>
      <c r="W26"/>
      <c r="X26"/>
      <c r="Y26"/>
      <c r="Z26"/>
      <c r="AA26"/>
    </row>
    <row r="27" spans="1:27" ht="14.4">
      <c r="A27" t="s">
        <v>100</v>
      </c>
      <c r="B27" s="15" t="s">
        <v>97</v>
      </c>
      <c r="C27" s="15" t="str">
        <f>HYPERLINK("02-项目级\P3-主从数据库复制及性能提升项目\02-全程管理\05-评审管理\01-评审缺陷管理表(QCUBIC-XNTS-MC-DefectList)V1.0-engl.xlsx", "engl")</f>
        <v>engl</v>
      </c>
      <c r="D27"/>
      <c r="E27"/>
      <c r="F27"/>
      <c r="G27"/>
      <c r="H27"/>
      <c r="I27" t="s">
        <v>101</v>
      </c>
      <c r="J27" t="s">
        <v>101</v>
      </c>
      <c r="K27"/>
      <c r="L27"/>
      <c r="M27"/>
      <c r="N27"/>
      <c r="O27"/>
      <c r="P27"/>
      <c r="Q27"/>
      <c r="R27"/>
      <c r="S27"/>
      <c r="T27"/>
      <c r="U27"/>
      <c r="V27"/>
      <c r="W27"/>
      <c r="X27"/>
      <c r="Y27"/>
      <c r="Z27"/>
      <c r="AA27"/>
    </row>
    <row r="28" spans="1:27" ht="14.4">
      <c r="A28"/>
      <c r="B28"/>
      <c r="C28"/>
      <c r="D28"/>
      <c r="E28"/>
      <c r="F28"/>
      <c r="G28"/>
      <c r="H28"/>
      <c r="I28"/>
      <c r="J28"/>
      <c r="K28"/>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E554C6D2-F433-4CBF-A894-6C9B73FBC381}"/>
    <hyperlink ref="B17" r:id="rId2" xr:uid="{D1F7471C-F4FD-49F7-AE11-28F96BEA58F4}"/>
    <hyperlink ref="B18" r:id="rId3" xr:uid="{B71D0427-D064-402B-9944-77E28D0AD9B8}"/>
    <hyperlink ref="B19" r:id="rId4" xr:uid="{80A36C35-4409-4E97-95F9-F9C50FDCBAC3}"/>
    <hyperlink ref="B20" r:id="rId5" xr:uid="{3A27F712-FA77-4AF7-9620-6BECF9317314}"/>
    <hyperlink ref="B21" r:id="rId6" xr:uid="{A69DD27A-D8B3-40A4-B8F3-79295A453987}"/>
    <hyperlink ref="B22" r:id="rId7" xr:uid="{A6ECBED3-7B69-4ED0-8A7C-CA63809F83FC}"/>
    <hyperlink ref="B23" r:id="rId8" xr:uid="{D0914094-C348-4D00-90E6-B7B96536874C}"/>
    <hyperlink ref="B24" r:id="rId9" xr:uid="{CC2A7C62-1E07-4913-95AD-C3A1075FE087}"/>
    <hyperlink ref="B25" r:id="rId10" xr:uid="{254E044C-B9F9-433B-9B99-F820C3BAAE2E}"/>
    <hyperlink ref="B26" r:id="rId11" xr:uid="{CB02746F-27AD-41CD-BE6A-5D30531EF872}"/>
    <hyperlink ref="B27" r:id="rId12" xr:uid="{04A5315C-CCAB-4E4E-949D-71A54255D8A8}"/>
  </hyperlinks>
  <pageMargins left="0.7" right="0.7" top="0.75" bottom="0.75" header="0.3" footer="0.3"/>
  <pageSetup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0A6F-36B3-4C65-B2B2-E1941EDD4376}">
  <sheetPr codeName="Sheet11">
    <tabColor rgb="FF802C19"/>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4.4"/>
  <cols>
    <col min="1" max="1" width="32.33203125" style="114" customWidth="1"/>
    <col min="2" max="4" width="7.88671875" style="114" customWidth="1"/>
    <col min="5" max="11" width="15.6640625" style="114" customWidth="1"/>
    <col min="12" max="12" width="50.6640625" style="114" customWidth="1"/>
    <col min="13" max="13" width="3.6640625" style="114" customWidth="1"/>
    <col min="14" max="14" width="21" style="114" customWidth="1"/>
    <col min="15" max="15" width="87.88671875" style="114" customWidth="1"/>
    <col min="16" max="17" width="15.6640625" style="114" customWidth="1"/>
    <col min="18" max="16384" width="8.6640625" style="114"/>
  </cols>
  <sheetData>
    <row r="1" spans="1:27" ht="18">
      <c r="A1" s="102" t="s">
        <v>203</v>
      </c>
      <c r="B1" s="102"/>
      <c r="C1" s="102"/>
      <c r="D1" s="102"/>
      <c r="E1" s="103"/>
      <c r="F1" s="104"/>
      <c r="G1" s="105"/>
      <c r="H1" s="105"/>
      <c r="I1" s="105"/>
      <c r="J1" s="105"/>
      <c r="K1" s="105"/>
      <c r="L1" s="105"/>
      <c r="M1" s="105"/>
      <c r="N1" s="105"/>
      <c r="O1" s="105"/>
      <c r="P1" s="105"/>
      <c r="Q1" s="145"/>
    </row>
    <row r="2" spans="1:27">
      <c r="A2" s="107" t="s">
        <v>23</v>
      </c>
      <c r="B2" s="107"/>
      <c r="C2" s="107"/>
      <c r="D2" s="107"/>
      <c r="E2" s="104" t="s">
        <v>204</v>
      </c>
      <c r="F2" s="104"/>
      <c r="G2" s="105"/>
      <c r="H2" s="105"/>
      <c r="I2" s="105"/>
      <c r="J2" s="105"/>
      <c r="K2" s="105"/>
      <c r="L2" s="105"/>
      <c r="M2" s="105"/>
      <c r="N2" s="105"/>
      <c r="O2" s="105"/>
      <c r="P2" s="105"/>
      <c r="Q2" s="107"/>
    </row>
    <row r="3" spans="1:27">
      <c r="A3" s="104" t="s">
        <v>25</v>
      </c>
      <c r="B3" s="104"/>
      <c r="C3" s="104"/>
      <c r="D3" s="104"/>
      <c r="E3" s="104" t="s">
        <v>205</v>
      </c>
      <c r="F3" s="104"/>
      <c r="G3" s="105"/>
      <c r="H3" s="105"/>
      <c r="I3" s="105"/>
      <c r="J3" s="105"/>
      <c r="K3" s="105"/>
      <c r="L3" s="105"/>
      <c r="M3" s="105"/>
      <c r="N3" s="105"/>
      <c r="O3" s="105"/>
      <c r="P3" s="105"/>
      <c r="Q3" s="90"/>
    </row>
    <row r="4" spans="1:27">
      <c r="A4" s="108"/>
      <c r="B4" s="108"/>
      <c r="C4" s="108"/>
      <c r="D4" s="108"/>
      <c r="E4" s="109" t="s">
        <v>27</v>
      </c>
      <c r="F4" s="146"/>
      <c r="G4" s="110" t="s">
        <v>28</v>
      </c>
      <c r="H4" s="111"/>
      <c r="I4" s="110"/>
      <c r="J4" s="113" t="s">
        <v>29</v>
      </c>
      <c r="K4" s="147"/>
      <c r="L4" s="107"/>
      <c r="M4" s="107"/>
      <c r="N4" s="107"/>
      <c r="O4" s="104"/>
      <c r="P4" s="104"/>
      <c r="Q4" s="104"/>
      <c r="R4" s="104"/>
      <c r="S4" s="107"/>
    </row>
    <row r="5" spans="1:27">
      <c r="A5" s="115"/>
      <c r="B5" s="115"/>
      <c r="C5" s="115"/>
      <c r="D5" s="115"/>
      <c r="E5" s="116" t="s">
        <v>30</v>
      </c>
      <c r="F5" s="146"/>
      <c r="G5" s="117" t="s">
        <v>31</v>
      </c>
      <c r="H5" s="111"/>
      <c r="I5" s="117"/>
      <c r="J5" s="113" t="s">
        <v>32</v>
      </c>
      <c r="K5" s="147"/>
      <c r="L5" s="107"/>
      <c r="M5" s="107"/>
      <c r="N5" s="107"/>
      <c r="O5" s="105"/>
      <c r="P5" s="104"/>
      <c r="Q5" s="115"/>
      <c r="R5" s="104"/>
      <c r="S5" s="107"/>
      <c r="T5" s="115"/>
    </row>
    <row r="6" spans="1:27">
      <c r="A6" s="119"/>
      <c r="B6" s="119"/>
      <c r="C6" s="119"/>
      <c r="D6" s="119"/>
      <c r="E6" s="3" t="s">
        <v>206</v>
      </c>
      <c r="F6" s="3" t="s">
        <v>207</v>
      </c>
      <c r="G6" s="87" t="s">
        <v>208</v>
      </c>
      <c r="H6" s="87" t="s">
        <v>209</v>
      </c>
      <c r="I6" s="87" t="s">
        <v>210</v>
      </c>
      <c r="J6" s="88" t="s">
        <v>211</v>
      </c>
      <c r="K6" s="89" t="s">
        <v>212</v>
      </c>
      <c r="L6" s="90"/>
      <c r="M6" s="90"/>
      <c r="N6" s="90"/>
      <c r="O6" s="105"/>
      <c r="P6" s="105"/>
      <c r="Q6" s="104"/>
    </row>
    <row r="7" spans="1:27" ht="150.6" customHeight="1">
      <c r="A7" s="121" t="s">
        <v>174</v>
      </c>
      <c r="B7" s="121"/>
      <c r="C7" s="121"/>
      <c r="D7" s="121"/>
      <c r="E7" s="94" t="s">
        <v>213</v>
      </c>
      <c r="F7" s="94" t="s">
        <v>214</v>
      </c>
      <c r="G7" s="94" t="s">
        <v>215</v>
      </c>
      <c r="H7" s="94" t="s">
        <v>216</v>
      </c>
      <c r="I7" s="94" t="s">
        <v>217</v>
      </c>
      <c r="J7" s="94" t="s">
        <v>218</v>
      </c>
      <c r="K7" s="94" t="s">
        <v>219</v>
      </c>
      <c r="L7" s="90"/>
      <c r="M7" s="90"/>
      <c r="N7" s="90"/>
      <c r="O7" s="90"/>
      <c r="P7" s="90"/>
      <c r="Q7" s="90"/>
    </row>
    <row r="8" spans="1:27" ht="107.4" customHeight="1">
      <c r="A8" s="119" t="s">
        <v>54</v>
      </c>
      <c r="B8" s="119"/>
      <c r="C8" s="119"/>
      <c r="D8" s="119"/>
      <c r="E8" s="148" t="s">
        <v>220</v>
      </c>
      <c r="F8" s="148" t="s">
        <v>221</v>
      </c>
      <c r="G8" s="148" t="s">
        <v>222</v>
      </c>
      <c r="H8" s="148" t="s">
        <v>223</v>
      </c>
      <c r="I8" s="148" t="s">
        <v>224</v>
      </c>
      <c r="J8" s="148" t="s">
        <v>225</v>
      </c>
      <c r="K8" s="148" t="s">
        <v>226</v>
      </c>
      <c r="L8" s="124"/>
      <c r="M8" s="124"/>
      <c r="N8" s="124"/>
      <c r="O8" s="90"/>
      <c r="P8" s="90"/>
      <c r="Q8" s="90"/>
    </row>
    <row r="9" spans="1:27" ht="144" customHeight="1">
      <c r="A9" s="119" t="s">
        <v>65</v>
      </c>
      <c r="B9" s="119"/>
      <c r="C9" s="119"/>
      <c r="D9" s="119"/>
      <c r="E9" s="122" t="s">
        <v>227</v>
      </c>
      <c r="F9" s="122" t="s">
        <v>228</v>
      </c>
      <c r="G9" s="122" t="s">
        <v>229</v>
      </c>
      <c r="H9" s="122" t="s">
        <v>230</v>
      </c>
      <c r="I9" s="122" t="s">
        <v>231</v>
      </c>
      <c r="J9" s="122" t="s">
        <v>232</v>
      </c>
      <c r="K9" s="122" t="s">
        <v>233</v>
      </c>
      <c r="L9" s="124"/>
      <c r="M9" s="124"/>
      <c r="N9" s="124"/>
      <c r="O9" s="90"/>
      <c r="P9" s="90"/>
      <c r="Q9" s="90"/>
    </row>
    <row r="10" spans="1:27" ht="96.6">
      <c r="A10" s="119" t="s">
        <v>76</v>
      </c>
      <c r="B10" s="119"/>
      <c r="C10" s="119"/>
      <c r="D10" s="119"/>
      <c r="E10" s="138"/>
      <c r="F10" s="138"/>
      <c r="G10" s="153" t="s">
        <v>234</v>
      </c>
      <c r="H10" s="153" t="s">
        <v>235</v>
      </c>
      <c r="I10" s="153" t="s">
        <v>236</v>
      </c>
      <c r="J10" s="153" t="s">
        <v>237</v>
      </c>
      <c r="K10" s="153" t="s">
        <v>238</v>
      </c>
      <c r="L10" s="97"/>
      <c r="M10" s="97"/>
      <c r="N10" s="97"/>
    </row>
    <row r="11" spans="1:27" s="106" customFormat="1" ht="55.2">
      <c r="A11" s="141" t="s">
        <v>86</v>
      </c>
      <c r="B11" s="141"/>
      <c r="C11" s="141"/>
      <c r="D11" s="141"/>
      <c r="E11" s="154"/>
      <c r="F11" s="154"/>
      <c r="G11" s="154" t="s">
        <v>239</v>
      </c>
      <c r="H11" s="154" t="s">
        <v>240</v>
      </c>
      <c r="I11" s="154" t="s">
        <v>241</v>
      </c>
      <c r="J11" s="154" t="s">
        <v>242</v>
      </c>
      <c r="K11" s="154" t="s">
        <v>243</v>
      </c>
      <c r="L11" s="155"/>
      <c r="M11" s="155"/>
      <c r="N11" s="155"/>
    </row>
    <row r="15" spans="1:27" customFormat="1">
      <c r="A15" t="s">
        <v>96</v>
      </c>
      <c r="B15" t="s">
        <v>97</v>
      </c>
      <c r="C15" t="s">
        <v>98</v>
      </c>
      <c r="D15" s="309" t="s">
        <v>99</v>
      </c>
      <c r="E15" s="14" t="s">
        <v>206</v>
      </c>
      <c r="F15" s="14" t="s">
        <v>207</v>
      </c>
      <c r="G15" s="14" t="s">
        <v>208</v>
      </c>
      <c r="H15" s="14" t="s">
        <v>209</v>
      </c>
      <c r="I15" s="14" t="s">
        <v>210</v>
      </c>
      <c r="J15" s="14" t="s">
        <v>211</v>
      </c>
      <c r="K15" s="14" t="s">
        <v>212</v>
      </c>
    </row>
    <row r="16" spans="1:27">
      <c r="A16" t="s">
        <v>100</v>
      </c>
      <c r="B16" s="15" t="s">
        <v>97</v>
      </c>
      <c r="C16" s="15" t="str">
        <f>HYPERLINK("02-项目级\P3-主从数据库复制及性能提升项目\01-生存周期\07-测试\01-测试计划(QCUBIC-XNTS-VV-TestPlan)V1.0-engl.docx", "engl")</f>
        <v>engl</v>
      </c>
      <c r="D16"/>
      <c r="E16" t="s">
        <v>101</v>
      </c>
      <c r="F16" t="s">
        <v>101</v>
      </c>
      <c r="G16" t="s">
        <v>101</v>
      </c>
      <c r="H16" t="s">
        <v>101</v>
      </c>
      <c r="I16" t="s">
        <v>101</v>
      </c>
      <c r="J16" t="s">
        <v>101</v>
      </c>
      <c r="K16" t="s">
        <v>101</v>
      </c>
      <c r="L16"/>
      <c r="M16"/>
      <c r="N16"/>
      <c r="O16"/>
      <c r="P16"/>
      <c r="Q16"/>
      <c r="R16"/>
      <c r="S16"/>
      <c r="T16"/>
      <c r="U16"/>
      <c r="V16"/>
      <c r="W16"/>
      <c r="X16"/>
      <c r="Y16"/>
      <c r="Z16"/>
      <c r="AA16"/>
    </row>
    <row r="17" spans="1:27">
      <c r="A17" t="s">
        <v>100</v>
      </c>
      <c r="B17" s="15" t="s">
        <v>97</v>
      </c>
      <c r="C17" s="15" t="str">
        <f>HYPERLINK("02-项目级\P3-主从数据库复制及性能提升项目\01-生存周期\07-测试\03-系统测试\03-系统测试BUG管理表(QCUBIC-XNTS-VV-STBugList)V1.0-engl.xlsx", "engl")</f>
        <v>engl</v>
      </c>
      <c r="D17"/>
      <c r="E17" t="s">
        <v>101</v>
      </c>
      <c r="F17" t="s">
        <v>101</v>
      </c>
      <c r="G17" t="s">
        <v>101</v>
      </c>
      <c r="H17" t="s">
        <v>101</v>
      </c>
      <c r="I17"/>
      <c r="J17"/>
      <c r="K17"/>
      <c r="L17"/>
      <c r="M17"/>
      <c r="N17"/>
      <c r="O17"/>
      <c r="P17"/>
      <c r="Q17"/>
      <c r="R17"/>
      <c r="S17"/>
      <c r="T17"/>
      <c r="U17"/>
      <c r="V17"/>
      <c r="W17"/>
      <c r="X17"/>
      <c r="Y17"/>
      <c r="Z17"/>
      <c r="AA17"/>
    </row>
    <row r="18" spans="1:27">
      <c r="A18" t="s">
        <v>100</v>
      </c>
      <c r="B18" s="15" t="s">
        <v>97</v>
      </c>
      <c r="C18" s="15" t="str">
        <f>HYPERLINK("02-项目级\P3-主从数据库复制及性能提升项目\01-生存周期\07-测试\03-系统测试\04-系统测试报告(QCUBIC-XNTS-VV-TestReport-SystemTest)V1.0-engl.docx", "engl")</f>
        <v>engl</v>
      </c>
      <c r="D18"/>
      <c r="E18" t="s">
        <v>101</v>
      </c>
      <c r="F18"/>
      <c r="G18" t="s">
        <v>101</v>
      </c>
      <c r="H18" t="s">
        <v>101</v>
      </c>
      <c r="I18" t="s">
        <v>101</v>
      </c>
      <c r="J18"/>
      <c r="K18" t="s">
        <v>101</v>
      </c>
      <c r="L18"/>
      <c r="M18"/>
      <c r="N18"/>
      <c r="O18"/>
      <c r="P18"/>
      <c r="Q18"/>
      <c r="R18"/>
      <c r="S18"/>
      <c r="T18"/>
      <c r="U18"/>
      <c r="V18"/>
      <c r="W18"/>
      <c r="X18"/>
      <c r="Y18"/>
      <c r="Z18"/>
      <c r="AA18"/>
    </row>
    <row r="19" spans="1:27">
      <c r="A19" t="s">
        <v>100</v>
      </c>
      <c r="B19" s="15" t="s">
        <v>97</v>
      </c>
      <c r="C19" s="15" t="str">
        <f>HYPERLINK("02-项目级\P3-主从数据库复制及性能提升项目\01-生存周期\07-测试\02-集成测试\04-集成测试报告(QCUBIC-XNTS-LP_VV_IntegrationTestRet)V1.0-engl.docx", "engl")</f>
        <v>engl</v>
      </c>
      <c r="D19"/>
      <c r="E19" t="s">
        <v>101</v>
      </c>
      <c r="F19"/>
      <c r="G19" t="s">
        <v>101</v>
      </c>
      <c r="H19" t="s">
        <v>101</v>
      </c>
      <c r="I19" t="s">
        <v>101</v>
      </c>
      <c r="J19"/>
      <c r="K19" t="s">
        <v>101</v>
      </c>
      <c r="L19"/>
      <c r="M19"/>
      <c r="N19"/>
      <c r="O19"/>
      <c r="P19"/>
      <c r="Q19"/>
      <c r="R19"/>
      <c r="S19"/>
      <c r="T19"/>
      <c r="U19"/>
      <c r="V19"/>
      <c r="W19"/>
      <c r="X19"/>
      <c r="Y19"/>
      <c r="Z19"/>
      <c r="AA19"/>
    </row>
    <row r="20" spans="1:27">
      <c r="A20" t="s">
        <v>100</v>
      </c>
      <c r="B20" s="15" t="s">
        <v>97</v>
      </c>
      <c r="C20" s="15" t="str">
        <f>HYPERLINK("02-项目级\P3-主从数据库复制及性能提升项目\01-生存周期\08-试运行及验收\02-验收\01-验收计划(QCUBIC-XNTS-DA-AcceptencePlan)V1.0-engl.docx", "engl")</f>
        <v>engl</v>
      </c>
      <c r="D20"/>
      <c r="E20"/>
      <c r="F20" t="s">
        <v>101</v>
      </c>
      <c r="G20"/>
      <c r="H20"/>
      <c r="I20" t="s">
        <v>101</v>
      </c>
      <c r="J20" t="s">
        <v>101</v>
      </c>
      <c r="K20"/>
      <c r="L20"/>
      <c r="M20"/>
      <c r="N20"/>
      <c r="O20"/>
      <c r="P20"/>
      <c r="Q20"/>
      <c r="R20"/>
      <c r="S20"/>
      <c r="T20"/>
      <c r="U20"/>
      <c r="V20"/>
      <c r="W20"/>
      <c r="X20"/>
      <c r="Y20"/>
      <c r="Z20"/>
      <c r="AA20"/>
    </row>
    <row r="21" spans="1:27">
      <c r="A21" t="s">
        <v>100</v>
      </c>
      <c r="B21" s="15" t="s">
        <v>97</v>
      </c>
      <c r="C21" s="15" t="str">
        <f>HYPERLINK("02-项目级\P3-主从数据库复制及性能提升项目\01-生存周期\08-试运行及验收\02-验收\03-验收报告(QCUBIC-XNTS-VV-TestReport-AcceptenceReport)V1.0-engl.docx", "engl")</f>
        <v>engl</v>
      </c>
      <c r="D21"/>
      <c r="E21"/>
      <c r="F21" t="s">
        <v>101</v>
      </c>
      <c r="G21"/>
      <c r="H21"/>
      <c r="I21" t="s">
        <v>101</v>
      </c>
      <c r="J21"/>
      <c r="K21" t="s">
        <v>101</v>
      </c>
      <c r="L21"/>
      <c r="M21"/>
      <c r="N21"/>
      <c r="O21"/>
      <c r="P21"/>
      <c r="Q21"/>
      <c r="R21"/>
      <c r="S21"/>
      <c r="T21"/>
      <c r="U21"/>
      <c r="V21"/>
      <c r="W21"/>
      <c r="X21"/>
      <c r="Y21"/>
      <c r="Z21"/>
      <c r="AA21"/>
    </row>
    <row r="22" spans="1:27">
      <c r="A22" t="s">
        <v>100</v>
      </c>
      <c r="B22" s="15" t="s">
        <v>97</v>
      </c>
      <c r="C22" s="15" t="str">
        <f>HYPERLINK("01-组织级\01-组织财富库\01-标准过程文件库\02-软件工程规范\05-测试\测试用例规范(QCUBIC-SPI-VV-Tem-STD-TestExampleStd)V1.2-engl.docx", "engl")</f>
        <v>engl</v>
      </c>
      <c r="D22"/>
      <c r="E22"/>
      <c r="F22"/>
      <c r="G22"/>
      <c r="H22"/>
      <c r="I22" t="s">
        <v>101</v>
      </c>
      <c r="J22"/>
      <c r="K22"/>
      <c r="L22"/>
      <c r="M22"/>
      <c r="N22"/>
      <c r="O22"/>
      <c r="P22"/>
      <c r="Q22"/>
      <c r="R22"/>
      <c r="S22"/>
      <c r="T22"/>
      <c r="U22"/>
      <c r="V22"/>
      <c r="W22"/>
      <c r="X22"/>
      <c r="Y22"/>
      <c r="Z22"/>
      <c r="AA22"/>
    </row>
    <row r="23" spans="1:27">
      <c r="A23" t="s">
        <v>100</v>
      </c>
      <c r="B23" s="15" t="s">
        <v>97</v>
      </c>
      <c r="C23" s="15" t="str">
        <f>HYPERLINK("01-组织级\01-组织财富库\01-标准过程文件库\02-软件工程规范\06-试运行及验收\试运行及验收过程文件(QCUBIC-SPI-DA-Proc-Doc)V1.2-engl.docx", "engl")</f>
        <v>engl</v>
      </c>
      <c r="D23"/>
      <c r="E23"/>
      <c r="F23"/>
      <c r="G23"/>
      <c r="H23"/>
      <c r="I23" t="s">
        <v>101</v>
      </c>
      <c r="J23"/>
      <c r="K23"/>
      <c r="L23"/>
      <c r="M23"/>
      <c r="N23"/>
      <c r="O23"/>
      <c r="P23"/>
      <c r="Q23"/>
      <c r="R23"/>
      <c r="S23"/>
      <c r="T23"/>
      <c r="U23"/>
      <c r="V23"/>
      <c r="W23"/>
      <c r="X23"/>
      <c r="Y23"/>
      <c r="Z23"/>
      <c r="AA23"/>
    </row>
    <row r="24" spans="1:27">
      <c r="A24" t="s">
        <v>100</v>
      </c>
      <c r="B24" s="15" t="s">
        <v>97</v>
      </c>
      <c r="C24" s="15" t="str">
        <f>HYPERLINK("01-组织级\01-组织财富库\01-标准过程文件库\02-软件工程规范\05-测试\软件测试过程文件(QCUBIC-SPI-Tes-Proc-Doc)V1.2-engl.docx", "engl")</f>
        <v>engl</v>
      </c>
      <c r="D24"/>
      <c r="E24"/>
      <c r="F24"/>
      <c r="G24"/>
      <c r="H24"/>
      <c r="I24" t="s">
        <v>101</v>
      </c>
      <c r="J24"/>
      <c r="K24"/>
      <c r="L24"/>
      <c r="M24"/>
      <c r="N24"/>
      <c r="O24"/>
      <c r="P24"/>
      <c r="Q24"/>
      <c r="R24"/>
      <c r="S24"/>
      <c r="T24"/>
      <c r="U24"/>
      <c r="V24"/>
      <c r="W24"/>
      <c r="X24"/>
      <c r="Y24"/>
      <c r="Z24"/>
      <c r="AA24"/>
    </row>
    <row r="25" spans="1:27">
      <c r="A25"/>
      <c r="B25"/>
      <c r="C25"/>
      <c r="D25"/>
      <c r="E25"/>
      <c r="F25"/>
      <c r="G25"/>
      <c r="H25"/>
      <c r="I25"/>
      <c r="J25"/>
      <c r="K25"/>
      <c r="L25"/>
      <c r="M25"/>
      <c r="N25"/>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F7566E37-95E2-4C47-854D-7734A60AFF62}"/>
    <hyperlink ref="B17" r:id="rId2" xr:uid="{3830A48D-E06A-4E32-96EC-D23879ABB9A5}"/>
    <hyperlink ref="B18" r:id="rId3" xr:uid="{A9568384-367E-417D-9252-CCC36C517C10}"/>
    <hyperlink ref="B19" r:id="rId4" xr:uid="{385101F3-E69D-459A-A6AA-716865BCCA8F}"/>
    <hyperlink ref="B20" r:id="rId5" xr:uid="{7F595D5F-AB42-41B1-BD4E-D989ECC307D8}"/>
    <hyperlink ref="B21" r:id="rId6" xr:uid="{3BBD1F4C-9FD1-4773-B0E6-B5E6DDBC2A22}"/>
    <hyperlink ref="B22" r:id="rId7" xr:uid="{DA454FE2-F9AF-4478-8237-08B68AF1A9B2}"/>
    <hyperlink ref="B23" r:id="rId8" xr:uid="{865BB876-904D-482C-A2F1-E842C4FC109D}"/>
    <hyperlink ref="B24" r:id="rId9" xr:uid="{1FC7F414-9CDB-46C4-B245-710F4252C4E2}"/>
  </hyperlinks>
  <pageMargins left="0.7" right="0.7" top="0.75" bottom="0.75" header="0.3" footer="0.3"/>
  <pageSetup paperSize="9" orientation="portrait" horizontalDpi="4294967293" verticalDpi="0"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4FD96-891C-4CBF-8CDC-EFA7E7E2CC9E}">
  <sheetPr codeName="Sheet12">
    <tabColor rgb="FF802C19"/>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45.6640625" style="115" customWidth="1"/>
    <col min="2" max="4" width="7.88671875" style="115" customWidth="1"/>
    <col min="5" max="6" width="18.6640625" style="115" customWidth="1"/>
    <col min="7" max="10" width="18.6640625" style="133" customWidth="1"/>
    <col min="11" max="11" width="102.88671875" style="133" customWidth="1"/>
    <col min="12" max="12" width="3.6640625" style="133" customWidth="1"/>
    <col min="13" max="13" width="31.33203125" style="133" customWidth="1"/>
    <col min="14" max="14" width="78.33203125" style="115" customWidth="1"/>
    <col min="15" max="16384" width="8.6640625" style="115"/>
  </cols>
  <sheetData>
    <row r="1" spans="1:27" s="156" customFormat="1" ht="18">
      <c r="A1" s="102" t="s">
        <v>244</v>
      </c>
      <c r="B1" s="102"/>
      <c r="C1" s="102"/>
      <c r="D1" s="102"/>
      <c r="G1" s="157"/>
      <c r="H1" s="157"/>
      <c r="I1" s="157"/>
      <c r="J1" s="157"/>
      <c r="K1" s="157"/>
      <c r="L1" s="157"/>
      <c r="M1" s="157"/>
    </row>
    <row r="2" spans="1:27" s="104" customFormat="1">
      <c r="A2" s="107" t="s">
        <v>23</v>
      </c>
      <c r="B2" s="107"/>
      <c r="C2" s="107"/>
      <c r="D2" s="107"/>
      <c r="E2" s="104" t="s">
        <v>245</v>
      </c>
      <c r="G2" s="133"/>
      <c r="H2" s="133"/>
      <c r="I2" s="133"/>
      <c r="J2" s="133"/>
      <c r="K2" s="133"/>
      <c r="L2" s="133"/>
      <c r="M2" s="133"/>
    </row>
    <row r="3" spans="1:27" s="104" customFormat="1">
      <c r="A3" s="104" t="s">
        <v>25</v>
      </c>
      <c r="E3" s="104" t="s">
        <v>246</v>
      </c>
      <c r="G3" s="133"/>
      <c r="H3" s="133"/>
      <c r="I3" s="133"/>
      <c r="J3" s="133"/>
      <c r="K3" s="133"/>
      <c r="L3" s="133"/>
      <c r="M3" s="133"/>
    </row>
    <row r="4" spans="1:27" ht="14.4">
      <c r="A4" s="108"/>
      <c r="B4" s="108"/>
      <c r="C4" s="108"/>
      <c r="D4" s="108"/>
      <c r="E4" s="109" t="s">
        <v>27</v>
      </c>
      <c r="F4" s="110" t="s">
        <v>28</v>
      </c>
      <c r="G4" s="110"/>
      <c r="H4" s="111"/>
      <c r="I4" s="110"/>
      <c r="J4" s="113" t="s">
        <v>29</v>
      </c>
      <c r="K4" s="104"/>
      <c r="L4" s="104"/>
      <c r="M4" s="104"/>
      <c r="N4" s="114"/>
    </row>
    <row r="5" spans="1:27" s="127" customFormat="1" ht="14.4">
      <c r="A5" s="115"/>
      <c r="B5" s="115"/>
      <c r="C5" s="115"/>
      <c r="D5" s="115"/>
      <c r="E5" s="116" t="s">
        <v>30</v>
      </c>
      <c r="F5" s="117" t="s">
        <v>31</v>
      </c>
      <c r="G5" s="117"/>
      <c r="H5" s="111"/>
      <c r="I5" s="117"/>
      <c r="J5" s="113" t="s">
        <v>32</v>
      </c>
      <c r="K5" s="104"/>
      <c r="L5" s="104"/>
      <c r="M5" s="104"/>
      <c r="N5" s="114"/>
    </row>
    <row r="6" spans="1:27" s="127" customFormat="1">
      <c r="A6" s="132"/>
      <c r="B6" s="132"/>
      <c r="C6" s="132"/>
      <c r="D6" s="132"/>
      <c r="E6" s="3" t="s">
        <v>247</v>
      </c>
      <c r="F6" s="87" t="s">
        <v>248</v>
      </c>
      <c r="G6" s="87" t="s">
        <v>249</v>
      </c>
      <c r="H6" s="87" t="s">
        <v>250</v>
      </c>
      <c r="I6" s="87" t="s">
        <v>251</v>
      </c>
      <c r="J6" s="88" t="s">
        <v>252</v>
      </c>
      <c r="K6" s="90"/>
      <c r="L6" s="90"/>
      <c r="M6" s="90"/>
    </row>
    <row r="7" spans="1:27" s="127" customFormat="1" ht="123" customHeight="1">
      <c r="A7" s="121" t="s">
        <v>174</v>
      </c>
      <c r="B7" s="121"/>
      <c r="C7" s="121"/>
      <c r="D7" s="121"/>
      <c r="E7" s="94" t="s">
        <v>253</v>
      </c>
      <c r="F7" s="94" t="s">
        <v>254</v>
      </c>
      <c r="G7" s="94" t="s">
        <v>255</v>
      </c>
      <c r="H7" s="94" t="s">
        <v>256</v>
      </c>
      <c r="I7" s="94" t="s">
        <v>257</v>
      </c>
      <c r="J7" s="94" t="s">
        <v>258</v>
      </c>
      <c r="K7" s="90"/>
      <c r="L7" s="90"/>
      <c r="M7" s="90"/>
    </row>
    <row r="8" spans="1:27" s="127" customFormat="1" ht="83.4" customHeight="1">
      <c r="A8" s="132" t="s">
        <v>54</v>
      </c>
      <c r="B8" s="132"/>
      <c r="C8" s="132"/>
      <c r="D8" s="132"/>
      <c r="E8" s="95" t="s">
        <v>259</v>
      </c>
      <c r="F8" s="95" t="s">
        <v>260</v>
      </c>
      <c r="G8" s="95" t="s">
        <v>261</v>
      </c>
      <c r="H8" s="95" t="s">
        <v>262</v>
      </c>
      <c r="I8" s="95" t="s">
        <v>263</v>
      </c>
      <c r="J8" s="95" t="s">
        <v>264</v>
      </c>
      <c r="K8" s="96"/>
      <c r="L8" s="96"/>
      <c r="M8" s="96"/>
    </row>
    <row r="9" spans="1:27" s="127" customFormat="1" ht="180">
      <c r="A9" s="132" t="s">
        <v>65</v>
      </c>
      <c r="B9" s="132"/>
      <c r="C9" s="132"/>
      <c r="D9" s="132"/>
      <c r="E9" s="95" t="s">
        <v>265</v>
      </c>
      <c r="F9" s="95" t="s">
        <v>266</v>
      </c>
      <c r="G9" s="95" t="s">
        <v>267</v>
      </c>
      <c r="H9" s="95" t="s">
        <v>268</v>
      </c>
      <c r="I9" s="95" t="s">
        <v>269</v>
      </c>
      <c r="J9" s="95" t="s">
        <v>270</v>
      </c>
      <c r="K9" s="96"/>
      <c r="L9" s="96"/>
      <c r="M9" s="96"/>
    </row>
    <row r="10" spans="1:27" s="127" customFormat="1" ht="207">
      <c r="A10" s="119" t="s">
        <v>76</v>
      </c>
      <c r="B10" s="119"/>
      <c r="C10" s="119"/>
      <c r="D10" s="119"/>
      <c r="E10" s="99" t="s">
        <v>271</v>
      </c>
      <c r="F10" s="99" t="s">
        <v>272</v>
      </c>
      <c r="G10" s="99" t="s">
        <v>273</v>
      </c>
      <c r="H10" s="99" t="s">
        <v>274</v>
      </c>
      <c r="I10" s="99" t="s">
        <v>275</v>
      </c>
      <c r="J10" s="99" t="s">
        <v>276</v>
      </c>
      <c r="K10" s="149"/>
      <c r="L10" s="149"/>
      <c r="M10" s="149"/>
    </row>
    <row r="11" spans="1:27" s="127" customFormat="1" ht="134.4">
      <c r="A11" s="158" t="s">
        <v>86</v>
      </c>
      <c r="B11" s="158"/>
      <c r="C11" s="158"/>
      <c r="D11" s="158"/>
      <c r="E11" s="100"/>
      <c r="F11" s="159" t="s">
        <v>277</v>
      </c>
      <c r="G11" s="99" t="s">
        <v>278</v>
      </c>
      <c r="H11" s="99" t="s">
        <v>279</v>
      </c>
      <c r="I11" s="160" t="s">
        <v>280</v>
      </c>
      <c r="J11" s="99" t="s">
        <v>281</v>
      </c>
      <c r="K11" s="149"/>
      <c r="L11" s="149"/>
      <c r="M11" s="149"/>
      <c r="N11" s="133"/>
      <c r="O11" s="133"/>
      <c r="P11" s="133"/>
      <c r="Q11" s="133"/>
    </row>
    <row r="12" spans="1:27" s="114" customFormat="1" ht="14.4">
      <c r="A12" s="115"/>
      <c r="B12" s="115"/>
      <c r="C12" s="115"/>
      <c r="D12" s="115"/>
      <c r="E12" s="115"/>
      <c r="F12" s="115"/>
      <c r="G12" s="133"/>
      <c r="H12" s="133"/>
      <c r="I12" s="133"/>
      <c r="J12" s="133"/>
      <c r="K12" s="133"/>
      <c r="L12" s="133"/>
      <c r="M12" s="133"/>
    </row>
    <row r="13" spans="1:27" s="114" customFormat="1" ht="14.4">
      <c r="A13" s="115"/>
      <c r="B13" s="115"/>
      <c r="C13" s="115"/>
      <c r="D13" s="115"/>
      <c r="E13" s="115"/>
      <c r="F13" s="115"/>
      <c r="G13" s="133"/>
      <c r="H13" s="133"/>
      <c r="I13" s="133"/>
      <c r="J13" s="133"/>
      <c r="K13" s="133"/>
      <c r="L13" s="133"/>
      <c r="M13" s="133"/>
    </row>
    <row r="14" spans="1:27" s="114" customFormat="1" ht="14.4">
      <c r="A14" s="115"/>
      <c r="B14" s="115"/>
      <c r="C14" s="115"/>
      <c r="D14" s="115"/>
      <c r="E14" s="115"/>
      <c r="F14" s="115"/>
      <c r="G14" s="133"/>
      <c r="H14" s="133"/>
      <c r="I14" s="133"/>
      <c r="J14" s="133"/>
      <c r="K14" s="133"/>
      <c r="L14" s="133"/>
      <c r="M14" s="133"/>
    </row>
    <row r="15" spans="1:27" customFormat="1" ht="14.4">
      <c r="A15" t="s">
        <v>96</v>
      </c>
      <c r="B15" t="s">
        <v>97</v>
      </c>
      <c r="C15" t="s">
        <v>98</v>
      </c>
      <c r="D15" s="309" t="s">
        <v>99</v>
      </c>
      <c r="E15" s="14" t="s">
        <v>247</v>
      </c>
      <c r="F15" s="14" t="s">
        <v>248</v>
      </c>
      <c r="G15" s="14" t="s">
        <v>249</v>
      </c>
      <c r="H15" s="14" t="s">
        <v>250</v>
      </c>
      <c r="I15" s="14" t="s">
        <v>251</v>
      </c>
      <c r="J15" s="14" t="s">
        <v>252</v>
      </c>
    </row>
    <row r="16" spans="1:27" s="127" customFormat="1" ht="14.4">
      <c r="A16" t="s">
        <v>100</v>
      </c>
      <c r="B16" s="15" t="s">
        <v>97</v>
      </c>
      <c r="C16" s="15" t="str">
        <f>HYPERLINK("01-组织级\02-组织工作库\03-PQA活动库\组织级的质量保证计划(QCUBIC-SPI-PQA-OQAPlan)V1.4-engl.xlsx", "engl")</f>
        <v>engl</v>
      </c>
      <c r="D16"/>
      <c r="E16" t="s">
        <v>101</v>
      </c>
      <c r="F16" t="s">
        <v>101</v>
      </c>
      <c r="G16" t="s">
        <v>101</v>
      </c>
      <c r="H16" t="s">
        <v>101</v>
      </c>
      <c r="I16" t="s">
        <v>101</v>
      </c>
      <c r="J16" t="s">
        <v>101</v>
      </c>
      <c r="K16"/>
      <c r="L16"/>
      <c r="M16"/>
      <c r="N16"/>
      <c r="O16"/>
      <c r="P16"/>
      <c r="Q16"/>
      <c r="R16"/>
      <c r="S16"/>
      <c r="T16"/>
      <c r="U16"/>
      <c r="V16"/>
      <c r="W16"/>
      <c r="X16"/>
      <c r="Y16"/>
      <c r="Z16"/>
      <c r="AA16"/>
    </row>
    <row r="17" spans="1:27" s="127" customFormat="1" ht="14.4">
      <c r="A17" t="s">
        <v>100</v>
      </c>
      <c r="B17" s="15" t="s">
        <v>97</v>
      </c>
      <c r="C17" s="15" t="str">
        <f>HYPERLINK("01-组织级\02-组织工作库\03-PQA活动库\组织级不符合项管理表(QCUBIC-SPI-PQA-NCList)V1.2-engl.xlsx", "engl")</f>
        <v>engl</v>
      </c>
      <c r="D17"/>
      <c r="E17" t="s">
        <v>101</v>
      </c>
      <c r="F17" t="s">
        <v>101</v>
      </c>
      <c r="G17"/>
      <c r="H17" t="s">
        <v>101</v>
      </c>
      <c r="I17" t="s">
        <v>101</v>
      </c>
      <c r="J17"/>
      <c r="K17"/>
      <c r="L17"/>
      <c r="M17"/>
      <c r="N17"/>
      <c r="O17"/>
      <c r="P17"/>
      <c r="Q17"/>
      <c r="R17"/>
      <c r="S17"/>
      <c r="T17"/>
      <c r="U17"/>
      <c r="V17"/>
      <c r="W17"/>
      <c r="X17"/>
      <c r="Y17"/>
      <c r="Z17"/>
      <c r="AA17"/>
    </row>
    <row r="18" spans="1:27" s="127" customFormat="1" ht="14.4">
      <c r="A18" t="s">
        <v>100</v>
      </c>
      <c r="B18" s="15" t="s">
        <v>97</v>
      </c>
      <c r="C18" s="15" t="str">
        <f>HYPERLINK("01-组织级\02-组织工作库\03-PQA活动库\组织级工作产品和过程检查表(QCUBIC-ORG-PQA-Checklist_20200627)V1.0-engl.xlsx", "engl")</f>
        <v>engl</v>
      </c>
      <c r="D18"/>
      <c r="E18"/>
      <c r="F18"/>
      <c r="G18" t="s">
        <v>101</v>
      </c>
      <c r="H18"/>
      <c r="I18"/>
      <c r="J18"/>
      <c r="K18"/>
      <c r="L18"/>
      <c r="M18"/>
      <c r="N18"/>
      <c r="O18"/>
      <c r="P18"/>
      <c r="Q18"/>
      <c r="R18"/>
      <c r="S18"/>
      <c r="T18"/>
      <c r="U18"/>
      <c r="V18"/>
      <c r="W18"/>
      <c r="X18"/>
      <c r="Y18"/>
      <c r="Z18"/>
      <c r="AA18"/>
    </row>
    <row r="19" spans="1:27" s="127" customFormat="1" ht="14.4">
      <c r="A19" t="s">
        <v>100</v>
      </c>
      <c r="B19" s="15" t="s">
        <v>97</v>
      </c>
      <c r="C19" s="15" t="str">
        <f>HYPERLINK("01-组织级\02-组织工作库\03-PQA活动库\组织质量保证报告\质量保证报告(QCUBIC-SPI-PQA-Report_20200627)V1.0-engl.xlsx", "engl")</f>
        <v>engl</v>
      </c>
      <c r="D19"/>
      <c r="E19"/>
      <c r="F19"/>
      <c r="G19"/>
      <c r="H19"/>
      <c r="I19" t="s">
        <v>101</v>
      </c>
      <c r="J19"/>
      <c r="K19"/>
      <c r="L19"/>
      <c r="M19"/>
      <c r="N19"/>
      <c r="O19"/>
      <c r="P19"/>
      <c r="Q19"/>
      <c r="R19"/>
      <c r="S19"/>
      <c r="T19"/>
      <c r="U19"/>
      <c r="V19"/>
      <c r="W19"/>
      <c r="X19"/>
      <c r="Y19"/>
      <c r="Z19"/>
      <c r="AA19"/>
    </row>
    <row r="20" spans="1:27" s="127" customFormat="1" ht="14.4">
      <c r="A20" t="s">
        <v>100</v>
      </c>
      <c r="B20" s="15" t="s">
        <v>97</v>
      </c>
      <c r="C20" s="15" t="str">
        <f>HYPERLINK("01-组织级\02-组织工作库\02-EPG活动库\07-EPG跟踪\05-过程改进建议表\过程改进建议表(QCUBIC-SPI-PIM-SPIAdvic)V1.2-engl.xlsx", "engl")</f>
        <v>engl</v>
      </c>
      <c r="D20"/>
      <c r="E20"/>
      <c r="F20"/>
      <c r="G20"/>
      <c r="H20"/>
      <c r="I20"/>
      <c r="J20" t="s">
        <v>101</v>
      </c>
      <c r="K20"/>
      <c r="L20"/>
      <c r="M20"/>
      <c r="N20"/>
      <c r="O20"/>
      <c r="P20"/>
      <c r="Q20"/>
      <c r="R20"/>
      <c r="S20"/>
      <c r="T20"/>
      <c r="U20"/>
      <c r="V20"/>
      <c r="W20"/>
      <c r="X20"/>
      <c r="Y20"/>
      <c r="Z20"/>
      <c r="AA20"/>
    </row>
    <row r="21" spans="1:27" s="127" customFormat="1" ht="14.4">
      <c r="A21"/>
      <c r="B21"/>
      <c r="C21"/>
      <c r="D21"/>
      <c r="E21"/>
      <c r="F21"/>
      <c r="G21"/>
      <c r="H21"/>
      <c r="I21"/>
      <c r="J21"/>
      <c r="K21"/>
      <c r="L21"/>
      <c r="M21"/>
      <c r="N21"/>
      <c r="O21"/>
      <c r="P21"/>
      <c r="Q21"/>
      <c r="R21"/>
      <c r="S21"/>
      <c r="T21"/>
      <c r="U21"/>
      <c r="V21"/>
      <c r="W21"/>
      <c r="X21"/>
      <c r="Y21"/>
      <c r="Z21"/>
      <c r="AA21"/>
    </row>
    <row r="22" spans="1:27" s="127" customFormat="1" ht="14.4">
      <c r="A22"/>
      <c r="B22"/>
      <c r="C22"/>
      <c r="D22"/>
      <c r="E22"/>
      <c r="F22"/>
      <c r="G22"/>
      <c r="H22"/>
      <c r="I22"/>
      <c r="J22"/>
      <c r="K22"/>
      <c r="L22"/>
      <c r="M22"/>
      <c r="N22"/>
      <c r="O22"/>
      <c r="P22"/>
      <c r="Q22"/>
      <c r="R22"/>
      <c r="S22"/>
      <c r="T22"/>
      <c r="U22"/>
      <c r="V22"/>
      <c r="W22"/>
      <c r="X22"/>
      <c r="Y22"/>
      <c r="Z22"/>
      <c r="AA22"/>
    </row>
    <row r="23" spans="1:27" s="127" customFormat="1" ht="14.4">
      <c r="A23"/>
      <c r="B23"/>
      <c r="C23"/>
      <c r="D23"/>
      <c r="E23"/>
      <c r="F23"/>
      <c r="G23"/>
      <c r="H23"/>
      <c r="I23"/>
      <c r="J23"/>
      <c r="K23"/>
      <c r="L23"/>
      <c r="M23"/>
      <c r="N23"/>
      <c r="O23"/>
      <c r="P23"/>
      <c r="Q23"/>
      <c r="R23"/>
      <c r="S23"/>
      <c r="T23"/>
      <c r="U23"/>
      <c r="V23"/>
      <c r="W23"/>
      <c r="X23"/>
      <c r="Y23"/>
      <c r="Z23"/>
      <c r="AA23"/>
    </row>
    <row r="24" spans="1:27" s="137" customFormat="1" ht="14.4">
      <c r="A24"/>
      <c r="B24"/>
      <c r="C24"/>
      <c r="D24"/>
      <c r="E24"/>
      <c r="F24"/>
      <c r="G24"/>
      <c r="H24"/>
      <c r="I24"/>
      <c r="J24"/>
      <c r="K24"/>
      <c r="L24"/>
      <c r="M24"/>
      <c r="N24"/>
      <c r="O24"/>
      <c r="P24"/>
      <c r="Q24"/>
      <c r="R24"/>
      <c r="S24"/>
      <c r="T24"/>
      <c r="U24"/>
      <c r="V24"/>
      <c r="W24"/>
      <c r="X24"/>
      <c r="Y24"/>
      <c r="Z24"/>
      <c r="AA24"/>
    </row>
    <row r="25" spans="1:27" s="137" customFormat="1" ht="14.4">
      <c r="A25"/>
      <c r="B25"/>
      <c r="C25"/>
      <c r="D25"/>
      <c r="E25"/>
      <c r="F25"/>
      <c r="G25"/>
      <c r="H25"/>
      <c r="I25"/>
      <c r="J25"/>
      <c r="K25"/>
      <c r="L25"/>
      <c r="M25"/>
      <c r="N25"/>
      <c r="O25"/>
      <c r="P25"/>
      <c r="Q25"/>
      <c r="R25"/>
      <c r="S25"/>
      <c r="T25"/>
      <c r="U25"/>
      <c r="V25"/>
      <c r="W25"/>
      <c r="X25"/>
      <c r="Y25"/>
      <c r="Z25"/>
      <c r="AA25"/>
    </row>
    <row r="26" spans="1:27" s="137" customFormat="1" ht="14.4">
      <c r="A26"/>
      <c r="B26"/>
      <c r="C26"/>
      <c r="D26"/>
      <c r="E26"/>
      <c r="F26"/>
      <c r="G26"/>
      <c r="H26"/>
      <c r="I26"/>
      <c r="J26"/>
      <c r="K26"/>
      <c r="L26"/>
      <c r="M26"/>
      <c r="N26"/>
      <c r="O26"/>
      <c r="P26"/>
      <c r="Q26"/>
      <c r="R26"/>
      <c r="S26"/>
      <c r="T26"/>
      <c r="U26"/>
      <c r="V26"/>
      <c r="W26"/>
      <c r="X26"/>
      <c r="Y26"/>
      <c r="Z26"/>
      <c r="AA26"/>
    </row>
    <row r="27" spans="1:27" s="137" customFormat="1" ht="14.4">
      <c r="A27"/>
      <c r="B27"/>
      <c r="C27"/>
      <c r="D27"/>
      <c r="E27"/>
      <c r="F27"/>
      <c r="G27"/>
      <c r="H27"/>
      <c r="I27"/>
      <c r="J27"/>
      <c r="K27"/>
      <c r="L27"/>
      <c r="M27"/>
      <c r="N27"/>
      <c r="O27"/>
      <c r="P27"/>
      <c r="Q27"/>
      <c r="R27"/>
      <c r="S27"/>
      <c r="T27"/>
      <c r="U27"/>
      <c r="V27"/>
      <c r="W27"/>
      <c r="X27"/>
      <c r="Y27"/>
      <c r="Z27"/>
      <c r="AA27"/>
    </row>
    <row r="28" spans="1:27" s="137" customFormat="1" ht="14.4">
      <c r="A28"/>
      <c r="B28"/>
      <c r="C28"/>
      <c r="D28"/>
      <c r="E28"/>
      <c r="F28"/>
      <c r="G28"/>
      <c r="H28"/>
      <c r="I28"/>
      <c r="J28"/>
      <c r="K28"/>
      <c r="L28"/>
      <c r="M28"/>
      <c r="N28"/>
      <c r="O28"/>
      <c r="P28"/>
      <c r="Q28"/>
      <c r="R28"/>
      <c r="S28"/>
      <c r="T28"/>
      <c r="U28"/>
      <c r="V28"/>
      <c r="W28"/>
      <c r="X28"/>
      <c r="Y28"/>
      <c r="Z28"/>
      <c r="AA28"/>
    </row>
    <row r="29" spans="1:27" s="137" customFormat="1" ht="14.4">
      <c r="A29"/>
      <c r="B29"/>
      <c r="C29"/>
      <c r="D29"/>
      <c r="E29"/>
      <c r="F29"/>
      <c r="G29"/>
      <c r="H29"/>
      <c r="I29"/>
      <c r="J29"/>
      <c r="K29"/>
      <c r="L29"/>
      <c r="M29"/>
      <c r="N29"/>
      <c r="O29"/>
      <c r="P29"/>
      <c r="Q29"/>
      <c r="R29"/>
      <c r="S29"/>
      <c r="T29"/>
      <c r="U29"/>
      <c r="V29"/>
      <c r="W29"/>
      <c r="X29"/>
      <c r="Y29"/>
      <c r="Z29"/>
      <c r="AA29"/>
    </row>
    <row r="30" spans="1:27" s="137" customFormat="1" ht="14.4">
      <c r="A30"/>
      <c r="B30"/>
      <c r="C30"/>
      <c r="D30"/>
      <c r="E30"/>
      <c r="F30"/>
      <c r="G30"/>
      <c r="H30"/>
      <c r="I30"/>
      <c r="J30"/>
      <c r="K30"/>
      <c r="L30"/>
      <c r="M30"/>
      <c r="N30"/>
      <c r="O30"/>
      <c r="P30"/>
      <c r="Q30"/>
      <c r="R30"/>
      <c r="S30"/>
      <c r="T30"/>
      <c r="U30"/>
      <c r="V30"/>
      <c r="W30"/>
      <c r="X30"/>
      <c r="Y30"/>
      <c r="Z30"/>
      <c r="AA30"/>
    </row>
    <row r="31" spans="1:27" s="137" customFormat="1" ht="14.4">
      <c r="A31"/>
      <c r="B31"/>
      <c r="C31"/>
      <c r="D31"/>
      <c r="E31"/>
      <c r="F31"/>
      <c r="G31"/>
      <c r="H31"/>
      <c r="I31"/>
      <c r="J31"/>
      <c r="K31"/>
      <c r="L31"/>
      <c r="M31"/>
      <c r="N31"/>
      <c r="O31"/>
      <c r="P31"/>
      <c r="Q31"/>
      <c r="R31"/>
      <c r="S31"/>
      <c r="T31"/>
      <c r="U31"/>
      <c r="V31"/>
      <c r="W31"/>
      <c r="X31"/>
      <c r="Y31"/>
      <c r="Z31"/>
      <c r="AA31"/>
    </row>
    <row r="32" spans="1:27" s="137" customFormat="1" ht="14.4">
      <c r="A32"/>
      <c r="B32"/>
      <c r="C32"/>
      <c r="D32"/>
      <c r="E32"/>
      <c r="F32"/>
      <c r="G32"/>
      <c r="H32"/>
      <c r="I32"/>
      <c r="J32"/>
      <c r="K32"/>
      <c r="L32"/>
      <c r="M32"/>
      <c r="N32"/>
      <c r="O32"/>
      <c r="P32"/>
      <c r="Q32"/>
      <c r="R32"/>
      <c r="S32"/>
      <c r="T32"/>
      <c r="U32"/>
      <c r="V32"/>
      <c r="W32"/>
      <c r="X32"/>
      <c r="Y32"/>
      <c r="Z32"/>
      <c r="AA32"/>
    </row>
    <row r="33" spans="1:27" s="137" customFormat="1" ht="14.4">
      <c r="A33"/>
      <c r="B33"/>
      <c r="C33"/>
      <c r="D33"/>
      <c r="E33"/>
      <c r="F33"/>
      <c r="G33"/>
      <c r="H33"/>
      <c r="I33"/>
      <c r="J33"/>
      <c r="K33"/>
      <c r="L33"/>
      <c r="M33"/>
      <c r="N33"/>
      <c r="O33"/>
      <c r="P33"/>
      <c r="Q33"/>
      <c r="R33"/>
      <c r="S33"/>
      <c r="T33"/>
      <c r="U33"/>
      <c r="V33"/>
      <c r="W33"/>
      <c r="X33"/>
      <c r="Y33"/>
      <c r="Z33"/>
      <c r="AA33"/>
    </row>
    <row r="34" spans="1:27" s="137" customFormat="1" ht="14.4">
      <c r="A34"/>
      <c r="B34"/>
      <c r="C34"/>
      <c r="D34"/>
      <c r="E34"/>
      <c r="F34"/>
      <c r="G34"/>
      <c r="H34"/>
      <c r="I34"/>
      <c r="J34"/>
      <c r="K34"/>
      <c r="L34"/>
      <c r="M34"/>
      <c r="N34"/>
      <c r="O34"/>
      <c r="P34"/>
      <c r="Q34"/>
      <c r="R34"/>
      <c r="S34"/>
      <c r="T34"/>
      <c r="U34"/>
      <c r="V34"/>
      <c r="W34"/>
      <c r="X34"/>
      <c r="Y34"/>
      <c r="Z34"/>
      <c r="AA34"/>
    </row>
    <row r="35" spans="1:27" s="137" customFormat="1" ht="14.4">
      <c r="A35"/>
      <c r="B35"/>
      <c r="C35"/>
      <c r="D35"/>
      <c r="E35"/>
      <c r="F35"/>
      <c r="G35"/>
      <c r="H35"/>
      <c r="I35"/>
      <c r="J35"/>
      <c r="K35"/>
      <c r="L35"/>
      <c r="M35"/>
      <c r="N35"/>
      <c r="O35"/>
      <c r="P35"/>
      <c r="Q35"/>
      <c r="R35"/>
      <c r="S35"/>
      <c r="T35"/>
      <c r="U35"/>
      <c r="V35"/>
      <c r="W35"/>
      <c r="X35"/>
      <c r="Y35"/>
      <c r="Z35"/>
      <c r="AA35"/>
    </row>
    <row r="36" spans="1:27" s="137" customFormat="1" ht="14.4">
      <c r="A36"/>
      <c r="B36"/>
      <c r="C36"/>
      <c r="D36"/>
      <c r="E36"/>
      <c r="F36"/>
      <c r="G36"/>
      <c r="H36"/>
      <c r="I36"/>
      <c r="J36"/>
      <c r="K36"/>
      <c r="L36"/>
      <c r="M36"/>
      <c r="N36"/>
      <c r="O36"/>
      <c r="P36"/>
      <c r="Q36"/>
      <c r="R36"/>
      <c r="S36"/>
      <c r="T36"/>
      <c r="U36"/>
      <c r="V36"/>
      <c r="W36"/>
      <c r="X36"/>
      <c r="Y36"/>
      <c r="Z36"/>
      <c r="AA36"/>
    </row>
    <row r="37" spans="1:27" s="137" customFormat="1" ht="14.4">
      <c r="A37"/>
      <c r="B37"/>
      <c r="C37"/>
      <c r="D37"/>
      <c r="E37"/>
      <c r="F37"/>
      <c r="G37"/>
      <c r="H37"/>
      <c r="I37"/>
      <c r="J37"/>
      <c r="K37"/>
      <c r="L37"/>
      <c r="M37"/>
      <c r="N37"/>
      <c r="O37"/>
      <c r="P37"/>
      <c r="Q37"/>
      <c r="R37"/>
      <c r="S37"/>
      <c r="T37"/>
      <c r="U37"/>
      <c r="V37"/>
      <c r="W37"/>
      <c r="X37"/>
      <c r="Y37"/>
      <c r="Z37"/>
      <c r="AA37"/>
    </row>
    <row r="38" spans="1:27" s="137" customFormat="1" ht="14.4">
      <c r="A38"/>
      <c r="B38"/>
      <c r="C38"/>
      <c r="D38"/>
      <c r="E38"/>
      <c r="F38"/>
      <c r="G38"/>
      <c r="H38"/>
      <c r="I38"/>
      <c r="J38"/>
      <c r="K38"/>
      <c r="L38"/>
      <c r="M38"/>
      <c r="N38"/>
      <c r="O38"/>
      <c r="P38"/>
      <c r="Q38"/>
      <c r="R38"/>
      <c r="S38"/>
      <c r="T38"/>
      <c r="U38"/>
      <c r="V38"/>
      <c r="W38"/>
      <c r="X38"/>
      <c r="Y38"/>
      <c r="Z38"/>
      <c r="AA38"/>
    </row>
    <row r="39" spans="1:27" s="137" customFormat="1" ht="14.4">
      <c r="A39"/>
      <c r="B39"/>
      <c r="C39"/>
      <c r="D39"/>
      <c r="E39"/>
      <c r="F39"/>
      <c r="G39"/>
      <c r="H39"/>
      <c r="I39"/>
      <c r="J39"/>
      <c r="K39"/>
      <c r="L39"/>
      <c r="M39"/>
      <c r="N39"/>
      <c r="O39"/>
      <c r="P39"/>
      <c r="Q39"/>
      <c r="R39"/>
      <c r="S39"/>
      <c r="T39"/>
      <c r="U39"/>
      <c r="V39"/>
      <c r="W39"/>
      <c r="X39"/>
      <c r="Y39"/>
      <c r="Z39"/>
      <c r="AA39"/>
    </row>
    <row r="40" spans="1:27" s="137" customFormat="1" ht="14.4">
      <c r="A40"/>
      <c r="B40"/>
      <c r="C40"/>
      <c r="D40"/>
      <c r="E40"/>
      <c r="F40"/>
      <c r="G40"/>
      <c r="H40"/>
      <c r="I40"/>
      <c r="J40"/>
      <c r="K40"/>
      <c r="L40"/>
      <c r="M40"/>
      <c r="N40"/>
      <c r="O40"/>
      <c r="P40"/>
      <c r="Q40"/>
      <c r="R40"/>
      <c r="S40"/>
      <c r="T40"/>
      <c r="U40"/>
      <c r="V40"/>
      <c r="W40"/>
      <c r="X40"/>
      <c r="Y40"/>
      <c r="Z40"/>
      <c r="AA40"/>
    </row>
    <row r="41" spans="1:27" s="137" customFormat="1" ht="14.4">
      <c r="A41"/>
      <c r="B41"/>
      <c r="C41"/>
      <c r="D41"/>
      <c r="E41"/>
      <c r="F41"/>
      <c r="G41"/>
      <c r="H41"/>
      <c r="I41"/>
      <c r="J41"/>
      <c r="K41"/>
      <c r="L41"/>
      <c r="M41"/>
      <c r="N41"/>
      <c r="O41"/>
      <c r="P41"/>
      <c r="Q41"/>
      <c r="R41"/>
      <c r="S41"/>
      <c r="T41"/>
      <c r="U41"/>
      <c r="V41"/>
      <c r="W41"/>
      <c r="X41"/>
      <c r="Y41"/>
      <c r="Z41"/>
      <c r="AA41"/>
    </row>
    <row r="42" spans="1:27" s="137" customFormat="1" ht="14.4">
      <c r="A42"/>
      <c r="B42"/>
      <c r="C42"/>
      <c r="D42"/>
      <c r="E42"/>
      <c r="F42"/>
      <c r="G42"/>
      <c r="H42"/>
      <c r="I42"/>
      <c r="J42"/>
      <c r="K42"/>
      <c r="L42"/>
      <c r="M42"/>
      <c r="N42"/>
      <c r="O42"/>
      <c r="P42"/>
      <c r="Q42"/>
      <c r="R42"/>
      <c r="S42"/>
      <c r="T42"/>
      <c r="U42"/>
      <c r="V42"/>
      <c r="W42"/>
      <c r="X42"/>
      <c r="Y42"/>
      <c r="Z42"/>
      <c r="AA42"/>
    </row>
    <row r="43" spans="1:27" s="137" customFormat="1" ht="14.4">
      <c r="A43"/>
      <c r="B43"/>
      <c r="C43"/>
      <c r="D43"/>
      <c r="E43"/>
      <c r="F43"/>
      <c r="G43"/>
      <c r="H43"/>
      <c r="I43"/>
      <c r="J43"/>
      <c r="K43"/>
      <c r="L43"/>
      <c r="M43"/>
      <c r="N43"/>
      <c r="O43"/>
      <c r="P43"/>
      <c r="Q43"/>
      <c r="R43"/>
      <c r="S43"/>
      <c r="T43"/>
      <c r="U43"/>
      <c r="V43"/>
      <c r="W43"/>
      <c r="X43"/>
      <c r="Y43"/>
      <c r="Z43"/>
      <c r="AA43"/>
    </row>
    <row r="44" spans="1:27" s="137" customFormat="1"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80566F14-6DE8-4BE1-8C93-731DDF7A8039}"/>
    <hyperlink ref="B17" r:id="rId2" xr:uid="{92603AC0-A011-4947-B0EE-63E162CF946C}"/>
    <hyperlink ref="B18" r:id="rId3" xr:uid="{133533DB-2CF2-4D78-A426-6CE68DAF5C5E}"/>
    <hyperlink ref="B19" r:id="rId4" xr:uid="{B2969D20-DDD0-4431-B8A5-FCE2BF6B0768}"/>
    <hyperlink ref="B20" r:id="rId5" xr:uid="{E09CAB9F-43CD-4784-9206-10F805EAB645}"/>
  </hyperlinks>
  <pageMargins left="0.69930555555555596" right="0.69930555555555596"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DF83E-BB14-4FD7-B5AA-38B6FDD36307}">
  <sheetPr codeName="Sheet13">
    <tabColor rgb="FF802C19"/>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4.4"/>
  <cols>
    <col min="1" max="1" width="33.109375" style="106" customWidth="1"/>
    <col min="2" max="4" width="7.88671875" style="106" customWidth="1"/>
    <col min="5" max="18" width="15.6640625" style="114" customWidth="1"/>
    <col min="19" max="19" width="83.109375" style="114" customWidth="1"/>
    <col min="20" max="20" width="3.6640625" style="114" customWidth="1"/>
    <col min="21" max="21" width="45.6640625" style="114" customWidth="1"/>
    <col min="22" max="22" width="121.44140625" style="114" customWidth="1"/>
    <col min="23" max="24" width="15.6640625" style="114" customWidth="1"/>
    <col min="25" max="25" width="20" style="114" bestFit="1" customWidth="1"/>
    <col min="26" max="16384" width="8.6640625" style="114"/>
  </cols>
  <sheetData>
    <row r="1" spans="1:27" s="165" customFormat="1" ht="15.6">
      <c r="A1" s="161" t="s">
        <v>282</v>
      </c>
      <c r="B1" s="161"/>
      <c r="C1" s="161"/>
      <c r="D1" s="161"/>
      <c r="E1" s="162"/>
      <c r="F1" s="162"/>
      <c r="G1" s="163"/>
      <c r="H1" s="163"/>
      <c r="I1" s="163"/>
      <c r="J1" s="163"/>
      <c r="K1" s="163"/>
      <c r="L1" s="163"/>
      <c r="M1" s="163"/>
      <c r="N1" s="163"/>
      <c r="O1" s="163"/>
      <c r="P1" s="163"/>
      <c r="Q1" s="163"/>
      <c r="R1" s="164"/>
      <c r="S1" s="164"/>
      <c r="T1" s="164"/>
      <c r="U1" s="164"/>
    </row>
    <row r="2" spans="1:27">
      <c r="A2" s="107" t="s">
        <v>23</v>
      </c>
      <c r="B2" s="107"/>
      <c r="C2" s="107"/>
      <c r="D2" s="107"/>
      <c r="E2" s="104" t="s">
        <v>283</v>
      </c>
      <c r="F2" s="104"/>
      <c r="G2" s="104"/>
      <c r="H2" s="105"/>
      <c r="I2" s="105"/>
      <c r="J2" s="105"/>
      <c r="K2" s="105"/>
      <c r="L2" s="105"/>
      <c r="M2" s="105"/>
      <c r="N2" s="105"/>
      <c r="O2" s="105"/>
      <c r="P2" s="105"/>
      <c r="Q2" s="105"/>
      <c r="R2" s="107"/>
      <c r="S2" s="107"/>
      <c r="T2" s="107"/>
      <c r="U2" s="107"/>
    </row>
    <row r="3" spans="1:27">
      <c r="A3" s="104" t="s">
        <v>25</v>
      </c>
      <c r="B3" s="104"/>
      <c r="C3" s="104"/>
      <c r="D3" s="104"/>
      <c r="E3" s="104" t="s">
        <v>284</v>
      </c>
      <c r="F3" s="104"/>
      <c r="G3" s="104"/>
      <c r="H3" s="105"/>
      <c r="I3" s="105"/>
      <c r="J3" s="105"/>
      <c r="K3" s="105"/>
      <c r="L3" s="105"/>
      <c r="M3" s="105"/>
      <c r="N3" s="105"/>
      <c r="O3" s="105"/>
      <c r="P3" s="105"/>
      <c r="Q3" s="105"/>
      <c r="R3" s="90"/>
      <c r="S3" s="90"/>
      <c r="T3" s="90"/>
      <c r="U3" s="90"/>
    </row>
    <row r="4" spans="1:27">
      <c r="A4" s="108"/>
      <c r="B4" s="108"/>
      <c r="C4" s="108"/>
      <c r="D4" s="108"/>
      <c r="E4" s="109" t="s">
        <v>27</v>
      </c>
      <c r="F4" s="110" t="s">
        <v>28</v>
      </c>
      <c r="G4" s="110"/>
      <c r="H4" s="111"/>
      <c r="I4" s="110"/>
      <c r="J4" s="112"/>
      <c r="K4" s="112"/>
      <c r="L4" s="113" t="s">
        <v>29</v>
      </c>
      <c r="M4" s="113"/>
      <c r="N4" s="113"/>
      <c r="O4" s="113"/>
      <c r="P4" s="113"/>
      <c r="Q4" s="113"/>
      <c r="R4" s="147"/>
      <c r="S4" s="107"/>
      <c r="T4" s="107"/>
      <c r="U4" s="107"/>
    </row>
    <row r="5" spans="1:27">
      <c r="A5" s="115"/>
      <c r="B5" s="115"/>
      <c r="C5" s="115"/>
      <c r="D5" s="115"/>
      <c r="E5" s="116" t="s">
        <v>30</v>
      </c>
      <c r="F5" s="117" t="s">
        <v>31</v>
      </c>
      <c r="G5" s="117"/>
      <c r="H5" s="111"/>
      <c r="I5" s="117"/>
      <c r="J5" s="112"/>
      <c r="K5" s="112"/>
      <c r="L5" s="113" t="s">
        <v>32</v>
      </c>
      <c r="M5" s="118"/>
      <c r="N5" s="118"/>
      <c r="O5" s="113"/>
      <c r="P5" s="166"/>
      <c r="Q5" s="113"/>
      <c r="R5" s="147"/>
      <c r="S5" s="107"/>
      <c r="T5" s="107"/>
      <c r="U5" s="107"/>
    </row>
    <row r="6" spans="1:27">
      <c r="A6" s="119"/>
      <c r="B6" s="119"/>
      <c r="C6" s="119"/>
      <c r="D6" s="119"/>
      <c r="E6" s="3" t="s">
        <v>285</v>
      </c>
      <c r="F6" s="87" t="s">
        <v>286</v>
      </c>
      <c r="G6" s="87" t="s">
        <v>287</v>
      </c>
      <c r="H6" s="87" t="s">
        <v>288</v>
      </c>
      <c r="I6" s="87" t="s">
        <v>289</v>
      </c>
      <c r="J6" s="87" t="s">
        <v>290</v>
      </c>
      <c r="K6" s="87" t="s">
        <v>291</v>
      </c>
      <c r="L6" s="88" t="s">
        <v>292</v>
      </c>
      <c r="M6" s="88" t="s">
        <v>293</v>
      </c>
      <c r="N6" s="88" t="s">
        <v>294</v>
      </c>
      <c r="O6" s="88" t="s">
        <v>295</v>
      </c>
      <c r="P6" s="88" t="s">
        <v>296</v>
      </c>
      <c r="Q6" s="88" t="s">
        <v>297</v>
      </c>
      <c r="R6" s="89" t="s">
        <v>298</v>
      </c>
      <c r="S6" s="90"/>
      <c r="T6" s="90"/>
      <c r="U6" s="90"/>
    </row>
    <row r="7" spans="1:27" ht="138" customHeight="1">
      <c r="A7" s="121" t="s">
        <v>174</v>
      </c>
      <c r="B7" s="121"/>
      <c r="C7" s="121"/>
      <c r="D7" s="121"/>
      <c r="E7" s="94" t="s">
        <v>299</v>
      </c>
      <c r="F7" s="94" t="s">
        <v>300</v>
      </c>
      <c r="G7" s="94" t="s">
        <v>301</v>
      </c>
      <c r="H7" s="94" t="s">
        <v>302</v>
      </c>
      <c r="I7" s="94" t="s">
        <v>303</v>
      </c>
      <c r="J7" s="94" t="s">
        <v>304</v>
      </c>
      <c r="K7" s="94" t="s">
        <v>305</v>
      </c>
      <c r="L7" s="94" t="s">
        <v>306</v>
      </c>
      <c r="M7" s="94" t="s">
        <v>307</v>
      </c>
      <c r="N7" s="94" t="s">
        <v>308</v>
      </c>
      <c r="O7" s="94" t="s">
        <v>309</v>
      </c>
      <c r="P7" s="94" t="s">
        <v>310</v>
      </c>
      <c r="Q7" s="94" t="s">
        <v>311</v>
      </c>
      <c r="R7" s="94" t="s">
        <v>312</v>
      </c>
      <c r="S7" s="90"/>
      <c r="T7" s="90"/>
      <c r="U7" s="90"/>
    </row>
    <row r="8" spans="1:27" ht="107.85" customHeight="1">
      <c r="A8" s="119" t="s">
        <v>54</v>
      </c>
      <c r="B8" s="119"/>
      <c r="C8" s="119"/>
      <c r="D8" s="119"/>
      <c r="E8" s="95" t="s">
        <v>313</v>
      </c>
      <c r="F8" s="95" t="s">
        <v>314</v>
      </c>
      <c r="G8" s="95" t="s">
        <v>315</v>
      </c>
      <c r="H8" s="95" t="s">
        <v>316</v>
      </c>
      <c r="I8" s="95" t="s">
        <v>317</v>
      </c>
      <c r="J8" s="95" t="s">
        <v>318</v>
      </c>
      <c r="K8" s="95" t="s">
        <v>319</v>
      </c>
      <c r="L8" s="95" t="s">
        <v>320</v>
      </c>
      <c r="M8" s="95" t="s">
        <v>321</v>
      </c>
      <c r="N8" s="95" t="s">
        <v>322</v>
      </c>
      <c r="O8" s="95" t="s">
        <v>323</v>
      </c>
      <c r="P8" s="95" t="s">
        <v>324</v>
      </c>
      <c r="Q8" s="95" t="s">
        <v>325</v>
      </c>
      <c r="R8" s="95" t="s">
        <v>326</v>
      </c>
      <c r="S8" s="96"/>
      <c r="T8" s="96"/>
      <c r="U8" s="96"/>
    </row>
    <row r="9" spans="1:27" ht="165.6" customHeight="1">
      <c r="A9" s="119" t="s">
        <v>65</v>
      </c>
      <c r="B9" s="119"/>
      <c r="C9" s="119"/>
      <c r="D9" s="119"/>
      <c r="E9" s="122" t="s">
        <v>327</v>
      </c>
      <c r="F9" s="122" t="s">
        <v>328</v>
      </c>
      <c r="G9" s="95" t="s">
        <v>329</v>
      </c>
      <c r="H9" s="122" t="s">
        <v>330</v>
      </c>
      <c r="I9" s="122" t="s">
        <v>331</v>
      </c>
      <c r="J9" s="122" t="s">
        <v>332</v>
      </c>
      <c r="K9" s="122" t="s">
        <v>333</v>
      </c>
      <c r="L9" s="122" t="s">
        <v>334</v>
      </c>
      <c r="M9" s="122" t="s">
        <v>335</v>
      </c>
      <c r="N9" s="122" t="s">
        <v>336</v>
      </c>
      <c r="O9" s="122" t="s">
        <v>337</v>
      </c>
      <c r="P9" s="122" t="s">
        <v>338</v>
      </c>
      <c r="Q9" s="122" t="s">
        <v>339</v>
      </c>
      <c r="R9" s="122" t="s">
        <v>340</v>
      </c>
      <c r="S9" s="124"/>
      <c r="T9" s="124"/>
      <c r="U9" s="124"/>
    </row>
    <row r="10" spans="1:27" ht="134.1" customHeight="1">
      <c r="A10" s="119" t="s">
        <v>76</v>
      </c>
      <c r="B10" s="119"/>
      <c r="C10" s="119"/>
      <c r="D10" s="119"/>
      <c r="E10" s="99" t="s">
        <v>341</v>
      </c>
      <c r="F10" s="99" t="s">
        <v>342</v>
      </c>
      <c r="G10" s="99" t="s">
        <v>343</v>
      </c>
      <c r="H10" s="99" t="s">
        <v>344</v>
      </c>
      <c r="I10" s="99" t="s">
        <v>345</v>
      </c>
      <c r="J10" s="100" t="s">
        <v>346</v>
      </c>
      <c r="K10" s="100" t="s">
        <v>347</v>
      </c>
      <c r="L10" s="100" t="s">
        <v>348</v>
      </c>
      <c r="M10" s="99" t="s">
        <v>349</v>
      </c>
      <c r="N10" s="99" t="s">
        <v>350</v>
      </c>
      <c r="O10" s="99" t="s">
        <v>351</v>
      </c>
      <c r="P10" s="99" t="s">
        <v>352</v>
      </c>
      <c r="Q10" s="99" t="s">
        <v>353</v>
      </c>
      <c r="R10" s="99" t="s">
        <v>354</v>
      </c>
      <c r="S10" s="149"/>
      <c r="T10" s="149"/>
      <c r="U10" s="149"/>
    </row>
    <row r="11" spans="1:27" ht="82.8">
      <c r="A11" s="132" t="s">
        <v>86</v>
      </c>
      <c r="B11" s="132"/>
      <c r="C11" s="132"/>
      <c r="D11" s="132"/>
      <c r="E11" s="99"/>
      <c r="F11" s="99" t="s">
        <v>355</v>
      </c>
      <c r="G11" s="99" t="s">
        <v>356</v>
      </c>
      <c r="H11" s="99" t="s">
        <v>357</v>
      </c>
      <c r="I11" s="99" t="s">
        <v>358</v>
      </c>
      <c r="J11" s="100" t="s">
        <v>359</v>
      </c>
      <c r="K11" s="100" t="s">
        <v>360</v>
      </c>
      <c r="L11" s="100" t="s">
        <v>361</v>
      </c>
      <c r="M11" s="99" t="s">
        <v>362</v>
      </c>
      <c r="N11" s="99" t="s">
        <v>363</v>
      </c>
      <c r="O11" s="99" t="s">
        <v>364</v>
      </c>
      <c r="P11" s="99" t="s">
        <v>365</v>
      </c>
      <c r="Q11" s="99" t="s">
        <v>366</v>
      </c>
      <c r="R11" s="99" t="s">
        <v>367</v>
      </c>
      <c r="S11" s="149"/>
      <c r="T11" s="149"/>
      <c r="U11" s="149"/>
    </row>
    <row r="15" spans="1:27" customFormat="1">
      <c r="A15" t="s">
        <v>96</v>
      </c>
      <c r="B15" t="s">
        <v>97</v>
      </c>
      <c r="C15" t="s">
        <v>98</v>
      </c>
      <c r="D15" s="309" t="s">
        <v>99</v>
      </c>
      <c r="E15" s="14" t="s">
        <v>285</v>
      </c>
      <c r="F15" s="14" t="s">
        <v>286</v>
      </c>
      <c r="G15" s="14" t="s">
        <v>287</v>
      </c>
      <c r="H15" s="14" t="s">
        <v>288</v>
      </c>
      <c r="I15" s="14" t="s">
        <v>289</v>
      </c>
      <c r="J15" s="14" t="s">
        <v>290</v>
      </c>
      <c r="K15" s="14" t="s">
        <v>291</v>
      </c>
      <c r="L15" s="14" t="s">
        <v>292</v>
      </c>
      <c r="M15" s="14" t="s">
        <v>293</v>
      </c>
      <c r="N15" s="14" t="s">
        <v>294</v>
      </c>
      <c r="O15" s="14" t="s">
        <v>295</v>
      </c>
      <c r="P15" s="14" t="s">
        <v>296</v>
      </c>
      <c r="Q15" s="14" t="s">
        <v>297</v>
      </c>
      <c r="R15" s="14" t="s">
        <v>298</v>
      </c>
    </row>
    <row r="16" spans="1:27">
      <c r="A16" t="s">
        <v>100</v>
      </c>
      <c r="B16" s="15" t="s">
        <v>97</v>
      </c>
      <c r="C16" s="15" t="str">
        <f>HYPERLINK("02-项目级\P3-主从数据库复制及性能提升项目\01-生存周期\04-需求\04-需求调研报告\01-需求调研报告(QCUBIC-XNTS-RDM-Report-20220113pm)V1.0-engl.docx", "engl")</f>
        <v>engl</v>
      </c>
      <c r="D16"/>
      <c r="E16" t="s">
        <v>101</v>
      </c>
      <c r="F16"/>
      <c r="G16"/>
      <c r="H16"/>
      <c r="I16"/>
      <c r="J16"/>
      <c r="K16"/>
      <c r="L16"/>
      <c r="M16"/>
      <c r="N16"/>
      <c r="O16"/>
      <c r="P16"/>
      <c r="Q16"/>
      <c r="R16" t="s">
        <v>101</v>
      </c>
      <c r="S16"/>
      <c r="T16"/>
      <c r="U16"/>
      <c r="V16"/>
      <c r="W16"/>
      <c r="X16"/>
      <c r="Y16"/>
      <c r="Z16"/>
      <c r="AA16"/>
    </row>
    <row r="17" spans="1:27">
      <c r="A17" t="s">
        <v>100</v>
      </c>
      <c r="B17" s="15" t="s">
        <v>97</v>
      </c>
      <c r="C17" s="15" t="str">
        <f>HYPERLINK("02-项目级\P3-主从数据库复制及性能提升项目\01-生存周期\04-需求\02-需求规格说明书 (QCUBIC-XNTS-RDM-SRS)V1.1-engl.docx", "engl")</f>
        <v>engl</v>
      </c>
      <c r="D17"/>
      <c r="E17" t="s">
        <v>101</v>
      </c>
      <c r="F17" t="s">
        <v>101</v>
      </c>
      <c r="G17" t="s">
        <v>101</v>
      </c>
      <c r="H17" t="s">
        <v>101</v>
      </c>
      <c r="I17" t="s">
        <v>101</v>
      </c>
      <c r="J17" t="s">
        <v>101</v>
      </c>
      <c r="K17"/>
      <c r="L17" t="s">
        <v>101</v>
      </c>
      <c r="M17" t="s">
        <v>101</v>
      </c>
      <c r="N17" t="s">
        <v>101</v>
      </c>
      <c r="O17" t="s">
        <v>101</v>
      </c>
      <c r="P17" t="s">
        <v>101</v>
      </c>
      <c r="Q17" t="s">
        <v>101</v>
      </c>
      <c r="R17" t="s">
        <v>101</v>
      </c>
      <c r="S17"/>
      <c r="T17"/>
      <c r="U17"/>
      <c r="V17"/>
      <c r="W17"/>
      <c r="X17"/>
      <c r="Y17"/>
      <c r="Z17"/>
      <c r="AA17"/>
    </row>
    <row r="18" spans="1:27">
      <c r="A18" t="s">
        <v>100</v>
      </c>
      <c r="B18" s="15" t="s">
        <v>97</v>
      </c>
      <c r="C18" s="15" t="str">
        <f>HYPERLINK("02-项目级\P3-主从数据库复制及性能提升项目\01-生存周期\04-需求\03-用户需求说明书(QCUBIC-XNTS-RDM-CRS)V1.1-engl.docx", "engl")</f>
        <v>engl</v>
      </c>
      <c r="D18"/>
      <c r="E18"/>
      <c r="F18" t="s">
        <v>101</v>
      </c>
      <c r="G18" t="s">
        <v>101</v>
      </c>
      <c r="H18" t="s">
        <v>101</v>
      </c>
      <c r="I18" t="s">
        <v>101</v>
      </c>
      <c r="J18"/>
      <c r="K18"/>
      <c r="L18"/>
      <c r="M18"/>
      <c r="N18"/>
      <c r="O18"/>
      <c r="P18"/>
      <c r="Q18"/>
      <c r="R18"/>
      <c r="S18"/>
      <c r="T18"/>
      <c r="U18"/>
      <c r="V18"/>
      <c r="W18"/>
      <c r="X18"/>
      <c r="Y18"/>
      <c r="Z18"/>
      <c r="AA18"/>
    </row>
    <row r="19" spans="1:27">
      <c r="A19" t="s">
        <v>100</v>
      </c>
      <c r="B19" s="15" t="s">
        <v>97</v>
      </c>
      <c r="C19" s="15" t="str">
        <f>HYPERLINK("02-项目级\P3-主从数据库复制及性能提升项目\02-全程管理\05-评审管理\04-需求评审\01-需求规格说明书\05-评审报告_需求规格说明书(QCUBIC-XNTS-PR-ReviewRpt)V1.1-engl.xlsx", "engl")</f>
        <v>engl</v>
      </c>
      <c r="D19"/>
      <c r="E19"/>
      <c r="F19"/>
      <c r="G19"/>
      <c r="H19" t="s">
        <v>101</v>
      </c>
      <c r="I19" t="s">
        <v>101</v>
      </c>
      <c r="J19"/>
      <c r="K19"/>
      <c r="L19"/>
      <c r="M19"/>
      <c r="N19"/>
      <c r="O19"/>
      <c r="P19" t="s">
        <v>101</v>
      </c>
      <c r="Q19" t="s">
        <v>101</v>
      </c>
      <c r="R19" t="s">
        <v>101</v>
      </c>
      <c r="S19"/>
      <c r="T19"/>
      <c r="U19"/>
      <c r="V19"/>
      <c r="W19"/>
      <c r="X19"/>
      <c r="Y19"/>
      <c r="Z19"/>
      <c r="AA19"/>
    </row>
    <row r="20" spans="1:27">
      <c r="A20" t="s">
        <v>100</v>
      </c>
      <c r="B20" s="15" t="s">
        <v>97</v>
      </c>
      <c r="C20" s="15" t="str">
        <f>HYPERLINK("02-项目级\P3-主从数据库复制及性能提升项目\02-全程管理\05-评审管理\04-需求评审\01-需求规格说明书\02-评审检查表_需求规格说明书(QCUBIC-XNTS-PR-Revchklist)V1.0-engl.xlsx", "engl")</f>
        <v>engl</v>
      </c>
      <c r="D20"/>
      <c r="E20"/>
      <c r="F20"/>
      <c r="G20"/>
      <c r="H20"/>
      <c r="I20" t="s">
        <v>101</v>
      </c>
      <c r="J20"/>
      <c r="K20"/>
      <c r="L20"/>
      <c r="M20"/>
      <c r="N20"/>
      <c r="O20"/>
      <c r="P20" t="s">
        <v>101</v>
      </c>
      <c r="Q20"/>
      <c r="R20"/>
      <c r="S20"/>
      <c r="T20"/>
      <c r="U20"/>
      <c r="V20"/>
      <c r="W20"/>
      <c r="X20"/>
      <c r="Y20"/>
      <c r="Z20"/>
      <c r="AA20"/>
    </row>
    <row r="21" spans="1:27">
      <c r="A21" t="s">
        <v>100</v>
      </c>
      <c r="B21" s="15" t="s">
        <v>97</v>
      </c>
      <c r="C21" s="15" t="str">
        <f>HYPERLINK("02-项目级\P3-主从数据库复制及性能提升项目\01-生存周期\04-需求\05-需求跟踪矩阵\01-需求跟踪矩阵(QCUBIC-XNTS-RDM-RTX)V1.1-engl.xlsx", "engl")</f>
        <v>engl</v>
      </c>
      <c r="D21"/>
      <c r="E21"/>
      <c r="F21"/>
      <c r="G21"/>
      <c r="H21"/>
      <c r="I21"/>
      <c r="J21" t="s">
        <v>101</v>
      </c>
      <c r="K21" t="s">
        <v>101</v>
      </c>
      <c r="L21"/>
      <c r="M21"/>
      <c r="N21"/>
      <c r="O21"/>
      <c r="P21"/>
      <c r="Q21"/>
      <c r="R21"/>
      <c r="S21"/>
      <c r="T21"/>
      <c r="U21"/>
      <c r="V21"/>
      <c r="W21"/>
      <c r="X21"/>
      <c r="Y21"/>
      <c r="Z21"/>
      <c r="AA21"/>
    </row>
    <row r="22" spans="1:27">
      <c r="A22" t="s">
        <v>100</v>
      </c>
      <c r="B22" s="15" t="s">
        <v>97</v>
      </c>
      <c r="C22" s="15" t="str">
        <f>HYPERLINK("02-项目级\P3-主从数据库复制及性能提升项目\01-生存周期\03-项目策划\03-项目计划书 (QCUBIC-XNTS-PLAN-Plan)V1.1-engl.docx", "engl")</f>
        <v>engl</v>
      </c>
      <c r="D22"/>
      <c r="E22"/>
      <c r="F22"/>
      <c r="G22"/>
      <c r="H22"/>
      <c r="I22"/>
      <c r="J22"/>
      <c r="K22" t="s">
        <v>101</v>
      </c>
      <c r="L22"/>
      <c r="M22"/>
      <c r="N22"/>
      <c r="O22"/>
      <c r="P22"/>
      <c r="Q22"/>
      <c r="R22"/>
      <c r="S22"/>
      <c r="T22"/>
      <c r="U22"/>
      <c r="V22"/>
      <c r="W22"/>
      <c r="X22"/>
      <c r="Y22"/>
      <c r="Z22"/>
      <c r="AA22"/>
    </row>
    <row r="23" spans="1:27">
      <c r="A23" t="s">
        <v>100</v>
      </c>
      <c r="B23" s="15" t="s">
        <v>97</v>
      </c>
      <c r="C23" s="15" t="str">
        <f>HYPERLINK("02-项目级\P3-主从数据库复制及性能提升项目\01-生存周期\04-需求\01-需求调研计划(QCUBIC-XNTS-RDM-Plan)V1.0-engl.docx", "engl")</f>
        <v>engl</v>
      </c>
      <c r="D23"/>
      <c r="E23"/>
      <c r="F23"/>
      <c r="G23"/>
      <c r="H23"/>
      <c r="I23"/>
      <c r="J23"/>
      <c r="K23" t="s">
        <v>101</v>
      </c>
      <c r="L23"/>
      <c r="M23"/>
      <c r="N23"/>
      <c r="O23"/>
      <c r="P23"/>
      <c r="Q23"/>
      <c r="R23"/>
      <c r="S23"/>
      <c r="T23"/>
      <c r="U23"/>
      <c r="V23"/>
      <c r="W23"/>
      <c r="X23"/>
      <c r="Y23"/>
      <c r="Z23"/>
      <c r="AA23"/>
    </row>
    <row r="24" spans="1:27">
      <c r="A24" t="s">
        <v>100</v>
      </c>
      <c r="B24" s="15" t="s">
        <v>97</v>
      </c>
      <c r="C24" s="15" t="str">
        <f>HYPERLINK("02-项目级\P3-主从数据库复制及性能提升项目\02-全程管理\06-变更管理\03-变更结果报告(QCUBIC-XNTS-mc-changereport_001)V1.0-engl.docx", "engl")</f>
        <v>engl</v>
      </c>
      <c r="D24"/>
      <c r="E24"/>
      <c r="F24"/>
      <c r="G24"/>
      <c r="H24"/>
      <c r="I24"/>
      <c r="J24"/>
      <c r="K24" t="s">
        <v>101</v>
      </c>
      <c r="L24" t="s">
        <v>101</v>
      </c>
      <c r="M24"/>
      <c r="N24"/>
      <c r="O24"/>
      <c r="P24"/>
      <c r="Q24"/>
      <c r="R24"/>
      <c r="S24"/>
      <c r="T24"/>
      <c r="U24"/>
      <c r="V24"/>
      <c r="W24"/>
      <c r="X24"/>
      <c r="Y24"/>
      <c r="Z24"/>
      <c r="AA24"/>
    </row>
    <row r="25" spans="1:27">
      <c r="A25" t="s">
        <v>100</v>
      </c>
      <c r="B25" s="15" t="s">
        <v>97</v>
      </c>
      <c r="C25" s="15" t="str">
        <f>HYPERLINK("02-项目级\P3-主从数据库复制及性能提升项目\02-全程管理\06-变更管理\02-变更列表(QCUBIC-XNTS-MC-CRecoRDM)V1.0-engl.xlsx", "engl")</f>
        <v>engl</v>
      </c>
      <c r="D25"/>
      <c r="E25"/>
      <c r="F25"/>
      <c r="G25"/>
      <c r="H25"/>
      <c r="I25"/>
      <c r="J25"/>
      <c r="K25"/>
      <c r="L25" t="s">
        <v>101</v>
      </c>
      <c r="M25"/>
      <c r="N25"/>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EDD6E5E7-3E9D-4DE1-B092-6B5FA2085DBA}"/>
    <hyperlink ref="B17" r:id="rId2" xr:uid="{D27B6389-6A54-4BCB-8F02-D77DDCF5A876}"/>
    <hyperlink ref="B18" r:id="rId3" xr:uid="{27EDFAE1-CF20-4AE2-B12F-E0C70A2A12CF}"/>
    <hyperlink ref="B19" r:id="rId4" xr:uid="{EE85D32D-DADE-4256-BCA6-C7DE32FAF384}"/>
    <hyperlink ref="B20" r:id="rId5" xr:uid="{522B9B41-7A34-4F00-A8F3-4945610EC2C3}"/>
    <hyperlink ref="B21" r:id="rId6" xr:uid="{F896990D-02DF-433F-A01E-6DE595DEF0EA}"/>
    <hyperlink ref="B22" r:id="rId7" xr:uid="{2E0F8112-D185-4440-A951-33E8C565163D}"/>
    <hyperlink ref="B23" r:id="rId8" xr:uid="{A3D21641-06BC-4B0D-BF85-7ED812451FBE}"/>
    <hyperlink ref="B24" r:id="rId9" xr:uid="{BAA5D7B1-EAD3-4D36-A8CF-EFAFF0422981}"/>
    <hyperlink ref="B25" r:id="rId10" xr:uid="{5A59ED6C-372B-4224-B441-054AA09D5D2B}"/>
  </hyperlinks>
  <pageMargins left="0.7" right="0.7" top="0.75" bottom="0.75" header="0.3" footer="0.3"/>
  <pageSetup paperSize="9" orientation="portrait"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18F39-4F04-48C8-BB8B-4F410662D687}">
  <sheetPr codeName="Sheet15">
    <tabColor rgb="FFB682B9"/>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37.33203125" style="115" customWidth="1"/>
    <col min="2" max="4" width="7.88671875" style="115" customWidth="1"/>
    <col min="5" max="7" width="15.6640625" style="115" customWidth="1"/>
    <col min="8" max="9" width="15.6640625" style="133" customWidth="1"/>
    <col min="10" max="15" width="15.6640625" style="115" customWidth="1"/>
    <col min="16" max="16" width="15.6640625" style="115" hidden="1" customWidth="1"/>
    <col min="17" max="17" width="15" style="115" customWidth="1"/>
    <col min="18" max="18" width="3.6640625" style="115" customWidth="1"/>
    <col min="19" max="19" width="40.109375" style="115" bestFit="1" customWidth="1"/>
    <col min="20" max="20" width="87.33203125" style="115" customWidth="1"/>
    <col min="21" max="16384" width="8.6640625" style="115"/>
  </cols>
  <sheetData>
    <row r="1" spans="1:27" s="104" customFormat="1" ht="18">
      <c r="A1" s="102" t="s">
        <v>368</v>
      </c>
      <c r="B1" s="102"/>
      <c r="C1" s="102"/>
      <c r="D1" s="102"/>
      <c r="E1" s="103"/>
      <c r="H1" s="133"/>
      <c r="I1" s="133"/>
      <c r="T1" s="115"/>
    </row>
    <row r="2" spans="1:27" s="104" customFormat="1">
      <c r="A2" s="107" t="s">
        <v>23</v>
      </c>
      <c r="B2" s="107"/>
      <c r="C2" s="107"/>
      <c r="D2" s="107"/>
      <c r="E2" s="314" t="s">
        <v>369</v>
      </c>
      <c r="F2" s="314"/>
      <c r="G2" s="314"/>
      <c r="H2" s="314"/>
      <c r="I2" s="314"/>
      <c r="J2" s="314"/>
      <c r="T2" s="115"/>
    </row>
    <row r="3" spans="1:27" s="104" customFormat="1">
      <c r="A3" s="104" t="s">
        <v>25</v>
      </c>
      <c r="E3" s="104" t="s">
        <v>370</v>
      </c>
      <c r="H3" s="133"/>
      <c r="I3" s="133"/>
      <c r="T3" s="115"/>
    </row>
    <row r="4" spans="1:27" s="104" customFormat="1" ht="14.4">
      <c r="A4" s="108"/>
      <c r="B4" s="108"/>
      <c r="C4" s="108"/>
      <c r="D4" s="108"/>
      <c r="E4" s="109" t="s">
        <v>27</v>
      </c>
      <c r="F4" s="146"/>
      <c r="G4" s="109"/>
      <c r="H4" s="110" t="s">
        <v>28</v>
      </c>
      <c r="I4" s="110"/>
      <c r="J4" s="113" t="s">
        <v>29</v>
      </c>
      <c r="K4" s="147"/>
      <c r="L4" s="147"/>
      <c r="M4" s="113"/>
      <c r="N4" s="113"/>
      <c r="O4" s="113" t="s">
        <v>29</v>
      </c>
      <c r="P4" s="170" t="s">
        <v>371</v>
      </c>
      <c r="Q4" s="114"/>
      <c r="R4" s="114"/>
      <c r="S4" s="114"/>
      <c r="T4" s="115"/>
      <c r="U4" s="107"/>
      <c r="V4" s="114"/>
      <c r="W4" s="114"/>
    </row>
    <row r="5" spans="1:27" ht="14.4">
      <c r="E5" s="116" t="s">
        <v>30</v>
      </c>
      <c r="F5" s="146"/>
      <c r="G5" s="116"/>
      <c r="H5" s="117" t="s">
        <v>31</v>
      </c>
      <c r="I5" s="117"/>
      <c r="J5" s="113" t="s">
        <v>32</v>
      </c>
      <c r="K5" s="147"/>
      <c r="L5" s="147"/>
      <c r="M5" s="118"/>
      <c r="N5" s="118"/>
      <c r="O5" s="113" t="s">
        <v>32</v>
      </c>
      <c r="P5" s="171" t="s">
        <v>372</v>
      </c>
      <c r="U5" s="107"/>
      <c r="W5" s="114"/>
    </row>
    <row r="6" spans="1:27">
      <c r="A6" s="132"/>
      <c r="B6" s="132"/>
      <c r="C6" s="132"/>
      <c r="D6" s="132"/>
      <c r="E6" s="172" t="s">
        <v>373</v>
      </c>
      <c r="F6" s="172" t="s">
        <v>374</v>
      </c>
      <c r="G6" s="172" t="s">
        <v>375</v>
      </c>
      <c r="H6" s="87" t="s">
        <v>376</v>
      </c>
      <c r="I6" s="87" t="s">
        <v>377</v>
      </c>
      <c r="J6" s="88" t="s">
        <v>378</v>
      </c>
      <c r="K6" s="88" t="s">
        <v>379</v>
      </c>
      <c r="L6" s="88" t="s">
        <v>380</v>
      </c>
      <c r="M6" s="88" t="s">
        <v>381</v>
      </c>
      <c r="N6" s="88" t="s">
        <v>382</v>
      </c>
      <c r="O6" s="88" t="s">
        <v>383</v>
      </c>
      <c r="P6" s="173" t="s">
        <v>384</v>
      </c>
      <c r="Q6" s="150"/>
      <c r="R6" s="90"/>
      <c r="S6" s="150"/>
      <c r="T6" s="174"/>
    </row>
    <row r="7" spans="1:27" ht="116.4" customHeight="1">
      <c r="A7" s="121" t="s">
        <v>174</v>
      </c>
      <c r="B7" s="121"/>
      <c r="C7" s="121"/>
      <c r="D7" s="121"/>
      <c r="E7" s="94" t="s">
        <v>385</v>
      </c>
      <c r="F7" s="94" t="s">
        <v>386</v>
      </c>
      <c r="G7" s="94" t="s">
        <v>387</v>
      </c>
      <c r="H7" s="94" t="s">
        <v>388</v>
      </c>
      <c r="I7" s="94" t="s">
        <v>389</v>
      </c>
      <c r="J7" s="94" t="s">
        <v>390</v>
      </c>
      <c r="K7" s="94" t="s">
        <v>391</v>
      </c>
      <c r="L7" s="94" t="s">
        <v>392</v>
      </c>
      <c r="M7" s="94" t="s">
        <v>393</v>
      </c>
      <c r="N7" s="94" t="s">
        <v>394</v>
      </c>
      <c r="O7" s="94" t="s">
        <v>395</v>
      </c>
      <c r="P7" s="94" t="s">
        <v>396</v>
      </c>
      <c r="Q7" s="90"/>
      <c r="R7" s="90"/>
      <c r="S7" s="90"/>
    </row>
    <row r="8" spans="1:27" ht="80.400000000000006" customHeight="1">
      <c r="A8" s="132" t="s">
        <v>54</v>
      </c>
      <c r="B8" s="132"/>
      <c r="C8" s="132"/>
      <c r="D8" s="132"/>
      <c r="E8" s="95" t="s">
        <v>397</v>
      </c>
      <c r="F8" s="95" t="s">
        <v>398</v>
      </c>
      <c r="G8" s="95" t="s">
        <v>399</v>
      </c>
      <c r="H8" s="95" t="s">
        <v>400</v>
      </c>
      <c r="I8" s="95" t="s">
        <v>401</v>
      </c>
      <c r="J8" s="95" t="s">
        <v>402</v>
      </c>
      <c r="K8" s="95" t="s">
        <v>403</v>
      </c>
      <c r="L8" s="95" t="s">
        <v>404</v>
      </c>
      <c r="M8" s="95" t="s">
        <v>405</v>
      </c>
      <c r="N8" s="95" t="s">
        <v>406</v>
      </c>
      <c r="O8" s="95" t="s">
        <v>407</v>
      </c>
      <c r="P8" s="122" t="s">
        <v>408</v>
      </c>
      <c r="Q8" s="124"/>
      <c r="R8" s="124"/>
      <c r="S8" s="124"/>
    </row>
    <row r="9" spans="1:27" ht="312">
      <c r="A9" s="132" t="s">
        <v>65</v>
      </c>
      <c r="B9" s="132"/>
      <c r="C9" s="132"/>
      <c r="D9" s="132"/>
      <c r="E9" s="95" t="s">
        <v>409</v>
      </c>
      <c r="F9" s="122" t="s">
        <v>410</v>
      </c>
      <c r="G9" s="122" t="s">
        <v>411</v>
      </c>
      <c r="H9" s="122" t="s">
        <v>412</v>
      </c>
      <c r="I9" s="122" t="s">
        <v>413</v>
      </c>
      <c r="J9" s="122" t="s">
        <v>414</v>
      </c>
      <c r="K9" s="122" t="s">
        <v>415</v>
      </c>
      <c r="L9" s="122" t="s">
        <v>416</v>
      </c>
      <c r="M9" s="122" t="s">
        <v>417</v>
      </c>
      <c r="N9" s="122" t="s">
        <v>418</v>
      </c>
      <c r="O9" s="122" t="s">
        <v>419</v>
      </c>
      <c r="P9" s="122" t="s">
        <v>420</v>
      </c>
      <c r="Q9" s="124"/>
      <c r="R9" s="124"/>
      <c r="S9" s="124"/>
    </row>
    <row r="10" spans="1:27" ht="189" customHeight="1">
      <c r="A10" s="119" t="s">
        <v>76</v>
      </c>
      <c r="B10" s="119"/>
      <c r="C10" s="119"/>
      <c r="D10" s="119"/>
      <c r="E10" s="175" t="s">
        <v>421</v>
      </c>
      <c r="F10" s="175" t="s">
        <v>422</v>
      </c>
      <c r="G10" s="175" t="s">
        <v>423</v>
      </c>
      <c r="H10" s="122" t="s">
        <v>424</v>
      </c>
      <c r="I10" s="122" t="s">
        <v>425</v>
      </c>
      <c r="J10" s="122" t="s">
        <v>426</v>
      </c>
      <c r="K10" s="122" t="s">
        <v>427</v>
      </c>
      <c r="L10" s="122" t="s">
        <v>428</v>
      </c>
      <c r="M10" s="122" t="s">
        <v>429</v>
      </c>
      <c r="N10" s="122" t="s">
        <v>430</v>
      </c>
      <c r="O10" s="122" t="s">
        <v>431</v>
      </c>
      <c r="P10" s="176" t="s">
        <v>432</v>
      </c>
      <c r="Q10" s="177"/>
      <c r="R10" s="177"/>
      <c r="S10" s="177"/>
    </row>
    <row r="11" spans="1:27" ht="72" customHeight="1">
      <c r="A11" s="158" t="s">
        <v>86</v>
      </c>
      <c r="B11" s="158"/>
      <c r="C11" s="158"/>
      <c r="D11" s="158"/>
      <c r="E11" s="122"/>
      <c r="F11" s="122" t="s">
        <v>433</v>
      </c>
      <c r="G11" s="122" t="s">
        <v>434</v>
      </c>
      <c r="H11" s="122" t="s">
        <v>435</v>
      </c>
      <c r="I11" s="122" t="s">
        <v>436</v>
      </c>
      <c r="J11" s="122" t="s">
        <v>437</v>
      </c>
      <c r="K11" s="122" t="s">
        <v>438</v>
      </c>
      <c r="L11" s="122" t="s">
        <v>439</v>
      </c>
      <c r="M11" s="122" t="s">
        <v>440</v>
      </c>
      <c r="N11" s="122" t="s">
        <v>441</v>
      </c>
      <c r="O11" s="122" t="s">
        <v>442</v>
      </c>
      <c r="P11" s="176" t="s">
        <v>432</v>
      </c>
      <c r="Q11" s="177"/>
      <c r="R11" s="177"/>
      <c r="S11" s="177"/>
    </row>
    <row r="12" spans="1:27" s="114" customFormat="1" ht="14.4">
      <c r="A12" s="115"/>
      <c r="B12" s="115"/>
      <c r="C12" s="115"/>
      <c r="D12" s="115"/>
      <c r="E12" s="115"/>
      <c r="F12" s="115"/>
      <c r="G12" s="115"/>
      <c r="H12" s="133"/>
      <c r="I12" s="133"/>
      <c r="J12" s="115"/>
      <c r="K12" s="115"/>
      <c r="L12" s="115"/>
      <c r="M12" s="115"/>
      <c r="N12" s="115"/>
      <c r="O12" s="115"/>
      <c r="P12" s="115"/>
      <c r="Q12" s="115"/>
      <c r="R12" s="115"/>
      <c r="S12" s="115"/>
      <c r="T12" s="115"/>
    </row>
    <row r="13" spans="1:27" s="114" customFormat="1" ht="14.4">
      <c r="A13" s="115"/>
      <c r="B13" s="115"/>
      <c r="C13" s="115"/>
      <c r="D13" s="115"/>
      <c r="E13" s="115"/>
      <c r="F13" s="115"/>
      <c r="G13" s="115"/>
      <c r="H13" s="133"/>
      <c r="I13" s="133"/>
      <c r="J13" s="115"/>
      <c r="K13" s="115"/>
      <c r="L13" s="115"/>
      <c r="M13" s="115"/>
      <c r="N13" s="115"/>
      <c r="O13" s="115"/>
      <c r="P13" s="115"/>
      <c r="Q13" s="115"/>
      <c r="R13" s="115"/>
      <c r="S13" s="115"/>
      <c r="T13" s="115"/>
    </row>
    <row r="14" spans="1:27" s="114" customFormat="1" ht="14.4">
      <c r="A14" s="115"/>
      <c r="B14" s="115"/>
      <c r="C14" s="115"/>
      <c r="D14" s="115"/>
      <c r="E14" s="115"/>
      <c r="F14" s="115"/>
      <c r="G14" s="115"/>
      <c r="H14" s="133"/>
      <c r="I14" s="133"/>
      <c r="J14" s="115"/>
      <c r="K14" s="115"/>
      <c r="L14" s="115"/>
      <c r="M14" s="115"/>
      <c r="N14" s="115"/>
      <c r="O14" s="115"/>
      <c r="P14" s="115"/>
      <c r="Q14" s="115"/>
      <c r="R14" s="115"/>
      <c r="S14" s="115"/>
      <c r="T14" s="115"/>
    </row>
    <row r="15" spans="1:27" customFormat="1" ht="14.4">
      <c r="A15" t="s">
        <v>96</v>
      </c>
      <c r="B15" t="s">
        <v>97</v>
      </c>
      <c r="C15" t="s">
        <v>98</v>
      </c>
      <c r="D15" s="309" t="s">
        <v>99</v>
      </c>
      <c r="E15" s="14" t="s">
        <v>373</v>
      </c>
      <c r="F15" s="14" t="s">
        <v>374</v>
      </c>
      <c r="G15" s="14" t="s">
        <v>375</v>
      </c>
      <c r="H15" s="14" t="s">
        <v>376</v>
      </c>
      <c r="I15" s="14" t="s">
        <v>377</v>
      </c>
      <c r="J15" s="14" t="s">
        <v>378</v>
      </c>
      <c r="K15" s="14" t="s">
        <v>379</v>
      </c>
      <c r="L15" s="14" t="s">
        <v>380</v>
      </c>
      <c r="M15" s="14" t="s">
        <v>381</v>
      </c>
      <c r="N15" s="14" t="s">
        <v>382</v>
      </c>
      <c r="O15" s="14" t="s">
        <v>383</v>
      </c>
      <c r="P15" s="14" t="s">
        <v>384</v>
      </c>
      <c r="Q15" s="14" t="s">
        <v>384</v>
      </c>
    </row>
    <row r="16" spans="1:27" s="114" customFormat="1" ht="14.4">
      <c r="A16" t="s">
        <v>100</v>
      </c>
      <c r="B16" s="15" t="s">
        <v>97</v>
      </c>
      <c r="C16" s="15" t="str">
        <f>HYPERLINK("01-组织级\02-组织工作库\02-EPG活动库\03-过程改进计划\过程改进计划(QCUBIC-SPI-PIM-PIPlan)V1.2-engl.docx", "engl")</f>
        <v>engl</v>
      </c>
      <c r="D16"/>
      <c r="E16" t="s">
        <v>101</v>
      </c>
      <c r="F16"/>
      <c r="G16"/>
      <c r="H16" t="s">
        <v>101</v>
      </c>
      <c r="I16" t="s">
        <v>101</v>
      </c>
      <c r="J16" t="s">
        <v>101</v>
      </c>
      <c r="K16" t="s">
        <v>101</v>
      </c>
      <c r="L16"/>
      <c r="M16"/>
      <c r="N16"/>
      <c r="O16"/>
      <c r="P16"/>
      <c r="Q16"/>
      <c r="R16"/>
      <c r="S16"/>
      <c r="T16"/>
      <c r="U16"/>
      <c r="V16"/>
      <c r="W16"/>
      <c r="X16"/>
      <c r="Y16"/>
      <c r="Z16"/>
      <c r="AA16"/>
    </row>
    <row r="17" spans="1:27" s="114" customFormat="1" ht="14.4">
      <c r="A17" t="s">
        <v>100</v>
      </c>
      <c r="B17" s="15" t="s">
        <v>97</v>
      </c>
      <c r="C17" s="15" t="str">
        <f>HYPERLINK("01-组织级\02-组织工作库\02-EPG活动库\02-现场诊断\北京快立方科技有限公司现场诊断报告-engl.pptx", "engl")</f>
        <v>engl</v>
      </c>
      <c r="D17"/>
      <c r="E17"/>
      <c r="F17" t="s">
        <v>101</v>
      </c>
      <c r="G17"/>
      <c r="H17"/>
      <c r="I17"/>
      <c r="J17"/>
      <c r="K17"/>
      <c r="L17"/>
      <c r="M17"/>
      <c r="N17"/>
      <c r="O17"/>
      <c r="P17"/>
      <c r="Q17"/>
      <c r="R17"/>
      <c r="S17"/>
      <c r="T17"/>
      <c r="U17"/>
      <c r="V17"/>
      <c r="W17"/>
      <c r="X17"/>
      <c r="Y17"/>
      <c r="Z17"/>
      <c r="AA17"/>
    </row>
    <row r="18" spans="1:27" s="114" customFormat="1" ht="14.4">
      <c r="A18" t="s">
        <v>100</v>
      </c>
      <c r="B18" s="15" t="s">
        <v>97</v>
      </c>
      <c r="C18" s="15" t="str">
        <f>HYPERLINK("01-组织级\02-组织工作库\02-EPG活动库\过程改进总结报告-engl.pptx", "engl")</f>
        <v>engl</v>
      </c>
      <c r="D18"/>
      <c r="E18"/>
      <c r="F18" t="s">
        <v>101</v>
      </c>
      <c r="G18"/>
      <c r="H18"/>
      <c r="I18"/>
      <c r="J18"/>
      <c r="K18"/>
      <c r="L18" t="s">
        <v>101</v>
      </c>
      <c r="M18"/>
      <c r="N18" t="s">
        <v>101</v>
      </c>
      <c r="O18" t="s">
        <v>101</v>
      </c>
      <c r="P18"/>
      <c r="Q18"/>
      <c r="R18"/>
      <c r="S18"/>
      <c r="T18"/>
      <c r="U18"/>
      <c r="V18"/>
      <c r="W18"/>
      <c r="X18"/>
      <c r="Y18"/>
      <c r="Z18"/>
      <c r="AA18"/>
    </row>
    <row r="19" spans="1:27" s="114" customFormat="1" ht="14.4">
      <c r="A19" t="s">
        <v>100</v>
      </c>
      <c r="B19" s="15" t="s">
        <v>97</v>
      </c>
      <c r="C19" s="15" t="str">
        <f>HYPERLINK("01-组织级\02-组织工作库\02-EPG活动库\01-EPG章程\EPG章程(QCUBIC-SPI-PIM-Std-EPGRule)V1.2-engl.docx", "engl")</f>
        <v>engl</v>
      </c>
      <c r="D19"/>
      <c r="E19"/>
      <c r="F19" t="s">
        <v>101</v>
      </c>
      <c r="G19"/>
      <c r="H19"/>
      <c r="I19"/>
      <c r="J19"/>
      <c r="K19"/>
      <c r="L19"/>
      <c r="M19"/>
      <c r="N19"/>
      <c r="O19"/>
      <c r="P19"/>
      <c r="Q19"/>
      <c r="R19"/>
      <c r="S19"/>
      <c r="T19"/>
      <c r="U19"/>
      <c r="V19"/>
      <c r="W19"/>
      <c r="X19"/>
      <c r="Y19"/>
      <c r="Z19"/>
      <c r="AA19"/>
    </row>
    <row r="20" spans="1:27" s="114" customFormat="1" ht="14.4">
      <c r="A20" t="s">
        <v>100</v>
      </c>
      <c r="B20" s="15" t="s">
        <v>97</v>
      </c>
      <c r="C20" s="15" t="str">
        <f>HYPERLINK("01-组织级\02-组织工作库\02-EPG活动库\07-EPG跟踪\05-过程改进建议表\过程改进建议表(QCUBIC-SPI-PIM-SPIAdvic)V1.2-engl.xlsx", "engl")</f>
        <v>engl</v>
      </c>
      <c r="D20"/>
      <c r="E20"/>
      <c r="F20"/>
      <c r="G20" t="s">
        <v>101</v>
      </c>
      <c r="H20"/>
      <c r="I20"/>
      <c r="J20"/>
      <c r="K20"/>
      <c r="L20"/>
      <c r="M20" t="s">
        <v>101</v>
      </c>
      <c r="N20"/>
      <c r="O20"/>
      <c r="P20"/>
      <c r="Q20"/>
      <c r="R20"/>
      <c r="S20"/>
      <c r="T20"/>
      <c r="U20"/>
      <c r="V20"/>
      <c r="W20"/>
      <c r="X20"/>
      <c r="Y20"/>
      <c r="Z20"/>
      <c r="AA20"/>
    </row>
    <row r="21" spans="1:27" ht="14.4">
      <c r="A21" t="s">
        <v>100</v>
      </c>
      <c r="B21" s="15" t="s">
        <v>97</v>
      </c>
      <c r="C21"/>
      <c r="D21"/>
      <c r="E21"/>
      <c r="F21"/>
      <c r="G21"/>
      <c r="H21"/>
      <c r="I21"/>
      <c r="J21"/>
      <c r="K21" t="s">
        <v>101</v>
      </c>
      <c r="L21"/>
      <c r="M21"/>
      <c r="N21"/>
      <c r="O21"/>
      <c r="P21"/>
      <c r="Q21"/>
      <c r="R21"/>
      <c r="S21"/>
      <c r="T21"/>
      <c r="U21"/>
      <c r="V21"/>
      <c r="W21"/>
      <c r="X21"/>
      <c r="Y21"/>
      <c r="Z21"/>
      <c r="AA21"/>
    </row>
    <row r="22" spans="1:27" ht="14.4">
      <c r="A22" t="s">
        <v>100</v>
      </c>
      <c r="B22" s="15" t="s">
        <v>97</v>
      </c>
      <c r="C22" s="15" t="str">
        <f>HYPERLINK("01-组织级\02-组织工作库\02-EPG活动库\03-过程改进计划\关键子过程选择(QCUBIC_PCM_Select subprocess)V1.0-engl.xlsx", "engl")</f>
        <v>engl</v>
      </c>
      <c r="D22"/>
      <c r="E22"/>
      <c r="F22"/>
      <c r="G22"/>
      <c r="H22"/>
      <c r="I22"/>
      <c r="J22"/>
      <c r="K22" t="s">
        <v>101</v>
      </c>
      <c r="L22"/>
      <c r="M22"/>
      <c r="N22"/>
      <c r="O22"/>
      <c r="P22"/>
      <c r="Q22"/>
      <c r="R22"/>
      <c r="S22"/>
      <c r="T22"/>
      <c r="U22"/>
      <c r="V22"/>
      <c r="W22"/>
      <c r="X22"/>
      <c r="Y22"/>
      <c r="Z22"/>
      <c r="AA22"/>
    </row>
    <row r="23" spans="1:27" ht="14.4">
      <c r="A23" t="s">
        <v>100</v>
      </c>
      <c r="B23" s="15" t="s">
        <v>97</v>
      </c>
      <c r="C23" s="15" t="str">
        <f>HYPERLINK("01-组织级\02-组织工作库\02-EPG活动库\03-过程改进计划\过程改进计划评审报告(QCUBIC-SPI-VV-Tem-ReviewRpt)V1.2-engl.xlsx", "engl")</f>
        <v>engl</v>
      </c>
      <c r="D23"/>
      <c r="E23"/>
      <c r="F23"/>
      <c r="G23"/>
      <c r="H23"/>
      <c r="I23"/>
      <c r="J23"/>
      <c r="K23"/>
      <c r="L23" t="s">
        <v>101</v>
      </c>
      <c r="M23"/>
      <c r="N23"/>
      <c r="O23"/>
      <c r="P23"/>
      <c r="Q23"/>
      <c r="R23"/>
      <c r="S23"/>
      <c r="T23"/>
      <c r="U23"/>
      <c r="V23"/>
      <c r="W23"/>
      <c r="X23"/>
      <c r="Y23"/>
      <c r="Z23"/>
      <c r="AA23"/>
    </row>
    <row r="24" spans="1:27" ht="14.4">
      <c r="A24" t="s">
        <v>100</v>
      </c>
      <c r="B24" s="15" t="s">
        <v>97</v>
      </c>
      <c r="C24"/>
      <c r="D24"/>
      <c r="E24"/>
      <c r="F24"/>
      <c r="G24"/>
      <c r="H24"/>
      <c r="I24"/>
      <c r="J24"/>
      <c r="K24"/>
      <c r="L24"/>
      <c r="M24" t="s">
        <v>101</v>
      </c>
      <c r="N24"/>
      <c r="O24"/>
      <c r="P24"/>
      <c r="Q24"/>
      <c r="R24"/>
      <c r="S24"/>
      <c r="T24"/>
      <c r="U24"/>
      <c r="V24"/>
      <c r="W24"/>
      <c r="X24"/>
      <c r="Y24"/>
      <c r="Z24"/>
      <c r="AA24"/>
    </row>
    <row r="25" spans="1:27" ht="14.4">
      <c r="A25" t="s">
        <v>100</v>
      </c>
      <c r="B25" s="15" t="s">
        <v>97</v>
      </c>
      <c r="C25" s="15" t="str">
        <f>HYPERLINK("01-组织级\02-组织工作库\02-EPG活动库\05-项目试点\试点行动计划(QCUBIC-SPI-PIM-PilotPlan)V1.1-engl.docx", "engl")</f>
        <v>engl</v>
      </c>
      <c r="D25"/>
      <c r="E25"/>
      <c r="F25"/>
      <c r="G25"/>
      <c r="H25"/>
      <c r="I25"/>
      <c r="J25"/>
      <c r="K25"/>
      <c r="L25"/>
      <c r="M25" t="s">
        <v>101</v>
      </c>
      <c r="N25"/>
      <c r="O25"/>
      <c r="P25"/>
      <c r="Q25"/>
      <c r="R25"/>
      <c r="S25"/>
      <c r="T25"/>
      <c r="U25"/>
      <c r="V25"/>
      <c r="W25"/>
      <c r="X25"/>
      <c r="Y25"/>
      <c r="Z25"/>
      <c r="AA25"/>
    </row>
    <row r="26" spans="1:27" ht="14.4">
      <c r="A26" t="s">
        <v>100</v>
      </c>
      <c r="B26" s="15" t="s">
        <v>97</v>
      </c>
      <c r="C26" s="15" t="str">
        <f>HYPERLINK("01-组织级\02-组织工作库\02-EPG活动库\07-EPG跟踪\06-过程改进里程碑\过程改进里程碑报告(ORG_PCM_Milestone_20220628)V1.0-engl.docx", "engl")</f>
        <v>engl</v>
      </c>
      <c r="D26"/>
      <c r="E26"/>
      <c r="F26"/>
      <c r="G26"/>
      <c r="H26"/>
      <c r="I26"/>
      <c r="J26"/>
      <c r="K26"/>
      <c r="L26"/>
      <c r="M26"/>
      <c r="N26" t="s">
        <v>101</v>
      </c>
      <c r="O26"/>
      <c r="P26"/>
      <c r="Q26"/>
      <c r="R26"/>
      <c r="S26"/>
      <c r="T26"/>
      <c r="U26"/>
      <c r="V26"/>
      <c r="W26"/>
      <c r="X26"/>
      <c r="Y26"/>
      <c r="Z26"/>
      <c r="AA26"/>
    </row>
    <row r="27" spans="1:27" ht="14.4">
      <c r="A27" t="s">
        <v>100</v>
      </c>
      <c r="B27" s="15" t="s">
        <v>97</v>
      </c>
      <c r="C27" s="15" t="str">
        <f>HYPERLINK("01-组织级\02-组织工作库\02-EPG活动库\06-过程推广\过程部署计划(QCUBIC-SPI-PIM-PSPreadPlan)V1.2-engl.docx", "engl")</f>
        <v>engl</v>
      </c>
      <c r="D27"/>
      <c r="E27"/>
      <c r="F27"/>
      <c r="G27"/>
      <c r="H27"/>
      <c r="I27"/>
      <c r="J27"/>
      <c r="K27"/>
      <c r="L27"/>
      <c r="M27"/>
      <c r="N27" t="s">
        <v>101</v>
      </c>
      <c r="O27"/>
      <c r="P27"/>
      <c r="Q27"/>
      <c r="R27"/>
      <c r="S27"/>
      <c r="T27"/>
      <c r="U27"/>
      <c r="V27"/>
      <c r="W27"/>
      <c r="X27"/>
      <c r="Y27"/>
      <c r="Z27"/>
      <c r="AA27"/>
    </row>
    <row r="28" spans="1:27" ht="14.4">
      <c r="A28"/>
      <c r="B28"/>
      <c r="C28"/>
      <c r="D28"/>
      <c r="E28"/>
      <c r="F28"/>
      <c r="G28"/>
      <c r="H28"/>
      <c r="I28"/>
      <c r="J28"/>
      <c r="K28"/>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mergeCells count="1">
    <mergeCell ref="E2:J2"/>
  </mergeCells>
  <phoneticPr fontId="61" type="noConversion"/>
  <hyperlinks>
    <hyperlink ref="B16" r:id="rId1" xr:uid="{E6F22DEC-FB7B-463A-B603-4EF14320AB72}"/>
    <hyperlink ref="B17" r:id="rId2" xr:uid="{83CEF22F-4D69-4D0F-B2A7-8F1FB168235F}"/>
    <hyperlink ref="B18" r:id="rId3" xr:uid="{F1336C1C-7BA2-468E-8208-3D732385E80B}"/>
    <hyperlink ref="B19" r:id="rId4" xr:uid="{D31C3628-2CAE-49F1-BD91-67BA7F1D1D9A}"/>
    <hyperlink ref="B20" r:id="rId5" xr:uid="{510ADA81-B65C-4DF7-AF53-E1525CC11CDF}"/>
    <hyperlink ref="B21" r:id="rId6" xr:uid="{B53FBF57-B0EC-4D62-AB99-98FDC4AE649C}"/>
    <hyperlink ref="B22" r:id="rId7" xr:uid="{5A025E1A-DF44-4608-A290-4FE21572D09D}"/>
    <hyperlink ref="B23" r:id="rId8" xr:uid="{D6F7D716-F833-4AA2-989D-216E3F65A5C0}"/>
    <hyperlink ref="B24" r:id="rId9" xr:uid="{DCE3CB10-2A6D-4C8E-9BB6-BA9BE8110366}"/>
    <hyperlink ref="B25" r:id="rId10" xr:uid="{9F71C8D4-8808-4607-BB6B-0068A4CD2B37}"/>
    <hyperlink ref="B26" r:id="rId11" xr:uid="{BDA8BDC1-2781-4CB3-BC4F-E76D713765A8}"/>
    <hyperlink ref="B27" r:id="rId12" xr:uid="{107D4254-C4CE-4CEE-8FD7-4F8DE8FE3501}"/>
  </hyperlinks>
  <pageMargins left="0.69930555555555596" right="0.69930555555555596"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F399A-D9B6-48A5-8A0E-9213D71210EA}">
  <sheetPr codeName="Sheet16">
    <tabColor rgb="FFB682B9"/>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50.33203125" style="115" customWidth="1"/>
    <col min="2" max="4" width="7.88671875" style="115" customWidth="1"/>
    <col min="5" max="6" width="15.6640625" style="115" customWidth="1"/>
    <col min="7" max="7" width="15.6640625" style="133" customWidth="1"/>
    <col min="8" max="15" width="15.6640625" style="115" customWidth="1"/>
    <col min="16" max="16" width="50.6640625" style="115" customWidth="1"/>
    <col min="17" max="17" width="3.6640625" style="115" customWidth="1"/>
    <col min="18" max="18" width="45.6640625" style="115" bestFit="1" customWidth="1"/>
    <col min="19" max="19" width="58.6640625" style="115" customWidth="1"/>
    <col min="20" max="16384" width="8.6640625" style="115"/>
  </cols>
  <sheetData>
    <row r="1" spans="1:27" s="135" customFormat="1" ht="18">
      <c r="A1" s="102" t="s">
        <v>443</v>
      </c>
      <c r="B1" s="102"/>
      <c r="C1" s="102"/>
      <c r="D1" s="102"/>
      <c r="E1" s="103"/>
      <c r="F1" s="104"/>
      <c r="G1" s="133"/>
      <c r="H1" s="104"/>
      <c r="I1" s="104"/>
      <c r="J1" s="104"/>
      <c r="K1" s="104"/>
      <c r="L1" s="104"/>
      <c r="M1" s="104"/>
      <c r="N1" s="104"/>
      <c r="O1" s="104"/>
      <c r="P1" s="104"/>
      <c r="Q1" s="104"/>
      <c r="R1" s="104"/>
      <c r="S1" s="104"/>
      <c r="T1" s="104"/>
    </row>
    <row r="2" spans="1:27" s="136" customFormat="1">
      <c r="A2" s="107" t="s">
        <v>23</v>
      </c>
      <c r="B2" s="107"/>
      <c r="C2" s="107"/>
      <c r="D2" s="107"/>
      <c r="E2" s="104" t="s">
        <v>444</v>
      </c>
      <c r="F2" s="104"/>
      <c r="G2" s="133"/>
      <c r="H2" s="104"/>
      <c r="I2" s="104"/>
      <c r="J2" s="104"/>
      <c r="K2" s="104"/>
      <c r="L2" s="104"/>
      <c r="M2" s="104"/>
      <c r="N2" s="104"/>
      <c r="O2" s="104"/>
      <c r="P2" s="104"/>
      <c r="Q2" s="104"/>
      <c r="R2" s="104"/>
      <c r="S2" s="104"/>
      <c r="T2" s="104"/>
    </row>
    <row r="3" spans="1:27" s="135" customFormat="1">
      <c r="A3" s="104" t="s">
        <v>25</v>
      </c>
      <c r="B3" s="104"/>
      <c r="C3" s="104"/>
      <c r="D3" s="104"/>
      <c r="E3" s="104" t="s">
        <v>445</v>
      </c>
      <c r="F3" s="104"/>
      <c r="G3" s="133"/>
      <c r="H3" s="104"/>
      <c r="I3" s="104"/>
      <c r="J3" s="104"/>
      <c r="K3" s="104"/>
      <c r="L3" s="104"/>
      <c r="M3" s="104"/>
      <c r="N3" s="104"/>
      <c r="O3" s="104"/>
      <c r="P3" s="104"/>
      <c r="Q3" s="104"/>
      <c r="R3" s="104"/>
      <c r="S3" s="104"/>
      <c r="T3" s="104"/>
    </row>
    <row r="4" spans="1:27" s="135" customFormat="1">
      <c r="A4" s="108"/>
      <c r="B4" s="108"/>
      <c r="C4" s="108"/>
      <c r="D4" s="108"/>
      <c r="E4" s="109" t="s">
        <v>27</v>
      </c>
      <c r="F4" s="110" t="s">
        <v>28</v>
      </c>
      <c r="G4" s="110"/>
      <c r="H4" s="111"/>
      <c r="I4" s="113" t="s">
        <v>29</v>
      </c>
      <c r="J4" s="147"/>
      <c r="K4" s="147"/>
      <c r="L4" s="147"/>
      <c r="M4" s="113"/>
      <c r="N4" s="113"/>
      <c r="O4" s="113"/>
      <c r="P4" s="104"/>
      <c r="Q4" s="104"/>
      <c r="R4" s="104"/>
      <c r="S4" s="104"/>
      <c r="T4" s="104"/>
    </row>
    <row r="5" spans="1:27">
      <c r="E5" s="116" t="s">
        <v>30</v>
      </c>
      <c r="F5" s="117" t="s">
        <v>31</v>
      </c>
      <c r="G5" s="117"/>
      <c r="H5" s="111"/>
      <c r="I5" s="113" t="s">
        <v>32</v>
      </c>
      <c r="J5" s="147"/>
      <c r="K5" s="147"/>
      <c r="L5" s="147"/>
      <c r="M5" s="118"/>
      <c r="N5" s="118"/>
      <c r="O5" s="113"/>
      <c r="P5" s="104"/>
      <c r="Q5" s="104"/>
      <c r="R5" s="104"/>
    </row>
    <row r="6" spans="1:27">
      <c r="A6" s="132"/>
      <c r="B6" s="132"/>
      <c r="C6" s="132"/>
      <c r="D6" s="132"/>
      <c r="E6" s="178" t="s">
        <v>446</v>
      </c>
      <c r="F6" s="179" t="s">
        <v>447</v>
      </c>
      <c r="G6" s="179" t="s">
        <v>448</v>
      </c>
      <c r="H6" s="179" t="s">
        <v>449</v>
      </c>
      <c r="I6" s="180" t="s">
        <v>450</v>
      </c>
      <c r="J6" s="180" t="s">
        <v>451</v>
      </c>
      <c r="K6" s="180" t="s">
        <v>452</v>
      </c>
      <c r="L6" s="180" t="s">
        <v>453</v>
      </c>
      <c r="M6" s="180" t="s">
        <v>454</v>
      </c>
      <c r="N6" s="180" t="s">
        <v>455</v>
      </c>
      <c r="O6" s="181" t="s">
        <v>456</v>
      </c>
      <c r="P6" s="167"/>
      <c r="Q6" s="167"/>
      <c r="R6" s="167"/>
    </row>
    <row r="7" spans="1:27" ht="124.2">
      <c r="A7" s="121" t="s">
        <v>174</v>
      </c>
      <c r="B7" s="121"/>
      <c r="C7" s="121"/>
      <c r="D7" s="121"/>
      <c r="E7" s="94" t="s">
        <v>457</v>
      </c>
      <c r="F7" s="94" t="s">
        <v>458</v>
      </c>
      <c r="G7" s="94" t="s">
        <v>459</v>
      </c>
      <c r="H7" s="94" t="s">
        <v>460</v>
      </c>
      <c r="I7" s="94" t="s">
        <v>461</v>
      </c>
      <c r="J7" s="94" t="s">
        <v>462</v>
      </c>
      <c r="K7" s="94" t="s">
        <v>463</v>
      </c>
      <c r="L7" s="94" t="s">
        <v>464</v>
      </c>
      <c r="M7" s="94" t="s">
        <v>465</v>
      </c>
      <c r="N7" s="94" t="s">
        <v>466</v>
      </c>
      <c r="O7" s="94" t="s">
        <v>467</v>
      </c>
      <c r="P7" s="90"/>
      <c r="Q7" s="90"/>
      <c r="R7" s="90"/>
    </row>
    <row r="8" spans="1:27" ht="71.400000000000006">
      <c r="A8" s="132" t="s">
        <v>54</v>
      </c>
      <c r="B8" s="132"/>
      <c r="C8" s="132"/>
      <c r="D8" s="132"/>
      <c r="E8" s="130" t="s">
        <v>468</v>
      </c>
      <c r="F8" s="148" t="s">
        <v>469</v>
      </c>
      <c r="G8" s="148" t="s">
        <v>470</v>
      </c>
      <c r="H8" s="148" t="s">
        <v>471</v>
      </c>
      <c r="I8" s="148" t="s">
        <v>472</v>
      </c>
      <c r="J8" s="148" t="s">
        <v>473</v>
      </c>
      <c r="K8" s="148" t="s">
        <v>474</v>
      </c>
      <c r="L8" s="148" t="s">
        <v>475</v>
      </c>
      <c r="M8" s="148" t="s">
        <v>476</v>
      </c>
      <c r="N8" s="148" t="s">
        <v>477</v>
      </c>
      <c r="O8" s="148" t="s">
        <v>478</v>
      </c>
      <c r="P8" s="124"/>
      <c r="Q8" s="124"/>
      <c r="R8" s="124"/>
    </row>
    <row r="9" spans="1:27" ht="165" customHeight="1">
      <c r="A9" s="132" t="s">
        <v>65</v>
      </c>
      <c r="B9" s="132"/>
      <c r="C9" s="132"/>
      <c r="D9" s="132"/>
      <c r="E9" s="122" t="s">
        <v>479</v>
      </c>
      <c r="F9" s="122" t="s">
        <v>480</v>
      </c>
      <c r="G9" s="122" t="s">
        <v>481</v>
      </c>
      <c r="H9" s="122" t="s">
        <v>482</v>
      </c>
      <c r="I9" s="122" t="s">
        <v>483</v>
      </c>
      <c r="J9" s="122" t="s">
        <v>484</v>
      </c>
      <c r="K9" s="122" t="s">
        <v>485</v>
      </c>
      <c r="L9" s="122" t="s">
        <v>486</v>
      </c>
      <c r="M9" s="122" t="s">
        <v>487</v>
      </c>
      <c r="N9" s="122" t="s">
        <v>488</v>
      </c>
      <c r="O9" s="122" t="s">
        <v>489</v>
      </c>
      <c r="P9" s="124"/>
      <c r="Q9" s="124"/>
      <c r="R9" s="124"/>
    </row>
    <row r="10" spans="1:27" ht="124.2">
      <c r="A10" s="119" t="s">
        <v>76</v>
      </c>
      <c r="B10" s="119"/>
      <c r="C10" s="119"/>
      <c r="D10" s="119"/>
      <c r="E10" s="182"/>
      <c r="F10" s="99" t="s">
        <v>490</v>
      </c>
      <c r="G10" s="99" t="s">
        <v>491</v>
      </c>
      <c r="H10" s="99" t="s">
        <v>492</v>
      </c>
      <c r="I10" s="99" t="s">
        <v>493</v>
      </c>
      <c r="J10" s="99" t="s">
        <v>494</v>
      </c>
      <c r="K10" s="99" t="s">
        <v>495</v>
      </c>
      <c r="L10" s="99" t="s">
        <v>496</v>
      </c>
      <c r="M10" s="100" t="str">
        <f>K10</f>
        <v>- (2.3) How are the process assets made available for use in the organisation?</v>
      </c>
      <c r="N10" s="99" t="s">
        <v>497</v>
      </c>
      <c r="O10" s="99" t="s">
        <v>498</v>
      </c>
      <c r="P10" s="149"/>
      <c r="Q10" s="149"/>
      <c r="R10" s="149"/>
    </row>
    <row r="11" spans="1:27" ht="69">
      <c r="A11" s="158" t="s">
        <v>86</v>
      </c>
      <c r="B11" s="158"/>
      <c r="C11" s="158"/>
      <c r="D11" s="158"/>
      <c r="E11" s="99"/>
      <c r="F11" s="160" t="s">
        <v>499</v>
      </c>
      <c r="G11" s="99" t="s">
        <v>500</v>
      </c>
      <c r="H11" s="99" t="s">
        <v>501</v>
      </c>
      <c r="I11" s="99" t="s">
        <v>502</v>
      </c>
      <c r="J11" s="99" t="s">
        <v>503</v>
      </c>
      <c r="K11" s="99" t="s">
        <v>504</v>
      </c>
      <c r="L11" s="99" t="s">
        <v>505</v>
      </c>
      <c r="M11" s="99" t="str">
        <f>K11</f>
        <v>—(2.3)如何使过程资产在组织中可用?</v>
      </c>
      <c r="N11" s="99" t="s">
        <v>506</v>
      </c>
      <c r="O11" s="99" t="s">
        <v>507</v>
      </c>
      <c r="P11" s="149"/>
      <c r="Q11" s="149"/>
      <c r="R11" s="149"/>
    </row>
    <row r="15" spans="1:27" customFormat="1" ht="14.4">
      <c r="A15" t="s">
        <v>96</v>
      </c>
      <c r="B15" t="s">
        <v>97</v>
      </c>
      <c r="C15" t="s">
        <v>98</v>
      </c>
      <c r="D15" s="309" t="s">
        <v>99</v>
      </c>
      <c r="E15" s="14" t="s">
        <v>446</v>
      </c>
      <c r="F15" s="14" t="s">
        <v>447</v>
      </c>
      <c r="G15" s="14" t="s">
        <v>448</v>
      </c>
      <c r="H15" s="14" t="s">
        <v>449</v>
      </c>
      <c r="I15" s="14" t="s">
        <v>450</v>
      </c>
      <c r="J15" s="14" t="s">
        <v>451</v>
      </c>
      <c r="K15" s="14" t="s">
        <v>452</v>
      </c>
      <c r="L15" s="14" t="s">
        <v>453</v>
      </c>
      <c r="M15" s="14" t="s">
        <v>454</v>
      </c>
      <c r="N15" s="14" t="s">
        <v>455</v>
      </c>
      <c r="O15" s="14" t="s">
        <v>456</v>
      </c>
    </row>
    <row r="16" spans="1:27" s="114" customFormat="1" ht="14.4">
      <c r="A16" t="s">
        <v>100</v>
      </c>
      <c r="B16" s="15" t="s">
        <v>97</v>
      </c>
      <c r="C16"/>
      <c r="D16"/>
      <c r="E16" t="s">
        <v>101</v>
      </c>
      <c r="F16" t="s">
        <v>101</v>
      </c>
      <c r="G16" t="s">
        <v>101</v>
      </c>
      <c r="H16"/>
      <c r="I16"/>
      <c r="J16"/>
      <c r="K16"/>
      <c r="L16"/>
      <c r="M16" t="s">
        <v>101</v>
      </c>
      <c r="N16"/>
      <c r="O16"/>
      <c r="P16"/>
      <c r="Q16"/>
      <c r="R16"/>
      <c r="S16"/>
      <c r="T16"/>
      <c r="U16"/>
      <c r="V16"/>
      <c r="W16"/>
      <c r="X16"/>
      <c r="Y16"/>
      <c r="Z16"/>
      <c r="AA16"/>
    </row>
    <row r="17" spans="1:27" ht="14.4">
      <c r="A17" t="s">
        <v>100</v>
      </c>
      <c r="B17" s="15" t="s">
        <v>97</v>
      </c>
      <c r="C17"/>
      <c r="D17"/>
      <c r="E17"/>
      <c r="F17"/>
      <c r="G17" t="s">
        <v>101</v>
      </c>
      <c r="H17"/>
      <c r="I17"/>
      <c r="J17"/>
      <c r="K17"/>
      <c r="L17"/>
      <c r="M17"/>
      <c r="N17"/>
      <c r="O17"/>
      <c r="P17"/>
      <c r="Q17"/>
      <c r="R17"/>
      <c r="S17"/>
      <c r="T17"/>
      <c r="U17"/>
      <c r="V17"/>
      <c r="W17"/>
      <c r="X17"/>
      <c r="Y17"/>
      <c r="Z17"/>
      <c r="AA17"/>
    </row>
    <row r="18" spans="1:27" ht="14.4">
      <c r="A18" t="s">
        <v>100</v>
      </c>
      <c r="B18" s="15" t="s">
        <v>97</v>
      </c>
      <c r="C18"/>
      <c r="D18"/>
      <c r="E18"/>
      <c r="F18"/>
      <c r="G18"/>
      <c r="H18" t="s">
        <v>101</v>
      </c>
      <c r="I18" t="s">
        <v>101</v>
      </c>
      <c r="J18" t="s">
        <v>101</v>
      </c>
      <c r="K18" t="s">
        <v>101</v>
      </c>
      <c r="L18"/>
      <c r="M18"/>
      <c r="N18"/>
      <c r="O18"/>
      <c r="P18"/>
      <c r="Q18"/>
      <c r="R18"/>
      <c r="S18"/>
      <c r="T18"/>
      <c r="U18"/>
      <c r="V18"/>
      <c r="W18"/>
      <c r="X18"/>
      <c r="Y18"/>
      <c r="Z18"/>
      <c r="AA18"/>
    </row>
    <row r="19" spans="1:27" ht="14.4">
      <c r="A19" t="s">
        <v>100</v>
      </c>
      <c r="B19" s="15" t="s">
        <v>97</v>
      </c>
      <c r="C19" s="15" t="str">
        <f>HYPERLINK("01-组织级\02-组织工作库\02-EPG活动库\03-过程改进计划\过程改进计划(QCUBIC-SPI-PIM-PIPlan)V1.2-engl.docx", "engl")</f>
        <v>engl</v>
      </c>
      <c r="D19"/>
      <c r="E19"/>
      <c r="F19"/>
      <c r="G19"/>
      <c r="H19"/>
      <c r="I19" t="s">
        <v>101</v>
      </c>
      <c r="J19"/>
      <c r="K19"/>
      <c r="L19"/>
      <c r="M19"/>
      <c r="N19"/>
      <c r="O19"/>
      <c r="P19"/>
      <c r="Q19"/>
      <c r="R19"/>
      <c r="S19"/>
      <c r="T19"/>
      <c r="U19"/>
      <c r="V19"/>
      <c r="W19"/>
      <c r="X19"/>
      <c r="Y19"/>
      <c r="Z19"/>
      <c r="AA19"/>
    </row>
    <row r="20" spans="1:27" ht="14.4">
      <c r="A20" t="s">
        <v>100</v>
      </c>
      <c r="B20" s="15" t="s">
        <v>97</v>
      </c>
      <c r="C20" s="15" t="str">
        <f>HYPERLINK("01-组织级\01-组织财富库\01-标准过程文件库\04-组织过程类\02-过程资产管理\过程资产库管理指南 (QCUBIC-SPI-OPAL-Guid-Assetlib)V1.2-engl.docx", "engl")</f>
        <v>engl</v>
      </c>
      <c r="D20"/>
      <c r="E20"/>
      <c r="F20"/>
      <c r="G20"/>
      <c r="H20"/>
      <c r="I20" t="s">
        <v>101</v>
      </c>
      <c r="J20"/>
      <c r="K20"/>
      <c r="L20"/>
      <c r="M20"/>
      <c r="N20"/>
      <c r="O20"/>
      <c r="P20"/>
      <c r="Q20"/>
      <c r="R20"/>
      <c r="S20"/>
      <c r="T20"/>
      <c r="U20"/>
      <c r="V20"/>
      <c r="W20"/>
      <c r="X20"/>
      <c r="Y20"/>
      <c r="Z20"/>
      <c r="AA20"/>
    </row>
    <row r="21" spans="1:27" ht="14.4">
      <c r="A21" t="s">
        <v>100</v>
      </c>
      <c r="B21" s="15" t="s">
        <v>97</v>
      </c>
      <c r="C21" s="15" t="str">
        <f>HYPERLINK("01-组织级\01-组织财富库\01-标准过程文件库\04-组织过程类\02-过程资产管理\过程资产管理过程文件 (QCUBIC-SPI-OPAL-Proc-Doc)V1.2-engl.docx", "engl")</f>
        <v>engl</v>
      </c>
      <c r="D21"/>
      <c r="E21"/>
      <c r="F21"/>
      <c r="G21"/>
      <c r="H21"/>
      <c r="I21" t="s">
        <v>101</v>
      </c>
      <c r="J21"/>
      <c r="K21"/>
      <c r="L21"/>
      <c r="M21"/>
      <c r="N21"/>
      <c r="O21"/>
      <c r="P21"/>
      <c r="Q21"/>
      <c r="R21"/>
      <c r="S21"/>
      <c r="T21"/>
      <c r="U21"/>
      <c r="V21"/>
      <c r="W21"/>
      <c r="X21"/>
      <c r="Y21"/>
      <c r="Z21"/>
      <c r="AA21"/>
    </row>
    <row r="22" spans="1:27" ht="14.4">
      <c r="A22" t="s">
        <v>100</v>
      </c>
      <c r="B22" s="15" t="s">
        <v>97</v>
      </c>
      <c r="C22"/>
      <c r="D22"/>
      <c r="E22"/>
      <c r="F22"/>
      <c r="G22"/>
      <c r="H22"/>
      <c r="I22"/>
      <c r="J22" t="s">
        <v>101</v>
      </c>
      <c r="K22"/>
      <c r="L22"/>
      <c r="M22"/>
      <c r="N22"/>
      <c r="O22"/>
      <c r="P22"/>
      <c r="Q22"/>
      <c r="R22"/>
      <c r="S22"/>
      <c r="T22"/>
      <c r="U22"/>
      <c r="V22"/>
      <c r="W22"/>
      <c r="X22"/>
      <c r="Y22"/>
      <c r="Z22"/>
      <c r="AA22"/>
    </row>
    <row r="23" spans="1:27" ht="14.4">
      <c r="A23" t="s">
        <v>100</v>
      </c>
      <c r="B23" s="15" t="s">
        <v>97</v>
      </c>
      <c r="C23"/>
      <c r="D23"/>
      <c r="E23"/>
      <c r="F23"/>
      <c r="G23"/>
      <c r="H23"/>
      <c r="I23"/>
      <c r="J23" t="s">
        <v>101</v>
      </c>
      <c r="K23"/>
      <c r="L23"/>
      <c r="M23"/>
      <c r="N23"/>
      <c r="O23"/>
      <c r="P23"/>
      <c r="Q23"/>
      <c r="R23"/>
      <c r="S23"/>
      <c r="T23"/>
      <c r="U23"/>
      <c r="V23"/>
      <c r="W23"/>
      <c r="X23"/>
      <c r="Y23"/>
      <c r="Z23"/>
      <c r="AA23"/>
    </row>
    <row r="24" spans="1:27" ht="14.4">
      <c r="A24" t="s">
        <v>100</v>
      </c>
      <c r="B24" s="15" t="s">
        <v>97</v>
      </c>
      <c r="C24" s="15" t="str">
        <f>HYPERLINK("01-组织级\01-组织财富库\01-标准过程文件库\04-组织过程类\02-过程资产管理\裁剪指南 (QCUBIC-SPI-OPAL-Guid-Tailor)V1.2-engl.xlsx", "engl")</f>
        <v>engl</v>
      </c>
      <c r="D24"/>
      <c r="E24"/>
      <c r="F24"/>
      <c r="G24"/>
      <c r="H24"/>
      <c r="I24"/>
      <c r="J24"/>
      <c r="K24"/>
      <c r="L24" t="s">
        <v>101</v>
      </c>
      <c r="M24"/>
      <c r="N24"/>
      <c r="O24"/>
      <c r="P24"/>
      <c r="Q24"/>
      <c r="R24"/>
      <c r="S24"/>
      <c r="T24"/>
      <c r="U24"/>
      <c r="V24"/>
      <c r="W24"/>
      <c r="X24"/>
      <c r="Y24"/>
      <c r="Z24"/>
      <c r="AA24"/>
    </row>
    <row r="25" spans="1:27" ht="14.4">
      <c r="A25" t="s">
        <v>100</v>
      </c>
      <c r="B25" s="15" t="s">
        <v>97</v>
      </c>
      <c r="C25" s="15" t="str">
        <f>HYPERLINK("01-组织级\01-组织财富库\01-标准过程文件库\04-组织过程类\02-过程资产管理\工作环境标准(QCUBIC-SPI-OPAL-Std-Environment)V1.2(1)-engl.docx", "engl")</f>
        <v>engl</v>
      </c>
      <c r="D25"/>
      <c r="E25"/>
      <c r="F25"/>
      <c r="G25"/>
      <c r="H25"/>
      <c r="I25"/>
      <c r="J25"/>
      <c r="K25"/>
      <c r="L25"/>
      <c r="M25"/>
      <c r="N25" t="s">
        <v>101</v>
      </c>
      <c r="O25"/>
      <c r="P25"/>
      <c r="Q25"/>
      <c r="R25"/>
      <c r="S25"/>
      <c r="T25"/>
      <c r="U25"/>
      <c r="V25"/>
      <c r="W25"/>
      <c r="X25"/>
      <c r="Y25"/>
      <c r="Z25"/>
      <c r="AA25"/>
    </row>
    <row r="26" spans="1:27" s="114" customFormat="1" ht="14.4">
      <c r="A26" t="s">
        <v>100</v>
      </c>
      <c r="B26" s="15" t="s">
        <v>97</v>
      </c>
      <c r="C26" s="15" t="str">
        <f>HYPERLINK("01-组织级\02-组织工作库\06-度量\组织度量表(QCUBIC-SPI-MPM-Tem-datasheet)V1.3-engl.xlsx", "engl")</f>
        <v>engl</v>
      </c>
      <c r="D26"/>
      <c r="E26"/>
      <c r="F26"/>
      <c r="G26"/>
      <c r="H26"/>
      <c r="I26"/>
      <c r="J26"/>
      <c r="K26"/>
      <c r="L26"/>
      <c r="M26"/>
      <c r="N26"/>
      <c r="O26" t="s">
        <v>101</v>
      </c>
      <c r="P26"/>
      <c r="Q26"/>
      <c r="R26"/>
      <c r="S26"/>
      <c r="T26"/>
      <c r="U26"/>
      <c r="V26"/>
      <c r="W26"/>
      <c r="X26"/>
      <c r="Y26"/>
      <c r="Z26"/>
      <c r="AA26"/>
    </row>
    <row r="27" spans="1:27" ht="14.4">
      <c r="A27" t="s">
        <v>100</v>
      </c>
      <c r="B27" s="15" t="s">
        <v>97</v>
      </c>
      <c r="C27" s="15" t="str">
        <f>HYPERLINK("01-组织级\01-组织财富库\01-标准过程文件库\03-支持类\03-度量分析\度量分析指南 (QCUBIC-SPI-MPM-Guid-Doc)V1.2-engl.docx", "engl")</f>
        <v>engl</v>
      </c>
      <c r="D27"/>
      <c r="E27"/>
      <c r="F27"/>
      <c r="G27"/>
      <c r="H27"/>
      <c r="I27"/>
      <c r="J27"/>
      <c r="K27"/>
      <c r="L27"/>
      <c r="M27"/>
      <c r="N27"/>
      <c r="O27" t="s">
        <v>101</v>
      </c>
      <c r="P27"/>
      <c r="Q27"/>
      <c r="R27"/>
      <c r="S27"/>
      <c r="T27"/>
      <c r="U27"/>
      <c r="V27"/>
      <c r="W27"/>
      <c r="X27"/>
      <c r="Y27"/>
      <c r="Z27"/>
      <c r="AA27"/>
    </row>
    <row r="28" spans="1:27" ht="14.4">
      <c r="A28"/>
      <c r="B28"/>
      <c r="C28"/>
      <c r="D28"/>
      <c r="E28"/>
      <c r="F28"/>
      <c r="G28"/>
      <c r="H28"/>
      <c r="I28"/>
      <c r="J28"/>
      <c r="K28"/>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856CFCD9-686D-445C-B11D-FFFCBFBBA357}"/>
    <hyperlink ref="B17" r:id="rId2" xr:uid="{DDDEF4A2-0588-4A39-A84D-6A2B6108C844}"/>
    <hyperlink ref="B18" r:id="rId3" xr:uid="{74708407-86E3-4435-99D9-905C3A2F324C}"/>
    <hyperlink ref="B19" r:id="rId4" xr:uid="{917C9242-0A41-4B07-9E67-41493BBB9EE0}"/>
    <hyperlink ref="B20" r:id="rId5" xr:uid="{F9D0B17D-F12A-4B4D-999B-E78E8E8DC853}"/>
    <hyperlink ref="B21" r:id="rId6" xr:uid="{2215B2AC-5083-4CF7-B7F1-2DBDC1DAB793}"/>
    <hyperlink ref="B22" r:id="rId7" xr:uid="{5C2FB4A4-1F66-4112-823D-910547D6BE9C}"/>
    <hyperlink ref="B23" r:id="rId8" xr:uid="{8A7687D1-AE98-48DC-9310-17362C777F1B}"/>
    <hyperlink ref="B24" r:id="rId9" xr:uid="{2EF1DD6C-2447-41A9-A6FB-05A54B16747C}"/>
    <hyperlink ref="B25" r:id="rId10" xr:uid="{9D740496-A08C-4040-9651-E6BC8B469D14}"/>
    <hyperlink ref="B26" r:id="rId11" xr:uid="{E911B618-5214-421B-B3BC-60759D329654}"/>
    <hyperlink ref="B27" r:id="rId12" xr:uid="{0EF7D82F-D2A4-43CC-B19F-046707C355F2}"/>
  </hyperlinks>
  <pageMargins left="0.69930555555555596" right="0.69930555555555596"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EB9D2-A151-40F1-9597-4E5BAB08BE14}">
  <sheetPr codeName="Sheet17">
    <tabColor rgb="FFB682B9"/>
  </sheetPr>
  <dimension ref="A1:AF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88671875" defaultRowHeight="14.4"/>
  <cols>
    <col min="1" max="1" width="39.6640625" style="114" customWidth="1"/>
    <col min="2" max="4" width="7.88671875" style="114" customWidth="1"/>
    <col min="5" max="8" width="12.6640625" style="114" customWidth="1"/>
    <col min="9" max="26" width="14.6640625" style="114" customWidth="1"/>
    <col min="27" max="27" width="10.109375" style="114" customWidth="1"/>
    <col min="28" max="28" width="3.6640625" style="114" customWidth="1"/>
    <col min="29" max="29" width="32.109375" style="114" bestFit="1" customWidth="1"/>
    <col min="30" max="30" width="72" style="114" customWidth="1"/>
    <col min="31" max="32" width="16.6640625" style="114" customWidth="1"/>
    <col min="33" max="33" width="61.88671875" style="114" customWidth="1"/>
    <col min="34" max="16384" width="8.88671875" style="114"/>
  </cols>
  <sheetData>
    <row r="1" spans="1:32" ht="21">
      <c r="A1" s="183" t="s">
        <v>508</v>
      </c>
      <c r="B1" s="183"/>
      <c r="C1" s="183"/>
      <c r="D1" s="183"/>
      <c r="E1" s="184"/>
      <c r="F1" s="184"/>
      <c r="G1" s="184"/>
      <c r="H1" s="184"/>
      <c r="I1" s="184"/>
      <c r="J1" s="184"/>
      <c r="K1" s="184"/>
      <c r="L1" s="184"/>
      <c r="M1" s="314"/>
      <c r="N1" s="314"/>
      <c r="O1" s="314"/>
      <c r="P1" s="314"/>
      <c r="Q1" s="314"/>
      <c r="R1" s="314"/>
    </row>
    <row r="2" spans="1:32" ht="15.6">
      <c r="A2" s="185" t="s">
        <v>23</v>
      </c>
      <c r="B2" s="185"/>
      <c r="C2" s="185"/>
      <c r="D2" s="185"/>
      <c r="E2" s="186" t="s">
        <v>509</v>
      </c>
      <c r="F2" s="186"/>
      <c r="G2" s="186"/>
      <c r="H2" s="186"/>
      <c r="I2" s="186"/>
      <c r="J2" s="186"/>
      <c r="K2" s="186"/>
      <c r="L2" s="186"/>
      <c r="M2" s="186"/>
      <c r="S2" s="187"/>
      <c r="X2" s="120"/>
    </row>
    <row r="3" spans="1:32" ht="15.6">
      <c r="A3" s="185" t="s">
        <v>25</v>
      </c>
      <c r="B3" s="185"/>
      <c r="C3" s="185"/>
      <c r="D3" s="185"/>
      <c r="E3" s="186" t="s">
        <v>510</v>
      </c>
      <c r="F3" s="186"/>
      <c r="G3" s="186"/>
      <c r="H3" s="186"/>
      <c r="I3" s="186"/>
      <c r="J3" s="186"/>
      <c r="K3" s="186"/>
      <c r="L3" s="186"/>
      <c r="M3" s="186"/>
    </row>
    <row r="4" spans="1:32" ht="15.6">
      <c r="A4" s="185"/>
      <c r="B4" s="185"/>
      <c r="C4" s="185"/>
      <c r="D4" s="185"/>
      <c r="E4" s="188" t="s">
        <v>27</v>
      </c>
      <c r="F4" s="188"/>
      <c r="G4" s="189" t="s">
        <v>28</v>
      </c>
      <c r="H4" s="189"/>
      <c r="I4" s="189"/>
      <c r="J4" s="189"/>
      <c r="K4" s="189"/>
      <c r="L4" s="189"/>
      <c r="M4" s="190" t="s">
        <v>29</v>
      </c>
      <c r="N4" s="191"/>
      <c r="O4" s="191"/>
      <c r="P4" s="191"/>
      <c r="Q4" s="191"/>
      <c r="R4" s="191"/>
      <c r="S4" s="170" t="s">
        <v>371</v>
      </c>
      <c r="T4" s="170"/>
      <c r="U4" s="170"/>
      <c r="V4" s="170"/>
      <c r="W4" s="170"/>
      <c r="X4" s="192" t="s">
        <v>511</v>
      </c>
      <c r="Y4" s="192"/>
      <c r="Z4" s="192"/>
    </row>
    <row r="5" spans="1:32">
      <c r="E5" s="116" t="s">
        <v>30</v>
      </c>
      <c r="F5" s="193"/>
      <c r="G5" s="117" t="s">
        <v>31</v>
      </c>
      <c r="H5" s="194"/>
      <c r="I5" s="194"/>
      <c r="J5" s="194"/>
      <c r="K5" s="194"/>
      <c r="L5" s="110"/>
      <c r="M5" s="113" t="s">
        <v>32</v>
      </c>
      <c r="N5" s="191"/>
      <c r="O5" s="191"/>
      <c r="P5" s="191"/>
      <c r="Q5" s="191"/>
      <c r="R5" s="191"/>
      <c r="S5" s="171" t="s">
        <v>372</v>
      </c>
      <c r="T5" s="170"/>
      <c r="U5" s="170"/>
      <c r="V5" s="170"/>
      <c r="W5" s="170"/>
      <c r="X5" s="195" t="s">
        <v>512</v>
      </c>
      <c r="Y5" s="192"/>
      <c r="Z5" s="192"/>
    </row>
    <row r="6" spans="1:32">
      <c r="A6" s="119"/>
      <c r="B6" s="119"/>
      <c r="C6" s="119"/>
      <c r="D6" s="119"/>
      <c r="E6" s="172" t="s">
        <v>513</v>
      </c>
      <c r="F6" s="172" t="s">
        <v>514</v>
      </c>
      <c r="G6" s="87" t="s">
        <v>515</v>
      </c>
      <c r="H6" s="87" t="s">
        <v>516</v>
      </c>
      <c r="I6" s="87" t="s">
        <v>517</v>
      </c>
      <c r="J6" s="87" t="s">
        <v>518</v>
      </c>
      <c r="K6" s="196" t="s">
        <v>519</v>
      </c>
      <c r="L6" s="87" t="s">
        <v>520</v>
      </c>
      <c r="M6" s="197" t="s">
        <v>521</v>
      </c>
      <c r="N6" s="88" t="s">
        <v>522</v>
      </c>
      <c r="O6" s="88" t="s">
        <v>523</v>
      </c>
      <c r="P6" s="88" t="s">
        <v>524</v>
      </c>
      <c r="Q6" s="88" t="s">
        <v>525</v>
      </c>
      <c r="R6" s="88" t="s">
        <v>526</v>
      </c>
      <c r="S6" s="198" t="s">
        <v>527</v>
      </c>
      <c r="T6" s="198" t="s">
        <v>528</v>
      </c>
      <c r="U6" s="198" t="s">
        <v>529</v>
      </c>
      <c r="V6" s="198" t="s">
        <v>530</v>
      </c>
      <c r="W6" s="198" t="s">
        <v>531</v>
      </c>
      <c r="X6" s="169" t="s">
        <v>532</v>
      </c>
      <c r="Y6" s="169" t="s">
        <v>533</v>
      </c>
      <c r="Z6" s="199" t="s">
        <v>534</v>
      </c>
      <c r="AA6" s="90"/>
      <c r="AB6" s="90"/>
      <c r="AC6" s="90"/>
      <c r="AD6" s="315"/>
      <c r="AE6" s="315"/>
      <c r="AF6" s="315"/>
    </row>
    <row r="7" spans="1:32" ht="172.35" customHeight="1">
      <c r="A7" s="121" t="s">
        <v>174</v>
      </c>
      <c r="B7" s="121"/>
      <c r="C7" s="121"/>
      <c r="D7" s="121"/>
      <c r="E7" s="94" t="s">
        <v>535</v>
      </c>
      <c r="F7" s="94" t="s">
        <v>536</v>
      </c>
      <c r="G7" s="94" t="s">
        <v>537</v>
      </c>
      <c r="H7" s="94" t="s">
        <v>538</v>
      </c>
      <c r="I7" s="94" t="s">
        <v>539</v>
      </c>
      <c r="J7" s="94" t="s">
        <v>540</v>
      </c>
      <c r="K7" s="94" t="s">
        <v>541</v>
      </c>
      <c r="L7" s="94" t="s">
        <v>542</v>
      </c>
      <c r="M7" s="200" t="s">
        <v>543</v>
      </c>
      <c r="N7" s="94" t="s">
        <v>544</v>
      </c>
      <c r="O7" s="94" t="s">
        <v>545</v>
      </c>
      <c r="P7" s="94" t="s">
        <v>546</v>
      </c>
      <c r="Q7" s="94" t="s">
        <v>547</v>
      </c>
      <c r="R7" s="94" t="s">
        <v>548</v>
      </c>
      <c r="S7" s="94" t="s">
        <v>549</v>
      </c>
      <c r="T7" s="94" t="s">
        <v>550</v>
      </c>
      <c r="U7" s="94" t="s">
        <v>551</v>
      </c>
      <c r="V7" s="94" t="s">
        <v>552</v>
      </c>
      <c r="W7" s="94" t="s">
        <v>553</v>
      </c>
      <c r="X7" s="94" t="s">
        <v>554</v>
      </c>
      <c r="Y7" s="94" t="s">
        <v>555</v>
      </c>
      <c r="Z7" s="201" t="s">
        <v>556</v>
      </c>
      <c r="AA7" s="90"/>
      <c r="AB7" s="90"/>
      <c r="AC7" s="90"/>
    </row>
    <row r="8" spans="1:32" ht="117.6" customHeight="1">
      <c r="A8" s="119" t="s">
        <v>54</v>
      </c>
      <c r="B8" s="119"/>
      <c r="C8" s="119"/>
      <c r="D8" s="119"/>
      <c r="E8" s="130" t="s">
        <v>557</v>
      </c>
      <c r="F8" s="130" t="s">
        <v>558</v>
      </c>
      <c r="G8" s="130" t="s">
        <v>559</v>
      </c>
      <c r="H8" s="130" t="s">
        <v>560</v>
      </c>
      <c r="I8" s="130" t="s">
        <v>561</v>
      </c>
      <c r="J8" s="130" t="s">
        <v>562</v>
      </c>
      <c r="K8" s="202" t="s">
        <v>563</v>
      </c>
      <c r="L8" s="130" t="s">
        <v>564</v>
      </c>
      <c r="M8" s="203" t="s">
        <v>565</v>
      </c>
      <c r="N8" s="130" t="s">
        <v>566</v>
      </c>
      <c r="O8" s="130" t="s">
        <v>567</v>
      </c>
      <c r="P8" s="130" t="s">
        <v>568</v>
      </c>
      <c r="Q8" s="130" t="s">
        <v>569</v>
      </c>
      <c r="R8" s="130" t="s">
        <v>570</v>
      </c>
      <c r="S8" s="95" t="s">
        <v>571</v>
      </c>
      <c r="T8" s="95" t="s">
        <v>572</v>
      </c>
      <c r="U8" s="95" t="s">
        <v>573</v>
      </c>
      <c r="V8" s="95" t="s">
        <v>574</v>
      </c>
      <c r="W8" s="95" t="s">
        <v>575</v>
      </c>
      <c r="X8" s="95" t="s">
        <v>576</v>
      </c>
      <c r="Y8" s="95" t="s">
        <v>577</v>
      </c>
      <c r="Z8" s="204" t="s">
        <v>578</v>
      </c>
      <c r="AA8" s="96"/>
      <c r="AB8" s="96"/>
      <c r="AC8" s="96"/>
    </row>
    <row r="9" spans="1:32" ht="75" customHeight="1">
      <c r="A9" s="119" t="s">
        <v>65</v>
      </c>
      <c r="B9" s="119"/>
      <c r="C9" s="119"/>
      <c r="D9" s="119"/>
      <c r="E9" s="95" t="s">
        <v>579</v>
      </c>
      <c r="F9" s="95" t="s">
        <v>580</v>
      </c>
      <c r="G9" s="95" t="s">
        <v>581</v>
      </c>
      <c r="H9" s="95" t="s">
        <v>582</v>
      </c>
      <c r="I9" s="95" t="s">
        <v>583</v>
      </c>
      <c r="J9" s="95" t="s">
        <v>584</v>
      </c>
      <c r="K9" s="204" t="s">
        <v>585</v>
      </c>
      <c r="L9" s="95" t="s">
        <v>586</v>
      </c>
      <c r="M9" s="205" t="s">
        <v>587</v>
      </c>
      <c r="N9" s="95" t="s">
        <v>588</v>
      </c>
      <c r="O9" s="95" t="s">
        <v>589</v>
      </c>
      <c r="P9" s="95" t="s">
        <v>590</v>
      </c>
      <c r="Q9" s="95" t="s">
        <v>591</v>
      </c>
      <c r="R9" s="95" t="s">
        <v>592</v>
      </c>
      <c r="S9" s="122" t="s">
        <v>593</v>
      </c>
      <c r="T9" s="122" t="s">
        <v>594</v>
      </c>
      <c r="U9" s="95" t="s">
        <v>595</v>
      </c>
      <c r="V9" s="95" t="s">
        <v>596</v>
      </c>
      <c r="W9" s="95" t="s">
        <v>597</v>
      </c>
      <c r="X9" s="95" t="s">
        <v>598</v>
      </c>
      <c r="Y9" s="95" t="s">
        <v>599</v>
      </c>
      <c r="Z9" s="204" t="s">
        <v>600</v>
      </c>
      <c r="AA9" s="96"/>
      <c r="AB9" s="96"/>
      <c r="AC9" s="96"/>
    </row>
    <row r="10" spans="1:32" ht="198.6" customHeight="1">
      <c r="A10" s="119" t="s">
        <v>76</v>
      </c>
      <c r="B10" s="119"/>
      <c r="C10" s="119"/>
      <c r="D10" s="119"/>
      <c r="E10" s="99" t="s">
        <v>601</v>
      </c>
      <c r="F10" s="99" t="s">
        <v>602</v>
      </c>
      <c r="G10" s="99" t="s">
        <v>603</v>
      </c>
      <c r="H10" s="99" t="s">
        <v>604</v>
      </c>
      <c r="I10" s="99" t="s">
        <v>605</v>
      </c>
      <c r="J10" s="99" t="s">
        <v>606</v>
      </c>
      <c r="K10" s="206" t="s">
        <v>607</v>
      </c>
      <c r="L10" s="100" t="s">
        <v>608</v>
      </c>
      <c r="M10" s="207" t="s">
        <v>609</v>
      </c>
      <c r="N10" s="100" t="s">
        <v>610</v>
      </c>
      <c r="O10" s="100" t="s">
        <v>611</v>
      </c>
      <c r="P10" s="100" t="s">
        <v>612</v>
      </c>
      <c r="Q10" s="100" t="s">
        <v>613</v>
      </c>
      <c r="R10" s="100" t="s">
        <v>614</v>
      </c>
      <c r="S10" s="100" t="s">
        <v>615</v>
      </c>
      <c r="T10" s="100" t="s">
        <v>616</v>
      </c>
      <c r="U10" s="100" t="s">
        <v>617</v>
      </c>
      <c r="V10" s="100" t="s">
        <v>618</v>
      </c>
      <c r="W10" s="100" t="s">
        <v>619</v>
      </c>
      <c r="X10" s="100" t="s">
        <v>620</v>
      </c>
      <c r="Y10" s="100" t="s">
        <v>621</v>
      </c>
      <c r="Z10" s="100" t="s">
        <v>622</v>
      </c>
      <c r="AA10" s="90"/>
      <c r="AB10" s="90"/>
      <c r="AC10" s="90"/>
    </row>
    <row r="11" spans="1:32" ht="118.35" customHeight="1">
      <c r="A11" s="132" t="s">
        <v>86</v>
      </c>
      <c r="B11" s="132"/>
      <c r="C11" s="132"/>
      <c r="D11" s="132"/>
      <c r="E11" s="99" t="s">
        <v>623</v>
      </c>
      <c r="F11" s="99"/>
      <c r="G11" s="99" t="s">
        <v>624</v>
      </c>
      <c r="H11" s="99" t="s">
        <v>625</v>
      </c>
      <c r="I11" s="99" t="s">
        <v>626</v>
      </c>
      <c r="J11" s="99" t="s">
        <v>627</v>
      </c>
      <c r="K11" s="206" t="s">
        <v>628</v>
      </c>
      <c r="L11" s="100" t="s">
        <v>629</v>
      </c>
      <c r="M11" s="207" t="s">
        <v>630</v>
      </c>
      <c r="N11" s="100" t="s">
        <v>631</v>
      </c>
      <c r="O11" s="100" t="s">
        <v>632</v>
      </c>
      <c r="P11" s="100" t="s">
        <v>633</v>
      </c>
      <c r="Q11" s="100" t="s">
        <v>634</v>
      </c>
      <c r="R11" s="100" t="s">
        <v>635</v>
      </c>
      <c r="S11" s="100" t="s">
        <v>615</v>
      </c>
      <c r="T11" s="100" t="s">
        <v>616</v>
      </c>
      <c r="U11" s="100" t="s">
        <v>617</v>
      </c>
      <c r="V11" s="100" t="s">
        <v>618</v>
      </c>
      <c r="W11" s="100" t="s">
        <v>619</v>
      </c>
      <c r="X11" s="100" t="s">
        <v>620</v>
      </c>
      <c r="Y11" s="100" t="s">
        <v>621</v>
      </c>
      <c r="Z11" s="100" t="s">
        <v>622</v>
      </c>
      <c r="AA11" s="90"/>
      <c r="AB11" s="90"/>
      <c r="AC11" s="90"/>
    </row>
    <row r="15" spans="1:32" customFormat="1">
      <c r="A15" t="s">
        <v>96</v>
      </c>
      <c r="B15" t="s">
        <v>97</v>
      </c>
      <c r="C15" t="s">
        <v>98</v>
      </c>
      <c r="D15" s="309" t="s">
        <v>99</v>
      </c>
      <c r="E15" s="14" t="s">
        <v>513</v>
      </c>
      <c r="F15" s="14" t="s">
        <v>514</v>
      </c>
      <c r="G15" s="14" t="s">
        <v>515</v>
      </c>
      <c r="H15" s="14" t="s">
        <v>516</v>
      </c>
      <c r="I15" s="14" t="s">
        <v>517</v>
      </c>
      <c r="J15" s="14" t="s">
        <v>518</v>
      </c>
      <c r="K15" s="14" t="s">
        <v>519</v>
      </c>
      <c r="L15" s="14" t="s">
        <v>520</v>
      </c>
      <c r="M15" s="14" t="s">
        <v>521</v>
      </c>
      <c r="N15" s="14" t="s">
        <v>522</v>
      </c>
      <c r="O15" s="14" t="s">
        <v>523</v>
      </c>
      <c r="P15" s="14" t="s">
        <v>524</v>
      </c>
      <c r="Q15" s="14" t="s">
        <v>525</v>
      </c>
      <c r="R15" s="14" t="s">
        <v>526</v>
      </c>
      <c r="S15" s="14" t="s">
        <v>527</v>
      </c>
      <c r="T15" s="14" t="s">
        <v>528</v>
      </c>
      <c r="U15" s="14" t="s">
        <v>529</v>
      </c>
      <c r="V15" s="14" t="s">
        <v>530</v>
      </c>
      <c r="W15" s="14" t="s">
        <v>531</v>
      </c>
      <c r="X15" s="14" t="s">
        <v>532</v>
      </c>
      <c r="Y15" s="14" t="s">
        <v>533</v>
      </c>
      <c r="Z15" s="14" t="s">
        <v>534</v>
      </c>
      <c r="AA15" s="14"/>
    </row>
    <row r="16" spans="1:32">
      <c r="A16" t="s">
        <v>100</v>
      </c>
      <c r="B16" s="15" t="s">
        <v>97</v>
      </c>
      <c r="C16" s="15" t="str">
        <f>HYPERLINK("01-组织级\02-组织工作库\06-度量\组织度量表(QCUBIC-SPI-MPM-Tem-datasheet)V1.3-engl.xlsx", "engl")</f>
        <v>engl</v>
      </c>
      <c r="D16"/>
      <c r="E16" t="s">
        <v>101</v>
      </c>
      <c r="F16" t="s">
        <v>101</v>
      </c>
      <c r="G16"/>
      <c r="H16"/>
      <c r="I16" t="s">
        <v>101</v>
      </c>
      <c r="J16" t="s">
        <v>101</v>
      </c>
      <c r="K16" t="s">
        <v>101</v>
      </c>
      <c r="L16" t="s">
        <v>101</v>
      </c>
      <c r="M16" t="s">
        <v>101</v>
      </c>
      <c r="N16" t="s">
        <v>101</v>
      </c>
      <c r="O16"/>
      <c r="P16" t="s">
        <v>101</v>
      </c>
      <c r="Q16" t="s">
        <v>101</v>
      </c>
      <c r="R16" t="s">
        <v>101</v>
      </c>
      <c r="S16"/>
      <c r="T16"/>
      <c r="U16"/>
      <c r="V16"/>
      <c r="W16"/>
      <c r="X16"/>
      <c r="Y16"/>
      <c r="Z16"/>
      <c r="AA16"/>
    </row>
    <row r="17" spans="1:27">
      <c r="A17" t="s">
        <v>100</v>
      </c>
      <c r="B17" s="15" t="s">
        <v>97</v>
      </c>
      <c r="C17" s="15" t="str">
        <f>HYPERLINK("01-组织级\02-组织工作库\06-度量\组织度量计划(QCUBIC-SPI-MPM-Plan)V1.3-engl.xlsx", "engl")</f>
        <v>engl</v>
      </c>
      <c r="D17"/>
      <c r="E17" t="s">
        <v>101</v>
      </c>
      <c r="F17"/>
      <c r="G17" t="s">
        <v>101</v>
      </c>
      <c r="H17" t="s">
        <v>101</v>
      </c>
      <c r="I17"/>
      <c r="J17"/>
      <c r="K17"/>
      <c r="L17"/>
      <c r="M17"/>
      <c r="N17" t="s">
        <v>101</v>
      </c>
      <c r="O17"/>
      <c r="P17"/>
      <c r="Q17"/>
      <c r="R17"/>
      <c r="S17"/>
      <c r="T17"/>
      <c r="U17"/>
      <c r="V17"/>
      <c r="W17"/>
      <c r="X17"/>
      <c r="Y17"/>
      <c r="Z17"/>
      <c r="AA17"/>
    </row>
    <row r="18" spans="1:27">
      <c r="A18" t="s">
        <v>100</v>
      </c>
      <c r="B18" s="15" t="s">
        <v>97</v>
      </c>
      <c r="C18" s="15" t="str">
        <f>HYPERLINK("01-组织级\01-组织财富库\01-标准过程文件库\03-支持类\03-度量分析\度量分析指南 (QCUBIC-SPI-MPM-Guid-Doc)V1.2-engl.docx", "engl")</f>
        <v>engl</v>
      </c>
      <c r="D18"/>
      <c r="E18"/>
      <c r="F18"/>
      <c r="G18"/>
      <c r="H18" t="s">
        <v>101</v>
      </c>
      <c r="I18"/>
      <c r="J18"/>
      <c r="K18"/>
      <c r="L18"/>
      <c r="M18"/>
      <c r="N18"/>
      <c r="O18" t="s">
        <v>101</v>
      </c>
      <c r="P18"/>
      <c r="Q18"/>
      <c r="R18"/>
      <c r="S18"/>
      <c r="T18"/>
      <c r="U18"/>
      <c r="V18"/>
      <c r="W18"/>
      <c r="X18"/>
      <c r="Y18"/>
      <c r="Z18"/>
      <c r="AA18"/>
    </row>
    <row r="19" spans="1:27">
      <c r="A19" t="s">
        <v>100</v>
      </c>
      <c r="B19" s="15" t="s">
        <v>97</v>
      </c>
      <c r="C19" s="15" t="str">
        <f>HYPERLINK("01-组织级\01-组织财富库\01-标准过程文件库\03-支持类\03-度量分析\度量分析过程文件 (QCUBIC-SPI-MPM-Proc-Doc)V1.2-engl.docx", "engl")</f>
        <v>engl</v>
      </c>
      <c r="D19"/>
      <c r="E19"/>
      <c r="F19"/>
      <c r="G19"/>
      <c r="H19"/>
      <c r="I19"/>
      <c r="J19"/>
      <c r="K19"/>
      <c r="L19"/>
      <c r="M19"/>
      <c r="N19" t="s">
        <v>101</v>
      </c>
      <c r="O19"/>
      <c r="P19"/>
      <c r="Q19"/>
      <c r="R19"/>
      <c r="S19"/>
      <c r="T19"/>
      <c r="U19"/>
      <c r="V19"/>
      <c r="W19"/>
      <c r="X19"/>
      <c r="Y19"/>
      <c r="Z19"/>
      <c r="AA19"/>
    </row>
    <row r="20" spans="1:27">
      <c r="A20" t="s">
        <v>100</v>
      </c>
      <c r="B20" s="15" t="s">
        <v>97</v>
      </c>
      <c r="C20" s="15" t="str">
        <f>HYPERLINK("01-组织级\02-组织工作库\03-PQA活动库\组织级工作产品和过程检查表(QCUBIC-ORG-PQA-Checklist_20200627)V1.0-engl.xlsx", "engl")</f>
        <v>engl</v>
      </c>
      <c r="D20"/>
      <c r="E20"/>
      <c r="F20"/>
      <c r="G20"/>
      <c r="H20"/>
      <c r="I20"/>
      <c r="J20"/>
      <c r="K20"/>
      <c r="L20"/>
      <c r="M20"/>
      <c r="N20"/>
      <c r="O20" t="s">
        <v>101</v>
      </c>
      <c r="P20"/>
      <c r="Q20"/>
      <c r="R20"/>
      <c r="S20"/>
      <c r="T20"/>
      <c r="U20"/>
      <c r="V20"/>
      <c r="W20"/>
      <c r="X20"/>
      <c r="Y20"/>
      <c r="Z20"/>
      <c r="AA20"/>
    </row>
    <row r="21" spans="1:27">
      <c r="A21" t="s">
        <v>100</v>
      </c>
      <c r="B21" s="15" t="s">
        <v>97</v>
      </c>
      <c r="C21" s="15" t="str">
        <f>HYPERLINK("01-组织级\02-组织工作库\02-EPG活动库\07-EPG跟踪\01-EPG月报\EPG月报2020-06-engl.xlsx", "engl")</f>
        <v>engl</v>
      </c>
      <c r="D21"/>
      <c r="E21"/>
      <c r="F21"/>
      <c r="G21"/>
      <c r="H21"/>
      <c r="I21"/>
      <c r="J21"/>
      <c r="K21"/>
      <c r="L21"/>
      <c r="M21"/>
      <c r="N21"/>
      <c r="O21"/>
      <c r="P21"/>
      <c r="Q21"/>
      <c r="R21" t="s">
        <v>101</v>
      </c>
      <c r="S21"/>
      <c r="T21"/>
      <c r="U21"/>
      <c r="V21"/>
      <c r="W21"/>
      <c r="X21"/>
      <c r="Y21"/>
      <c r="Z21"/>
      <c r="AA21"/>
    </row>
    <row r="22" spans="1:27">
      <c r="A22" t="s">
        <v>100</v>
      </c>
      <c r="B22" s="15" t="s">
        <v>97</v>
      </c>
      <c r="C22" s="15" t="str">
        <f>HYPERLINK("01-组织级\02-组织工作库\01-会议记录\高层会议记录(QCUBIC-SPI-MeetingRcd-2020-06-03)V1.0-engl.docx", "engl")</f>
        <v>engl</v>
      </c>
      <c r="D22"/>
      <c r="E22"/>
      <c r="F22"/>
      <c r="G22"/>
      <c r="H22"/>
      <c r="I22"/>
      <c r="J22"/>
      <c r="K22"/>
      <c r="L22"/>
      <c r="M22"/>
      <c r="N22"/>
      <c r="O22"/>
      <c r="P22"/>
      <c r="Q22"/>
      <c r="R22" t="s">
        <v>101</v>
      </c>
      <c r="S22"/>
      <c r="T22"/>
      <c r="U22"/>
      <c r="V22"/>
      <c r="W22"/>
      <c r="X22"/>
      <c r="Y22"/>
      <c r="Z22"/>
      <c r="AA22"/>
    </row>
    <row r="23" spans="1:27">
      <c r="A23"/>
      <c r="B23"/>
      <c r="C23"/>
      <c r="D23"/>
      <c r="E23"/>
      <c r="F23"/>
      <c r="G23"/>
      <c r="H23"/>
      <c r="I23"/>
      <c r="J23"/>
      <c r="K23"/>
      <c r="L23"/>
      <c r="M23"/>
      <c r="N23"/>
      <c r="O23"/>
      <c r="P23"/>
      <c r="Q23"/>
      <c r="R23"/>
      <c r="S23"/>
      <c r="T23"/>
      <c r="U23"/>
      <c r="V23"/>
      <c r="W23"/>
      <c r="X23"/>
      <c r="Y23"/>
      <c r="Z23"/>
      <c r="AA23"/>
    </row>
    <row r="24" spans="1:27">
      <c r="A24"/>
      <c r="B24"/>
      <c r="C24"/>
      <c r="D24"/>
      <c r="E24"/>
      <c r="F24"/>
      <c r="G24"/>
      <c r="H24"/>
      <c r="I24"/>
      <c r="J24"/>
      <c r="K24"/>
      <c r="L24"/>
      <c r="M24"/>
      <c r="N24"/>
      <c r="O24"/>
      <c r="P24"/>
      <c r="Q24"/>
      <c r="R24"/>
      <c r="S24"/>
      <c r="T24"/>
      <c r="U24"/>
      <c r="V24"/>
      <c r="W24"/>
      <c r="X24"/>
      <c r="Y24"/>
      <c r="Z24"/>
      <c r="AA24"/>
    </row>
    <row r="25" spans="1:27">
      <c r="A25"/>
      <c r="B25"/>
      <c r="C25"/>
      <c r="D25"/>
      <c r="E25"/>
      <c r="F25"/>
      <c r="G25"/>
      <c r="H25"/>
      <c r="I25"/>
      <c r="J25"/>
      <c r="K25"/>
      <c r="L25"/>
      <c r="M25"/>
      <c r="N25"/>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mergeCells count="2">
    <mergeCell ref="M1:R1"/>
    <mergeCell ref="AD6:AF6"/>
  </mergeCells>
  <phoneticPr fontId="61" type="noConversion"/>
  <hyperlinks>
    <hyperlink ref="B16" r:id="rId1" xr:uid="{AF02FEC3-E2CA-4BC1-886F-4C0F13E9C080}"/>
    <hyperlink ref="B17" r:id="rId2" xr:uid="{75D52630-DD6F-4AD4-9435-AEE8CCE9BFCC}"/>
    <hyperlink ref="B18" r:id="rId3" xr:uid="{4882CA06-8900-4B44-9AAE-1ED5E15616EA}"/>
    <hyperlink ref="B19" r:id="rId4" xr:uid="{14CD2612-F362-47DA-BBB5-E87C83F5ECA4}"/>
    <hyperlink ref="B20" r:id="rId5" xr:uid="{0F2A31FD-40C6-4498-A8B8-517295558EB5}"/>
    <hyperlink ref="B21" r:id="rId6" xr:uid="{B9B23CFB-5825-407F-8E0A-AF245EE2065B}"/>
    <hyperlink ref="B22" r:id="rId7" xr:uid="{5DDCD729-7A7C-4966-A166-F7BC54817FC5}"/>
  </hyperlinks>
  <pageMargins left="0.7" right="0.7" top="0.75" bottom="0.75" header="0.3" footer="0.3"/>
  <pageSetup paperSize="9" orientation="portrait"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9572F-432C-4C18-9343-F742B5BCABF8}">
  <sheetPr codeName="Sheet18">
    <tabColor rgb="FF00A551"/>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34.6640625" style="120" customWidth="1"/>
    <col min="2" max="4" width="7.88671875" style="120" customWidth="1"/>
    <col min="5" max="6" width="20.6640625" style="120" customWidth="1"/>
    <col min="7" max="12" width="20.6640625" style="105" customWidth="1"/>
    <col min="13" max="13" width="50.6640625" style="105" customWidth="1"/>
    <col min="14" max="14" width="3.6640625" style="105" customWidth="1"/>
    <col min="15" max="15" width="35.6640625" style="105" bestFit="1" customWidth="1"/>
    <col min="16" max="16" width="67.109375" style="105" customWidth="1"/>
    <col min="17" max="17" width="24.33203125" style="105" customWidth="1"/>
    <col min="18" max="16384" width="8.6640625" style="120"/>
  </cols>
  <sheetData>
    <row r="1" spans="1:27" s="145" customFormat="1" ht="18">
      <c r="A1" s="102" t="s">
        <v>636</v>
      </c>
      <c r="B1" s="102"/>
      <c r="C1" s="102"/>
      <c r="D1" s="102"/>
      <c r="E1" s="103"/>
      <c r="F1" s="104"/>
      <c r="G1" s="105"/>
      <c r="H1" s="105"/>
      <c r="I1" s="105"/>
      <c r="J1" s="105"/>
      <c r="K1" s="105"/>
      <c r="L1" s="105"/>
      <c r="M1" s="105"/>
      <c r="N1" s="105"/>
      <c r="O1" s="105"/>
      <c r="P1" s="105"/>
      <c r="Q1" s="105"/>
    </row>
    <row r="2" spans="1:27" s="107" customFormat="1">
      <c r="A2" s="107" t="s">
        <v>23</v>
      </c>
      <c r="E2" s="120" t="s">
        <v>637</v>
      </c>
      <c r="F2" s="120"/>
      <c r="G2" s="120"/>
      <c r="H2" s="105"/>
      <c r="I2" s="105"/>
      <c r="J2" s="105"/>
      <c r="K2" s="105"/>
      <c r="L2" s="105"/>
      <c r="M2" s="105"/>
      <c r="N2" s="105"/>
      <c r="O2" s="105"/>
      <c r="P2" s="105"/>
      <c r="Q2" s="105"/>
    </row>
    <row r="3" spans="1:27" s="145" customFormat="1">
      <c r="A3" s="104" t="s">
        <v>25</v>
      </c>
      <c r="B3" s="104"/>
      <c r="C3" s="104"/>
      <c r="D3" s="104"/>
      <c r="E3" s="208" t="s">
        <v>638</v>
      </c>
      <c r="F3" s="208"/>
      <c r="G3" s="208"/>
      <c r="H3" s="105"/>
      <c r="I3" s="105"/>
      <c r="J3" s="105"/>
      <c r="K3" s="105"/>
      <c r="L3" s="105"/>
      <c r="M3" s="105"/>
      <c r="N3" s="105"/>
      <c r="O3" s="105"/>
      <c r="P3" s="105"/>
      <c r="Q3" s="105"/>
    </row>
    <row r="4" spans="1:27" s="145" customFormat="1" ht="14.4">
      <c r="A4" s="108"/>
      <c r="B4" s="108"/>
      <c r="C4" s="108"/>
      <c r="D4" s="108"/>
      <c r="E4" s="109" t="s">
        <v>27</v>
      </c>
      <c r="F4" s="110" t="s">
        <v>28</v>
      </c>
      <c r="G4" s="110"/>
      <c r="H4" s="113" t="s">
        <v>29</v>
      </c>
      <c r="I4" s="113"/>
      <c r="J4" s="147"/>
      <c r="K4" s="147"/>
      <c r="L4" s="147"/>
      <c r="M4" s="107"/>
      <c r="N4" s="107"/>
      <c r="O4" s="107"/>
      <c r="P4" s="104"/>
      <c r="Q4" s="104"/>
      <c r="R4" s="107"/>
      <c r="S4" s="114"/>
      <c r="T4" s="114"/>
    </row>
    <row r="5" spans="1:27" s="145" customFormat="1" ht="14.4">
      <c r="A5" s="115"/>
      <c r="B5" s="115"/>
      <c r="C5" s="115"/>
      <c r="D5" s="115"/>
      <c r="E5" s="116" t="s">
        <v>30</v>
      </c>
      <c r="F5" s="117" t="s">
        <v>31</v>
      </c>
      <c r="G5" s="117"/>
      <c r="H5" s="113" t="s">
        <v>32</v>
      </c>
      <c r="I5" s="166"/>
      <c r="J5" s="147"/>
      <c r="K5" s="147"/>
      <c r="L5" s="147"/>
      <c r="M5" s="107"/>
      <c r="N5" s="107"/>
      <c r="O5" s="107"/>
      <c r="P5" s="115"/>
      <c r="Q5" s="104"/>
      <c r="R5" s="107"/>
      <c r="S5" s="115"/>
      <c r="T5" s="114"/>
    </row>
    <row r="6" spans="1:27" s="104" customFormat="1">
      <c r="A6" s="119"/>
      <c r="B6" s="119"/>
      <c r="C6" s="119"/>
      <c r="D6" s="119"/>
      <c r="E6" s="3" t="s">
        <v>639</v>
      </c>
      <c r="F6" s="87" t="s">
        <v>640</v>
      </c>
      <c r="G6" s="87" t="s">
        <v>641</v>
      </c>
      <c r="H6" s="88" t="s">
        <v>642</v>
      </c>
      <c r="I6" s="88" t="s">
        <v>643</v>
      </c>
      <c r="J6" s="88" t="s">
        <v>644</v>
      </c>
      <c r="K6" s="88" t="s">
        <v>645</v>
      </c>
      <c r="L6" s="89" t="s">
        <v>646</v>
      </c>
      <c r="M6" s="90"/>
      <c r="N6" s="90"/>
      <c r="O6" s="90"/>
      <c r="P6" s="120"/>
      <c r="Q6" s="105"/>
    </row>
    <row r="7" spans="1:27" s="104" customFormat="1" ht="69">
      <c r="A7" s="121" t="s">
        <v>174</v>
      </c>
      <c r="B7" s="121"/>
      <c r="C7" s="121"/>
      <c r="D7" s="121"/>
      <c r="E7" s="94" t="s">
        <v>647</v>
      </c>
      <c r="F7" s="94" t="s">
        <v>648</v>
      </c>
      <c r="G7" s="94" t="s">
        <v>649</v>
      </c>
      <c r="H7" s="94" t="s">
        <v>650</v>
      </c>
      <c r="I7" s="94" t="s">
        <v>651</v>
      </c>
      <c r="J7" s="94" t="s">
        <v>652</v>
      </c>
      <c r="K7" s="94" t="s">
        <v>653</v>
      </c>
      <c r="L7" s="94" t="s">
        <v>654</v>
      </c>
      <c r="M7" s="90"/>
      <c r="N7" s="90"/>
      <c r="O7" s="90"/>
      <c r="P7" s="105"/>
      <c r="Q7" s="105"/>
    </row>
    <row r="8" spans="1:27" s="104" customFormat="1" ht="71.400000000000006">
      <c r="A8" s="119" t="s">
        <v>54</v>
      </c>
      <c r="B8" s="119"/>
      <c r="C8" s="119"/>
      <c r="D8" s="119"/>
      <c r="E8" s="148" t="s">
        <v>655</v>
      </c>
      <c r="F8" s="130" t="s">
        <v>656</v>
      </c>
      <c r="G8" s="130" t="s">
        <v>657</v>
      </c>
      <c r="H8" s="130" t="s">
        <v>658</v>
      </c>
      <c r="I8" s="130" t="s">
        <v>659</v>
      </c>
      <c r="J8" s="130" t="s">
        <v>660</v>
      </c>
      <c r="K8" s="130" t="s">
        <v>661</v>
      </c>
      <c r="L8" s="130" t="s">
        <v>662</v>
      </c>
      <c r="M8" s="96"/>
      <c r="N8" s="96"/>
      <c r="O8" s="96"/>
      <c r="P8" s="105"/>
      <c r="Q8" s="105"/>
    </row>
    <row r="9" spans="1:27" s="104" customFormat="1" ht="168.6" thickBot="1">
      <c r="A9" s="119" t="s">
        <v>65</v>
      </c>
      <c r="B9" s="119"/>
      <c r="C9" s="119"/>
      <c r="D9" s="119"/>
      <c r="E9" s="122" t="s">
        <v>663</v>
      </c>
      <c r="F9" s="122" t="s">
        <v>664</v>
      </c>
      <c r="G9" s="122" t="s">
        <v>665</v>
      </c>
      <c r="H9" s="122" t="s">
        <v>666</v>
      </c>
      <c r="I9" s="122" t="s">
        <v>667</v>
      </c>
      <c r="J9" s="122" t="s">
        <v>668</v>
      </c>
      <c r="K9" s="122" t="s">
        <v>669</v>
      </c>
      <c r="L9" s="122" t="s">
        <v>670</v>
      </c>
      <c r="M9" s="124"/>
      <c r="N9" s="124"/>
      <c r="O9" s="124"/>
      <c r="P9" s="105"/>
      <c r="Q9" s="105"/>
    </row>
    <row r="10" spans="1:27" s="104" customFormat="1" ht="84">
      <c r="A10" s="119" t="s">
        <v>76</v>
      </c>
      <c r="B10" s="168"/>
      <c r="C10" s="168"/>
      <c r="D10" s="168"/>
      <c r="E10" s="209" t="s">
        <v>671</v>
      </c>
      <c r="F10" s="210" t="s">
        <v>672</v>
      </c>
      <c r="G10" s="210" t="s">
        <v>673</v>
      </c>
      <c r="H10" s="210" t="s">
        <v>674</v>
      </c>
      <c r="I10" s="210" t="s">
        <v>675</v>
      </c>
      <c r="J10" s="210" t="s">
        <v>676</v>
      </c>
      <c r="K10" s="210" t="s">
        <v>677</v>
      </c>
      <c r="L10" s="210" t="s">
        <v>678</v>
      </c>
      <c r="M10" s="96"/>
      <c r="N10" s="96"/>
      <c r="O10" s="96"/>
      <c r="P10" s="105"/>
      <c r="Q10" s="105"/>
    </row>
    <row r="11" spans="1:27" s="104" customFormat="1" ht="36">
      <c r="A11" s="132" t="s">
        <v>86</v>
      </c>
      <c r="B11" s="132"/>
      <c r="C11" s="132"/>
      <c r="D11" s="132"/>
      <c r="E11" s="211" t="s">
        <v>679</v>
      </c>
      <c r="F11" s="95" t="s">
        <v>680</v>
      </c>
      <c r="G11" s="95" t="s">
        <v>681</v>
      </c>
      <c r="H11" s="95" t="s">
        <v>682</v>
      </c>
      <c r="I11" s="95" t="s">
        <v>683</v>
      </c>
      <c r="J11" s="95" t="s">
        <v>684</v>
      </c>
      <c r="K11" s="95" t="s">
        <v>685</v>
      </c>
      <c r="L11" s="95" t="s">
        <v>686</v>
      </c>
      <c r="M11" s="96"/>
      <c r="N11" s="96"/>
      <c r="O11" s="96"/>
      <c r="P11" s="105"/>
      <c r="Q11" s="105"/>
      <c r="R11" s="105"/>
      <c r="S11" s="105"/>
    </row>
    <row r="12" spans="1:27" ht="15" customHeight="1">
      <c r="G12" s="120"/>
      <c r="H12" s="120"/>
      <c r="I12" s="120"/>
      <c r="J12" s="120"/>
      <c r="K12" s="120"/>
      <c r="L12" s="120"/>
      <c r="M12" s="120"/>
      <c r="N12" s="120"/>
      <c r="O12" s="120"/>
      <c r="P12" s="120"/>
    </row>
    <row r="13" spans="1:27" ht="15" customHeight="1">
      <c r="G13" s="120"/>
      <c r="H13" s="120"/>
      <c r="I13" s="120"/>
      <c r="J13" s="120"/>
      <c r="K13" s="120"/>
      <c r="L13" s="120"/>
      <c r="M13" s="120"/>
      <c r="N13" s="120"/>
      <c r="O13" s="120"/>
      <c r="P13" s="120"/>
    </row>
    <row r="14" spans="1:27" ht="15" customHeight="1">
      <c r="G14" s="120"/>
      <c r="H14" s="120"/>
      <c r="I14" s="120"/>
      <c r="J14" s="120"/>
      <c r="K14" s="120"/>
      <c r="L14" s="120"/>
      <c r="M14" s="120"/>
      <c r="N14" s="120"/>
      <c r="O14" s="120"/>
      <c r="P14" s="120"/>
    </row>
    <row r="15" spans="1:27" customFormat="1" ht="14.4">
      <c r="A15" t="s">
        <v>96</v>
      </c>
      <c r="B15" t="s">
        <v>97</v>
      </c>
      <c r="C15" t="s">
        <v>98</v>
      </c>
      <c r="D15" s="309" t="s">
        <v>99</v>
      </c>
      <c r="E15" s="14" t="s">
        <v>639</v>
      </c>
      <c r="F15" s="14" t="s">
        <v>640</v>
      </c>
      <c r="G15" s="14" t="s">
        <v>641</v>
      </c>
      <c r="H15" s="14" t="s">
        <v>642</v>
      </c>
      <c r="I15" s="14" t="s">
        <v>643</v>
      </c>
      <c r="J15" s="14" t="s">
        <v>644</v>
      </c>
      <c r="K15" s="14" t="s">
        <v>645</v>
      </c>
      <c r="L15" s="14" t="s">
        <v>646</v>
      </c>
    </row>
    <row r="16" spans="1:27" ht="14.4">
      <c r="A16" t="s">
        <v>100</v>
      </c>
      <c r="B16" s="15" t="s">
        <v>97</v>
      </c>
      <c r="C16" s="15" t="str">
        <f>HYPERLINK("02-项目级\P1-Qcubic数据库管理工具 V1.0\02-全程管理\02-风险和机会管理\03-风险和机会管理一览表(QCUBIC-SJKGL-RSK-chk&amp;tracking)V1.2-engl.xlsx", "engl")</f>
        <v>engl</v>
      </c>
      <c r="D16"/>
      <c r="E16" t="s">
        <v>101</v>
      </c>
      <c r="F16" t="s">
        <v>101</v>
      </c>
      <c r="G16" t="s">
        <v>101</v>
      </c>
      <c r="H16" t="s">
        <v>101</v>
      </c>
      <c r="I16" t="s">
        <v>101</v>
      </c>
      <c r="J16" t="s">
        <v>101</v>
      </c>
      <c r="K16"/>
      <c r="L16" t="s">
        <v>101</v>
      </c>
      <c r="M16"/>
      <c r="N16"/>
      <c r="O16"/>
      <c r="P16"/>
      <c r="Q16"/>
      <c r="R16"/>
      <c r="S16"/>
      <c r="T16"/>
      <c r="U16"/>
      <c r="V16"/>
      <c r="W16"/>
      <c r="X16"/>
      <c r="Y16"/>
      <c r="Z16"/>
      <c r="AA16"/>
    </row>
    <row r="17" spans="1:27" ht="14.4">
      <c r="A17" t="s">
        <v>100</v>
      </c>
      <c r="B17" s="15" t="s">
        <v>97</v>
      </c>
      <c r="C17" s="15" t="str">
        <f>HYPERLINK("02-项目级\P1-Qcubic数据库管理工具 V1.0\02-全程管理\02-风险和机会管理\01-风险和机会检查表(QCUBIC-SJKGL-RSK-rc)V1.0-engl.xlsx", "engl")</f>
        <v>engl</v>
      </c>
      <c r="D17"/>
      <c r="E17" t="s">
        <v>101</v>
      </c>
      <c r="F17" t="s">
        <v>101</v>
      </c>
      <c r="G17"/>
      <c r="H17"/>
      <c r="I17"/>
      <c r="J17"/>
      <c r="K17"/>
      <c r="L17"/>
      <c r="M17"/>
      <c r="N17"/>
      <c r="O17"/>
      <c r="P17"/>
      <c r="Q17"/>
      <c r="R17"/>
      <c r="S17"/>
      <c r="T17"/>
      <c r="U17"/>
      <c r="V17"/>
      <c r="W17"/>
      <c r="X17"/>
      <c r="Y17"/>
      <c r="Z17"/>
      <c r="AA17"/>
    </row>
    <row r="18" spans="1:27" s="105" customFormat="1" ht="14.4">
      <c r="A18" t="s">
        <v>100</v>
      </c>
      <c r="B18" s="15" t="s">
        <v>97</v>
      </c>
      <c r="C18" s="15" t="str">
        <f>HYPERLINK("02-项目级\P1-Qcubic数据库管理工具 V1.0\02-全程管理\02-风险和机会管理\02-风险和机会管理计划(QCUBIC-SJKGL-RSK-plan)V1.0-engl.docx", "engl")</f>
        <v>engl</v>
      </c>
      <c r="D18"/>
      <c r="E18"/>
      <c r="F18" t="s">
        <v>101</v>
      </c>
      <c r="G18"/>
      <c r="H18"/>
      <c r="I18"/>
      <c r="J18"/>
      <c r="K18" t="s">
        <v>101</v>
      </c>
      <c r="L18" t="s">
        <v>101</v>
      </c>
      <c r="M18"/>
      <c r="N18"/>
      <c r="O18"/>
      <c r="P18"/>
      <c r="Q18"/>
      <c r="R18"/>
      <c r="S18"/>
      <c r="T18"/>
      <c r="U18"/>
      <c r="V18"/>
      <c r="W18"/>
      <c r="X18"/>
      <c r="Y18"/>
      <c r="Z18"/>
      <c r="AA18"/>
    </row>
    <row r="19" spans="1:27" s="105" customFormat="1" ht="14.4">
      <c r="A19" t="s">
        <v>100</v>
      </c>
      <c r="B19" s="15" t="s">
        <v>97</v>
      </c>
      <c r="C19" s="15" t="str">
        <f>HYPERLINK("01-组织级\01-组织财富库\01-标准过程文件库\01-项目管理规范\05-风险和机会管理\风险和机会管理过程文件(QCUBIC-SPI-RSK-Proc-Doc)V1.2-engl.docx", "engl")</f>
        <v>engl</v>
      </c>
      <c r="D19"/>
      <c r="E19"/>
      <c r="F19"/>
      <c r="G19"/>
      <c r="H19" t="s">
        <v>101</v>
      </c>
      <c r="I19" t="s">
        <v>101</v>
      </c>
      <c r="J19" t="s">
        <v>101</v>
      </c>
      <c r="K19"/>
      <c r="L19"/>
      <c r="M19"/>
      <c r="N19"/>
      <c r="O19"/>
      <c r="P19"/>
      <c r="Q19"/>
      <c r="R19"/>
      <c r="S19"/>
      <c r="T19"/>
      <c r="U19"/>
      <c r="V19"/>
      <c r="W19"/>
      <c r="X19"/>
      <c r="Y19"/>
      <c r="Z19"/>
      <c r="AA19"/>
    </row>
    <row r="20" spans="1:27" s="105" customFormat="1" ht="14.4">
      <c r="A20" t="s">
        <v>100</v>
      </c>
      <c r="B20" s="15" t="s">
        <v>97</v>
      </c>
      <c r="C20" s="15" t="str">
        <f>HYPERLINK("01-组织级\01-组织财富库\01-标准过程文件库\01-项目管理规范\05-风险和机会管理\风险和机会管理指南(QCUBIC-SPI-RSK-Guid-Management)V1.2-engl.docx", "engl")</f>
        <v>engl</v>
      </c>
      <c r="D20"/>
      <c r="E20"/>
      <c r="F20"/>
      <c r="G20"/>
      <c r="H20" t="s">
        <v>101</v>
      </c>
      <c r="I20" t="s">
        <v>101</v>
      </c>
      <c r="J20" t="s">
        <v>101</v>
      </c>
      <c r="K20"/>
      <c r="L20"/>
      <c r="M20"/>
      <c r="N20"/>
      <c r="O20"/>
      <c r="P20"/>
      <c r="Q20"/>
      <c r="R20"/>
      <c r="S20"/>
      <c r="T20"/>
      <c r="U20"/>
      <c r="V20"/>
      <c r="W20"/>
      <c r="X20"/>
      <c r="Y20"/>
      <c r="Z20"/>
      <c r="AA20"/>
    </row>
    <row r="21" spans="1:27" s="105" customFormat="1" ht="14.4">
      <c r="A21"/>
      <c r="B21"/>
      <c r="C21"/>
      <c r="D21"/>
      <c r="E21"/>
      <c r="F21"/>
      <c r="G21"/>
      <c r="H21"/>
      <c r="I21"/>
      <c r="J21"/>
      <c r="K21"/>
      <c r="L21"/>
      <c r="M21"/>
      <c r="N21"/>
      <c r="O21"/>
      <c r="P21"/>
      <c r="Q21"/>
      <c r="R21"/>
      <c r="S21"/>
      <c r="T21"/>
      <c r="U21"/>
      <c r="V21"/>
      <c r="W21"/>
      <c r="X21"/>
      <c r="Y21"/>
      <c r="Z21"/>
      <c r="AA21"/>
    </row>
    <row r="22" spans="1:27" s="105" customFormat="1" ht="14.4">
      <c r="A22"/>
      <c r="B22"/>
      <c r="C22"/>
      <c r="D22"/>
      <c r="E22"/>
      <c r="F22"/>
      <c r="G22"/>
      <c r="H22"/>
      <c r="I22"/>
      <c r="J22"/>
      <c r="K22"/>
      <c r="L22"/>
      <c r="M22"/>
      <c r="N22"/>
      <c r="O22"/>
      <c r="P22"/>
      <c r="Q22"/>
      <c r="R22"/>
      <c r="S22"/>
      <c r="T22"/>
      <c r="U22"/>
      <c r="V22"/>
      <c r="W22"/>
      <c r="X22"/>
      <c r="Y22"/>
      <c r="Z22"/>
      <c r="AA22"/>
    </row>
    <row r="23" spans="1:27" s="105" customFormat="1" ht="14.4">
      <c r="A23"/>
      <c r="B23"/>
      <c r="C23"/>
      <c r="D23"/>
      <c r="E23"/>
      <c r="F23"/>
      <c r="G23"/>
      <c r="H23"/>
      <c r="I23"/>
      <c r="J23"/>
      <c r="K23"/>
      <c r="L23"/>
      <c r="M23"/>
      <c r="N23"/>
      <c r="O23"/>
      <c r="P23"/>
      <c r="Q23"/>
      <c r="R23"/>
      <c r="S23"/>
      <c r="T23"/>
      <c r="U23"/>
      <c r="V23"/>
      <c r="W23"/>
      <c r="X23"/>
      <c r="Y23"/>
      <c r="Z23"/>
      <c r="AA23"/>
    </row>
    <row r="24" spans="1:27" s="105" customFormat="1" ht="14.4">
      <c r="A24"/>
      <c r="B24"/>
      <c r="C24"/>
      <c r="D24"/>
      <c r="E24"/>
      <c r="F24"/>
      <c r="G24"/>
      <c r="H24"/>
      <c r="I24"/>
      <c r="J24"/>
      <c r="K24"/>
      <c r="L24"/>
      <c r="M24"/>
      <c r="N24"/>
      <c r="O24"/>
      <c r="P24"/>
      <c r="Q24"/>
      <c r="R24"/>
      <c r="S24"/>
      <c r="T24"/>
      <c r="U24"/>
      <c r="V24"/>
      <c r="W24"/>
      <c r="X24"/>
      <c r="Y24"/>
      <c r="Z24"/>
      <c r="AA24"/>
    </row>
    <row r="25" spans="1:27" s="105" customFormat="1" ht="14.4">
      <c r="A25"/>
      <c r="B25"/>
      <c r="C25"/>
      <c r="D25"/>
      <c r="E25"/>
      <c r="F25"/>
      <c r="G25"/>
      <c r="H25"/>
      <c r="I25"/>
      <c r="J25"/>
      <c r="K25"/>
      <c r="L25"/>
      <c r="M25"/>
      <c r="N25"/>
      <c r="O25"/>
      <c r="P25"/>
      <c r="Q25"/>
      <c r="R25"/>
      <c r="S25"/>
      <c r="T25"/>
      <c r="U25"/>
      <c r="V25"/>
      <c r="W25"/>
      <c r="X25"/>
      <c r="Y25"/>
      <c r="Z25"/>
      <c r="AA25"/>
    </row>
    <row r="26" spans="1:27" s="105" customFormat="1" ht="14.4">
      <c r="A26"/>
      <c r="B26"/>
      <c r="C26"/>
      <c r="D26"/>
      <c r="E26"/>
      <c r="F26"/>
      <c r="G26"/>
      <c r="H26"/>
      <c r="I26"/>
      <c r="J26"/>
      <c r="K26"/>
      <c r="L26"/>
      <c r="M26"/>
      <c r="N26"/>
      <c r="O26"/>
      <c r="P26"/>
      <c r="Q26"/>
      <c r="R26"/>
      <c r="S26"/>
      <c r="T26"/>
      <c r="U26"/>
      <c r="V26"/>
      <c r="W26"/>
      <c r="X26"/>
      <c r="Y26"/>
      <c r="Z26"/>
      <c r="AA26"/>
    </row>
    <row r="27" spans="1:27" s="105" customFormat="1" ht="14.4">
      <c r="A27"/>
      <c r="B27"/>
      <c r="C27"/>
      <c r="D27"/>
      <c r="E27"/>
      <c r="F27"/>
      <c r="G27"/>
      <c r="H27"/>
      <c r="I27"/>
      <c r="J27"/>
      <c r="K27"/>
      <c r="L27"/>
      <c r="M27"/>
      <c r="N27"/>
      <c r="O27"/>
      <c r="P27"/>
      <c r="Q27"/>
      <c r="R27"/>
      <c r="S27"/>
      <c r="T27"/>
      <c r="U27"/>
      <c r="V27"/>
      <c r="W27"/>
      <c r="X27"/>
      <c r="Y27"/>
      <c r="Z27"/>
      <c r="AA27"/>
    </row>
    <row r="28" spans="1:27" s="105" customFormat="1" ht="14.4">
      <c r="A28"/>
      <c r="B28"/>
      <c r="C28"/>
      <c r="D28"/>
      <c r="E28"/>
      <c r="F28"/>
      <c r="G28"/>
      <c r="H28"/>
      <c r="I28"/>
      <c r="J28"/>
      <c r="K28"/>
      <c r="L28"/>
      <c r="M28"/>
      <c r="N28"/>
      <c r="O28"/>
      <c r="P28"/>
      <c r="Q28"/>
      <c r="R28"/>
      <c r="S28"/>
      <c r="T28"/>
      <c r="U28"/>
      <c r="V28"/>
      <c r="W28"/>
      <c r="X28"/>
      <c r="Y28"/>
      <c r="Z28"/>
      <c r="AA28"/>
    </row>
    <row r="29" spans="1:27" s="105" customFormat="1" ht="14.4">
      <c r="A29"/>
      <c r="B29"/>
      <c r="C29"/>
      <c r="D29"/>
      <c r="E29"/>
      <c r="F29"/>
      <c r="G29"/>
      <c r="H29"/>
      <c r="I29"/>
      <c r="J29"/>
      <c r="K29"/>
      <c r="L29"/>
      <c r="M29"/>
      <c r="N29"/>
      <c r="O29"/>
      <c r="P29"/>
      <c r="Q29"/>
      <c r="R29"/>
      <c r="S29"/>
      <c r="T29"/>
      <c r="U29"/>
      <c r="V29"/>
      <c r="W29"/>
      <c r="X29"/>
      <c r="Y29"/>
      <c r="Z29"/>
      <c r="AA29"/>
    </row>
    <row r="30" spans="1:27" s="105" customFormat="1" ht="14.4">
      <c r="A30"/>
      <c r="B30"/>
      <c r="C30"/>
      <c r="D30"/>
      <c r="E30"/>
      <c r="F30"/>
      <c r="G30"/>
      <c r="H30"/>
      <c r="I30"/>
      <c r="J30"/>
      <c r="K30"/>
      <c r="L30"/>
      <c r="M30"/>
      <c r="N30"/>
      <c r="O30"/>
      <c r="P30"/>
      <c r="Q30"/>
      <c r="R30"/>
      <c r="S30"/>
      <c r="T30"/>
      <c r="U30"/>
      <c r="V30"/>
      <c r="W30"/>
      <c r="X30"/>
      <c r="Y30"/>
      <c r="Z30"/>
      <c r="AA30"/>
    </row>
    <row r="31" spans="1:27" s="105" customFormat="1" ht="14.4">
      <c r="A31"/>
      <c r="B31"/>
      <c r="C31"/>
      <c r="D31"/>
      <c r="E31"/>
      <c r="F31"/>
      <c r="G31"/>
      <c r="H31"/>
      <c r="I31"/>
      <c r="J31"/>
      <c r="K31"/>
      <c r="L31"/>
      <c r="M31"/>
      <c r="N31"/>
      <c r="O31"/>
      <c r="P31"/>
      <c r="Q31"/>
      <c r="R31"/>
      <c r="S31"/>
      <c r="T31"/>
      <c r="U31"/>
      <c r="V31"/>
      <c r="W31"/>
      <c r="X31"/>
      <c r="Y31"/>
      <c r="Z31"/>
      <c r="AA31"/>
    </row>
    <row r="32" spans="1:27" s="105" customFormat="1"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AC64D0D9-8F2E-4A4E-AC53-F90AABB8B370}"/>
    <hyperlink ref="B17" r:id="rId2" xr:uid="{355AB1B7-FA56-4D3D-8111-DCA39D63A781}"/>
    <hyperlink ref="B18" r:id="rId3" xr:uid="{D79F555F-F773-4975-9C7C-F2983346E139}"/>
    <hyperlink ref="B19" r:id="rId4" xr:uid="{E5C40AE4-C78E-4B73-B687-A5F530A486E4}"/>
    <hyperlink ref="B20" r:id="rId5" xr:uid="{9601C3AF-7505-42A5-A086-909F319786A4}"/>
  </hyperlinks>
  <pageMargins left="0.7" right="0.7" top="0.75" bottom="0.75" header="0.3" footer="0.3"/>
  <pageSetup orientation="portrait"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3255-78D9-464A-B662-BBB2AB937EC2}">
  <sheetPr codeName="Sheet19">
    <tabColor rgb="FF70BF65"/>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31.6640625" style="120" customWidth="1"/>
    <col min="2" max="4" width="7.88671875" style="120" customWidth="1"/>
    <col min="5" max="6" width="15.6640625" style="120" customWidth="1"/>
    <col min="7" max="8" width="15.6640625" style="105" customWidth="1"/>
    <col min="9" max="13" width="15.6640625" style="120" customWidth="1"/>
    <col min="14" max="14" width="94.44140625" style="120" customWidth="1"/>
    <col min="15" max="15" width="3.6640625" style="120" customWidth="1"/>
    <col min="16" max="16" width="31.6640625" style="120" bestFit="1" customWidth="1"/>
    <col min="17" max="17" width="65.6640625" style="120" customWidth="1"/>
    <col min="18" max="18" width="10.33203125" style="120" customWidth="1"/>
    <col min="19" max="16384" width="8.6640625" style="120"/>
  </cols>
  <sheetData>
    <row r="1" spans="1:27" s="213" customFormat="1" ht="18">
      <c r="A1" s="102" t="s">
        <v>687</v>
      </c>
      <c r="B1" s="102"/>
      <c r="C1" s="102"/>
      <c r="D1" s="102"/>
      <c r="E1" s="156"/>
      <c r="F1" s="156"/>
      <c r="G1" s="212"/>
      <c r="H1" s="212"/>
    </row>
    <row r="2" spans="1:27" s="145" customFormat="1">
      <c r="A2" s="107" t="s">
        <v>23</v>
      </c>
      <c r="B2" s="107"/>
      <c r="C2" s="107"/>
      <c r="D2" s="107"/>
      <c r="E2" s="104" t="s">
        <v>688</v>
      </c>
      <c r="F2" s="104"/>
      <c r="G2" s="105"/>
      <c r="H2" s="105"/>
    </row>
    <row r="3" spans="1:27" s="107" customFormat="1">
      <c r="A3" s="104" t="s">
        <v>25</v>
      </c>
      <c r="B3" s="104"/>
      <c r="C3" s="104"/>
      <c r="D3" s="104"/>
      <c r="E3" s="104" t="s">
        <v>689</v>
      </c>
      <c r="F3" s="104"/>
      <c r="G3" s="105"/>
      <c r="H3" s="105"/>
    </row>
    <row r="4" spans="1:27" s="145" customFormat="1" ht="14.4">
      <c r="A4" s="108"/>
      <c r="B4" s="108"/>
      <c r="C4" s="108"/>
      <c r="D4" s="108"/>
      <c r="E4" s="109" t="s">
        <v>27</v>
      </c>
      <c r="F4" s="110" t="s">
        <v>28</v>
      </c>
      <c r="G4" s="110"/>
      <c r="H4" s="113" t="s">
        <v>29</v>
      </c>
      <c r="I4" s="113"/>
      <c r="J4" s="147"/>
      <c r="K4" s="147"/>
      <c r="L4" s="147"/>
      <c r="M4" s="113"/>
      <c r="N4" s="104"/>
      <c r="O4" s="104"/>
      <c r="P4" s="104"/>
      <c r="Q4" s="104"/>
      <c r="R4" s="104"/>
      <c r="S4" s="104"/>
      <c r="T4" s="107"/>
      <c r="U4" s="114"/>
      <c r="V4" s="114"/>
    </row>
    <row r="5" spans="1:27" s="104" customFormat="1" ht="14.4">
      <c r="A5" s="115"/>
      <c r="B5" s="115"/>
      <c r="C5" s="115"/>
      <c r="D5" s="115"/>
      <c r="E5" s="116" t="s">
        <v>30</v>
      </c>
      <c r="F5" s="117" t="s">
        <v>31</v>
      </c>
      <c r="G5" s="117"/>
      <c r="H5" s="113" t="s">
        <v>32</v>
      </c>
      <c r="I5" s="166"/>
      <c r="J5" s="147"/>
      <c r="K5" s="147"/>
      <c r="L5" s="147"/>
      <c r="M5" s="118"/>
      <c r="N5" s="105"/>
      <c r="O5" s="105"/>
      <c r="P5" s="105"/>
      <c r="R5" s="115"/>
      <c r="T5" s="107"/>
      <c r="U5" s="115"/>
      <c r="V5" s="114"/>
    </row>
    <row r="6" spans="1:27" s="104" customFormat="1">
      <c r="A6" s="132"/>
      <c r="B6" s="132"/>
      <c r="C6" s="132"/>
      <c r="D6" s="132"/>
      <c r="E6" s="3" t="s">
        <v>690</v>
      </c>
      <c r="F6" s="87" t="s">
        <v>691</v>
      </c>
      <c r="G6" s="87" t="s">
        <v>692</v>
      </c>
      <c r="H6" s="88" t="s">
        <v>693</v>
      </c>
      <c r="I6" s="88" t="s">
        <v>694</v>
      </c>
      <c r="J6" s="88" t="s">
        <v>695</v>
      </c>
      <c r="K6" s="88" t="s">
        <v>696</v>
      </c>
      <c r="L6" s="88" t="s">
        <v>697</v>
      </c>
      <c r="M6" s="89" t="s">
        <v>698</v>
      </c>
      <c r="N6" s="90"/>
      <c r="O6" s="90"/>
      <c r="P6" s="90"/>
      <c r="Q6" s="120"/>
      <c r="R6" s="120"/>
    </row>
    <row r="7" spans="1:27" s="104" customFormat="1" ht="96.6">
      <c r="A7" s="121" t="s">
        <v>174</v>
      </c>
      <c r="B7" s="121"/>
      <c r="C7" s="121"/>
      <c r="D7" s="121"/>
      <c r="E7" s="94" t="s">
        <v>699</v>
      </c>
      <c r="F7" s="94" t="s">
        <v>700</v>
      </c>
      <c r="G7" s="94" t="s">
        <v>701</v>
      </c>
      <c r="H7" s="94" t="s">
        <v>702</v>
      </c>
      <c r="I7" s="94" t="s">
        <v>703</v>
      </c>
      <c r="J7" s="94" t="s">
        <v>704</v>
      </c>
      <c r="K7" s="94" t="s">
        <v>705</v>
      </c>
      <c r="L7" s="94" t="s">
        <v>706</v>
      </c>
      <c r="M7" s="94" t="s">
        <v>707</v>
      </c>
      <c r="N7" s="90"/>
      <c r="O7" s="90"/>
      <c r="P7" s="90"/>
    </row>
    <row r="8" spans="1:27" s="104" customFormat="1" ht="94.35" customHeight="1">
      <c r="A8" s="132" t="s">
        <v>54</v>
      </c>
      <c r="B8" s="132"/>
      <c r="C8" s="132"/>
      <c r="D8" s="132"/>
      <c r="E8" s="122" t="s">
        <v>708</v>
      </c>
      <c r="F8" s="122" t="s">
        <v>709</v>
      </c>
      <c r="G8" s="122" t="s">
        <v>710</v>
      </c>
      <c r="H8" s="122" t="s">
        <v>711</v>
      </c>
      <c r="I8" s="122" t="s">
        <v>712</v>
      </c>
      <c r="J8" s="122" t="s">
        <v>713</v>
      </c>
      <c r="K8" s="95" t="s">
        <v>714</v>
      </c>
      <c r="L8" s="122" t="s">
        <v>715</v>
      </c>
      <c r="M8" s="122" t="s">
        <v>716</v>
      </c>
      <c r="N8" s="124"/>
      <c r="O8" s="124"/>
      <c r="P8" s="124"/>
    </row>
    <row r="9" spans="1:27" s="104" customFormat="1" ht="204" customHeight="1" thickBot="1">
      <c r="A9" s="132" t="s">
        <v>65</v>
      </c>
      <c r="B9" s="132"/>
      <c r="C9" s="132"/>
      <c r="D9" s="132"/>
      <c r="E9" s="122" t="s">
        <v>717</v>
      </c>
      <c r="F9" s="122" t="s">
        <v>718</v>
      </c>
      <c r="G9" s="122" t="s">
        <v>719</v>
      </c>
      <c r="H9" s="122" t="s">
        <v>720</v>
      </c>
      <c r="I9" s="122" t="s">
        <v>721</v>
      </c>
      <c r="J9" s="122" t="s">
        <v>722</v>
      </c>
      <c r="K9" s="122" t="s">
        <v>723</v>
      </c>
      <c r="L9" s="122" t="s">
        <v>724</v>
      </c>
      <c r="M9" s="122" t="s">
        <v>725</v>
      </c>
      <c r="N9" s="124"/>
      <c r="O9" s="124"/>
      <c r="P9" s="124"/>
    </row>
    <row r="10" spans="1:27" s="104" customFormat="1" ht="84">
      <c r="A10" s="119" t="s">
        <v>76</v>
      </c>
      <c r="B10" s="119"/>
      <c r="C10" s="119"/>
      <c r="D10" s="119"/>
      <c r="E10" s="214"/>
      <c r="F10" s="214" t="s">
        <v>726</v>
      </c>
      <c r="G10" s="214" t="s">
        <v>727</v>
      </c>
      <c r="H10" s="95" t="s">
        <v>728</v>
      </c>
      <c r="I10" s="95" t="s">
        <v>729</v>
      </c>
      <c r="J10" s="95" t="s">
        <v>730</v>
      </c>
      <c r="K10" s="95" t="s">
        <v>731</v>
      </c>
      <c r="L10" s="95" t="s">
        <v>732</v>
      </c>
      <c r="M10" s="210" t="s">
        <v>733</v>
      </c>
      <c r="N10" s="96"/>
      <c r="O10" s="96"/>
      <c r="P10" s="96"/>
    </row>
    <row r="11" spans="1:27" s="104" customFormat="1" ht="48">
      <c r="A11" s="158" t="s">
        <v>86</v>
      </c>
      <c r="B11" s="158"/>
      <c r="C11" s="158"/>
      <c r="D11" s="158"/>
      <c r="E11" s="214"/>
      <c r="F11" s="214" t="s">
        <v>734</v>
      </c>
      <c r="G11" s="214" t="s">
        <v>735</v>
      </c>
      <c r="H11" s="95" t="s">
        <v>736</v>
      </c>
      <c r="I11" s="95" t="s">
        <v>737</v>
      </c>
      <c r="J11" s="95" t="s">
        <v>738</v>
      </c>
      <c r="K11" s="95" t="s">
        <v>739</v>
      </c>
      <c r="L11" s="95" t="s">
        <v>740</v>
      </c>
      <c r="M11" s="204" t="s">
        <v>741</v>
      </c>
      <c r="N11" s="215"/>
      <c r="O11" s="215"/>
      <c r="P11" s="215"/>
      <c r="Q11" s="216"/>
    </row>
    <row r="15" spans="1:27" customFormat="1" ht="14.4">
      <c r="A15" t="s">
        <v>96</v>
      </c>
      <c r="B15" t="s">
        <v>97</v>
      </c>
      <c r="C15" t="s">
        <v>98</v>
      </c>
      <c r="D15" s="309" t="s">
        <v>99</v>
      </c>
      <c r="E15" s="14" t="s">
        <v>690</v>
      </c>
      <c r="F15" s="14" t="s">
        <v>691</v>
      </c>
      <c r="G15" s="14" t="s">
        <v>692</v>
      </c>
      <c r="H15" s="14" t="s">
        <v>693</v>
      </c>
      <c r="I15" s="14" t="s">
        <v>694</v>
      </c>
      <c r="J15" s="14" t="s">
        <v>695</v>
      </c>
      <c r="K15" s="14" t="s">
        <v>696</v>
      </c>
      <c r="L15" s="14" t="s">
        <v>697</v>
      </c>
      <c r="M15" s="14" t="s">
        <v>698</v>
      </c>
    </row>
    <row r="16" spans="1:27" ht="14.4">
      <c r="A16" t="s">
        <v>100</v>
      </c>
      <c r="B16" s="15" t="s">
        <v>97</v>
      </c>
      <c r="C16" s="15" t="str">
        <f>HYPERLINK("01-组织级\02-组织工作库\05-OT培训库\01_公司级培训\03_2022年培训计划\02_年度培训计划\2022培训课程表(ORG_OT_TraininCNSchedule)V1.0-engl.xlsx", "engl")</f>
        <v>engl</v>
      </c>
      <c r="D16"/>
      <c r="E16" t="s">
        <v>101</v>
      </c>
      <c r="F16" t="s">
        <v>101</v>
      </c>
      <c r="G16"/>
      <c r="H16" t="s">
        <v>101</v>
      </c>
      <c r="I16"/>
      <c r="J16" t="s">
        <v>101</v>
      </c>
      <c r="K16"/>
      <c r="L16"/>
      <c r="M16"/>
      <c r="N16"/>
      <c r="O16"/>
      <c r="P16"/>
      <c r="Q16"/>
      <c r="R16"/>
      <c r="S16"/>
      <c r="T16"/>
      <c r="U16"/>
      <c r="V16"/>
      <c r="W16"/>
      <c r="X16"/>
      <c r="Y16"/>
      <c r="Z16"/>
      <c r="AA16"/>
    </row>
    <row r="17" spans="1:27" ht="14.4">
      <c r="A17" t="s">
        <v>100</v>
      </c>
      <c r="B17" s="15" t="s">
        <v>97</v>
      </c>
      <c r="C17"/>
      <c r="D17"/>
      <c r="E17" t="s">
        <v>101</v>
      </c>
      <c r="F17"/>
      <c r="G17"/>
      <c r="H17"/>
      <c r="I17"/>
      <c r="J17"/>
      <c r="K17"/>
      <c r="L17"/>
      <c r="M17"/>
      <c r="N17"/>
      <c r="O17"/>
      <c r="P17"/>
      <c r="Q17"/>
      <c r="R17"/>
      <c r="S17"/>
      <c r="T17"/>
      <c r="U17"/>
      <c r="V17"/>
      <c r="W17"/>
      <c r="X17"/>
      <c r="Y17"/>
      <c r="Z17"/>
      <c r="AA17"/>
    </row>
    <row r="18" spans="1:27" ht="14.4">
      <c r="A18" t="s">
        <v>100</v>
      </c>
      <c r="B18" s="15" t="s">
        <v>97</v>
      </c>
      <c r="C18"/>
      <c r="D18"/>
      <c r="E18" t="s">
        <v>101</v>
      </c>
      <c r="F18"/>
      <c r="G18"/>
      <c r="H18"/>
      <c r="I18"/>
      <c r="J18"/>
      <c r="K18"/>
      <c r="L18"/>
      <c r="M18"/>
      <c r="N18"/>
      <c r="O18"/>
      <c r="P18"/>
      <c r="Q18"/>
      <c r="R18"/>
      <c r="S18"/>
      <c r="T18"/>
      <c r="U18"/>
      <c r="V18"/>
      <c r="W18"/>
      <c r="X18"/>
      <c r="Y18"/>
      <c r="Z18"/>
      <c r="AA18"/>
    </row>
    <row r="19" spans="1:27" ht="14.4">
      <c r="A19" t="s">
        <v>100</v>
      </c>
      <c r="B19" s="15" t="s">
        <v>97</v>
      </c>
      <c r="C19" s="15" t="str">
        <f>HYPERLINK("01-组织级\02-组织工作库\05-OT培训库\01_公司级培训\03_2022年培训计划\01_培训需求调研\培训需求调研表(ORG_OT_TrainingReqDevTable)V1.1-engl.xlsx", "engl")</f>
        <v>engl</v>
      </c>
      <c r="D19"/>
      <c r="E19"/>
      <c r="F19" t="s">
        <v>101</v>
      </c>
      <c r="G19"/>
      <c r="H19"/>
      <c r="I19"/>
      <c r="J19"/>
      <c r="K19"/>
      <c r="L19"/>
      <c r="M19"/>
      <c r="N19"/>
      <c r="O19"/>
      <c r="P19"/>
      <c r="Q19"/>
      <c r="R19"/>
      <c r="S19"/>
      <c r="T19"/>
      <c r="U19"/>
      <c r="V19"/>
      <c r="W19"/>
      <c r="X19"/>
      <c r="Y19"/>
      <c r="Z19"/>
      <c r="AA19"/>
    </row>
    <row r="20" spans="1:27" ht="14.4">
      <c r="A20" t="s">
        <v>100</v>
      </c>
      <c r="B20" s="15" t="s">
        <v>97</v>
      </c>
      <c r="C20" s="15" t="str">
        <f>HYPERLINK("01-组织级\02-组织工作库\05-OT培训库\04_内部培训讲师培训\06_学员考核评价表\培训内部讲师培训(ORG-OT-TrainingEVVuationlist)V1.0-engl.xlsx", "engl")</f>
        <v>engl</v>
      </c>
      <c r="D20"/>
      <c r="E20"/>
      <c r="F20"/>
      <c r="G20" t="s">
        <v>101</v>
      </c>
      <c r="H20"/>
      <c r="I20" t="s">
        <v>101</v>
      </c>
      <c r="J20"/>
      <c r="K20" t="s">
        <v>101</v>
      </c>
      <c r="L20" t="s">
        <v>101</v>
      </c>
      <c r="M20"/>
      <c r="N20"/>
      <c r="O20"/>
      <c r="P20"/>
      <c r="Q20"/>
      <c r="R20"/>
      <c r="S20"/>
      <c r="T20"/>
      <c r="U20"/>
      <c r="V20"/>
      <c r="W20"/>
      <c r="X20"/>
      <c r="Y20"/>
      <c r="Z20"/>
      <c r="AA20"/>
    </row>
    <row r="21" spans="1:27" ht="14.4">
      <c r="A21" t="s">
        <v>100</v>
      </c>
      <c r="B21" s="15" t="s">
        <v>97</v>
      </c>
      <c r="C21" s="15" t="str">
        <f>HYPERLINK("01-组织级\02-组织工作库\05-OT培训库\02_人力资源库\01_员工信息\员工---岗位知识技能矩阵-engl.xlsx", "engl")</f>
        <v>engl</v>
      </c>
      <c r="D21"/>
      <c r="E21"/>
      <c r="F21"/>
      <c r="G21" t="s">
        <v>101</v>
      </c>
      <c r="H21"/>
      <c r="I21" t="s">
        <v>101</v>
      </c>
      <c r="J21"/>
      <c r="K21"/>
      <c r="L21"/>
      <c r="M21"/>
      <c r="N21"/>
      <c r="O21"/>
      <c r="P21"/>
      <c r="Q21"/>
      <c r="R21"/>
      <c r="S21"/>
      <c r="T21"/>
      <c r="U21"/>
      <c r="V21"/>
      <c r="W21"/>
      <c r="X21"/>
      <c r="Y21"/>
      <c r="Z21"/>
      <c r="AA21"/>
    </row>
    <row r="22" spans="1:27" ht="14.4">
      <c r="A22" t="s">
        <v>100</v>
      </c>
      <c r="B22" s="15" t="s">
        <v>97</v>
      </c>
      <c r="C22" s="15" t="str">
        <f>HYPERLINK("01-组织级\02-组织工作库\05-OT培训库\02_人力资源库\01_员工信息\员工技术及工作经历一览表(ORG_OT_Skills and Experience List)V1.0-engl.xlsx", "engl")</f>
        <v>engl</v>
      </c>
      <c r="D22"/>
      <c r="E22"/>
      <c r="F22"/>
      <c r="G22" t="s">
        <v>101</v>
      </c>
      <c r="H22"/>
      <c r="I22" t="s">
        <v>101</v>
      </c>
      <c r="J22"/>
      <c r="K22"/>
      <c r="L22"/>
      <c r="M22"/>
      <c r="N22"/>
      <c r="O22"/>
      <c r="P22"/>
      <c r="Q22"/>
      <c r="R22"/>
      <c r="S22"/>
      <c r="T22"/>
      <c r="U22"/>
      <c r="V22"/>
      <c r="W22"/>
      <c r="X22"/>
      <c r="Y22"/>
      <c r="Z22"/>
      <c r="AA22"/>
    </row>
    <row r="23" spans="1:27" ht="14.4">
      <c r="A23" t="s">
        <v>100</v>
      </c>
      <c r="B23" s="15" t="s">
        <v>97</v>
      </c>
      <c r="C23" s="15" t="str">
        <f>HYPERLINK("01-组织级\02-组织工作库\05-OT培训库\02_人力资源库\02_岗位职责\岗位职责说明书(ORG-OT-T01)V1.0-engl.xlsx", "engl")</f>
        <v>engl</v>
      </c>
      <c r="D23"/>
      <c r="E23"/>
      <c r="F23"/>
      <c r="G23" t="s">
        <v>101</v>
      </c>
      <c r="H23"/>
      <c r="I23"/>
      <c r="J23"/>
      <c r="K23"/>
      <c r="L23"/>
      <c r="M23"/>
      <c r="N23"/>
      <c r="O23"/>
      <c r="P23"/>
      <c r="Q23"/>
      <c r="R23"/>
      <c r="S23"/>
      <c r="T23"/>
      <c r="U23"/>
      <c r="V23"/>
      <c r="W23"/>
      <c r="X23"/>
      <c r="Y23"/>
      <c r="Z23"/>
      <c r="AA23"/>
    </row>
    <row r="24" spans="1:27" ht="14.4">
      <c r="A24" t="s">
        <v>100</v>
      </c>
      <c r="B24" s="15" t="s">
        <v>97</v>
      </c>
      <c r="C24" s="15" t="str">
        <f>HYPERLINK("01-组织级\02-组织工作库\05-OT培训库\01_公司级培训\01_公司战略培训规划\公司战略培训规划(ORG_OT_FutureTraining)V1.0-engl.docx", "engl")</f>
        <v>engl</v>
      </c>
      <c r="D24"/>
      <c r="E24"/>
      <c r="F24"/>
      <c r="G24"/>
      <c r="H24"/>
      <c r="I24"/>
      <c r="J24" t="s">
        <v>101</v>
      </c>
      <c r="K24"/>
      <c r="L24"/>
      <c r="M24"/>
      <c r="N24"/>
      <c r="O24"/>
      <c r="P24"/>
      <c r="Q24"/>
      <c r="R24"/>
      <c r="S24"/>
      <c r="T24"/>
      <c r="U24"/>
      <c r="V24"/>
      <c r="W24"/>
      <c r="X24"/>
      <c r="Y24"/>
      <c r="Z24"/>
      <c r="AA24"/>
    </row>
    <row r="25" spans="1:27" ht="14.4">
      <c r="A25" t="s">
        <v>100</v>
      </c>
      <c r="B25" s="15" t="s">
        <v>97</v>
      </c>
      <c r="C25" s="15" t="str">
        <f>HYPERLINK("01-组织级\02-组织工作库\05-OT培训库\01_公司级培训\03_2022年培训计划\02_年度培训计划\OT-组织培训计划评审记录2022-engl.xlsx", "engl")</f>
        <v>engl</v>
      </c>
      <c r="D25"/>
      <c r="E25"/>
      <c r="F25"/>
      <c r="G25"/>
      <c r="H25"/>
      <c r="I25"/>
      <c r="J25"/>
      <c r="K25"/>
      <c r="L25" t="s">
        <v>101</v>
      </c>
      <c r="M25"/>
      <c r="N25"/>
      <c r="O25"/>
      <c r="P25"/>
      <c r="Q25"/>
      <c r="R25"/>
      <c r="S25"/>
      <c r="T25"/>
      <c r="U25"/>
      <c r="V25"/>
      <c r="W25"/>
      <c r="X25"/>
      <c r="Y25"/>
      <c r="Z25"/>
      <c r="AA25"/>
    </row>
    <row r="26" spans="1:27" ht="14.4">
      <c r="A26" t="s">
        <v>100</v>
      </c>
      <c r="B26" s="15" t="s">
        <v>97</v>
      </c>
      <c r="C26"/>
      <c r="D26"/>
      <c r="E26"/>
      <c r="F26"/>
      <c r="G26"/>
      <c r="H26"/>
      <c r="I26"/>
      <c r="J26"/>
      <c r="K26"/>
      <c r="L26"/>
      <c r="M26" t="s">
        <v>101</v>
      </c>
      <c r="N26"/>
      <c r="O26"/>
      <c r="P26"/>
      <c r="Q26"/>
      <c r="R26"/>
      <c r="S26"/>
      <c r="T26"/>
      <c r="U26"/>
      <c r="V26"/>
      <c r="W26"/>
      <c r="X26"/>
      <c r="Y26"/>
      <c r="Z26"/>
      <c r="AA26"/>
    </row>
    <row r="27" spans="1:27" ht="14.4">
      <c r="A27"/>
      <c r="B27"/>
      <c r="C27"/>
      <c r="D27"/>
      <c r="E27"/>
      <c r="F27"/>
      <c r="G27"/>
      <c r="H27"/>
      <c r="I27"/>
      <c r="J27"/>
      <c r="K27"/>
      <c r="L27"/>
      <c r="M27"/>
      <c r="N27"/>
      <c r="O27"/>
      <c r="P27"/>
      <c r="Q27"/>
      <c r="R27"/>
      <c r="S27"/>
      <c r="T27"/>
      <c r="U27"/>
      <c r="V27"/>
      <c r="W27"/>
      <c r="X27"/>
      <c r="Y27"/>
      <c r="Z27"/>
      <c r="AA27"/>
    </row>
    <row r="28" spans="1:27" ht="14.4">
      <c r="A28"/>
      <c r="B28"/>
      <c r="C28"/>
      <c r="D28"/>
      <c r="E28"/>
      <c r="F28"/>
      <c r="G28"/>
      <c r="H28"/>
      <c r="I28"/>
      <c r="J28"/>
      <c r="K28"/>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71CD2717-06BB-45A7-A59A-3F142641EA75}"/>
    <hyperlink ref="B17" r:id="rId2" xr:uid="{C72F60EC-74DD-466D-A91A-78F1ABBB92C9}"/>
    <hyperlink ref="B18" r:id="rId3" xr:uid="{EF999954-A83E-43F0-84B7-6677434E2110}"/>
    <hyperlink ref="B19" r:id="rId4" xr:uid="{542245C1-E99D-4AB0-855C-FD2729EAFC80}"/>
    <hyperlink ref="B20" r:id="rId5" xr:uid="{F0E2BC4D-A9A5-4B7E-9D58-4650C507A45F}"/>
    <hyperlink ref="B21" r:id="rId6" xr:uid="{77E3D4CC-F751-4213-8C9D-D3057EF147E6}"/>
    <hyperlink ref="B22" r:id="rId7" xr:uid="{D4EE27DF-E3DD-4678-93A1-2A0A4B14B45D}"/>
    <hyperlink ref="B23" r:id="rId8" xr:uid="{19CFA72D-BCB2-49FD-B78B-E857F8676A3F}"/>
    <hyperlink ref="B24" r:id="rId9" xr:uid="{A5F7EC4D-4B93-4B4C-8F44-E746101CC454}"/>
    <hyperlink ref="B25" r:id="rId10" xr:uid="{6522F207-2102-4BB6-B6E7-B02F42F85A20}"/>
    <hyperlink ref="B26" r:id="rId11" xr:uid="{C8CC47E3-F978-4AB1-8882-96371030A749}"/>
  </hyperlinks>
  <pageMargins left="0.69930555555555596" right="0.69930555555555596" top="0.75" bottom="0.75" header="0.3" footer="0.3"/>
  <pageSetup orientation="portrait" r:id="rId1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37FE-6CF2-4CA0-A0FF-2141C2187BA2}">
  <sheetPr codeName="Sheet20">
    <tabColor rgb="FF008050"/>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44.33203125" style="115" bestFit="1" customWidth="1"/>
    <col min="2" max="4" width="7.88671875" style="115" customWidth="1"/>
    <col min="5" max="6" width="15.6640625" style="115" customWidth="1"/>
    <col min="7" max="14" width="15.6640625" style="133" customWidth="1"/>
    <col min="15" max="15" width="85.33203125" style="133" customWidth="1"/>
    <col min="16" max="16" width="3.6640625" style="133" customWidth="1"/>
    <col min="17" max="17" width="32.33203125" style="133" bestFit="1" customWidth="1"/>
    <col min="18" max="18" width="75.44140625" style="127" customWidth="1"/>
    <col min="19" max="19" width="8.6640625" style="133"/>
    <col min="20" max="16384" width="8.6640625" style="115"/>
  </cols>
  <sheetData>
    <row r="1" spans="1:27" s="136" customFormat="1" ht="18">
      <c r="A1" s="102" t="s">
        <v>742</v>
      </c>
      <c r="B1" s="102"/>
      <c r="C1" s="102"/>
      <c r="D1" s="102"/>
      <c r="E1" s="103"/>
      <c r="F1" s="104"/>
      <c r="G1" s="133"/>
      <c r="H1" s="133"/>
      <c r="I1" s="133"/>
      <c r="J1" s="133"/>
      <c r="K1" s="133"/>
      <c r="L1" s="133"/>
      <c r="M1" s="133"/>
      <c r="N1" s="133"/>
      <c r="O1" s="133"/>
      <c r="P1" s="133"/>
      <c r="Q1" s="133"/>
      <c r="R1" s="127"/>
      <c r="S1" s="133"/>
    </row>
    <row r="2" spans="1:27" s="135" customFormat="1">
      <c r="A2" s="107" t="s">
        <v>23</v>
      </c>
      <c r="B2" s="107"/>
      <c r="C2" s="107"/>
      <c r="D2" s="107"/>
      <c r="E2" s="120" t="s">
        <v>743</v>
      </c>
      <c r="F2" s="120"/>
      <c r="G2" s="120"/>
      <c r="H2" s="133"/>
      <c r="I2" s="133"/>
      <c r="J2" s="133"/>
      <c r="K2" s="133"/>
      <c r="L2" s="133"/>
      <c r="M2" s="133"/>
      <c r="N2" s="133"/>
      <c r="O2" s="133"/>
      <c r="P2" s="133"/>
      <c r="Q2" s="133"/>
      <c r="R2" s="127"/>
      <c r="S2" s="133"/>
    </row>
    <row r="3" spans="1:27" s="136" customFormat="1">
      <c r="A3" s="104" t="s">
        <v>25</v>
      </c>
      <c r="B3" s="104"/>
      <c r="C3" s="104"/>
      <c r="D3" s="104"/>
      <c r="E3" s="120" t="s">
        <v>744</v>
      </c>
      <c r="F3" s="120"/>
      <c r="G3" s="120"/>
      <c r="H3" s="133"/>
      <c r="I3" s="133"/>
      <c r="J3" s="133"/>
      <c r="K3" s="133"/>
      <c r="L3" s="133"/>
      <c r="M3" s="133"/>
      <c r="N3" s="133"/>
      <c r="O3" s="133"/>
      <c r="P3" s="133"/>
      <c r="Q3" s="133"/>
      <c r="R3" s="127"/>
      <c r="S3" s="133"/>
    </row>
    <row r="4" spans="1:27" s="136" customFormat="1">
      <c r="A4" s="108"/>
      <c r="B4" s="108"/>
      <c r="C4" s="108"/>
      <c r="D4" s="108"/>
      <c r="E4" s="109" t="s">
        <v>27</v>
      </c>
      <c r="F4" s="146"/>
      <c r="G4" s="110" t="s">
        <v>28</v>
      </c>
      <c r="H4" s="111"/>
      <c r="I4" s="110"/>
      <c r="J4" s="112"/>
      <c r="K4" s="113" t="s">
        <v>29</v>
      </c>
      <c r="L4" s="113"/>
      <c r="M4" s="113"/>
      <c r="N4" s="113"/>
      <c r="O4" s="104"/>
      <c r="P4" s="104"/>
      <c r="Q4" s="104"/>
      <c r="R4" s="104"/>
      <c r="S4" s="104"/>
      <c r="T4" s="107"/>
    </row>
    <row r="5" spans="1:27" s="136" customFormat="1">
      <c r="A5" s="115"/>
      <c r="B5" s="115"/>
      <c r="C5" s="115"/>
      <c r="D5" s="115"/>
      <c r="E5" s="116" t="s">
        <v>30</v>
      </c>
      <c r="F5" s="146"/>
      <c r="G5" s="117" t="s">
        <v>31</v>
      </c>
      <c r="H5" s="111"/>
      <c r="I5" s="117"/>
      <c r="J5" s="112"/>
      <c r="K5" s="113" t="s">
        <v>32</v>
      </c>
      <c r="L5" s="166"/>
      <c r="M5" s="113"/>
      <c r="N5" s="118"/>
      <c r="O5" s="105"/>
      <c r="P5" s="105"/>
      <c r="Q5" s="105"/>
      <c r="R5" s="217"/>
      <c r="S5" s="104"/>
      <c r="T5" s="107"/>
    </row>
    <row r="6" spans="1:27" s="135" customFormat="1">
      <c r="A6" s="218"/>
      <c r="B6" s="218"/>
      <c r="C6" s="218"/>
      <c r="D6" s="218"/>
      <c r="E6" s="219" t="s">
        <v>745</v>
      </c>
      <c r="F6" s="219" t="s">
        <v>746</v>
      </c>
      <c r="G6" s="220" t="s">
        <v>747</v>
      </c>
      <c r="H6" s="220" t="s">
        <v>748</v>
      </c>
      <c r="I6" s="220" t="s">
        <v>749</v>
      </c>
      <c r="J6" s="220" t="s">
        <v>750</v>
      </c>
      <c r="K6" s="221" t="s">
        <v>751</v>
      </c>
      <c r="L6" s="221" t="s">
        <v>752</v>
      </c>
      <c r="M6" s="221" t="s">
        <v>753</v>
      </c>
      <c r="N6" s="222" t="s">
        <v>754</v>
      </c>
      <c r="O6" s="223"/>
      <c r="P6" s="223"/>
      <c r="Q6" s="223"/>
      <c r="R6" s="316"/>
      <c r="S6" s="316"/>
      <c r="T6" s="316"/>
    </row>
    <row r="7" spans="1:27" s="135" customFormat="1" ht="110.4">
      <c r="A7" s="224" t="s">
        <v>174</v>
      </c>
      <c r="B7" s="224"/>
      <c r="C7" s="224"/>
      <c r="D7" s="224"/>
      <c r="E7" s="225" t="s">
        <v>755</v>
      </c>
      <c r="F7" s="225" t="s">
        <v>756</v>
      </c>
      <c r="G7" s="225" t="s">
        <v>757</v>
      </c>
      <c r="H7" s="225" t="s">
        <v>758</v>
      </c>
      <c r="I7" s="225" t="s">
        <v>759</v>
      </c>
      <c r="J7" s="225" t="s">
        <v>760</v>
      </c>
      <c r="K7" s="225" t="s">
        <v>761</v>
      </c>
      <c r="L7" s="225" t="s">
        <v>762</v>
      </c>
      <c r="M7" s="225" t="s">
        <v>763</v>
      </c>
      <c r="N7" s="225" t="s">
        <v>764</v>
      </c>
      <c r="O7" s="223"/>
      <c r="P7" s="223"/>
      <c r="Q7" s="223"/>
      <c r="S7" s="226"/>
    </row>
    <row r="8" spans="1:27" s="135" customFormat="1" ht="112.2">
      <c r="A8" s="218" t="s">
        <v>54</v>
      </c>
      <c r="B8" s="218"/>
      <c r="C8" s="218"/>
      <c r="D8" s="218"/>
      <c r="E8" s="227" t="s">
        <v>765</v>
      </c>
      <c r="F8" s="227" t="s">
        <v>766</v>
      </c>
      <c r="G8" s="227" t="s">
        <v>767</v>
      </c>
      <c r="H8" s="227" t="s">
        <v>768</v>
      </c>
      <c r="I8" s="227" t="s">
        <v>769</v>
      </c>
      <c r="J8" s="227" t="s">
        <v>770</v>
      </c>
      <c r="K8" s="227" t="s">
        <v>771</v>
      </c>
      <c r="L8" s="227" t="s">
        <v>772</v>
      </c>
      <c r="M8" s="227" t="s">
        <v>773</v>
      </c>
      <c r="N8" s="227" t="s">
        <v>774</v>
      </c>
      <c r="O8" s="228"/>
      <c r="P8" s="228"/>
      <c r="Q8" s="229"/>
      <c r="S8" s="226"/>
    </row>
    <row r="9" spans="1:27" s="135" customFormat="1" ht="191.4" customHeight="1" thickBot="1">
      <c r="A9" s="218" t="s">
        <v>65</v>
      </c>
      <c r="B9" s="218"/>
      <c r="C9" s="218"/>
      <c r="D9" s="218"/>
      <c r="E9" s="230" t="s">
        <v>775</v>
      </c>
      <c r="F9" s="230" t="s">
        <v>776</v>
      </c>
      <c r="G9" s="230" t="s">
        <v>777</v>
      </c>
      <c r="H9" s="230" t="s">
        <v>778</v>
      </c>
      <c r="I9" s="230" t="s">
        <v>779</v>
      </c>
      <c r="J9" s="231" t="s">
        <v>780</v>
      </c>
      <c r="K9" s="231" t="s">
        <v>781</v>
      </c>
      <c r="L9" s="230" t="s">
        <v>782</v>
      </c>
      <c r="M9" s="230" t="s">
        <v>783</v>
      </c>
      <c r="N9" s="230" t="s">
        <v>784</v>
      </c>
      <c r="O9" s="232"/>
      <c r="P9" s="232"/>
      <c r="Q9" s="232"/>
      <c r="S9" s="226"/>
    </row>
    <row r="10" spans="1:27" s="135" customFormat="1" ht="96.6" thickBot="1">
      <c r="A10" s="119" t="s">
        <v>76</v>
      </c>
      <c r="B10" s="168"/>
      <c r="C10" s="168"/>
      <c r="D10" s="168"/>
      <c r="E10" s="233"/>
      <c r="F10" s="233" t="s">
        <v>785</v>
      </c>
      <c r="G10" s="234" t="s">
        <v>786</v>
      </c>
      <c r="H10" s="234" t="s">
        <v>787</v>
      </c>
      <c r="I10" s="234" t="s">
        <v>788</v>
      </c>
      <c r="J10" s="234" t="s">
        <v>789</v>
      </c>
      <c r="K10" s="234" t="s">
        <v>790</v>
      </c>
      <c r="L10" s="234" t="s">
        <v>791</v>
      </c>
      <c r="M10" s="234" t="s">
        <v>792</v>
      </c>
      <c r="N10" s="234" t="s">
        <v>793</v>
      </c>
      <c r="O10" s="229"/>
      <c r="P10" s="229"/>
      <c r="Q10" s="229"/>
      <c r="S10" s="226"/>
    </row>
    <row r="11" spans="1:27" s="135" customFormat="1" ht="60">
      <c r="A11" s="235" t="s">
        <v>86</v>
      </c>
      <c r="B11" s="235"/>
      <c r="C11" s="235"/>
      <c r="D11" s="235"/>
      <c r="E11" s="233"/>
      <c r="F11" s="233" t="s">
        <v>794</v>
      </c>
      <c r="G11" s="234" t="s">
        <v>795</v>
      </c>
      <c r="H11" s="234" t="s">
        <v>796</v>
      </c>
      <c r="I11" s="234" t="s">
        <v>797</v>
      </c>
      <c r="J11" s="234" t="s">
        <v>798</v>
      </c>
      <c r="K11" s="234" t="s">
        <v>799</v>
      </c>
      <c r="L11" s="234" t="s">
        <v>800</v>
      </c>
      <c r="M11" s="234" t="s">
        <v>801</v>
      </c>
      <c r="N11" s="234" t="s">
        <v>802</v>
      </c>
      <c r="O11" s="229"/>
      <c r="P11" s="229"/>
      <c r="Q11" s="229"/>
      <c r="R11" s="226"/>
      <c r="S11" s="226"/>
    </row>
    <row r="12" spans="1:27" s="135" customFormat="1" ht="15" customHeight="1"/>
    <row r="13" spans="1:27" s="135" customFormat="1" ht="15" customHeight="1"/>
    <row r="14" spans="1:27" s="135" customFormat="1" ht="15" customHeight="1"/>
    <row r="15" spans="1:27" customFormat="1" ht="14.4">
      <c r="A15" t="s">
        <v>96</v>
      </c>
      <c r="B15" t="s">
        <v>97</v>
      </c>
      <c r="C15" t="s">
        <v>98</v>
      </c>
      <c r="D15" t="s">
        <v>99</v>
      </c>
      <c r="E15" s="14" t="s">
        <v>745</v>
      </c>
      <c r="F15" s="14" t="s">
        <v>746</v>
      </c>
      <c r="G15" s="14" t="s">
        <v>747</v>
      </c>
      <c r="H15" s="14" t="s">
        <v>748</v>
      </c>
      <c r="I15" s="14" t="s">
        <v>749</v>
      </c>
      <c r="J15" s="14" t="s">
        <v>750</v>
      </c>
      <c r="K15" s="14" t="s">
        <v>751</v>
      </c>
      <c r="L15" s="14" t="s">
        <v>752</v>
      </c>
      <c r="M15" s="14" t="s">
        <v>753</v>
      </c>
      <c r="N15" s="14" t="s">
        <v>754</v>
      </c>
    </row>
    <row r="16" spans="1:27" s="135" customFormat="1" ht="15" customHeight="1">
      <c r="A16" t="s">
        <v>100</v>
      </c>
      <c r="B16" s="15" t="s">
        <v>97</v>
      </c>
      <c r="C16" s="15" t="str">
        <f>HYPERLINK("02-项目级\P2-Qcubic to MySQL数据同步工具 V1.0\01-生存周期\03-项目策划\03-项目计划书 (QCUBIC-SJTB-PLAN-Plan)V1.0-engl.docx", "engl")</f>
        <v>engl</v>
      </c>
      <c r="D16"/>
      <c r="E16" t="s">
        <v>101</v>
      </c>
      <c r="F16"/>
      <c r="G16"/>
      <c r="H16"/>
      <c r="I16"/>
      <c r="J16"/>
      <c r="K16" t="s">
        <v>101</v>
      </c>
      <c r="L16"/>
      <c r="M16"/>
      <c r="N16"/>
      <c r="O16"/>
      <c r="P16"/>
      <c r="Q16"/>
      <c r="R16"/>
      <c r="S16"/>
      <c r="T16"/>
      <c r="U16"/>
      <c r="V16"/>
      <c r="W16"/>
      <c r="X16"/>
      <c r="Y16"/>
      <c r="Z16"/>
      <c r="AA16"/>
    </row>
    <row r="17" spans="1:27" s="137" customFormat="1" ht="14.4">
      <c r="A17" t="s">
        <v>100</v>
      </c>
      <c r="B17" s="15" t="s">
        <v>97</v>
      </c>
      <c r="C17" s="15" t="str">
        <f>HYPERLINK("02-项目级\P2-Qcubic to MySQL数据同步工具 V1.0\02-全程管理\01-项目监控\02-项目周报(QCUBIC-SJTB-MC-weeklyrpt)v1.1-engl.xlsx", "engl")</f>
        <v>engl</v>
      </c>
      <c r="D17"/>
      <c r="E17" t="s">
        <v>101</v>
      </c>
      <c r="F17"/>
      <c r="G17" t="s">
        <v>101</v>
      </c>
      <c r="H17" t="s">
        <v>101</v>
      </c>
      <c r="I17" t="s">
        <v>101</v>
      </c>
      <c r="J17" t="s">
        <v>101</v>
      </c>
      <c r="K17" t="s">
        <v>101</v>
      </c>
      <c r="L17" t="s">
        <v>101</v>
      </c>
      <c r="M17" t="s">
        <v>101</v>
      </c>
      <c r="N17" t="s">
        <v>101</v>
      </c>
      <c r="O17"/>
      <c r="P17"/>
      <c r="Q17"/>
      <c r="R17"/>
      <c r="S17"/>
      <c r="T17"/>
      <c r="U17"/>
      <c r="V17"/>
      <c r="W17"/>
      <c r="X17"/>
      <c r="Y17"/>
      <c r="Z17"/>
      <c r="AA17"/>
    </row>
    <row r="18" spans="1:27" s="137" customFormat="1" ht="14.4">
      <c r="A18" t="s">
        <v>100</v>
      </c>
      <c r="B18" s="15" t="s">
        <v>97</v>
      </c>
      <c r="C18" s="15" t="str">
        <f>HYPERLINK("02-项目级\P2-Qcubic to MySQL数据同步工具 V1.0\02-全程管理\01-项目监控\04-里程碑状态报告\01-策划里程碑状态报告(QCUBIC-SJTB-MC-PlanMilestoneRpt)V1.0-engl.docx", "engl")</f>
        <v>engl</v>
      </c>
      <c r="D18"/>
      <c r="E18" t="s">
        <v>101</v>
      </c>
      <c r="F18"/>
      <c r="G18" t="s">
        <v>101</v>
      </c>
      <c r="H18" t="s">
        <v>101</v>
      </c>
      <c r="I18" t="s">
        <v>101</v>
      </c>
      <c r="J18" t="s">
        <v>101</v>
      </c>
      <c r="K18" t="s">
        <v>101</v>
      </c>
      <c r="L18" t="s">
        <v>101</v>
      </c>
      <c r="M18" t="s">
        <v>101</v>
      </c>
      <c r="N18" t="s">
        <v>101</v>
      </c>
      <c r="O18"/>
      <c r="P18"/>
      <c r="Q18"/>
      <c r="R18"/>
      <c r="S18"/>
      <c r="T18"/>
      <c r="U18"/>
      <c r="V18"/>
      <c r="W18"/>
      <c r="X18"/>
      <c r="Y18"/>
      <c r="Z18"/>
      <c r="AA18"/>
    </row>
    <row r="19" spans="1:27" s="137" customFormat="1" ht="14.4">
      <c r="A19" t="s">
        <v>100</v>
      </c>
      <c r="B19" s="15" t="s">
        <v>97</v>
      </c>
      <c r="C19" s="15" t="str">
        <f>HYPERLINK("02-项目级\P2-Qcubic to MySQL数据同步工具 V1.0\02-全程管理\01-项目监控\04-里程碑状态报告\02-需求里程碑状态报告(QCUBIC-SJTB-MC-RDMilestoneRpt)V1.1-engl.docx", "engl")</f>
        <v>engl</v>
      </c>
      <c r="D19"/>
      <c r="E19" t="s">
        <v>101</v>
      </c>
      <c r="F19"/>
      <c r="G19" t="s">
        <v>101</v>
      </c>
      <c r="H19" t="s">
        <v>101</v>
      </c>
      <c r="I19" t="s">
        <v>101</v>
      </c>
      <c r="J19" t="s">
        <v>101</v>
      </c>
      <c r="K19" t="s">
        <v>101</v>
      </c>
      <c r="L19" t="s">
        <v>101</v>
      </c>
      <c r="M19" t="s">
        <v>101</v>
      </c>
      <c r="N19" t="s">
        <v>101</v>
      </c>
      <c r="O19"/>
      <c r="P19"/>
      <c r="Q19"/>
      <c r="R19"/>
      <c r="S19"/>
      <c r="T19"/>
      <c r="U19"/>
      <c r="V19"/>
      <c r="W19"/>
      <c r="X19"/>
      <c r="Y19"/>
      <c r="Z19"/>
      <c r="AA19"/>
    </row>
    <row r="20" spans="1:27" s="137" customFormat="1" ht="14.4">
      <c r="A20" t="s">
        <v>100</v>
      </c>
      <c r="B20" s="15" t="s">
        <v>97</v>
      </c>
      <c r="C20" s="15" t="str">
        <f>HYPERLINK("02-项目级\P2-Qcubic to MySQL数据同步工具 V1.0\02-全程管理\01-项目监控\04-里程碑状态报告\03-设计里程碑状态报告(QCUBIC-SJTB-MC-DesMilestoneRpt)V1.0-engl.docx", "engl")</f>
        <v>engl</v>
      </c>
      <c r="D20"/>
      <c r="E20" t="s">
        <v>101</v>
      </c>
      <c r="F20"/>
      <c r="G20" t="s">
        <v>101</v>
      </c>
      <c r="H20" t="s">
        <v>101</v>
      </c>
      <c r="I20" t="s">
        <v>101</v>
      </c>
      <c r="J20" t="s">
        <v>101</v>
      </c>
      <c r="K20" t="s">
        <v>101</v>
      </c>
      <c r="L20" t="s">
        <v>101</v>
      </c>
      <c r="M20" t="s">
        <v>101</v>
      </c>
      <c r="N20" t="s">
        <v>101</v>
      </c>
      <c r="O20"/>
      <c r="P20"/>
      <c r="Q20"/>
      <c r="R20"/>
      <c r="S20"/>
      <c r="T20"/>
      <c r="U20"/>
      <c r="V20"/>
      <c r="W20"/>
      <c r="X20"/>
      <c r="Y20"/>
      <c r="Z20"/>
      <c r="AA20"/>
    </row>
    <row r="21" spans="1:27" s="137" customFormat="1" ht="14.4">
      <c r="A21" t="s">
        <v>100</v>
      </c>
      <c r="B21" s="15" t="s">
        <v>97</v>
      </c>
      <c r="C21" s="15" t="str">
        <f>HYPERLINK("02-项目级\P2-Qcubic to MySQL数据同步工具 V1.0\02-全程管理\01-项目监控\04-里程碑状态报告\04-编码里程碑状态报告(QCUBIC-SJTB-MC-CodingMilestoneRpt)V1.0-engl.docx", "engl")</f>
        <v>engl</v>
      </c>
      <c r="D21"/>
      <c r="E21" t="s">
        <v>101</v>
      </c>
      <c r="F21"/>
      <c r="G21" t="s">
        <v>101</v>
      </c>
      <c r="H21" t="s">
        <v>101</v>
      </c>
      <c r="I21" t="s">
        <v>101</v>
      </c>
      <c r="J21" t="s">
        <v>101</v>
      </c>
      <c r="K21" t="s">
        <v>101</v>
      </c>
      <c r="L21" t="s">
        <v>101</v>
      </c>
      <c r="M21" t="s">
        <v>101</v>
      </c>
      <c r="N21" t="s">
        <v>101</v>
      </c>
      <c r="O21"/>
      <c r="P21"/>
      <c r="Q21"/>
      <c r="R21"/>
      <c r="S21"/>
      <c r="T21"/>
      <c r="U21"/>
      <c r="V21"/>
      <c r="W21"/>
      <c r="X21"/>
      <c r="Y21"/>
      <c r="Z21"/>
      <c r="AA21"/>
    </row>
    <row r="22" spans="1:27" s="137" customFormat="1" ht="14.4">
      <c r="A22" t="s">
        <v>100</v>
      </c>
      <c r="B22" s="15" t="s">
        <v>97</v>
      </c>
      <c r="C22" s="15" t="str">
        <f>HYPERLINK("02-项目级\P2-Qcubic to MySQL数据同步工具 V1.0\02-全程管理\01-项目监控\04-里程碑状态报告\05-测试里程碑状态报告(QCUBIC-SJTB-MC-TestMilestoneRpt)V1.0-engl.docx", "engl")</f>
        <v>engl</v>
      </c>
      <c r="D22"/>
      <c r="E22" t="s">
        <v>101</v>
      </c>
      <c r="F22"/>
      <c r="G22" t="s">
        <v>101</v>
      </c>
      <c r="H22" t="s">
        <v>101</v>
      </c>
      <c r="I22" t="s">
        <v>101</v>
      </c>
      <c r="J22" t="s">
        <v>101</v>
      </c>
      <c r="K22" t="s">
        <v>101</v>
      </c>
      <c r="L22" t="s">
        <v>101</v>
      </c>
      <c r="M22" t="s">
        <v>101</v>
      </c>
      <c r="N22" t="s">
        <v>101</v>
      </c>
      <c r="O22"/>
      <c r="P22"/>
      <c r="Q22"/>
      <c r="R22"/>
      <c r="S22"/>
      <c r="T22"/>
      <c r="U22"/>
      <c r="V22"/>
      <c r="W22"/>
      <c r="X22"/>
      <c r="Y22"/>
      <c r="Z22"/>
      <c r="AA22"/>
    </row>
    <row r="23" spans="1:27" s="137" customFormat="1" ht="14.4">
      <c r="A23" t="s">
        <v>100</v>
      </c>
      <c r="B23" s="15" t="s">
        <v>97</v>
      </c>
      <c r="C23" s="15" t="str">
        <f>HYPERLINK("02-项目级\P2-Qcubic to MySQL数据同步工具 V1.0\02-全程管理\01-项目监控\04-里程碑状态报告\06-验收里程碑状态报告(QCUBIC-SJTB-MC-VVMilestoneRpt)V1.0-engl.docx", "engl")</f>
        <v>engl</v>
      </c>
      <c r="D23"/>
      <c r="E23" t="s">
        <v>101</v>
      </c>
      <c r="F23"/>
      <c r="G23" t="s">
        <v>101</v>
      </c>
      <c r="H23" t="s">
        <v>101</v>
      </c>
      <c r="I23" t="s">
        <v>101</v>
      </c>
      <c r="J23" t="s">
        <v>101</v>
      </c>
      <c r="K23" t="s">
        <v>101</v>
      </c>
      <c r="L23" t="s">
        <v>101</v>
      </c>
      <c r="M23" t="s">
        <v>101</v>
      </c>
      <c r="N23" t="s">
        <v>101</v>
      </c>
      <c r="O23"/>
      <c r="P23"/>
      <c r="Q23"/>
      <c r="R23"/>
      <c r="S23"/>
      <c r="T23"/>
      <c r="U23"/>
      <c r="V23"/>
      <c r="W23"/>
      <c r="X23"/>
      <c r="Y23"/>
      <c r="Z23"/>
      <c r="AA23"/>
    </row>
    <row r="24" spans="1:27" s="137" customFormat="1" ht="14.4">
      <c r="A24" t="s">
        <v>100</v>
      </c>
      <c r="B24" s="15" t="s">
        <v>97</v>
      </c>
      <c r="C24" s="15" t="str">
        <f>HYPERLINK("02-项目级\P2-Qcubic to MySQL数据同步工具 V1.0\02-全程管理\01-项目监控\01-问题管理表(QCUBIC-SJTB-MC-IssueList)V1.1-engl.xlsx", "engl")</f>
        <v>engl</v>
      </c>
      <c r="D24"/>
      <c r="E24"/>
      <c r="F24" t="s">
        <v>101</v>
      </c>
      <c r="G24"/>
      <c r="H24"/>
      <c r="I24"/>
      <c r="J24" t="s">
        <v>101</v>
      </c>
      <c r="K24" t="s">
        <v>101</v>
      </c>
      <c r="L24"/>
      <c r="M24"/>
      <c r="N24" t="s">
        <v>101</v>
      </c>
      <c r="O24"/>
      <c r="P24"/>
      <c r="Q24"/>
      <c r="R24"/>
      <c r="S24"/>
      <c r="T24"/>
      <c r="U24"/>
      <c r="V24"/>
      <c r="W24"/>
      <c r="X24"/>
      <c r="Y24"/>
      <c r="Z24"/>
      <c r="AA24"/>
    </row>
    <row r="25" spans="1:27" s="120" customFormat="1" ht="14.4">
      <c r="A25" t="s">
        <v>100</v>
      </c>
      <c r="B25" s="15" t="s">
        <v>97</v>
      </c>
      <c r="C25" s="15" t="str">
        <f>HYPERLINK("02-项目级\P2-Qcubic to MySQL数据同步工具 V1.0\02-全程管理\07-质量保证\01-质量保证计划(QCUBIC-SJTB-PQA-Plan)V1.0-engl.docx", "engl")</f>
        <v>engl</v>
      </c>
      <c r="D25"/>
      <c r="E25"/>
      <c r="F25" t="s">
        <v>101</v>
      </c>
      <c r="G25"/>
      <c r="H25"/>
      <c r="I25"/>
      <c r="J25"/>
      <c r="K25"/>
      <c r="L25"/>
      <c r="M25"/>
      <c r="N25"/>
      <c r="O25"/>
      <c r="P25"/>
      <c r="Q25"/>
      <c r="R25"/>
      <c r="S25"/>
      <c r="T25"/>
      <c r="U25"/>
      <c r="V25"/>
      <c r="W25"/>
      <c r="X25"/>
      <c r="Y25"/>
      <c r="Z25"/>
      <c r="AA25"/>
    </row>
    <row r="26" spans="1:27" s="120" customFormat="1" ht="14.4">
      <c r="A26" t="s">
        <v>100</v>
      </c>
      <c r="B26" s="15" t="s">
        <v>97</v>
      </c>
      <c r="C26" s="15" t="str">
        <f>HYPERLINK("02-项目级\P2-Qcubic to MySQL数据同步工具 V1.0\02-全程管理\08-配置管理\01-项目配置管理计划 (QCUBIC-SJTB-CM-Plan)V1.0-engl.docx", "engl")</f>
        <v>engl</v>
      </c>
      <c r="D26"/>
      <c r="E26"/>
      <c r="F26" t="s">
        <v>101</v>
      </c>
      <c r="G26"/>
      <c r="H26"/>
      <c r="I26"/>
      <c r="J26"/>
      <c r="K26"/>
      <c r="L26"/>
      <c r="M26"/>
      <c r="N26"/>
      <c r="O26"/>
      <c r="P26"/>
      <c r="Q26"/>
      <c r="R26"/>
      <c r="S26"/>
      <c r="T26"/>
      <c r="U26"/>
      <c r="V26"/>
      <c r="W26"/>
      <c r="X26"/>
      <c r="Y26"/>
      <c r="Z26"/>
      <c r="AA26"/>
    </row>
    <row r="27" spans="1:27" s="120" customFormat="1" ht="14.4">
      <c r="A27" t="s">
        <v>100</v>
      </c>
      <c r="B27" s="15" t="s">
        <v>97</v>
      </c>
      <c r="C27"/>
      <c r="D27"/>
      <c r="E27"/>
      <c r="F27"/>
      <c r="G27" t="s">
        <v>101</v>
      </c>
      <c r="H27"/>
      <c r="I27"/>
      <c r="J27"/>
      <c r="K27"/>
      <c r="L27" t="s">
        <v>101</v>
      </c>
      <c r="M27"/>
      <c r="N27"/>
      <c r="O27"/>
      <c r="P27"/>
      <c r="Q27"/>
      <c r="R27"/>
      <c r="S27"/>
      <c r="T27"/>
      <c r="U27"/>
      <c r="V27"/>
      <c r="W27"/>
      <c r="X27"/>
      <c r="Y27"/>
      <c r="Z27"/>
      <c r="AA27"/>
    </row>
    <row r="28" spans="1:27" s="137" customFormat="1" ht="14.4">
      <c r="A28" t="s">
        <v>100</v>
      </c>
      <c r="B28" s="15" t="s">
        <v>97</v>
      </c>
      <c r="C28" s="15" t="str">
        <f>HYPERLINK("02-项目级\P2-Qcubic to MySQL数据同步工具 V1.0\01-生存周期\03-项目策划\01-项目定义过程 (QCUBIC-SJTB-PLAN-PDP)V1.0-engl.xlsx", "engl")</f>
        <v>engl</v>
      </c>
      <c r="D28"/>
      <c r="E28"/>
      <c r="F28"/>
      <c r="G28"/>
      <c r="H28"/>
      <c r="I28"/>
      <c r="J28"/>
      <c r="K28" t="s">
        <v>101</v>
      </c>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mergeCells count="1">
    <mergeCell ref="R6:T6"/>
  </mergeCells>
  <phoneticPr fontId="61" type="noConversion"/>
  <hyperlinks>
    <hyperlink ref="B16" r:id="rId1" xr:uid="{8CD728B7-2D7B-4FF4-8174-30378FD70541}"/>
    <hyperlink ref="B17" r:id="rId2" xr:uid="{B4309091-7D01-41A3-A2CD-D74A777958FE}"/>
    <hyperlink ref="B18" r:id="rId3" xr:uid="{F114EB86-F2A8-4DF2-AF71-8001FCB86E02}"/>
    <hyperlink ref="B19" r:id="rId4" xr:uid="{88006775-04C7-4521-9C28-24B9DCFAD1DA}"/>
    <hyperlink ref="B20" r:id="rId5" xr:uid="{0DFEEB6D-B327-4775-A71B-E29FCD4AA222}"/>
    <hyperlink ref="B21" r:id="rId6" xr:uid="{73F4FB8D-5174-4B7E-91E6-FA81AFCFC7A3}"/>
    <hyperlink ref="B22" r:id="rId7" xr:uid="{C9A37553-15B5-4115-8D7C-73383F2E6BC8}"/>
    <hyperlink ref="B23" r:id="rId8" xr:uid="{F7A78740-0CE3-4E20-84FF-B197B7D558BC}"/>
    <hyperlink ref="B24" r:id="rId9" xr:uid="{E9C9ED07-8C8E-4E88-8EA1-E888D95397B3}"/>
    <hyperlink ref="B25" r:id="rId10" xr:uid="{554AB0EC-C53F-4180-A3D4-856E0BC31930}"/>
    <hyperlink ref="B26" r:id="rId11" xr:uid="{830D50C4-DF1D-4641-9B5F-01CED02DA32D}"/>
    <hyperlink ref="B27" r:id="rId12" xr:uid="{EB4CC330-516C-491F-937F-EEC94C1B6581}"/>
    <hyperlink ref="B28" r:id="rId13" xr:uid="{3C293E6D-BCF8-44F3-8F6C-66AFFFE6B03F}"/>
  </hyperlinks>
  <pageMargins left="0.7" right="0.7" top="0.75" bottom="0.75" header="0.3" footer="0.3"/>
  <pageSetup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642E-8803-4A96-879E-403ABD7F5793}">
  <sheetPr codeName="Sheet21">
    <tabColor rgb="FF008050"/>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40.6640625" style="104" customWidth="1"/>
    <col min="2" max="4" width="7.88671875" style="104" customWidth="1"/>
    <col min="5" max="6" width="15.6640625" style="104" customWidth="1"/>
    <col min="7" max="17" width="15.6640625" style="105" customWidth="1"/>
    <col min="18" max="19" width="15.6640625" style="104" customWidth="1"/>
    <col min="20" max="20" width="71.109375" style="104" customWidth="1"/>
    <col min="21" max="21" width="3.6640625" style="104" customWidth="1"/>
    <col min="22" max="22" width="30.109375" style="104" customWidth="1"/>
    <col min="23" max="23" width="147.109375" style="104" customWidth="1"/>
    <col min="24" max="25" width="18.6640625" style="104" customWidth="1"/>
    <col min="26" max="26" width="16.44140625" style="104" customWidth="1"/>
    <col min="27" max="16384" width="8.6640625" style="104"/>
  </cols>
  <sheetData>
    <row r="1" spans="1:27" s="107" customFormat="1" ht="18">
      <c r="A1" s="102" t="s">
        <v>803</v>
      </c>
      <c r="B1" s="102"/>
      <c r="C1" s="102"/>
      <c r="D1" s="102"/>
      <c r="E1" s="103"/>
      <c r="F1" s="104"/>
      <c r="G1" s="105"/>
      <c r="H1" s="105"/>
      <c r="I1" s="105"/>
      <c r="J1" s="105"/>
      <c r="K1" s="105"/>
      <c r="L1" s="105"/>
      <c r="M1" s="105"/>
      <c r="N1" s="105"/>
      <c r="O1" s="105"/>
      <c r="P1" s="105"/>
      <c r="Q1" s="105"/>
    </row>
    <row r="2" spans="1:27" s="145" customFormat="1" ht="30" customHeight="1">
      <c r="A2" s="107" t="s">
        <v>23</v>
      </c>
      <c r="B2" s="107"/>
      <c r="C2" s="107"/>
      <c r="D2" s="107"/>
      <c r="E2" s="314" t="s">
        <v>804</v>
      </c>
      <c r="F2" s="314"/>
      <c r="G2" s="314"/>
      <c r="H2" s="314"/>
      <c r="I2" s="314"/>
      <c r="J2" s="314"/>
      <c r="K2" s="314"/>
      <c r="L2" s="314"/>
      <c r="M2" s="314"/>
      <c r="N2" s="314"/>
      <c r="O2" s="314"/>
      <c r="P2" s="314"/>
      <c r="Q2" s="314"/>
    </row>
    <row r="3" spans="1:27" s="107" customFormat="1">
      <c r="A3" s="104" t="s">
        <v>25</v>
      </c>
      <c r="B3" s="104"/>
      <c r="C3" s="104"/>
      <c r="D3" s="104"/>
      <c r="E3" s="317" t="s">
        <v>805</v>
      </c>
      <c r="F3" s="317"/>
      <c r="G3" s="317"/>
      <c r="H3" s="317"/>
      <c r="I3" s="317"/>
      <c r="J3" s="317"/>
      <c r="K3" s="317"/>
      <c r="L3" s="317"/>
      <c r="M3" s="317"/>
      <c r="N3" s="317"/>
      <c r="O3" s="317"/>
      <c r="P3" s="317"/>
      <c r="Q3" s="317"/>
    </row>
    <row r="4" spans="1:27" s="107" customFormat="1">
      <c r="A4" s="108"/>
      <c r="B4" s="108"/>
      <c r="C4" s="108"/>
      <c r="D4" s="108"/>
      <c r="E4" s="109" t="s">
        <v>27</v>
      </c>
      <c r="F4" s="146"/>
      <c r="G4" s="110" t="s">
        <v>28</v>
      </c>
      <c r="H4" s="111"/>
      <c r="I4" s="110"/>
      <c r="J4" s="112"/>
      <c r="K4" s="112"/>
      <c r="L4" s="112"/>
      <c r="M4" s="110"/>
      <c r="N4" s="110"/>
      <c r="O4" s="113" t="s">
        <v>29</v>
      </c>
      <c r="P4" s="113"/>
      <c r="Q4" s="113"/>
      <c r="R4" s="147"/>
      <c r="S4" s="171" t="s">
        <v>371</v>
      </c>
      <c r="T4" s="115"/>
      <c r="U4" s="115"/>
      <c r="V4" s="115"/>
    </row>
    <row r="5" spans="1:27" s="107" customFormat="1">
      <c r="A5" s="115"/>
      <c r="B5" s="115"/>
      <c r="C5" s="115"/>
      <c r="D5" s="115"/>
      <c r="E5" s="116" t="s">
        <v>30</v>
      </c>
      <c r="F5" s="146"/>
      <c r="G5" s="117" t="s">
        <v>31</v>
      </c>
      <c r="H5" s="111"/>
      <c r="I5" s="117"/>
      <c r="J5" s="112"/>
      <c r="K5" s="112"/>
      <c r="L5" s="112"/>
      <c r="M5" s="236"/>
      <c r="N5" s="236"/>
      <c r="O5" s="113" t="s">
        <v>32</v>
      </c>
      <c r="P5" s="166"/>
      <c r="Q5" s="113"/>
      <c r="R5" s="147"/>
      <c r="S5" s="171" t="s">
        <v>372</v>
      </c>
      <c r="T5" s="115"/>
      <c r="U5" s="115"/>
      <c r="V5" s="115"/>
    </row>
    <row r="6" spans="1:27">
      <c r="A6" s="119"/>
      <c r="B6" s="119"/>
      <c r="C6" s="119"/>
      <c r="D6" s="119"/>
      <c r="E6" s="172" t="s">
        <v>806</v>
      </c>
      <c r="F6" s="172" t="s">
        <v>807</v>
      </c>
      <c r="G6" s="87" t="s">
        <v>808</v>
      </c>
      <c r="H6" s="87" t="s">
        <v>809</v>
      </c>
      <c r="I6" s="87" t="s">
        <v>810</v>
      </c>
      <c r="J6" s="87" t="s">
        <v>811</v>
      </c>
      <c r="K6" s="87" t="s">
        <v>812</v>
      </c>
      <c r="L6" s="87" t="s">
        <v>813</v>
      </c>
      <c r="M6" s="87" t="s">
        <v>814</v>
      </c>
      <c r="N6" s="87" t="s">
        <v>815</v>
      </c>
      <c r="O6" s="88" t="s">
        <v>816</v>
      </c>
      <c r="P6" s="88" t="s">
        <v>817</v>
      </c>
      <c r="Q6" s="88" t="s">
        <v>818</v>
      </c>
      <c r="R6" s="88" t="s">
        <v>819</v>
      </c>
      <c r="S6" s="173" t="s">
        <v>820</v>
      </c>
      <c r="T6" s="90"/>
      <c r="U6" s="90"/>
      <c r="V6" s="90"/>
      <c r="W6" s="120"/>
      <c r="X6" s="120"/>
      <c r="Y6" s="120"/>
    </row>
    <row r="7" spans="1:27" ht="137.4" customHeight="1">
      <c r="A7" s="121" t="s">
        <v>174</v>
      </c>
      <c r="B7" s="121"/>
      <c r="C7" s="121"/>
      <c r="D7" s="121"/>
      <c r="E7" s="94" t="s">
        <v>821</v>
      </c>
      <c r="F7" s="94" t="s">
        <v>822</v>
      </c>
      <c r="G7" s="94" t="s">
        <v>823</v>
      </c>
      <c r="H7" s="94" t="s">
        <v>824</v>
      </c>
      <c r="I7" s="94" t="s">
        <v>825</v>
      </c>
      <c r="J7" s="94" t="s">
        <v>826</v>
      </c>
      <c r="K7" s="94" t="s">
        <v>827</v>
      </c>
      <c r="L7" s="94" t="s">
        <v>828</v>
      </c>
      <c r="M7" s="94" t="s">
        <v>829</v>
      </c>
      <c r="N7" s="94" t="s">
        <v>830</v>
      </c>
      <c r="O7" s="94" t="s">
        <v>831</v>
      </c>
      <c r="P7" s="94" t="s">
        <v>832</v>
      </c>
      <c r="Q7" s="94" t="s">
        <v>833</v>
      </c>
      <c r="R7" s="94" t="s">
        <v>834</v>
      </c>
      <c r="S7" s="94" t="s">
        <v>835</v>
      </c>
      <c r="T7" s="90"/>
      <c r="U7" s="90"/>
      <c r="V7" s="90"/>
    </row>
    <row r="8" spans="1:27" ht="111" customHeight="1">
      <c r="A8" s="119" t="s">
        <v>54</v>
      </c>
      <c r="B8" s="119"/>
      <c r="C8" s="119"/>
      <c r="D8" s="119"/>
      <c r="E8" s="95" t="s">
        <v>836</v>
      </c>
      <c r="F8" s="122" t="s">
        <v>837</v>
      </c>
      <c r="G8" s="95" t="s">
        <v>838</v>
      </c>
      <c r="H8" s="95" t="s">
        <v>839</v>
      </c>
      <c r="I8" s="95" t="s">
        <v>840</v>
      </c>
      <c r="J8" s="95" t="s">
        <v>841</v>
      </c>
      <c r="K8" s="95" t="s">
        <v>842</v>
      </c>
      <c r="L8" s="95" t="s">
        <v>843</v>
      </c>
      <c r="M8" s="95" t="s">
        <v>844</v>
      </c>
      <c r="N8" s="95" t="s">
        <v>845</v>
      </c>
      <c r="O8" s="95" t="s">
        <v>846</v>
      </c>
      <c r="P8" s="95" t="s">
        <v>847</v>
      </c>
      <c r="Q8" s="95" t="s">
        <v>848</v>
      </c>
      <c r="R8" s="95" t="s">
        <v>849</v>
      </c>
      <c r="S8" s="95" t="s">
        <v>850</v>
      </c>
      <c r="T8" s="96"/>
      <c r="U8" s="96"/>
      <c r="V8" s="96"/>
    </row>
    <row r="9" spans="1:27" ht="200.1" customHeight="1">
      <c r="A9" s="119" t="s">
        <v>65</v>
      </c>
      <c r="B9" s="119"/>
      <c r="C9" s="119"/>
      <c r="D9" s="119"/>
      <c r="E9" s="95" t="s">
        <v>851</v>
      </c>
      <c r="F9" s="122" t="s">
        <v>852</v>
      </c>
      <c r="G9" s="95" t="s">
        <v>853</v>
      </c>
      <c r="H9" s="95" t="s">
        <v>854</v>
      </c>
      <c r="I9" s="95" t="s">
        <v>855</v>
      </c>
      <c r="J9" s="95" t="s">
        <v>856</v>
      </c>
      <c r="K9" s="95" t="s">
        <v>857</v>
      </c>
      <c r="L9" s="95" t="s">
        <v>858</v>
      </c>
      <c r="M9" s="95" t="s">
        <v>859</v>
      </c>
      <c r="N9" s="95" t="s">
        <v>860</v>
      </c>
      <c r="O9" s="95" t="s">
        <v>861</v>
      </c>
      <c r="P9" s="95" t="s">
        <v>862</v>
      </c>
      <c r="Q9" s="95" t="s">
        <v>863</v>
      </c>
      <c r="R9" s="95" t="s">
        <v>864</v>
      </c>
      <c r="S9" s="95" t="s">
        <v>865</v>
      </c>
      <c r="T9" s="96"/>
      <c r="U9" s="96"/>
      <c r="V9" s="96"/>
    </row>
    <row r="10" spans="1:27" ht="144" customHeight="1" thickBot="1">
      <c r="A10" s="119" t="s">
        <v>76</v>
      </c>
      <c r="B10" s="292"/>
      <c r="C10" s="292"/>
      <c r="D10" s="292"/>
      <c r="E10" s="237"/>
      <c r="F10" s="237" t="s">
        <v>866</v>
      </c>
      <c r="G10" s="238" t="s">
        <v>867</v>
      </c>
      <c r="H10" s="238" t="s">
        <v>868</v>
      </c>
      <c r="I10" s="238" t="s">
        <v>869</v>
      </c>
      <c r="J10" s="238" t="s">
        <v>870</v>
      </c>
      <c r="K10" s="238" t="s">
        <v>871</v>
      </c>
      <c r="L10" s="238" t="s">
        <v>872</v>
      </c>
      <c r="M10" s="238" t="s">
        <v>873</v>
      </c>
      <c r="N10" s="238" t="s">
        <v>874</v>
      </c>
      <c r="O10" s="238" t="s">
        <v>875</v>
      </c>
      <c r="P10" s="238" t="s">
        <v>876</v>
      </c>
      <c r="Q10" s="238" t="s">
        <v>877</v>
      </c>
      <c r="R10" s="238" t="s">
        <v>878</v>
      </c>
      <c r="S10" s="238" t="s">
        <v>879</v>
      </c>
      <c r="T10" s="149"/>
      <c r="U10" s="149"/>
      <c r="V10" s="149"/>
    </row>
    <row r="11" spans="1:27" ht="108" customHeight="1" thickBot="1">
      <c r="A11" s="239" t="s">
        <v>86</v>
      </c>
      <c r="B11" s="239"/>
      <c r="C11" s="239"/>
      <c r="D11" s="239"/>
      <c r="E11" s="237"/>
      <c r="F11" s="237"/>
      <c r="G11" s="238"/>
      <c r="H11" s="238"/>
      <c r="I11" s="238" t="s">
        <v>880</v>
      </c>
      <c r="J11" s="238" t="s">
        <v>881</v>
      </c>
      <c r="K11" s="238" t="s">
        <v>882</v>
      </c>
      <c r="L11" s="238" t="s">
        <v>883</v>
      </c>
      <c r="M11" s="238" t="s">
        <v>884</v>
      </c>
      <c r="N11" s="238" t="s">
        <v>885</v>
      </c>
      <c r="O11" s="238" t="s">
        <v>886</v>
      </c>
      <c r="P11" s="238" t="s">
        <v>887</v>
      </c>
      <c r="Q11" s="238" t="s">
        <v>888</v>
      </c>
      <c r="R11" s="238" t="s">
        <v>889</v>
      </c>
      <c r="S11" s="238" t="s">
        <v>879</v>
      </c>
      <c r="T11" s="149"/>
      <c r="U11" s="149"/>
      <c r="V11" s="149"/>
    </row>
    <row r="12" spans="1:27" ht="15" customHeight="1"/>
    <row r="13" spans="1:27" ht="15" customHeight="1"/>
    <row r="14" spans="1:27" ht="15" customHeight="1"/>
    <row r="15" spans="1:27" customFormat="1" ht="14.4">
      <c r="A15" t="s">
        <v>96</v>
      </c>
      <c r="B15" t="s">
        <v>97</v>
      </c>
      <c r="C15" t="s">
        <v>98</v>
      </c>
      <c r="D15" t="s">
        <v>99</v>
      </c>
      <c r="E15" s="14" t="s">
        <v>806</v>
      </c>
      <c r="F15" s="14" t="s">
        <v>807</v>
      </c>
      <c r="G15" s="14" t="s">
        <v>808</v>
      </c>
      <c r="H15" s="14" t="s">
        <v>809</v>
      </c>
      <c r="I15" s="14" t="s">
        <v>810</v>
      </c>
      <c r="J15" s="14" t="s">
        <v>811</v>
      </c>
      <c r="K15" s="14" t="s">
        <v>812</v>
      </c>
      <c r="L15" s="14" t="s">
        <v>813</v>
      </c>
      <c r="M15" s="14" t="s">
        <v>814</v>
      </c>
      <c r="N15" s="14" t="s">
        <v>815</v>
      </c>
      <c r="O15" s="14" t="s">
        <v>816</v>
      </c>
      <c r="P15" s="14" t="s">
        <v>817</v>
      </c>
      <c r="Q15" s="14" t="s">
        <v>818</v>
      </c>
      <c r="R15" s="14" t="s">
        <v>819</v>
      </c>
      <c r="S15" s="14" t="s">
        <v>820</v>
      </c>
      <c r="T15" s="104"/>
    </row>
    <row r="16" spans="1:27" ht="14.4">
      <c r="A16" t="s">
        <v>100</v>
      </c>
      <c r="B16" s="15" t="s">
        <v>97</v>
      </c>
      <c r="C16"/>
      <c r="D16"/>
      <c r="E16" t="s">
        <v>101</v>
      </c>
      <c r="F16" t="s">
        <v>101</v>
      </c>
      <c r="G16"/>
      <c r="H16"/>
      <c r="I16" t="s">
        <v>101</v>
      </c>
      <c r="J16" t="s">
        <v>101</v>
      </c>
      <c r="K16" t="s">
        <v>101</v>
      </c>
      <c r="L16" t="s">
        <v>101</v>
      </c>
      <c r="M16" t="s">
        <v>101</v>
      </c>
      <c r="N16"/>
      <c r="O16"/>
      <c r="P16"/>
      <c r="Q16" t="s">
        <v>101</v>
      </c>
      <c r="R16"/>
      <c r="S16"/>
      <c r="T16"/>
      <c r="U16"/>
      <c r="V16"/>
      <c r="W16"/>
      <c r="X16"/>
      <c r="Y16"/>
      <c r="Z16"/>
      <c r="AA16"/>
    </row>
    <row r="17" spans="1:27" ht="14.4">
      <c r="A17" t="s">
        <v>100</v>
      </c>
      <c r="B17" s="15" t="s">
        <v>97</v>
      </c>
      <c r="C17" s="15" t="str">
        <f>HYPERLINK("02-项目级\P2-Qcubic to MySQL数据同步工具 V1.0\01-生存周期\03-项目策划\03-项目计划书 (QCUBIC-SJTB-PLAN-Plan)V1.0-engl.docx", "engl")</f>
        <v>engl</v>
      </c>
      <c r="D17"/>
      <c r="E17"/>
      <c r="F17" t="s">
        <v>101</v>
      </c>
      <c r="G17" t="s">
        <v>101</v>
      </c>
      <c r="H17" t="s">
        <v>101</v>
      </c>
      <c r="I17"/>
      <c r="J17"/>
      <c r="K17"/>
      <c r="L17" t="s">
        <v>101</v>
      </c>
      <c r="M17" t="s">
        <v>101</v>
      </c>
      <c r="N17"/>
      <c r="O17"/>
      <c r="P17" t="s">
        <v>101</v>
      </c>
      <c r="Q17" t="s">
        <v>101</v>
      </c>
      <c r="R17" t="s">
        <v>101</v>
      </c>
      <c r="S17"/>
      <c r="T17"/>
      <c r="U17"/>
      <c r="V17"/>
      <c r="W17"/>
      <c r="X17"/>
      <c r="Y17"/>
      <c r="Z17"/>
      <c r="AA17"/>
    </row>
    <row r="18" spans="1:27" ht="14.4">
      <c r="A18" t="s">
        <v>100</v>
      </c>
      <c r="B18" s="15" t="s">
        <v>97</v>
      </c>
      <c r="C18" s="15" t="str">
        <f>HYPERLINK("02-项目级\P2-Qcubic to MySQL数据同步工具 V1.0\02-全程管理\05-评审管理\03-计划评审\05-评审报告_项目计划(QCUBIC-SJTB-PR-ReviewRpt)V1.1-engl.xlsx", "engl")</f>
        <v>engl</v>
      </c>
      <c r="D18"/>
      <c r="E18"/>
      <c r="F18"/>
      <c r="G18"/>
      <c r="H18"/>
      <c r="I18"/>
      <c r="J18"/>
      <c r="K18"/>
      <c r="L18" t="s">
        <v>101</v>
      </c>
      <c r="M18"/>
      <c r="N18" t="s">
        <v>101</v>
      </c>
      <c r="O18"/>
      <c r="P18"/>
      <c r="Q18"/>
      <c r="R18"/>
      <c r="S18"/>
      <c r="T18"/>
      <c r="U18"/>
      <c r="V18"/>
      <c r="W18"/>
      <c r="X18"/>
      <c r="Y18"/>
      <c r="Z18"/>
      <c r="AA18"/>
    </row>
    <row r="19" spans="1:27" ht="14.4">
      <c r="A19" t="s">
        <v>100</v>
      </c>
      <c r="B19" s="15" t="s">
        <v>97</v>
      </c>
      <c r="C19" s="15" t="str">
        <f>HYPERLINK("02-项目级\P2-Qcubic to MySQL数据同步工具 V1.0\01-生存周期\03-项目策划\01-项目定义过程 (QCUBIC-SJTB-PLAN-PDP)V1.0-engl.xlsx", "engl")</f>
        <v>engl</v>
      </c>
      <c r="D19"/>
      <c r="E19"/>
      <c r="F19"/>
      <c r="G19"/>
      <c r="H19"/>
      <c r="I19"/>
      <c r="J19"/>
      <c r="K19"/>
      <c r="L19"/>
      <c r="M19"/>
      <c r="N19"/>
      <c r="O19" t="s">
        <v>101</v>
      </c>
      <c r="P19" t="s">
        <v>101</v>
      </c>
      <c r="Q19"/>
      <c r="R19"/>
      <c r="S19"/>
      <c r="T19"/>
      <c r="U19"/>
      <c r="V19"/>
      <c r="W19"/>
      <c r="X19"/>
      <c r="Y19"/>
      <c r="Z19"/>
      <c r="AA19"/>
    </row>
    <row r="20" spans="1:27" ht="14.4">
      <c r="A20" t="s">
        <v>100</v>
      </c>
      <c r="B20" s="15" t="s">
        <v>97</v>
      </c>
      <c r="C20" s="15" t="str">
        <f>HYPERLINK("01-组织级\01-组织财富库\01-标准过程文件库\04-组织过程类\02-过程资产管理\裁剪指南 (QCUBIC-SPI-OPAL-Guid-Tailor)V1.2-engl.xlsx", "engl")</f>
        <v>engl</v>
      </c>
      <c r="D20"/>
      <c r="E20"/>
      <c r="F20"/>
      <c r="G20"/>
      <c r="H20"/>
      <c r="I20"/>
      <c r="J20"/>
      <c r="K20"/>
      <c r="L20"/>
      <c r="M20"/>
      <c r="N20"/>
      <c r="O20" t="s">
        <v>101</v>
      </c>
      <c r="P20"/>
      <c r="Q20"/>
      <c r="R20"/>
      <c r="S20"/>
      <c r="T20"/>
      <c r="U20"/>
      <c r="V20"/>
      <c r="W20"/>
      <c r="X20"/>
      <c r="Y20"/>
      <c r="Z20"/>
      <c r="AA20"/>
    </row>
    <row r="21" spans="1:27" ht="14.4">
      <c r="A21" t="s">
        <v>100</v>
      </c>
      <c r="B21" s="15" t="s">
        <v>97</v>
      </c>
      <c r="C21" s="15" t="str">
        <f>HYPERLINK("02-项目级\P2-Qcubic to MySQL数据同步工具 V1.0\02-全程管理\03-度量分析\02-项目度量数据表(QCUBIC-SJTB-MPM-datasheet)V1.0-engl.xlsx", "engl")</f>
        <v>engl</v>
      </c>
      <c r="D21"/>
      <c r="E21"/>
      <c r="F21"/>
      <c r="G21"/>
      <c r="H21"/>
      <c r="I21"/>
      <c r="J21"/>
      <c r="K21"/>
      <c r="L21"/>
      <c r="M21"/>
      <c r="N21"/>
      <c r="O21"/>
      <c r="P21" t="s">
        <v>101</v>
      </c>
      <c r="Q21"/>
      <c r="R21"/>
      <c r="S21"/>
      <c r="T21"/>
      <c r="U21"/>
      <c r="V21"/>
      <c r="W21"/>
      <c r="X21"/>
      <c r="Y21"/>
      <c r="Z21"/>
      <c r="AA21"/>
    </row>
    <row r="22" spans="1:27" ht="14.4">
      <c r="A22" t="s">
        <v>100</v>
      </c>
      <c r="B22" s="15" t="s">
        <v>97</v>
      </c>
      <c r="C22" s="15" t="str">
        <f>HYPERLINK("02-项目级\P2-Qcubic to MySQL数据同步工具 V1.0\01-生存周期\03-项目策划\05-关键依赖关系跟踪管理表(QCUBIC-SJTB-Key dependency tracking management table)V1.0-engl.xlsx", "engl")</f>
        <v>engl</v>
      </c>
      <c r="D22"/>
      <c r="E22"/>
      <c r="F22"/>
      <c r="G22"/>
      <c r="H22"/>
      <c r="I22"/>
      <c r="J22"/>
      <c r="K22"/>
      <c r="L22"/>
      <c r="M22"/>
      <c r="N22"/>
      <c r="O22"/>
      <c r="P22"/>
      <c r="Q22" t="s">
        <v>101</v>
      </c>
      <c r="R22"/>
      <c r="S22"/>
      <c r="T22"/>
      <c r="U22"/>
      <c r="V22"/>
      <c r="W22"/>
      <c r="X22"/>
      <c r="Y22"/>
      <c r="Z22"/>
      <c r="AA22"/>
    </row>
    <row r="23" spans="1:27" ht="14.4">
      <c r="A23"/>
      <c r="B23"/>
      <c r="C23"/>
      <c r="D23"/>
      <c r="E23"/>
      <c r="F23"/>
      <c r="G23"/>
      <c r="H23"/>
      <c r="I23"/>
      <c r="J23"/>
      <c r="K23"/>
      <c r="L23"/>
      <c r="M23"/>
      <c r="N23"/>
      <c r="O23"/>
      <c r="P23"/>
      <c r="Q23"/>
      <c r="R23"/>
      <c r="S23"/>
      <c r="T23"/>
      <c r="U23"/>
      <c r="V23"/>
      <c r="W23"/>
      <c r="X23"/>
      <c r="Y23"/>
      <c r="Z23"/>
      <c r="AA23"/>
    </row>
    <row r="24" spans="1:27" ht="14.4">
      <c r="A24"/>
      <c r="B24"/>
      <c r="C24"/>
      <c r="D24"/>
      <c r="E24"/>
      <c r="F24"/>
      <c r="G24"/>
      <c r="H24"/>
      <c r="I24"/>
      <c r="J24"/>
      <c r="K24"/>
      <c r="L24"/>
      <c r="M24"/>
      <c r="N24"/>
      <c r="O24"/>
      <c r="P24"/>
      <c r="Q24"/>
      <c r="R24"/>
      <c r="S24"/>
      <c r="T24"/>
      <c r="U24"/>
      <c r="V24"/>
      <c r="W24"/>
      <c r="X24"/>
      <c r="Y24"/>
      <c r="Z24"/>
      <c r="AA24"/>
    </row>
    <row r="25" spans="1:27" ht="14.4">
      <c r="A25"/>
      <c r="B25"/>
      <c r="C25"/>
      <c r="D25"/>
      <c r="E25"/>
      <c r="F25"/>
      <c r="G25"/>
      <c r="H25"/>
      <c r="I25"/>
      <c r="J25"/>
      <c r="K25"/>
      <c r="L25"/>
      <c r="M25"/>
      <c r="N25"/>
      <c r="O25"/>
      <c r="P25"/>
      <c r="Q25"/>
      <c r="R25"/>
      <c r="S25"/>
      <c r="T25"/>
      <c r="U25"/>
      <c r="V25"/>
      <c r="W25"/>
      <c r="X25"/>
      <c r="Y25"/>
      <c r="Z25"/>
      <c r="AA25"/>
    </row>
    <row r="26" spans="1:27" ht="14.4">
      <c r="A26"/>
      <c r="B26"/>
      <c r="C26"/>
      <c r="D26"/>
      <c r="E26"/>
      <c r="F26"/>
      <c r="G26"/>
      <c r="H26"/>
      <c r="I26"/>
      <c r="J26"/>
      <c r="K26"/>
      <c r="L26"/>
      <c r="M26"/>
      <c r="N26"/>
      <c r="O26"/>
      <c r="P26"/>
      <c r="Q26"/>
      <c r="R26"/>
      <c r="S26"/>
      <c r="T26"/>
      <c r="U26"/>
      <c r="V26"/>
      <c r="W26"/>
      <c r="X26"/>
      <c r="Y26"/>
      <c r="Z26"/>
      <c r="AA26"/>
    </row>
    <row r="27" spans="1:27" ht="14.4">
      <c r="A27"/>
      <c r="B27"/>
      <c r="C27"/>
      <c r="D27"/>
      <c r="E27"/>
      <c r="F27"/>
      <c r="G27"/>
      <c r="H27"/>
      <c r="I27"/>
      <c r="J27"/>
      <c r="K27"/>
      <c r="L27"/>
      <c r="M27"/>
      <c r="N27"/>
      <c r="O27"/>
      <c r="P27"/>
      <c r="Q27"/>
      <c r="R27"/>
      <c r="S27"/>
      <c r="T27"/>
      <c r="U27"/>
      <c r="V27"/>
      <c r="W27"/>
      <c r="X27"/>
      <c r="Y27"/>
      <c r="Z27"/>
      <c r="AA27"/>
    </row>
    <row r="28" spans="1:27" ht="14.4">
      <c r="A28"/>
      <c r="B28"/>
      <c r="C28"/>
      <c r="D28"/>
      <c r="E28"/>
      <c r="F28"/>
      <c r="G28"/>
      <c r="H28"/>
      <c r="I28"/>
      <c r="J28"/>
      <c r="K28"/>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mergeCells count="2">
    <mergeCell ref="E2:Q2"/>
    <mergeCell ref="E3:Q3"/>
  </mergeCells>
  <phoneticPr fontId="61" type="noConversion"/>
  <hyperlinks>
    <hyperlink ref="B16" r:id="rId1" xr:uid="{DE41AB16-CDC4-4B49-B44A-DEDF947A4FD7}"/>
    <hyperlink ref="B17" r:id="rId2" xr:uid="{038D7855-04F0-4F81-AC3A-64EB98AFAA34}"/>
    <hyperlink ref="B18" r:id="rId3" xr:uid="{ED19E6D1-3E80-49DD-A236-8A15C37FD749}"/>
    <hyperlink ref="B19" r:id="rId4" xr:uid="{50D6C904-5643-4C94-874A-F7BF1228BDCC}"/>
    <hyperlink ref="B20" r:id="rId5" xr:uid="{9561551A-0291-4D8B-B25B-5643FF5E11CC}"/>
    <hyperlink ref="B21" r:id="rId6" xr:uid="{68CBA0B8-7EF3-49E9-87F6-37C30D32DB1C}"/>
    <hyperlink ref="B22" r:id="rId7" xr:uid="{C7818DD4-9F6E-4F61-B394-B6295D8733EC}"/>
  </hyperlinks>
  <pageMargins left="0.7" right="0.7" top="0.75" bottom="0.75" header="0.3" footer="0.3"/>
  <pageSetup orientation="portrait" r:id="rId8"/>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E484-F526-4FCA-BECC-50CA55E2650A}">
  <sheetPr codeName="Sheet22">
    <tabColor rgb="FF008050"/>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50.6640625" style="266" customWidth="1"/>
    <col min="2" max="4" width="7.88671875" style="266" customWidth="1"/>
    <col min="5" max="6" width="20.6640625" style="251" customWidth="1"/>
    <col min="7" max="10" width="20.6640625" style="128" customWidth="1"/>
    <col min="11" max="11" width="50.6640625" style="128" customWidth="1"/>
    <col min="12" max="12" width="3.6640625" style="128" customWidth="1"/>
    <col min="13" max="13" width="24" style="128" bestFit="1" customWidth="1"/>
    <col min="14" max="14" width="108.44140625" style="125" customWidth="1"/>
    <col min="15" max="16384" width="8.6640625" style="251"/>
  </cols>
  <sheetData>
    <row r="1" spans="1:27" s="242" customFormat="1" ht="18">
      <c r="A1" s="240" t="s">
        <v>890</v>
      </c>
      <c r="B1" s="240"/>
      <c r="C1" s="240"/>
      <c r="D1" s="240"/>
      <c r="E1" s="241"/>
      <c r="F1" s="241"/>
      <c r="G1" s="241"/>
      <c r="H1" s="241"/>
      <c r="I1" s="241"/>
      <c r="J1" s="128"/>
      <c r="K1" s="128"/>
      <c r="L1" s="128"/>
      <c r="M1" s="128"/>
      <c r="N1" s="125"/>
    </row>
    <row r="2" spans="1:27" s="243" customFormat="1">
      <c r="A2" s="97" t="s">
        <v>891</v>
      </c>
      <c r="B2" s="97"/>
      <c r="C2" s="97"/>
      <c r="D2" s="97"/>
      <c r="E2" s="98" t="s">
        <v>892</v>
      </c>
      <c r="F2" s="98"/>
      <c r="G2" s="98"/>
      <c r="H2" s="98"/>
      <c r="I2" s="98"/>
      <c r="J2" s="128"/>
      <c r="K2" s="128"/>
      <c r="L2" s="128"/>
      <c r="M2" s="128"/>
      <c r="N2" s="125"/>
    </row>
    <row r="3" spans="1:27" s="244" customFormat="1">
      <c r="A3" s="97" t="s">
        <v>893</v>
      </c>
      <c r="B3" s="97"/>
      <c r="C3" s="97"/>
      <c r="D3" s="97"/>
      <c r="E3" s="98" t="s">
        <v>894</v>
      </c>
      <c r="F3" s="98"/>
      <c r="G3" s="98"/>
      <c r="H3" s="98"/>
      <c r="I3" s="98"/>
      <c r="J3" s="128"/>
      <c r="K3" s="128"/>
      <c r="L3" s="128"/>
      <c r="M3" s="128"/>
      <c r="N3" s="125"/>
    </row>
    <row r="4" spans="1:27">
      <c r="A4" s="245"/>
      <c r="B4" s="245"/>
      <c r="C4" s="245"/>
      <c r="D4" s="245"/>
      <c r="E4" s="246" t="s">
        <v>27</v>
      </c>
      <c r="F4" s="247" t="s">
        <v>28</v>
      </c>
      <c r="G4" s="248"/>
      <c r="H4" s="247"/>
      <c r="I4" s="249" t="s">
        <v>29</v>
      </c>
      <c r="J4" s="249"/>
      <c r="K4" s="250"/>
      <c r="L4" s="250"/>
      <c r="M4" s="250"/>
    </row>
    <row r="5" spans="1:27">
      <c r="A5" s="251"/>
      <c r="B5" s="251"/>
      <c r="C5" s="251"/>
      <c r="D5" s="251"/>
      <c r="E5" s="252" t="s">
        <v>30</v>
      </c>
      <c r="F5" s="253" t="s">
        <v>31</v>
      </c>
      <c r="G5" s="248"/>
      <c r="H5" s="253"/>
      <c r="I5" s="249" t="s">
        <v>32</v>
      </c>
      <c r="J5" s="254"/>
      <c r="K5" s="251"/>
      <c r="L5" s="251"/>
      <c r="M5" s="251"/>
    </row>
    <row r="6" spans="1:27" s="125" customFormat="1">
      <c r="A6" s="255"/>
      <c r="B6" s="255"/>
      <c r="C6" s="255"/>
      <c r="D6" s="255"/>
      <c r="E6" s="256" t="s">
        <v>895</v>
      </c>
      <c r="F6" s="257" t="s">
        <v>896</v>
      </c>
      <c r="G6" s="257" t="s">
        <v>897</v>
      </c>
      <c r="H6" s="257" t="s">
        <v>898</v>
      </c>
      <c r="I6" s="258" t="s">
        <v>899</v>
      </c>
      <c r="J6" s="258" t="s">
        <v>900</v>
      </c>
      <c r="K6" s="126"/>
      <c r="L6" s="126"/>
      <c r="M6" s="126"/>
      <c r="N6" s="128"/>
    </row>
    <row r="7" spans="1:27" s="125" customFormat="1" ht="82.8">
      <c r="A7" s="259" t="s">
        <v>174</v>
      </c>
      <c r="B7" s="259"/>
      <c r="C7" s="259"/>
      <c r="D7" s="259"/>
      <c r="E7" s="260" t="s">
        <v>901</v>
      </c>
      <c r="F7" s="260" t="s">
        <v>902</v>
      </c>
      <c r="G7" s="260" t="s">
        <v>903</v>
      </c>
      <c r="H7" s="260" t="s">
        <v>904</v>
      </c>
      <c r="I7" s="260" t="s">
        <v>905</v>
      </c>
      <c r="J7" s="260" t="s">
        <v>906</v>
      </c>
      <c r="K7" s="126"/>
      <c r="L7" s="126"/>
      <c r="M7" s="126"/>
    </row>
    <row r="8" spans="1:27" s="125" customFormat="1" ht="48">
      <c r="A8" s="255" t="s">
        <v>54</v>
      </c>
      <c r="B8" s="255"/>
      <c r="C8" s="255"/>
      <c r="D8" s="255"/>
      <c r="E8" s="261" t="s">
        <v>907</v>
      </c>
      <c r="F8" s="261" t="s">
        <v>908</v>
      </c>
      <c r="G8" s="261" t="s">
        <v>909</v>
      </c>
      <c r="H8" s="261" t="s">
        <v>910</v>
      </c>
      <c r="I8" s="261" t="s">
        <v>911</v>
      </c>
      <c r="J8" s="261" t="s">
        <v>912</v>
      </c>
      <c r="K8" s="262"/>
      <c r="L8" s="262"/>
      <c r="M8" s="262"/>
    </row>
    <row r="9" spans="1:27" s="125" customFormat="1" ht="87.6" customHeight="1">
      <c r="A9" s="255" t="s">
        <v>65</v>
      </c>
      <c r="B9" s="255"/>
      <c r="C9" s="255"/>
      <c r="D9" s="255"/>
      <c r="E9" s="261" t="s">
        <v>913</v>
      </c>
      <c r="F9" s="261" t="s">
        <v>914</v>
      </c>
      <c r="G9" s="261" t="s">
        <v>915</v>
      </c>
      <c r="H9" s="261" t="s">
        <v>916</v>
      </c>
      <c r="I9" s="261" t="s">
        <v>917</v>
      </c>
      <c r="J9" s="261" t="s">
        <v>918</v>
      </c>
      <c r="K9" s="262"/>
      <c r="L9" s="262"/>
      <c r="M9" s="262"/>
    </row>
    <row r="10" spans="1:27" s="125" customFormat="1" ht="96">
      <c r="A10" s="119" t="s">
        <v>76</v>
      </c>
      <c r="B10" s="168"/>
      <c r="C10" s="168"/>
      <c r="D10" s="168"/>
      <c r="E10" s="263" t="s">
        <v>919</v>
      </c>
      <c r="F10" s="264" t="s">
        <v>920</v>
      </c>
      <c r="G10" s="264" t="s">
        <v>921</v>
      </c>
      <c r="H10" s="264" t="s">
        <v>922</v>
      </c>
      <c r="I10" s="264" t="s">
        <v>923</v>
      </c>
      <c r="J10" s="264" t="s">
        <v>924</v>
      </c>
      <c r="K10" s="262"/>
      <c r="L10" s="262"/>
      <c r="M10" s="262"/>
    </row>
    <row r="11" spans="1:27" s="125" customFormat="1" ht="96">
      <c r="A11" s="265" t="s">
        <v>86</v>
      </c>
      <c r="B11" s="265"/>
      <c r="C11" s="265"/>
      <c r="D11" s="265"/>
      <c r="E11" s="263" t="s">
        <v>925</v>
      </c>
      <c r="F11" s="264" t="s">
        <v>926</v>
      </c>
      <c r="G11" s="264" t="s">
        <v>927</v>
      </c>
      <c r="H11" s="264" t="s">
        <v>928</v>
      </c>
      <c r="I11" s="264" t="s">
        <v>929</v>
      </c>
      <c r="J11" s="264" t="s">
        <v>930</v>
      </c>
      <c r="K11" s="262"/>
      <c r="L11" s="262"/>
      <c r="M11" s="262"/>
      <c r="N11" s="128"/>
      <c r="O11" s="128"/>
      <c r="P11" s="128"/>
    </row>
    <row r="12" spans="1:27" s="125" customFormat="1" ht="15" customHeight="1"/>
    <row r="13" spans="1:27" s="125" customFormat="1" ht="15" customHeight="1"/>
    <row r="14" spans="1:27" s="125" customFormat="1" ht="15" customHeight="1"/>
    <row r="15" spans="1:27" customFormat="1" ht="14.4">
      <c r="A15" t="s">
        <v>96</v>
      </c>
      <c r="B15" t="s">
        <v>97</v>
      </c>
      <c r="C15" t="s">
        <v>98</v>
      </c>
      <c r="D15" t="s">
        <v>99</v>
      </c>
      <c r="E15" t="s">
        <v>895</v>
      </c>
      <c r="F15" t="s">
        <v>896</v>
      </c>
      <c r="G15" t="s">
        <v>897</v>
      </c>
      <c r="H15" t="s">
        <v>898</v>
      </c>
      <c r="I15" t="s">
        <v>899</v>
      </c>
      <c r="J15" t="s">
        <v>900</v>
      </c>
    </row>
    <row r="16" spans="1:27" s="129" customFormat="1" ht="14.4">
      <c r="A16" t="s">
        <v>100</v>
      </c>
      <c r="B16" s="15" t="s">
        <v>97</v>
      </c>
      <c r="C16" s="15" t="str">
        <f>HYPERLINK("02-项目级\P2-Qcubic to MySQL数据同步工具 V1.0\01-生存周期\03-项目策划\02-估算工作书 (QCUBIC-SJTB-PLAN-Evaluate)V1.2-engl.xlsx", "engl")</f>
        <v>engl</v>
      </c>
      <c r="D16"/>
      <c r="E16" t="s">
        <v>101</v>
      </c>
      <c r="F16"/>
      <c r="G16" t="s">
        <v>101</v>
      </c>
      <c r="H16" t="s">
        <v>101</v>
      </c>
      <c r="I16"/>
      <c r="J16"/>
      <c r="K16"/>
      <c r="L16"/>
      <c r="M16"/>
      <c r="N16"/>
      <c r="O16"/>
      <c r="P16"/>
      <c r="Q16"/>
      <c r="R16"/>
      <c r="S16"/>
      <c r="T16"/>
      <c r="U16"/>
      <c r="V16"/>
      <c r="W16"/>
      <c r="X16"/>
      <c r="Y16"/>
      <c r="Z16"/>
      <c r="AA16"/>
    </row>
    <row r="17" spans="1:27" s="129" customFormat="1" ht="14.4">
      <c r="A17" t="s">
        <v>100</v>
      </c>
      <c r="B17" s="15" t="s">
        <v>97</v>
      </c>
      <c r="C17" s="15" t="str">
        <f>HYPERLINK("02-项目级\P2-Qcubic to MySQL数据同步工具 V1.0\02-全程管理\03-度量分析\02-项目度量数据表(QCUBIC-SJTB-MPM-datasheet)V1.0-engl.xlsx", "engl")</f>
        <v>engl</v>
      </c>
      <c r="D17"/>
      <c r="E17"/>
      <c r="F17" t="s">
        <v>101</v>
      </c>
      <c r="G17"/>
      <c r="H17"/>
      <c r="I17"/>
      <c r="J17"/>
      <c r="K17"/>
      <c r="L17"/>
      <c r="M17"/>
      <c r="N17"/>
      <c r="O17"/>
      <c r="P17"/>
      <c r="Q17"/>
      <c r="R17"/>
      <c r="S17"/>
      <c r="T17"/>
      <c r="U17"/>
      <c r="V17"/>
      <c r="W17"/>
      <c r="X17"/>
      <c r="Y17"/>
      <c r="Z17"/>
      <c r="AA17"/>
    </row>
    <row r="18" spans="1:27" s="129" customFormat="1" ht="14.4">
      <c r="A18" t="s">
        <v>100</v>
      </c>
      <c r="B18" s="15" t="s">
        <v>97</v>
      </c>
      <c r="C18" s="15" t="str">
        <f>HYPERLINK("02-项目级\P2-Qcubic to MySQL数据同步工具 V1.0\01-生存周期\03-项目策划\03-项目计划书 (QCUBIC-SJTB-PLAN-Plan)V1.0-engl.docx", "engl")</f>
        <v>engl</v>
      </c>
      <c r="D18"/>
      <c r="E18"/>
      <c r="F18" t="s">
        <v>101</v>
      </c>
      <c r="G18"/>
      <c r="H18"/>
      <c r="I18"/>
      <c r="J18"/>
      <c r="K18"/>
      <c r="L18"/>
      <c r="M18"/>
      <c r="N18"/>
      <c r="O18"/>
      <c r="P18"/>
      <c r="Q18"/>
      <c r="R18"/>
      <c r="S18"/>
      <c r="T18"/>
      <c r="U18"/>
      <c r="V18"/>
      <c r="W18"/>
      <c r="X18"/>
      <c r="Y18"/>
      <c r="Z18"/>
      <c r="AA18"/>
    </row>
    <row r="19" spans="1:27" s="129" customFormat="1" ht="14.4">
      <c r="A19" t="s">
        <v>100</v>
      </c>
      <c r="B19" s="15" t="s">
        <v>97</v>
      </c>
      <c r="C19" s="15" t="str">
        <f>HYPERLINK("02-项目级\P2-Qcubic to MySQL数据同步工具 V1.0\02-全程管理\01-项目监控\03-周会议纪要\01-会议记录(QCUBIC-SJTB-meetingrcd-20220107)V1.0-engl.docx", "engl")</f>
        <v>engl</v>
      </c>
      <c r="D19"/>
      <c r="E19"/>
      <c r="F19"/>
      <c r="G19"/>
      <c r="H19" t="s">
        <v>101</v>
      </c>
      <c r="I19"/>
      <c r="J19"/>
      <c r="K19"/>
      <c r="L19"/>
      <c r="M19"/>
      <c r="N19"/>
      <c r="O19"/>
      <c r="P19"/>
      <c r="Q19"/>
      <c r="R19"/>
      <c r="S19"/>
      <c r="T19"/>
      <c r="U19"/>
      <c r="V19"/>
      <c r="W19"/>
      <c r="X19"/>
      <c r="Y19"/>
      <c r="Z19"/>
      <c r="AA19"/>
    </row>
    <row r="20" spans="1:27" s="129" customFormat="1" ht="14.4">
      <c r="A20" t="s">
        <v>100</v>
      </c>
      <c r="B20" s="15" t="s">
        <v>97</v>
      </c>
      <c r="C20" s="15" t="str">
        <f>HYPERLINK("01-组织级\01-组织财富库\01-标准过程文件库\01-项目管理规范\03-项目估算\估算指南(QCUBIC-SPI-EST-Guid-Evaluate)V1.2-engl.docx", "engl")</f>
        <v>engl</v>
      </c>
      <c r="D20"/>
      <c r="E20"/>
      <c r="F20"/>
      <c r="G20"/>
      <c r="H20"/>
      <c r="I20" t="s">
        <v>101</v>
      </c>
      <c r="J20"/>
      <c r="K20"/>
      <c r="L20"/>
      <c r="M20"/>
      <c r="N20"/>
      <c r="O20"/>
      <c r="P20"/>
      <c r="Q20"/>
      <c r="R20"/>
      <c r="S20"/>
      <c r="T20"/>
      <c r="U20"/>
      <c r="V20"/>
      <c r="W20"/>
      <c r="X20"/>
      <c r="Y20"/>
      <c r="Z20"/>
      <c r="AA20"/>
    </row>
    <row r="21" spans="1:27" s="129" customFormat="1" ht="14.4">
      <c r="A21" t="s">
        <v>100</v>
      </c>
      <c r="B21" s="15" t="s">
        <v>97</v>
      </c>
      <c r="C21" s="15" t="str">
        <f>HYPERLINK("01-组织级\02-组织工作库\06-度量\组织度量表(QCUBIC-SPI-MPM-Tem-datasheet)V1.3-engl.xlsx", "engl")</f>
        <v>engl</v>
      </c>
      <c r="D21"/>
      <c r="E21"/>
      <c r="F21"/>
      <c r="G21"/>
      <c r="H21"/>
      <c r="I21"/>
      <c r="J21" t="s">
        <v>101</v>
      </c>
      <c r="K21"/>
      <c r="L21"/>
      <c r="M21"/>
      <c r="N21"/>
      <c r="O21"/>
      <c r="P21"/>
      <c r="Q21"/>
      <c r="R21"/>
      <c r="S21"/>
      <c r="T21"/>
      <c r="U21"/>
      <c r="V21"/>
      <c r="W21"/>
      <c r="X21"/>
      <c r="Y21"/>
      <c r="Z21"/>
      <c r="AA21"/>
    </row>
    <row r="22" spans="1:27" s="129" customFormat="1" ht="14.4">
      <c r="A22" t="s">
        <v>100</v>
      </c>
      <c r="B22" s="15" t="s">
        <v>97</v>
      </c>
      <c r="C22"/>
      <c r="D22"/>
      <c r="E22"/>
      <c r="F22"/>
      <c r="G22"/>
      <c r="H22"/>
      <c r="I22"/>
      <c r="J22" t="s">
        <v>101</v>
      </c>
      <c r="K22"/>
      <c r="L22"/>
      <c r="M22"/>
      <c r="N22"/>
      <c r="O22"/>
      <c r="P22"/>
      <c r="Q22"/>
      <c r="R22"/>
      <c r="S22"/>
      <c r="T22"/>
      <c r="U22"/>
      <c r="V22"/>
      <c r="W22"/>
      <c r="X22"/>
      <c r="Y22"/>
      <c r="Z22"/>
      <c r="AA22"/>
    </row>
    <row r="23" spans="1:27" s="125" customFormat="1" ht="14.4">
      <c r="A23"/>
      <c r="B23"/>
      <c r="C23"/>
      <c r="D23"/>
      <c r="E23"/>
      <c r="F23"/>
      <c r="G23"/>
      <c r="H23"/>
      <c r="I23"/>
      <c r="J23"/>
      <c r="K23"/>
      <c r="L23"/>
      <c r="M23"/>
      <c r="N23"/>
      <c r="O23"/>
      <c r="P23"/>
      <c r="Q23"/>
      <c r="R23"/>
      <c r="S23"/>
      <c r="T23"/>
      <c r="U23"/>
      <c r="V23"/>
      <c r="W23"/>
      <c r="X23"/>
      <c r="Y23"/>
      <c r="Z23"/>
      <c r="AA23"/>
    </row>
    <row r="24" spans="1:27" s="125" customFormat="1" ht="14.4">
      <c r="A24"/>
      <c r="B24"/>
      <c r="C24"/>
      <c r="D24"/>
      <c r="E24"/>
      <c r="F24"/>
      <c r="G24"/>
      <c r="H24"/>
      <c r="I24"/>
      <c r="J24"/>
      <c r="K24"/>
      <c r="L24"/>
      <c r="M24"/>
      <c r="N24"/>
      <c r="O24"/>
      <c r="P24"/>
      <c r="Q24"/>
      <c r="R24"/>
      <c r="S24"/>
      <c r="T24"/>
      <c r="U24"/>
      <c r="V24"/>
      <c r="W24"/>
      <c r="X24"/>
      <c r="Y24"/>
      <c r="Z24"/>
      <c r="AA24"/>
    </row>
    <row r="25" spans="1:27" s="125" customFormat="1" ht="14.4">
      <c r="A25"/>
      <c r="B25"/>
      <c r="C25"/>
      <c r="D25"/>
      <c r="E25"/>
      <c r="F25"/>
      <c r="G25"/>
      <c r="H25"/>
      <c r="I25"/>
      <c r="J25"/>
      <c r="K25"/>
      <c r="L25"/>
      <c r="M25"/>
      <c r="N25"/>
      <c r="O25"/>
      <c r="P25"/>
      <c r="Q25"/>
      <c r="R25"/>
      <c r="S25"/>
      <c r="T25"/>
      <c r="U25"/>
      <c r="V25"/>
      <c r="W25"/>
      <c r="X25"/>
      <c r="Y25"/>
      <c r="Z25"/>
      <c r="AA25"/>
    </row>
    <row r="26" spans="1:27" s="125" customFormat="1" ht="14.4">
      <c r="A26"/>
      <c r="B26"/>
      <c r="C26"/>
      <c r="D26"/>
      <c r="E26"/>
      <c r="F26"/>
      <c r="G26"/>
      <c r="H26"/>
      <c r="I26"/>
      <c r="J26"/>
      <c r="K26"/>
      <c r="L26"/>
      <c r="M26"/>
      <c r="N26"/>
      <c r="O26"/>
      <c r="P26"/>
      <c r="Q26"/>
      <c r="R26"/>
      <c r="S26"/>
      <c r="T26"/>
      <c r="U26"/>
      <c r="V26"/>
      <c r="W26"/>
      <c r="X26"/>
      <c r="Y26"/>
      <c r="Z26"/>
      <c r="AA26"/>
    </row>
    <row r="27" spans="1:27" s="125" customFormat="1" ht="14.4">
      <c r="A27"/>
      <c r="B27"/>
      <c r="C27"/>
      <c r="D27"/>
      <c r="E27"/>
      <c r="F27"/>
      <c r="G27"/>
      <c r="H27"/>
      <c r="I27"/>
      <c r="J27"/>
      <c r="K27"/>
      <c r="L27"/>
      <c r="M27"/>
      <c r="N27"/>
      <c r="O27"/>
      <c r="P27"/>
      <c r="Q27"/>
      <c r="R27"/>
      <c r="S27"/>
      <c r="T27"/>
      <c r="U27"/>
      <c r="V27"/>
      <c r="W27"/>
      <c r="X27"/>
      <c r="Y27"/>
      <c r="Z27"/>
      <c r="AA27"/>
    </row>
    <row r="28" spans="1:27" s="129" customFormat="1" ht="14.4">
      <c r="A28"/>
      <c r="B28"/>
      <c r="C28"/>
      <c r="D28"/>
      <c r="E28"/>
      <c r="F28"/>
      <c r="G28"/>
      <c r="H28"/>
      <c r="I28"/>
      <c r="J28"/>
      <c r="K28"/>
      <c r="L28"/>
      <c r="M28"/>
      <c r="N28"/>
      <c r="O28"/>
      <c r="P28"/>
      <c r="Q28"/>
      <c r="R28"/>
      <c r="S28"/>
      <c r="T28"/>
      <c r="U28"/>
      <c r="V28"/>
      <c r="W28"/>
      <c r="X28"/>
      <c r="Y28"/>
      <c r="Z28"/>
      <c r="AA28"/>
    </row>
    <row r="29" spans="1:27" s="129" customFormat="1" ht="14.4">
      <c r="A29"/>
      <c r="B29"/>
      <c r="C29"/>
      <c r="D29"/>
      <c r="E29"/>
      <c r="F29"/>
      <c r="G29"/>
      <c r="H29"/>
      <c r="I29"/>
      <c r="J29"/>
      <c r="K29"/>
      <c r="L29"/>
      <c r="M29"/>
      <c r="N29"/>
      <c r="O29"/>
      <c r="P29"/>
      <c r="Q29"/>
      <c r="R29"/>
      <c r="S29"/>
      <c r="T29"/>
      <c r="U29"/>
      <c r="V29"/>
      <c r="W29"/>
      <c r="X29"/>
      <c r="Y29"/>
      <c r="Z29"/>
      <c r="AA29"/>
    </row>
    <row r="30" spans="1:27" s="129" customFormat="1" ht="14.4">
      <c r="A30"/>
      <c r="B30"/>
      <c r="C30"/>
      <c r="D30"/>
      <c r="E30"/>
      <c r="F30"/>
      <c r="G30"/>
      <c r="H30"/>
      <c r="I30"/>
      <c r="J30"/>
      <c r="K30"/>
      <c r="L30"/>
      <c r="M30"/>
      <c r="N30"/>
      <c r="O30"/>
      <c r="P30"/>
      <c r="Q30"/>
      <c r="R30"/>
      <c r="S30"/>
      <c r="T30"/>
      <c r="U30"/>
      <c r="V30"/>
      <c r="W30"/>
      <c r="X30"/>
      <c r="Y30"/>
      <c r="Z30"/>
      <c r="AA30"/>
    </row>
    <row r="31" spans="1:27" s="129" customFormat="1" ht="14.4">
      <c r="A31"/>
      <c r="B31"/>
      <c r="C31"/>
      <c r="D31"/>
      <c r="E31"/>
      <c r="F31"/>
      <c r="G31"/>
      <c r="H31"/>
      <c r="I31"/>
      <c r="J31"/>
      <c r="K31"/>
      <c r="L31"/>
      <c r="M31"/>
      <c r="N31"/>
      <c r="O31"/>
      <c r="P31"/>
      <c r="Q31"/>
      <c r="R31"/>
      <c r="S31"/>
      <c r="T31"/>
      <c r="U31"/>
      <c r="V31"/>
      <c r="W31"/>
      <c r="X31"/>
      <c r="Y31"/>
      <c r="Z31"/>
      <c r="AA31"/>
    </row>
    <row r="32" spans="1:27" s="129" customFormat="1"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sheetProtection selectLockedCells="1" selectUnlockedCells="1"/>
  <phoneticPr fontId="61" type="noConversion"/>
  <hyperlinks>
    <hyperlink ref="B16" r:id="rId1" xr:uid="{1DE07B82-4087-4BA2-8847-907D03B2EAA0}"/>
    <hyperlink ref="B17" r:id="rId2" xr:uid="{C674F173-BCC5-4027-9E41-9B47C880A8C7}"/>
    <hyperlink ref="B18" r:id="rId3" xr:uid="{46396D84-348B-4D20-A5F7-F1BB24A40206}"/>
    <hyperlink ref="B19" r:id="rId4" xr:uid="{C3A13020-F4F9-420A-B386-96C0C0CBE7F3}"/>
    <hyperlink ref="B20" r:id="rId5" xr:uid="{42E12D04-6F44-4E52-8F6E-7EF4D93FA02D}"/>
    <hyperlink ref="B21" r:id="rId6" xr:uid="{AF850C91-DB2B-40D1-AD3D-4C154273337E}"/>
    <hyperlink ref="B22" r:id="rId7" xr:uid="{7D9FF511-7AA0-44E1-AB64-C8D5BCFAB42D}"/>
  </hyperlinks>
  <pageMargins left="0.7" right="0.7" top="0.75" bottom="0.75" header="0.3" footer="0.3"/>
  <pageSetup orientation="portrait" r:id="rId8"/>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BA270-11F0-40A0-8EF1-47B1AC7F2FC8}">
  <sheetPr codeName="Sheet23">
    <tabColor rgb="FF0097CC"/>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88671875" defaultRowHeight="14.4"/>
  <cols>
    <col min="1" max="1" width="32.33203125" style="114" customWidth="1"/>
    <col min="2" max="4" width="7.88671875" style="114" customWidth="1"/>
    <col min="5" max="10" width="15.6640625" style="114" customWidth="1"/>
    <col min="11" max="18" width="16.33203125" style="114" customWidth="1"/>
    <col min="19" max="19" width="16.33203125" style="103" customWidth="1"/>
    <col min="20" max="21" width="16.6640625" style="103" customWidth="1"/>
    <col min="22" max="16384" width="8.88671875" style="114"/>
  </cols>
  <sheetData>
    <row r="1" spans="1:27" s="165" customFormat="1" ht="18">
      <c r="A1" s="102" t="s">
        <v>931</v>
      </c>
      <c r="B1" s="102"/>
      <c r="C1" s="102"/>
      <c r="D1" s="102"/>
      <c r="E1" s="162"/>
      <c r="F1" s="162"/>
      <c r="G1" s="267"/>
      <c r="S1" s="162"/>
      <c r="T1" s="162"/>
      <c r="U1" s="162"/>
    </row>
    <row r="2" spans="1:27">
      <c r="A2" s="107" t="s">
        <v>932</v>
      </c>
      <c r="B2" s="107"/>
      <c r="C2" s="107"/>
      <c r="D2" s="107"/>
      <c r="E2" s="104" t="s">
        <v>933</v>
      </c>
      <c r="F2" s="104"/>
      <c r="G2" s="133"/>
    </row>
    <row r="3" spans="1:27">
      <c r="A3" s="104" t="s">
        <v>934</v>
      </c>
      <c r="B3" s="104"/>
      <c r="C3" s="104"/>
      <c r="D3" s="104"/>
      <c r="E3" s="104" t="s">
        <v>935</v>
      </c>
      <c r="F3" s="104"/>
      <c r="G3" s="133"/>
    </row>
    <row r="4" spans="1:27">
      <c r="A4" s="108"/>
      <c r="B4" s="108"/>
      <c r="C4" s="108"/>
      <c r="D4" s="108"/>
      <c r="E4" s="109" t="s">
        <v>27</v>
      </c>
      <c r="F4" s="110" t="s">
        <v>28</v>
      </c>
      <c r="G4" s="110"/>
      <c r="H4" s="113" t="s">
        <v>29</v>
      </c>
      <c r="I4" s="113"/>
      <c r="J4" s="147"/>
      <c r="K4" s="147"/>
      <c r="L4" s="147"/>
      <c r="M4" s="170" t="s">
        <v>371</v>
      </c>
      <c r="N4" s="268"/>
      <c r="O4" s="192" t="s">
        <v>511</v>
      </c>
      <c r="S4" s="104"/>
      <c r="T4" s="104"/>
      <c r="U4" s="107"/>
    </row>
    <row r="5" spans="1:27">
      <c r="A5" s="115"/>
      <c r="B5" s="115"/>
      <c r="C5" s="115"/>
      <c r="D5" s="115"/>
      <c r="E5" s="116" t="s">
        <v>30</v>
      </c>
      <c r="F5" s="117" t="s">
        <v>31</v>
      </c>
      <c r="G5" s="117"/>
      <c r="H5" s="113" t="s">
        <v>32</v>
      </c>
      <c r="I5" s="166"/>
      <c r="J5" s="147"/>
      <c r="K5" s="147"/>
      <c r="L5" s="147"/>
      <c r="M5" s="171" t="s">
        <v>372</v>
      </c>
      <c r="N5" s="269"/>
      <c r="O5" s="195" t="s">
        <v>512</v>
      </c>
      <c r="P5" s="115"/>
      <c r="Q5" s="115"/>
      <c r="R5" s="115"/>
      <c r="S5" s="104"/>
      <c r="T5" s="104"/>
      <c r="U5" s="107"/>
      <c r="V5" s="115"/>
    </row>
    <row r="6" spans="1:27">
      <c r="A6" s="119"/>
      <c r="B6" s="119"/>
      <c r="C6" s="119"/>
      <c r="D6" s="119"/>
      <c r="E6" s="3" t="s">
        <v>936</v>
      </c>
      <c r="F6" s="87" t="s">
        <v>937</v>
      </c>
      <c r="G6" s="87" t="s">
        <v>938</v>
      </c>
      <c r="H6" s="88" t="s">
        <v>939</v>
      </c>
      <c r="I6" s="88" t="s">
        <v>940</v>
      </c>
      <c r="J6" s="88" t="s">
        <v>941</v>
      </c>
      <c r="K6" s="88" t="s">
        <v>942</v>
      </c>
      <c r="L6" s="88" t="s">
        <v>943</v>
      </c>
      <c r="M6" s="173" t="s">
        <v>944</v>
      </c>
      <c r="N6" s="198" t="s">
        <v>945</v>
      </c>
      <c r="O6" s="270" t="s">
        <v>946</v>
      </c>
      <c r="P6" s="90"/>
      <c r="Q6" s="90"/>
      <c r="R6" s="90"/>
    </row>
    <row r="7" spans="1:27" ht="138">
      <c r="A7" s="121" t="s">
        <v>174</v>
      </c>
      <c r="B7" s="121"/>
      <c r="C7" s="121"/>
      <c r="D7" s="121"/>
      <c r="E7" s="94" t="s">
        <v>947</v>
      </c>
      <c r="F7" s="94" t="s">
        <v>948</v>
      </c>
      <c r="G7" s="94" t="s">
        <v>949</v>
      </c>
      <c r="H7" s="94" t="s">
        <v>950</v>
      </c>
      <c r="I7" s="94" t="s">
        <v>951</v>
      </c>
      <c r="J7" s="94" t="s">
        <v>952</v>
      </c>
      <c r="K7" s="94" t="s">
        <v>953</v>
      </c>
      <c r="L7" s="94" t="s">
        <v>954</v>
      </c>
      <c r="M7" s="201" t="s">
        <v>955</v>
      </c>
      <c r="N7" s="94" t="s">
        <v>956</v>
      </c>
      <c r="O7" s="271" t="s">
        <v>957</v>
      </c>
      <c r="P7" s="90"/>
      <c r="Q7" s="90"/>
      <c r="R7" s="272"/>
      <c r="S7" s="273"/>
      <c r="T7" s="273"/>
      <c r="U7" s="273"/>
    </row>
    <row r="8" spans="1:27" ht="120">
      <c r="A8" s="119" t="s">
        <v>54</v>
      </c>
      <c r="B8" s="119"/>
      <c r="C8" s="119"/>
      <c r="D8" s="119"/>
      <c r="E8" s="95" t="s">
        <v>958</v>
      </c>
      <c r="F8" s="95" t="s">
        <v>959</v>
      </c>
      <c r="G8" s="95" t="s">
        <v>960</v>
      </c>
      <c r="H8" s="95" t="s">
        <v>961</v>
      </c>
      <c r="I8" s="95" t="s">
        <v>962</v>
      </c>
      <c r="J8" s="95" t="s">
        <v>963</v>
      </c>
      <c r="K8" s="95" t="s">
        <v>964</v>
      </c>
      <c r="L8" s="95" t="s">
        <v>965</v>
      </c>
      <c r="M8" s="204" t="s">
        <v>966</v>
      </c>
      <c r="N8" s="95" t="s">
        <v>967</v>
      </c>
      <c r="O8" s="205" t="s">
        <v>968</v>
      </c>
      <c r="P8" s="96"/>
      <c r="Q8" s="96"/>
      <c r="R8" s="96"/>
    </row>
    <row r="9" spans="1:27" ht="168">
      <c r="A9" s="119" t="s">
        <v>65</v>
      </c>
      <c r="B9" s="119"/>
      <c r="C9" s="119"/>
      <c r="D9" s="119"/>
      <c r="E9" s="122" t="s">
        <v>969</v>
      </c>
      <c r="F9" s="95" t="s">
        <v>970</v>
      </c>
      <c r="G9" s="95" t="s">
        <v>971</v>
      </c>
      <c r="H9" s="95" t="s">
        <v>972</v>
      </c>
      <c r="I9" s="95" t="s">
        <v>973</v>
      </c>
      <c r="J9" s="95" t="s">
        <v>974</v>
      </c>
      <c r="K9" s="95" t="s">
        <v>975</v>
      </c>
      <c r="L9" s="95" t="s">
        <v>976</v>
      </c>
      <c r="M9" s="204" t="s">
        <v>977</v>
      </c>
      <c r="N9" s="95" t="s">
        <v>978</v>
      </c>
      <c r="O9" s="205" t="s">
        <v>979</v>
      </c>
      <c r="P9" s="96"/>
      <c r="Q9" s="96"/>
      <c r="R9" s="96"/>
    </row>
    <row r="10" spans="1:27" ht="165.6">
      <c r="A10" s="119" t="s">
        <v>76</v>
      </c>
      <c r="B10" s="119"/>
      <c r="C10" s="119"/>
      <c r="D10" s="119"/>
      <c r="E10" s="99" t="s">
        <v>980</v>
      </c>
      <c r="F10" s="99" t="s">
        <v>981</v>
      </c>
      <c r="G10" s="99" t="s">
        <v>982</v>
      </c>
      <c r="H10" s="99" t="s">
        <v>983</v>
      </c>
      <c r="I10" s="99" t="s">
        <v>984</v>
      </c>
      <c r="J10" s="99" t="s">
        <v>985</v>
      </c>
      <c r="K10" s="99" t="s">
        <v>986</v>
      </c>
      <c r="L10" s="99" t="s">
        <v>987</v>
      </c>
      <c r="M10" s="206" t="s">
        <v>988</v>
      </c>
      <c r="N10" s="99" t="s">
        <v>989</v>
      </c>
      <c r="O10" s="274" t="s">
        <v>990</v>
      </c>
      <c r="P10" s="149"/>
      <c r="Q10" s="149"/>
      <c r="R10" s="149"/>
    </row>
    <row r="11" spans="1:27" ht="87.6" customHeight="1">
      <c r="A11" s="132" t="s">
        <v>86</v>
      </c>
      <c r="B11" s="132"/>
      <c r="C11" s="132"/>
      <c r="D11" s="132"/>
      <c r="E11" s="99" t="s">
        <v>991</v>
      </c>
      <c r="F11" s="99" t="s">
        <v>992</v>
      </c>
      <c r="G11" s="99" t="s">
        <v>993</v>
      </c>
      <c r="H11" s="99" t="s">
        <v>994</v>
      </c>
      <c r="I11" s="99" t="s">
        <v>995</v>
      </c>
      <c r="J11" s="99" t="s">
        <v>996</v>
      </c>
      <c r="K11" s="99" t="s">
        <v>997</v>
      </c>
      <c r="L11" s="99" t="s">
        <v>998</v>
      </c>
      <c r="M11" s="206" t="s">
        <v>988</v>
      </c>
      <c r="N11" s="99" t="s">
        <v>989</v>
      </c>
      <c r="O11" s="274" t="s">
        <v>990</v>
      </c>
      <c r="P11" s="149"/>
      <c r="Q11" s="149"/>
      <c r="R11" s="149"/>
    </row>
    <row r="13" spans="1:27">
      <c r="M13" s="275"/>
      <c r="N13" s="275"/>
      <c r="O13" s="275"/>
      <c r="P13" s="275"/>
      <c r="Q13" s="275"/>
      <c r="R13" s="275"/>
    </row>
    <row r="14" spans="1:27">
      <c r="M14" s="151"/>
      <c r="N14" s="151"/>
      <c r="O14" s="152"/>
    </row>
    <row r="15" spans="1:27" customFormat="1">
      <c r="A15" t="s">
        <v>96</v>
      </c>
      <c r="B15" t="s">
        <v>97</v>
      </c>
      <c r="C15" s="309" t="s">
        <v>98</v>
      </c>
      <c r="D15" s="309" t="s">
        <v>99</v>
      </c>
      <c r="E15" s="14" t="s">
        <v>936</v>
      </c>
      <c r="F15" s="14" t="s">
        <v>937</v>
      </c>
      <c r="G15" s="14" t="s">
        <v>938</v>
      </c>
      <c r="H15" s="14" t="s">
        <v>939</v>
      </c>
      <c r="I15" s="14" t="s">
        <v>940</v>
      </c>
      <c r="J15" s="14" t="s">
        <v>941</v>
      </c>
      <c r="K15" s="14" t="s">
        <v>942</v>
      </c>
      <c r="L15" s="14" t="s">
        <v>943</v>
      </c>
      <c r="M15" s="14" t="s">
        <v>944</v>
      </c>
      <c r="N15" s="14" t="s">
        <v>945</v>
      </c>
      <c r="O15" s="309" t="s">
        <v>946</v>
      </c>
      <c r="P15" s="114"/>
      <c r="Q15" s="309"/>
      <c r="R15" s="309"/>
      <c r="S15" s="103"/>
    </row>
    <row r="16" spans="1:27">
      <c r="A16" t="s">
        <v>100</v>
      </c>
      <c r="B16" s="15" t="s">
        <v>97</v>
      </c>
      <c r="C16" s="15" t="str">
        <f>HYPERLINK("01-组织级\02-组织工作库\06-度量\原因分析和解决方案报告(QCUBIC-SPI-CAR_Data quality analysis)V1.0-engl.xlsx", "engl")</f>
        <v>engl</v>
      </c>
      <c r="D16"/>
      <c r="E16" t="s">
        <v>101</v>
      </c>
      <c r="F16" t="s">
        <v>101</v>
      </c>
      <c r="G16" t="s">
        <v>101</v>
      </c>
      <c r="H16" t="s">
        <v>101</v>
      </c>
      <c r="I16" t="s">
        <v>101</v>
      </c>
      <c r="J16" t="s">
        <v>101</v>
      </c>
      <c r="K16" t="s">
        <v>101</v>
      </c>
      <c r="L16" t="s">
        <v>101</v>
      </c>
      <c r="M16"/>
      <c r="N16"/>
      <c r="O16"/>
      <c r="P16"/>
      <c r="Q16"/>
      <c r="R16"/>
      <c r="S16"/>
      <c r="T16"/>
      <c r="U16"/>
      <c r="V16"/>
      <c r="W16"/>
      <c r="X16"/>
      <c r="Y16"/>
      <c r="Z16"/>
      <c r="AA16"/>
    </row>
    <row r="17" spans="1:27">
      <c r="A17" t="s">
        <v>100</v>
      </c>
      <c r="B17" s="15" t="s">
        <v>97</v>
      </c>
      <c r="C17" s="15" t="str">
        <f>HYPERLINK("01-组织级\01-组织财富库\01-标准过程文件库\03-支持类\07-原因分析和解决过程\原因分析和解决过程(QCUBIC-SPI-CAR_Pro)V1.2-engl.docx", "engl")</f>
        <v>engl</v>
      </c>
      <c r="D17"/>
      <c r="E17" t="s">
        <v>101</v>
      </c>
      <c r="F17" t="s">
        <v>101</v>
      </c>
      <c r="G17" t="s">
        <v>101</v>
      </c>
      <c r="H17" t="s">
        <v>101</v>
      </c>
      <c r="I17" t="s">
        <v>101</v>
      </c>
      <c r="J17" t="s">
        <v>101</v>
      </c>
      <c r="K17" t="s">
        <v>101</v>
      </c>
      <c r="L17" t="s">
        <v>101</v>
      </c>
      <c r="M17"/>
      <c r="N17"/>
      <c r="O17"/>
      <c r="P17"/>
      <c r="Q17"/>
      <c r="R17"/>
      <c r="S17"/>
      <c r="T17"/>
      <c r="U17"/>
      <c r="V17"/>
      <c r="W17"/>
      <c r="X17"/>
      <c r="Y17"/>
      <c r="Z17"/>
      <c r="AA17"/>
    </row>
    <row r="18" spans="1:27">
      <c r="A18"/>
      <c r="B18"/>
      <c r="C18"/>
      <c r="D18"/>
      <c r="E18"/>
      <c r="F18"/>
      <c r="G18"/>
      <c r="H18"/>
      <c r="I18"/>
      <c r="J18"/>
      <c r="K18"/>
      <c r="L18"/>
      <c r="M18"/>
      <c r="N18"/>
      <c r="O18"/>
      <c r="P18"/>
      <c r="Q18"/>
      <c r="R18"/>
      <c r="S18"/>
      <c r="T18"/>
      <c r="U18"/>
      <c r="V18"/>
      <c r="W18"/>
      <c r="X18"/>
      <c r="Y18"/>
      <c r="Z18"/>
      <c r="AA18"/>
    </row>
    <row r="19" spans="1:27">
      <c r="A19"/>
      <c r="B19"/>
      <c r="C19"/>
      <c r="D19"/>
      <c r="E19"/>
      <c r="F19"/>
      <c r="G19"/>
      <c r="H19"/>
      <c r="I19"/>
      <c r="J19"/>
      <c r="K19"/>
      <c r="L19"/>
      <c r="M19"/>
      <c r="N19"/>
      <c r="O19"/>
      <c r="P19"/>
      <c r="Q19"/>
      <c r="R19"/>
      <c r="S19"/>
      <c r="T19"/>
      <c r="U19"/>
      <c r="V19"/>
      <c r="W19"/>
      <c r="X19"/>
      <c r="Y19"/>
      <c r="Z19"/>
      <c r="AA19"/>
    </row>
    <row r="20" spans="1:27">
      <c r="A20"/>
      <c r="B20"/>
      <c r="C20"/>
      <c r="D20"/>
      <c r="E20"/>
      <c r="F20"/>
      <c r="G20"/>
      <c r="H20"/>
      <c r="I20"/>
      <c r="J20"/>
      <c r="K20"/>
      <c r="L20"/>
      <c r="M20"/>
      <c r="N20"/>
      <c r="O20"/>
      <c r="P20"/>
      <c r="Q20"/>
      <c r="R20"/>
      <c r="S20"/>
      <c r="T20"/>
      <c r="U20"/>
      <c r="V20"/>
      <c r="W20"/>
      <c r="X20"/>
      <c r="Y20"/>
      <c r="Z20"/>
      <c r="AA20"/>
    </row>
    <row r="21" spans="1:27">
      <c r="A21"/>
      <c r="B21"/>
      <c r="C21"/>
      <c r="D21"/>
      <c r="E21"/>
      <c r="F21"/>
      <c r="G21"/>
      <c r="H21"/>
      <c r="I21"/>
      <c r="J21"/>
      <c r="K21"/>
      <c r="L21"/>
      <c r="M21"/>
      <c r="N21"/>
      <c r="O21"/>
      <c r="P21"/>
      <c r="Q21"/>
      <c r="R21"/>
      <c r="S21"/>
      <c r="T21"/>
      <c r="U21"/>
      <c r="V21"/>
      <c r="W21"/>
      <c r="X21"/>
      <c r="Y21"/>
      <c r="Z21"/>
      <c r="AA21"/>
    </row>
    <row r="22" spans="1:27">
      <c r="A22"/>
      <c r="B22"/>
      <c r="C22"/>
      <c r="D22"/>
      <c r="E22"/>
      <c r="F22"/>
      <c r="G22"/>
      <c r="H22"/>
      <c r="I22"/>
      <c r="J22"/>
      <c r="K22"/>
      <c r="L22"/>
      <c r="M22"/>
      <c r="N22"/>
      <c r="O22"/>
      <c r="P22"/>
      <c r="Q22"/>
      <c r="R22"/>
      <c r="S22"/>
      <c r="T22"/>
      <c r="U22"/>
      <c r="V22"/>
      <c r="W22"/>
      <c r="X22"/>
      <c r="Y22"/>
      <c r="Z22"/>
      <c r="AA22"/>
    </row>
    <row r="23" spans="1:27">
      <c r="A23"/>
      <c r="B23"/>
      <c r="C23"/>
      <c r="D23"/>
      <c r="E23"/>
      <c r="F23"/>
      <c r="G23"/>
      <c r="H23"/>
      <c r="I23"/>
      <c r="J23"/>
      <c r="K23"/>
      <c r="L23"/>
      <c r="M23"/>
      <c r="N23"/>
      <c r="O23"/>
      <c r="P23"/>
      <c r="Q23"/>
      <c r="R23"/>
      <c r="S23"/>
      <c r="T23"/>
      <c r="U23"/>
      <c r="V23"/>
      <c r="W23"/>
      <c r="X23"/>
      <c r="Y23"/>
      <c r="Z23"/>
      <c r="AA23"/>
    </row>
    <row r="24" spans="1:27">
      <c r="A24"/>
      <c r="B24"/>
      <c r="C24"/>
      <c r="D24"/>
      <c r="E24"/>
      <c r="F24"/>
      <c r="G24"/>
      <c r="H24"/>
      <c r="I24"/>
      <c r="J24"/>
      <c r="K24"/>
      <c r="L24"/>
      <c r="M24"/>
      <c r="N24"/>
      <c r="O24"/>
      <c r="P24"/>
      <c r="Q24"/>
      <c r="R24"/>
      <c r="S24"/>
      <c r="T24"/>
      <c r="U24"/>
      <c r="V24"/>
      <c r="W24"/>
      <c r="X24"/>
      <c r="Y24"/>
      <c r="Z24"/>
      <c r="AA24"/>
    </row>
    <row r="25" spans="1:27">
      <c r="A25"/>
      <c r="B25"/>
      <c r="C25"/>
      <c r="D25"/>
      <c r="E25"/>
      <c r="F25"/>
      <c r="G25"/>
      <c r="H25"/>
      <c r="I25"/>
      <c r="J25"/>
      <c r="K25"/>
      <c r="L25"/>
      <c r="M25"/>
      <c r="N25"/>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7F1C924F-B519-4E95-9025-78C8FDD32C3B}"/>
    <hyperlink ref="B17" r:id="rId2" xr:uid="{C24E0F42-0786-498F-9C59-C1EAA3B6AC6F}"/>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94B29-1534-4862-8927-F04DC5EEFCA8}">
  <sheetPr codeName="Sheet24">
    <tabColor rgb="FF007DC4"/>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51.44140625" style="115" customWidth="1"/>
    <col min="2" max="4" width="7.88671875" style="115" customWidth="1"/>
    <col min="5" max="6" width="15.6640625" style="115" customWidth="1"/>
    <col min="7" max="12" width="15.6640625" style="133" customWidth="1"/>
    <col min="13" max="13" width="81.6640625" style="133" bestFit="1" customWidth="1"/>
    <col min="14" max="14" width="3.6640625" style="133" customWidth="1"/>
    <col min="15" max="15" width="35.109375" style="133" bestFit="1" customWidth="1"/>
    <col min="16" max="16" width="78.44140625" style="115" customWidth="1"/>
    <col min="17" max="17" width="25.33203125" style="115" customWidth="1"/>
    <col min="18" max="16384" width="8.6640625" style="115"/>
  </cols>
  <sheetData>
    <row r="1" spans="1:27" s="134" customFormat="1" ht="18">
      <c r="A1" s="102" t="s">
        <v>999</v>
      </c>
      <c r="B1" s="102"/>
      <c r="C1" s="102"/>
      <c r="D1" s="102"/>
      <c r="E1" s="103"/>
      <c r="F1" s="104"/>
      <c r="G1" s="133"/>
      <c r="H1" s="133"/>
      <c r="I1" s="133"/>
      <c r="J1" s="133"/>
      <c r="K1" s="133"/>
      <c r="L1" s="133"/>
      <c r="M1" s="133"/>
      <c r="N1" s="133"/>
      <c r="O1" s="133"/>
    </row>
    <row r="2" spans="1:27" s="135" customFormat="1">
      <c r="A2" s="107" t="s">
        <v>932</v>
      </c>
      <c r="B2" s="107"/>
      <c r="C2" s="107"/>
      <c r="D2" s="107"/>
      <c r="E2" s="104" t="s">
        <v>1000</v>
      </c>
      <c r="F2" s="104"/>
      <c r="G2" s="133"/>
      <c r="H2" s="133"/>
      <c r="I2" s="133"/>
      <c r="J2" s="133"/>
      <c r="K2" s="133"/>
      <c r="L2" s="133"/>
      <c r="M2" s="133"/>
      <c r="N2" s="133"/>
      <c r="O2" s="133"/>
    </row>
    <row r="3" spans="1:27" s="136" customFormat="1">
      <c r="A3" s="104" t="s">
        <v>934</v>
      </c>
      <c r="B3" s="104"/>
      <c r="C3" s="104"/>
      <c r="D3" s="104"/>
      <c r="E3" s="104" t="s">
        <v>1001</v>
      </c>
      <c r="F3" s="104"/>
      <c r="G3" s="133"/>
      <c r="H3" s="133"/>
      <c r="I3" s="133"/>
      <c r="J3" s="133"/>
      <c r="K3" s="133"/>
      <c r="L3" s="133"/>
      <c r="M3" s="133"/>
      <c r="N3" s="133"/>
      <c r="O3" s="133"/>
    </row>
    <row r="4" spans="1:27" s="135" customFormat="1" ht="14.4">
      <c r="A4" s="108"/>
      <c r="B4" s="108"/>
      <c r="C4" s="108"/>
      <c r="D4" s="108"/>
      <c r="E4" s="109" t="s">
        <v>27</v>
      </c>
      <c r="F4" s="146"/>
      <c r="G4" s="110" t="s">
        <v>28</v>
      </c>
      <c r="H4" s="111"/>
      <c r="I4" s="110"/>
      <c r="J4" s="112"/>
      <c r="K4" s="112"/>
      <c r="L4" s="276" t="s">
        <v>29</v>
      </c>
      <c r="M4" s="104"/>
      <c r="N4" s="104"/>
      <c r="O4" s="104"/>
      <c r="P4" s="114"/>
      <c r="Q4" s="114"/>
    </row>
    <row r="5" spans="1:27" s="127" customFormat="1" ht="14.4">
      <c r="A5" s="115"/>
      <c r="B5" s="115"/>
      <c r="C5" s="115"/>
      <c r="D5" s="115"/>
      <c r="E5" s="116" t="s">
        <v>30</v>
      </c>
      <c r="F5" s="146"/>
      <c r="G5" s="117" t="s">
        <v>31</v>
      </c>
      <c r="H5" s="111"/>
      <c r="I5" s="117"/>
      <c r="J5" s="112"/>
      <c r="K5" s="112"/>
      <c r="L5" s="276" t="s">
        <v>32</v>
      </c>
      <c r="M5" s="104"/>
      <c r="N5" s="104"/>
      <c r="O5" s="104"/>
      <c r="P5" s="115"/>
      <c r="Q5" s="114"/>
    </row>
    <row r="6" spans="1:27" s="127" customFormat="1">
      <c r="A6" s="119"/>
      <c r="B6" s="119"/>
      <c r="C6" s="119"/>
      <c r="D6" s="119"/>
      <c r="E6" s="3" t="s">
        <v>1002</v>
      </c>
      <c r="F6" s="3" t="s">
        <v>1003</v>
      </c>
      <c r="G6" s="87" t="s">
        <v>1004</v>
      </c>
      <c r="H6" s="87" t="s">
        <v>1005</v>
      </c>
      <c r="I6" s="87" t="s">
        <v>1006</v>
      </c>
      <c r="J6" s="87" t="s">
        <v>1007</v>
      </c>
      <c r="K6" s="87" t="s">
        <v>1008</v>
      </c>
      <c r="L6" s="88" t="s">
        <v>1009</v>
      </c>
      <c r="M6" s="90"/>
      <c r="N6" s="90"/>
      <c r="O6" s="90"/>
      <c r="P6" s="133"/>
    </row>
    <row r="7" spans="1:27" s="127" customFormat="1" ht="96.6">
      <c r="A7" s="121" t="s">
        <v>43</v>
      </c>
      <c r="B7" s="121"/>
      <c r="C7" s="121"/>
      <c r="D7" s="121"/>
      <c r="E7" s="94" t="s">
        <v>1010</v>
      </c>
      <c r="F7" s="94" t="s">
        <v>1011</v>
      </c>
      <c r="G7" s="94" t="s">
        <v>1012</v>
      </c>
      <c r="H7" s="94" t="s">
        <v>1013</v>
      </c>
      <c r="I7" s="94" t="s">
        <v>1014</v>
      </c>
      <c r="J7" s="94" t="s">
        <v>1015</v>
      </c>
      <c r="K7" s="94" t="s">
        <v>1016</v>
      </c>
      <c r="L7" s="94" t="s">
        <v>1017</v>
      </c>
      <c r="M7" s="90"/>
      <c r="N7" s="90"/>
      <c r="O7" s="90"/>
    </row>
    <row r="8" spans="1:27" s="127" customFormat="1" ht="109.35" customHeight="1">
      <c r="A8" s="119" t="s">
        <v>54</v>
      </c>
      <c r="B8" s="119"/>
      <c r="C8" s="119"/>
      <c r="D8" s="119"/>
      <c r="E8" s="122" t="s">
        <v>1018</v>
      </c>
      <c r="F8" s="122" t="s">
        <v>1019</v>
      </c>
      <c r="G8" s="95" t="s">
        <v>1020</v>
      </c>
      <c r="H8" s="95" t="s">
        <v>1021</v>
      </c>
      <c r="I8" s="95" t="s">
        <v>1022</v>
      </c>
      <c r="J8" s="122" t="s">
        <v>1023</v>
      </c>
      <c r="K8" s="122" t="s">
        <v>1024</v>
      </c>
      <c r="L8" s="95" t="s">
        <v>1025</v>
      </c>
      <c r="M8" s="96"/>
      <c r="N8" s="96"/>
      <c r="O8" s="96"/>
    </row>
    <row r="9" spans="1:27" s="127" customFormat="1" ht="152.4" customHeight="1">
      <c r="A9" s="119" t="s">
        <v>65</v>
      </c>
      <c r="B9" s="119"/>
      <c r="C9" s="119"/>
      <c r="D9" s="119"/>
      <c r="E9" s="95" t="s">
        <v>1026</v>
      </c>
      <c r="F9" s="122" t="s">
        <v>1027</v>
      </c>
      <c r="G9" s="95" t="s">
        <v>1028</v>
      </c>
      <c r="H9" s="122" t="s">
        <v>1029</v>
      </c>
      <c r="I9" s="95" t="s">
        <v>1030</v>
      </c>
      <c r="J9" s="95" t="s">
        <v>1031</v>
      </c>
      <c r="K9" s="95" t="s">
        <v>1032</v>
      </c>
      <c r="L9" s="122" t="s">
        <v>1033</v>
      </c>
      <c r="M9" s="124"/>
      <c r="N9" s="124"/>
      <c r="O9" s="124"/>
    </row>
    <row r="10" spans="1:27" s="127" customFormat="1" ht="150" customHeight="1">
      <c r="A10" s="119" t="s">
        <v>76</v>
      </c>
      <c r="B10" s="119"/>
      <c r="C10" s="119"/>
      <c r="D10" s="119"/>
      <c r="E10" s="99" t="s">
        <v>1034</v>
      </c>
      <c r="F10" s="99" t="s">
        <v>1035</v>
      </c>
      <c r="G10" s="99" t="s">
        <v>1036</v>
      </c>
      <c r="H10" s="99" t="s">
        <v>1037</v>
      </c>
      <c r="I10" s="99" t="s">
        <v>1038</v>
      </c>
      <c r="J10" s="99" t="s">
        <v>1039</v>
      </c>
      <c r="K10" s="99" t="s">
        <v>1040</v>
      </c>
      <c r="L10" s="99" t="s">
        <v>1041</v>
      </c>
      <c r="M10" s="149"/>
      <c r="N10" s="149"/>
      <c r="O10" s="149"/>
    </row>
    <row r="11" spans="1:27" s="127" customFormat="1" ht="74.400000000000006" customHeight="1">
      <c r="A11" s="132" t="s">
        <v>86</v>
      </c>
      <c r="B11" s="132"/>
      <c r="C11" s="132"/>
      <c r="D11" s="132"/>
      <c r="E11" s="99" t="s">
        <v>1042</v>
      </c>
      <c r="F11" s="99" t="s">
        <v>1043</v>
      </c>
      <c r="G11" s="99" t="s">
        <v>1044</v>
      </c>
      <c r="H11" s="99" t="s">
        <v>1045</v>
      </c>
      <c r="I11" s="99" t="s">
        <v>1046</v>
      </c>
      <c r="J11" s="99" t="s">
        <v>1047</v>
      </c>
      <c r="K11" s="99" t="s">
        <v>1048</v>
      </c>
      <c r="L11" s="99" t="s">
        <v>1049</v>
      </c>
      <c r="M11" s="149"/>
      <c r="N11" s="149"/>
      <c r="O11" s="149"/>
    </row>
    <row r="12" spans="1:27" s="127" customFormat="1"/>
    <row r="13" spans="1:27" s="127" customFormat="1"/>
    <row r="14" spans="1:27" s="127" customFormat="1"/>
    <row r="15" spans="1:27" customFormat="1" ht="14.4">
      <c r="A15" t="s">
        <v>96</v>
      </c>
      <c r="B15" t="s">
        <v>97</v>
      </c>
      <c r="C15" t="s">
        <v>98</v>
      </c>
      <c r="D15" s="309" t="s">
        <v>99</v>
      </c>
      <c r="E15" s="14" t="s">
        <v>1002</v>
      </c>
      <c r="F15" s="14" t="s">
        <v>1003</v>
      </c>
      <c r="G15" s="14" t="s">
        <v>1004</v>
      </c>
      <c r="H15" s="14" t="s">
        <v>1005</v>
      </c>
      <c r="I15" s="14" t="s">
        <v>1006</v>
      </c>
      <c r="J15" s="14" t="s">
        <v>1007</v>
      </c>
      <c r="K15" s="14" t="s">
        <v>1008</v>
      </c>
      <c r="L15" s="14" t="s">
        <v>1009</v>
      </c>
    </row>
    <row r="16" spans="1:27" ht="14.4">
      <c r="A16" t="s">
        <v>100</v>
      </c>
      <c r="B16" s="15" t="s">
        <v>97</v>
      </c>
      <c r="C16" s="15" t="str">
        <f>HYPERLINK("01-组织级\02-组织工作库\02-EPG活动库\08-决策分析\01-决策分析报告（QCUBIC-SPI-dar-evaluaterpt)V1.0-engl.xlsx", "engl")</f>
        <v>engl</v>
      </c>
      <c r="D16"/>
      <c r="E16" t="s">
        <v>101</v>
      </c>
      <c r="F16" t="s">
        <v>101</v>
      </c>
      <c r="G16" t="s">
        <v>101</v>
      </c>
      <c r="H16" t="s">
        <v>101</v>
      </c>
      <c r="I16" t="s">
        <v>101</v>
      </c>
      <c r="J16" t="s">
        <v>101</v>
      </c>
      <c r="K16" t="s">
        <v>101</v>
      </c>
      <c r="L16" t="s">
        <v>101</v>
      </c>
      <c r="M16"/>
      <c r="N16"/>
      <c r="O16"/>
      <c r="P16"/>
      <c r="Q16"/>
      <c r="R16"/>
      <c r="S16"/>
      <c r="T16"/>
      <c r="U16"/>
      <c r="V16"/>
      <c r="W16"/>
      <c r="X16"/>
      <c r="Y16"/>
      <c r="Z16"/>
      <c r="AA16"/>
    </row>
    <row r="17" spans="1:27" ht="14.4">
      <c r="A17" t="s">
        <v>100</v>
      </c>
      <c r="B17" s="15" t="s">
        <v>97</v>
      </c>
      <c r="C17" s="15" t="str">
        <f>HYPERLINK("01-组织级\01-组织财富库\01-标准过程文件库\03-支持类\04-决策分析\决策分析和解决方案(QCUBIC-SPI-OPAL-Tem-Proc)V1.2-engl.docx", "engl")</f>
        <v>engl</v>
      </c>
      <c r="D17"/>
      <c r="E17"/>
      <c r="F17"/>
      <c r="G17" t="s">
        <v>101</v>
      </c>
      <c r="H17" t="s">
        <v>101</v>
      </c>
      <c r="I17"/>
      <c r="J17"/>
      <c r="K17"/>
      <c r="L17" t="s">
        <v>101</v>
      </c>
      <c r="M17"/>
      <c r="N17"/>
      <c r="O17"/>
      <c r="P17"/>
      <c r="Q17"/>
      <c r="R17"/>
      <c r="S17"/>
      <c r="T17"/>
      <c r="U17"/>
      <c r="V17"/>
      <c r="W17"/>
      <c r="X17"/>
      <c r="Y17"/>
      <c r="Z17"/>
      <c r="AA17"/>
    </row>
    <row r="18" spans="1:27" ht="14.4">
      <c r="A18"/>
      <c r="B18"/>
      <c r="C18"/>
      <c r="D18"/>
      <c r="E18"/>
      <c r="F18"/>
      <c r="G18"/>
      <c r="H18"/>
      <c r="I18"/>
      <c r="J18"/>
      <c r="K18"/>
      <c r="L18"/>
      <c r="M18"/>
      <c r="N18"/>
      <c r="O18"/>
      <c r="P18"/>
      <c r="Q18"/>
      <c r="R18"/>
      <c r="S18"/>
      <c r="T18"/>
      <c r="U18"/>
      <c r="V18"/>
      <c r="W18"/>
      <c r="X18"/>
      <c r="Y18"/>
      <c r="Z18"/>
      <c r="AA18"/>
    </row>
    <row r="19" spans="1:27" ht="14.4">
      <c r="A19"/>
      <c r="B19"/>
      <c r="C19"/>
      <c r="D19"/>
      <c r="E19"/>
      <c r="F19"/>
      <c r="G19"/>
      <c r="H19"/>
      <c r="I19"/>
      <c r="J19"/>
      <c r="K19"/>
      <c r="L19"/>
      <c r="M19"/>
      <c r="N19"/>
      <c r="O19"/>
      <c r="P19"/>
      <c r="Q19"/>
      <c r="R19"/>
      <c r="S19"/>
      <c r="T19"/>
      <c r="U19"/>
      <c r="V19"/>
      <c r="W19"/>
      <c r="X19"/>
      <c r="Y19"/>
      <c r="Z19"/>
      <c r="AA19"/>
    </row>
    <row r="20" spans="1:27" ht="14.4">
      <c r="A20"/>
      <c r="B20"/>
      <c r="C20"/>
      <c r="D20"/>
      <c r="E20"/>
      <c r="F20"/>
      <c r="G20"/>
      <c r="H20"/>
      <c r="I20"/>
      <c r="J20"/>
      <c r="K20"/>
      <c r="L20"/>
      <c r="M20"/>
      <c r="N20"/>
      <c r="O20"/>
      <c r="P20"/>
      <c r="Q20"/>
      <c r="R20"/>
      <c r="S20"/>
      <c r="T20"/>
      <c r="U20"/>
      <c r="V20"/>
      <c r="W20"/>
      <c r="X20"/>
      <c r="Y20"/>
      <c r="Z20"/>
      <c r="AA20"/>
    </row>
    <row r="21" spans="1:27" ht="14.4">
      <c r="A21"/>
      <c r="B21"/>
      <c r="C21"/>
      <c r="D21"/>
      <c r="E21"/>
      <c r="F21"/>
      <c r="G21"/>
      <c r="H21"/>
      <c r="I21"/>
      <c r="J21"/>
      <c r="K21"/>
      <c r="L21"/>
      <c r="M21"/>
      <c r="N21"/>
      <c r="O21"/>
      <c r="P21"/>
      <c r="Q21"/>
      <c r="R21"/>
      <c r="S21"/>
      <c r="T21"/>
      <c r="U21"/>
      <c r="V21"/>
      <c r="W21"/>
      <c r="X21"/>
      <c r="Y21"/>
      <c r="Z21"/>
      <c r="AA21"/>
    </row>
    <row r="22" spans="1:27" ht="14.4">
      <c r="A22"/>
      <c r="B22"/>
      <c r="C22"/>
      <c r="D22"/>
      <c r="E22"/>
      <c r="F22"/>
      <c r="G22"/>
      <c r="H22"/>
      <c r="I22"/>
      <c r="J22"/>
      <c r="K22"/>
      <c r="L22"/>
      <c r="M22"/>
      <c r="N22"/>
      <c r="O22"/>
      <c r="P22"/>
      <c r="Q22"/>
      <c r="R22"/>
      <c r="S22"/>
      <c r="T22"/>
      <c r="U22"/>
      <c r="V22"/>
      <c r="W22"/>
      <c r="X22"/>
      <c r="Y22"/>
      <c r="Z22"/>
      <c r="AA22"/>
    </row>
    <row r="23" spans="1:27" ht="14.4">
      <c r="A23"/>
      <c r="B23"/>
      <c r="C23"/>
      <c r="D23"/>
      <c r="E23"/>
      <c r="F23"/>
      <c r="G23"/>
      <c r="H23"/>
      <c r="I23"/>
      <c r="J23"/>
      <c r="K23"/>
      <c r="L23"/>
      <c r="M23"/>
      <c r="N23"/>
      <c r="O23"/>
      <c r="P23"/>
      <c r="Q23"/>
      <c r="R23"/>
      <c r="S23"/>
      <c r="T23"/>
      <c r="U23"/>
      <c r="V23"/>
      <c r="W23"/>
      <c r="X23"/>
      <c r="Y23"/>
      <c r="Z23"/>
      <c r="AA23"/>
    </row>
    <row r="24" spans="1:27" ht="14.4">
      <c r="A24"/>
      <c r="B24"/>
      <c r="C24"/>
      <c r="D24"/>
      <c r="E24"/>
      <c r="F24"/>
      <c r="G24"/>
      <c r="H24"/>
      <c r="I24"/>
      <c r="J24"/>
      <c r="K24"/>
      <c r="L24"/>
      <c r="M24"/>
      <c r="N24"/>
      <c r="O24"/>
      <c r="P24"/>
      <c r="Q24"/>
      <c r="R24"/>
      <c r="S24"/>
      <c r="T24"/>
      <c r="U24"/>
      <c r="V24"/>
      <c r="W24"/>
      <c r="X24"/>
      <c r="Y24"/>
      <c r="Z24"/>
      <c r="AA24"/>
    </row>
    <row r="25" spans="1:27" ht="14.4">
      <c r="A25"/>
      <c r="B25"/>
      <c r="C25"/>
      <c r="D25"/>
      <c r="E25"/>
      <c r="F25"/>
      <c r="G25"/>
      <c r="H25"/>
      <c r="I25"/>
      <c r="J25"/>
      <c r="K25"/>
      <c r="L25"/>
      <c r="M25"/>
      <c r="N25"/>
      <c r="O25"/>
      <c r="P25"/>
      <c r="Q25"/>
      <c r="R25"/>
      <c r="S25"/>
      <c r="T25"/>
      <c r="U25"/>
      <c r="V25"/>
      <c r="W25"/>
      <c r="X25"/>
      <c r="Y25"/>
      <c r="Z25"/>
      <c r="AA25"/>
    </row>
    <row r="26" spans="1:27" ht="14.4">
      <c r="A26"/>
      <c r="B26"/>
      <c r="C26"/>
      <c r="D26"/>
      <c r="E26"/>
      <c r="F26"/>
      <c r="G26"/>
      <c r="H26"/>
      <c r="I26"/>
      <c r="J26"/>
      <c r="K26"/>
      <c r="L26"/>
      <c r="M26"/>
      <c r="N26"/>
      <c r="O26"/>
      <c r="P26"/>
      <c r="Q26"/>
      <c r="R26"/>
      <c r="S26"/>
      <c r="T26"/>
      <c r="U26"/>
      <c r="V26"/>
      <c r="W26"/>
      <c r="X26"/>
      <c r="Y26"/>
      <c r="Z26"/>
      <c r="AA26"/>
    </row>
    <row r="27" spans="1:27" ht="14.4">
      <c r="A27"/>
      <c r="B27"/>
      <c r="C27"/>
      <c r="D27"/>
      <c r="E27"/>
      <c r="F27"/>
      <c r="G27"/>
      <c r="H27"/>
      <c r="I27"/>
      <c r="J27"/>
      <c r="K27"/>
      <c r="L27"/>
      <c r="M27"/>
      <c r="N27"/>
      <c r="O27"/>
      <c r="P27"/>
      <c r="Q27"/>
      <c r="R27"/>
      <c r="S27"/>
      <c r="T27"/>
      <c r="U27"/>
      <c r="V27"/>
      <c r="W27"/>
      <c r="X27"/>
      <c r="Y27"/>
      <c r="Z27"/>
      <c r="AA27"/>
    </row>
    <row r="28" spans="1:27" ht="14.4">
      <c r="A28"/>
      <c r="B28"/>
      <c r="C28"/>
      <c r="D28"/>
      <c r="E28"/>
      <c r="F28"/>
      <c r="G28"/>
      <c r="H28"/>
      <c r="I28"/>
      <c r="J28"/>
      <c r="K28"/>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3C4560C6-09E3-4D1D-903D-DC27740E2595}"/>
    <hyperlink ref="B17" r:id="rId2" xr:uid="{F3379BFA-9C83-41E9-9B8D-7FCDC10AC62A}"/>
  </hyperlinks>
  <pageMargins left="0.7" right="0.7" top="0.75" bottom="0.75" header="0.3" footer="0.3"/>
  <pageSetup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EAB68-E75B-400D-B3E2-ACAD3AD7BBBF}">
  <sheetPr codeName="Sheet25">
    <tabColor rgb="FF0097CC"/>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88671875" defaultRowHeight="14.4"/>
  <cols>
    <col min="1" max="1" width="34.44140625" style="106" customWidth="1"/>
    <col min="2" max="4" width="7.88671875" style="106" customWidth="1"/>
    <col min="5" max="11" width="20.6640625" style="106" customWidth="1"/>
    <col min="12" max="12" width="66.109375" style="106" customWidth="1"/>
    <col min="13" max="13" width="3.6640625" style="106" customWidth="1"/>
    <col min="14" max="14" width="54.44140625" style="106" bestFit="1" customWidth="1"/>
    <col min="15" max="15" width="57.33203125" style="106" customWidth="1"/>
    <col min="16" max="16384" width="8.88671875" style="106"/>
  </cols>
  <sheetData>
    <row r="1" spans="1:27" ht="18">
      <c r="A1" s="102" t="s">
        <v>1050</v>
      </c>
      <c r="B1" s="102"/>
      <c r="C1" s="102"/>
      <c r="D1" s="102"/>
      <c r="E1" s="103"/>
      <c r="F1" s="104"/>
      <c r="G1" s="105"/>
    </row>
    <row r="2" spans="1:27">
      <c r="A2" s="107" t="s">
        <v>23</v>
      </c>
      <c r="B2" s="107"/>
      <c r="C2" s="107"/>
      <c r="D2" s="107"/>
      <c r="E2" s="104" t="s">
        <v>1051</v>
      </c>
      <c r="F2" s="104"/>
      <c r="G2" s="105"/>
    </row>
    <row r="3" spans="1:27">
      <c r="A3" s="104" t="s">
        <v>25</v>
      </c>
      <c r="B3" s="104"/>
      <c r="C3" s="104"/>
      <c r="D3" s="104"/>
      <c r="E3" s="104" t="s">
        <v>1052</v>
      </c>
      <c r="F3" s="104"/>
      <c r="G3" s="105"/>
    </row>
    <row r="4" spans="1:27">
      <c r="A4" s="108"/>
      <c r="B4" s="108"/>
      <c r="C4" s="108"/>
      <c r="D4" s="108"/>
      <c r="E4" s="109" t="s">
        <v>27</v>
      </c>
      <c r="F4" s="110" t="s">
        <v>28</v>
      </c>
      <c r="G4" s="110"/>
      <c r="H4" s="111"/>
      <c r="I4" s="110"/>
      <c r="J4" s="112"/>
      <c r="K4" s="112"/>
      <c r="L4" s="107"/>
      <c r="M4" s="107"/>
      <c r="N4" s="107"/>
    </row>
    <row r="5" spans="1:27">
      <c r="A5" s="115"/>
      <c r="B5" s="115"/>
      <c r="C5" s="115"/>
      <c r="D5" s="115"/>
      <c r="E5" s="116" t="s">
        <v>30</v>
      </c>
      <c r="F5" s="117" t="s">
        <v>31</v>
      </c>
      <c r="G5" s="117"/>
      <c r="H5" s="111"/>
      <c r="I5" s="117"/>
      <c r="J5" s="112"/>
      <c r="K5" s="112"/>
      <c r="L5" s="107"/>
      <c r="M5" s="107"/>
      <c r="N5" s="107"/>
    </row>
    <row r="6" spans="1:27">
      <c r="A6" s="132"/>
      <c r="B6" s="132"/>
      <c r="C6" s="132"/>
      <c r="D6" s="132"/>
      <c r="E6" s="3" t="s">
        <v>1053</v>
      </c>
      <c r="F6" s="87" t="s">
        <v>1054</v>
      </c>
      <c r="G6" s="87" t="s">
        <v>1055</v>
      </c>
      <c r="H6" s="87" t="s">
        <v>1056</v>
      </c>
      <c r="I6" s="87" t="s">
        <v>1057</v>
      </c>
      <c r="J6" s="87" t="s">
        <v>1058</v>
      </c>
      <c r="K6" s="196" t="s">
        <v>1059</v>
      </c>
      <c r="L6" s="90"/>
      <c r="M6" s="90"/>
      <c r="N6" s="90"/>
    </row>
    <row r="7" spans="1:27" ht="96.6">
      <c r="A7" s="121" t="s">
        <v>174</v>
      </c>
      <c r="B7" s="121"/>
      <c r="C7" s="121"/>
      <c r="D7" s="121"/>
      <c r="E7" s="94" t="s">
        <v>1060</v>
      </c>
      <c r="F7" s="94" t="s">
        <v>1061</v>
      </c>
      <c r="G7" s="94" t="s">
        <v>1062</v>
      </c>
      <c r="H7" s="94" t="s">
        <v>1063</v>
      </c>
      <c r="I7" s="94" t="s">
        <v>1064</v>
      </c>
      <c r="J7" s="94" t="s">
        <v>1065</v>
      </c>
      <c r="K7" s="94" t="s">
        <v>1066</v>
      </c>
      <c r="L7" s="90"/>
      <c r="M7" s="90"/>
      <c r="N7" s="90"/>
    </row>
    <row r="8" spans="1:27" ht="108">
      <c r="A8" s="132" t="s">
        <v>54</v>
      </c>
      <c r="B8" s="132"/>
      <c r="C8" s="132"/>
      <c r="D8" s="132"/>
      <c r="E8" s="95" t="s">
        <v>1067</v>
      </c>
      <c r="F8" s="95" t="s">
        <v>1068</v>
      </c>
      <c r="G8" s="95" t="s">
        <v>1069</v>
      </c>
      <c r="H8" s="95" t="s">
        <v>1070</v>
      </c>
      <c r="I8" s="95" t="s">
        <v>1071</v>
      </c>
      <c r="J8" s="95" t="s">
        <v>1072</v>
      </c>
      <c r="K8" s="95" t="s">
        <v>1073</v>
      </c>
      <c r="L8" s="96"/>
      <c r="M8" s="96"/>
      <c r="N8" s="96"/>
    </row>
    <row r="9" spans="1:27" ht="180">
      <c r="A9" s="132" t="s">
        <v>65</v>
      </c>
      <c r="B9" s="132"/>
      <c r="C9" s="132"/>
      <c r="D9" s="132"/>
      <c r="E9" s="95" t="s">
        <v>1074</v>
      </c>
      <c r="F9" s="95" t="s">
        <v>1075</v>
      </c>
      <c r="G9" s="95" t="s">
        <v>1076</v>
      </c>
      <c r="H9" s="95" t="s">
        <v>1077</v>
      </c>
      <c r="I9" s="95" t="s">
        <v>1078</v>
      </c>
      <c r="J9" s="95" t="s">
        <v>1079</v>
      </c>
      <c r="K9" s="95" t="s">
        <v>1080</v>
      </c>
      <c r="L9" s="96"/>
      <c r="M9" s="96"/>
      <c r="N9" s="96"/>
    </row>
    <row r="10" spans="1:27" ht="156">
      <c r="A10" s="119" t="s">
        <v>76</v>
      </c>
      <c r="B10" s="119"/>
      <c r="C10" s="119"/>
      <c r="D10" s="119"/>
      <c r="E10" s="95" t="s">
        <v>1081</v>
      </c>
      <c r="F10" s="95" t="s">
        <v>1082</v>
      </c>
      <c r="G10" s="95" t="s">
        <v>1083</v>
      </c>
      <c r="H10" s="95" t="s">
        <v>1084</v>
      </c>
      <c r="I10" s="95" t="s">
        <v>1085</v>
      </c>
      <c r="J10" s="95" t="s">
        <v>1086</v>
      </c>
      <c r="K10" s="95" t="s">
        <v>1087</v>
      </c>
      <c r="L10" s="96"/>
      <c r="M10" s="96"/>
      <c r="N10" s="96"/>
    </row>
    <row r="11" spans="1:27" ht="68.400000000000006">
      <c r="A11" s="158" t="s">
        <v>86</v>
      </c>
      <c r="B11" s="158"/>
      <c r="C11" s="158"/>
      <c r="D11" s="158"/>
      <c r="E11" s="95"/>
      <c r="F11" s="277" t="s">
        <v>1088</v>
      </c>
      <c r="G11" s="278" t="s">
        <v>1089</v>
      </c>
      <c r="H11" s="277" t="s">
        <v>1090</v>
      </c>
      <c r="I11" s="279" t="s">
        <v>1091</v>
      </c>
      <c r="J11" s="279" t="s">
        <v>1092</v>
      </c>
      <c r="K11" s="277" t="s">
        <v>1093</v>
      </c>
      <c r="L11" s="280"/>
      <c r="M11" s="280"/>
      <c r="N11" s="280"/>
    </row>
    <row r="12" spans="1:27" s="114" customFormat="1">
      <c r="A12" s="106"/>
      <c r="B12" s="106"/>
      <c r="C12" s="106"/>
      <c r="D12" s="106"/>
      <c r="E12" s="106"/>
      <c r="F12" s="106"/>
      <c r="G12" s="106"/>
      <c r="H12" s="106"/>
      <c r="I12" s="106"/>
      <c r="J12" s="106"/>
      <c r="K12" s="106"/>
      <c r="L12" s="106"/>
      <c r="M12" s="106"/>
      <c r="N12" s="106"/>
    </row>
    <row r="13" spans="1:27" s="114" customFormat="1" ht="14.4" customHeight="1">
      <c r="A13" s="106"/>
      <c r="B13" s="106"/>
      <c r="C13" s="106"/>
      <c r="D13" s="106"/>
      <c r="E13" s="106"/>
      <c r="F13" s="106"/>
      <c r="G13" s="106"/>
      <c r="H13" s="106"/>
      <c r="I13" s="106"/>
      <c r="J13" s="106"/>
      <c r="K13" s="106"/>
      <c r="L13" s="106"/>
      <c r="M13" s="106"/>
      <c r="N13" s="106"/>
    </row>
    <row r="14" spans="1:27" s="114" customFormat="1" ht="14.4" customHeight="1">
      <c r="A14" s="106"/>
      <c r="B14" s="106"/>
      <c r="C14" s="106"/>
      <c r="D14" s="106"/>
      <c r="E14" s="106"/>
      <c r="F14" s="106"/>
      <c r="G14" s="106"/>
      <c r="H14" s="106"/>
      <c r="I14" s="106"/>
      <c r="J14" s="106"/>
      <c r="K14" s="106"/>
      <c r="L14" s="106"/>
      <c r="M14" s="106"/>
      <c r="N14" s="106"/>
    </row>
    <row r="15" spans="1:27" customFormat="1">
      <c r="A15" t="s">
        <v>96</v>
      </c>
      <c r="B15" t="s">
        <v>97</v>
      </c>
      <c r="C15" t="s">
        <v>98</v>
      </c>
      <c r="D15" s="309" t="s">
        <v>99</v>
      </c>
      <c r="E15" t="s">
        <v>1053</v>
      </c>
      <c r="F15" t="s">
        <v>1054</v>
      </c>
      <c r="G15" t="s">
        <v>1055</v>
      </c>
      <c r="H15" t="s">
        <v>1056</v>
      </c>
      <c r="I15" t="s">
        <v>1057</v>
      </c>
      <c r="J15" t="s">
        <v>1058</v>
      </c>
      <c r="K15" t="s">
        <v>1059</v>
      </c>
    </row>
    <row r="16" spans="1:27" s="114" customFormat="1" ht="14.4" customHeight="1">
      <c r="A16" t="s">
        <v>100</v>
      </c>
      <c r="B16" s="15" t="s">
        <v>97</v>
      </c>
      <c r="C16" s="15" t="str">
        <f>HYPERLINK("01-组织级\02-组织工作库\04-CM活动库\组织级配置管理计划(QCUBIC-SPI-CM-OCMPlan)V1.2-engl.xlsx", "engl")</f>
        <v>engl</v>
      </c>
      <c r="D16"/>
      <c r="E16" t="s">
        <v>101</v>
      </c>
      <c r="F16" t="s">
        <v>101</v>
      </c>
      <c r="G16" t="s">
        <v>101</v>
      </c>
      <c r="H16"/>
      <c r="I16" t="s">
        <v>101</v>
      </c>
      <c r="J16" t="s">
        <v>101</v>
      </c>
      <c r="K16"/>
      <c r="L16"/>
      <c r="M16"/>
      <c r="N16"/>
      <c r="O16"/>
      <c r="P16"/>
      <c r="Q16"/>
      <c r="R16"/>
      <c r="S16"/>
      <c r="T16"/>
      <c r="U16"/>
      <c r="V16"/>
      <c r="W16"/>
      <c r="X16"/>
      <c r="Y16"/>
      <c r="Z16"/>
      <c r="AA16"/>
    </row>
    <row r="17" spans="1:27" s="114" customFormat="1" ht="14.4" customHeight="1">
      <c r="A17" t="s">
        <v>100</v>
      </c>
      <c r="B17" s="15" t="s">
        <v>97</v>
      </c>
      <c r="C17" s="15" t="str">
        <f>HYPERLINK("01-组织级\02-组织工作库\04-CM活动库\组织配置库内容列表(ORG_-CM-TEM-PALList)V1.2-engl.xlsx", "engl")</f>
        <v>engl</v>
      </c>
      <c r="D17"/>
      <c r="E17" t="s">
        <v>101</v>
      </c>
      <c r="F17"/>
      <c r="G17"/>
      <c r="H17"/>
      <c r="I17"/>
      <c r="J17" t="s">
        <v>101</v>
      </c>
      <c r="K17"/>
      <c r="L17"/>
      <c r="M17"/>
      <c r="N17"/>
      <c r="O17"/>
      <c r="P17"/>
      <c r="Q17"/>
      <c r="R17"/>
      <c r="S17"/>
      <c r="T17"/>
      <c r="U17"/>
      <c r="V17"/>
      <c r="W17"/>
      <c r="X17"/>
      <c r="Y17"/>
      <c r="Z17"/>
      <c r="AA17"/>
    </row>
    <row r="18" spans="1:27" s="114" customFormat="1" ht="14.4" customHeight="1">
      <c r="A18" t="s">
        <v>100</v>
      </c>
      <c r="B18" s="15" t="s">
        <v>97</v>
      </c>
      <c r="C18" s="15" t="str">
        <f>HYPERLINK("01-组织级\01-组织财富库\01-标准过程文件库\03-支持类\02-配置管理\配置管理过程文件(QCUBIC-SPI-CM-Proc-Doc)V1.2-engl.docx", "engl")</f>
        <v>engl</v>
      </c>
      <c r="D18"/>
      <c r="E18"/>
      <c r="F18"/>
      <c r="G18" t="s">
        <v>101</v>
      </c>
      <c r="H18"/>
      <c r="I18" t="s">
        <v>101</v>
      </c>
      <c r="J18"/>
      <c r="K18"/>
      <c r="L18"/>
      <c r="M18"/>
      <c r="N18"/>
      <c r="O18"/>
      <c r="P18"/>
      <c r="Q18"/>
      <c r="R18"/>
      <c r="S18"/>
      <c r="T18"/>
      <c r="U18"/>
      <c r="V18"/>
      <c r="W18"/>
      <c r="X18"/>
      <c r="Y18"/>
      <c r="Z18"/>
      <c r="AA18"/>
    </row>
    <row r="19" spans="1:27" s="114" customFormat="1" ht="14.4" customHeight="1">
      <c r="A19" t="s">
        <v>100</v>
      </c>
      <c r="B19" s="15" t="s">
        <v>97</v>
      </c>
      <c r="C19" s="15" t="str">
        <f>HYPERLINK("01-组织级\02-组织工作库\04-CM活动库\基线发布报告 (QCUBIC-spi-cm-release)V1.1-engl.xlsx", "engl")</f>
        <v>engl</v>
      </c>
      <c r="D19"/>
      <c r="E19"/>
      <c r="F19"/>
      <c r="G19"/>
      <c r="H19" t="s">
        <v>101</v>
      </c>
      <c r="I19"/>
      <c r="J19"/>
      <c r="K19"/>
      <c r="L19"/>
      <c r="M19"/>
      <c r="N19"/>
      <c r="O19"/>
      <c r="P19"/>
      <c r="Q19"/>
      <c r="R19"/>
      <c r="S19"/>
      <c r="T19"/>
      <c r="U19"/>
      <c r="V19"/>
      <c r="W19"/>
      <c r="X19"/>
      <c r="Y19"/>
      <c r="Z19"/>
      <c r="AA19"/>
    </row>
    <row r="20" spans="1:27">
      <c r="A20" t="s">
        <v>100</v>
      </c>
      <c r="B20" s="15" t="s">
        <v>97</v>
      </c>
      <c r="C20" s="15" t="str">
        <f>HYPERLINK("01-组织级\02-组织工作库\04-CM活动库\组织级配置审计报告(QCUBIC-SPI-CM-Organization-level configuration audit report)V1.3-engl.xlsx", "engl")</f>
        <v>engl</v>
      </c>
      <c r="D20"/>
      <c r="E20"/>
      <c r="F20"/>
      <c r="G20"/>
      <c r="H20"/>
      <c r="I20"/>
      <c r="J20"/>
      <c r="K20" t="s">
        <v>101</v>
      </c>
      <c r="L20"/>
      <c r="M20"/>
      <c r="N20"/>
      <c r="O20"/>
      <c r="P20"/>
      <c r="Q20"/>
      <c r="R20"/>
      <c r="S20"/>
      <c r="T20"/>
      <c r="U20"/>
      <c r="V20"/>
      <c r="W20"/>
      <c r="X20"/>
      <c r="Y20"/>
      <c r="Z20"/>
      <c r="AA20"/>
    </row>
    <row r="21" spans="1:27">
      <c r="A21"/>
      <c r="B21"/>
      <c r="C21"/>
      <c r="D21"/>
      <c r="E21"/>
      <c r="F21"/>
      <c r="G21"/>
      <c r="H21"/>
      <c r="I21"/>
      <c r="J21"/>
      <c r="K21"/>
      <c r="L21"/>
      <c r="M21"/>
      <c r="N21"/>
      <c r="O21"/>
      <c r="P21"/>
      <c r="Q21"/>
      <c r="R21"/>
      <c r="S21"/>
      <c r="T21"/>
      <c r="U21"/>
      <c r="V21"/>
      <c r="W21"/>
      <c r="X21"/>
      <c r="Y21"/>
      <c r="Z21"/>
      <c r="AA21"/>
    </row>
    <row r="22" spans="1:27">
      <c r="A22"/>
      <c r="B22"/>
      <c r="C22"/>
      <c r="D22"/>
      <c r="E22"/>
      <c r="F22"/>
      <c r="G22"/>
      <c r="H22"/>
      <c r="I22"/>
      <c r="J22"/>
      <c r="K22"/>
      <c r="L22"/>
      <c r="M22"/>
      <c r="N22"/>
      <c r="O22"/>
      <c r="P22"/>
      <c r="Q22"/>
      <c r="R22"/>
      <c r="S22"/>
      <c r="T22"/>
      <c r="U22"/>
      <c r="V22"/>
      <c r="W22"/>
      <c r="X22"/>
      <c r="Y22"/>
      <c r="Z22"/>
      <c r="AA22"/>
    </row>
    <row r="23" spans="1:27">
      <c r="A23"/>
      <c r="B23"/>
      <c r="C23"/>
      <c r="D23"/>
      <c r="E23"/>
      <c r="F23"/>
      <c r="G23"/>
      <c r="H23"/>
      <c r="I23"/>
      <c r="J23"/>
      <c r="K23"/>
      <c r="L23"/>
      <c r="M23"/>
      <c r="N23"/>
      <c r="O23"/>
      <c r="P23"/>
      <c r="Q23"/>
      <c r="R23"/>
      <c r="S23"/>
      <c r="T23"/>
      <c r="U23"/>
      <c r="V23"/>
      <c r="W23"/>
      <c r="X23"/>
      <c r="Y23"/>
      <c r="Z23"/>
      <c r="AA23"/>
    </row>
    <row r="24" spans="1:27">
      <c r="A24"/>
      <c r="B24"/>
      <c r="C24"/>
      <c r="D24"/>
      <c r="E24"/>
      <c r="F24"/>
      <c r="G24"/>
      <c r="H24"/>
      <c r="I24"/>
      <c r="J24"/>
      <c r="K24"/>
      <c r="L24"/>
      <c r="M24"/>
      <c r="N24"/>
      <c r="O24"/>
      <c r="P24"/>
      <c r="Q24"/>
      <c r="R24"/>
      <c r="S24"/>
      <c r="T24"/>
      <c r="U24"/>
      <c r="V24"/>
      <c r="W24"/>
      <c r="X24"/>
      <c r="Y24"/>
      <c r="Z24"/>
      <c r="AA24"/>
    </row>
    <row r="25" spans="1:27">
      <c r="A25"/>
      <c r="B25"/>
      <c r="C25"/>
      <c r="D25"/>
      <c r="E25"/>
      <c r="F25"/>
      <c r="G25"/>
      <c r="H25"/>
      <c r="I25"/>
      <c r="J25"/>
      <c r="K25"/>
      <c r="L25"/>
      <c r="M25"/>
      <c r="N25"/>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31A1966A-EAFF-4B4D-8452-43C20E45E717}"/>
    <hyperlink ref="B17" r:id="rId2" xr:uid="{89E7BAA7-DFA1-4327-BF58-61A1929E5BA2}"/>
    <hyperlink ref="B18" r:id="rId3" xr:uid="{55709D77-7832-4AFF-A33C-101BEA85B5A9}"/>
    <hyperlink ref="B19" r:id="rId4" xr:uid="{C0D41DD1-528D-4A30-B4CA-E60289943FBC}"/>
    <hyperlink ref="B20" r:id="rId5" xr:uid="{B87F7C17-1B09-4308-B775-E022B4B08051}"/>
  </hyperlinks>
  <pageMargins left="0.69930555555555596" right="0.69930555555555596" top="0.75" bottom="0.75" header="0.3" footer="0.3"/>
  <pageSetup paperSize="9" orientation="portrait" r:id="rId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9D314-9F34-423F-9366-52D67370D729}">
  <sheetPr codeName="Sheet26">
    <tabColor rgb="FF7030A0"/>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88671875" defaultRowHeight="14.4"/>
  <cols>
    <col min="1" max="1" width="44.33203125" style="106" customWidth="1"/>
    <col min="2" max="4" width="7.88671875" style="106" customWidth="1"/>
    <col min="5" max="5" width="20.6640625" style="106" customWidth="1"/>
    <col min="6" max="6" width="20.6640625" style="283" customWidth="1"/>
    <col min="7" max="10" width="20.6640625" style="106" customWidth="1"/>
    <col min="11" max="11" width="50.6640625" style="106" customWidth="1"/>
    <col min="12" max="12" width="3.6640625" style="106" customWidth="1"/>
    <col min="13" max="13" width="32.33203125" style="106" bestFit="1" customWidth="1"/>
    <col min="14" max="14" width="60.88671875" style="106" customWidth="1"/>
    <col min="15" max="16384" width="8.88671875" style="106"/>
  </cols>
  <sheetData>
    <row r="1" spans="1:27" ht="18">
      <c r="A1" s="102" t="s">
        <v>1094</v>
      </c>
      <c r="B1" s="102"/>
      <c r="C1" s="102"/>
      <c r="D1" s="102"/>
      <c r="E1" s="103"/>
      <c r="F1" s="107"/>
      <c r="G1" s="105"/>
      <c r="H1" s="105"/>
      <c r="I1" s="105"/>
      <c r="J1" s="105"/>
      <c r="K1" s="105"/>
      <c r="L1" s="105"/>
      <c r="M1" s="105"/>
    </row>
    <row r="2" spans="1:27">
      <c r="A2" s="107" t="s">
        <v>932</v>
      </c>
      <c r="B2" s="107"/>
      <c r="C2" s="107"/>
      <c r="D2" s="107"/>
      <c r="E2" s="104" t="s">
        <v>1095</v>
      </c>
      <c r="F2" s="107"/>
      <c r="G2" s="105"/>
      <c r="H2" s="105"/>
      <c r="I2" s="105"/>
      <c r="J2" s="105"/>
      <c r="K2" s="105"/>
      <c r="L2" s="105"/>
      <c r="M2" s="105"/>
    </row>
    <row r="3" spans="1:27">
      <c r="A3" s="104" t="s">
        <v>934</v>
      </c>
      <c r="B3" s="104"/>
      <c r="C3" s="104"/>
      <c r="D3" s="104"/>
      <c r="E3" s="104" t="s">
        <v>1096</v>
      </c>
      <c r="F3" s="107"/>
      <c r="G3" s="105"/>
      <c r="H3" s="105"/>
      <c r="I3" s="105"/>
      <c r="J3" s="105"/>
      <c r="K3" s="105"/>
      <c r="L3" s="105"/>
      <c r="M3" s="105"/>
    </row>
    <row r="4" spans="1:27">
      <c r="A4" s="108"/>
      <c r="B4" s="108"/>
      <c r="C4" s="108"/>
      <c r="D4" s="108"/>
      <c r="E4" s="109" t="s">
        <v>27</v>
      </c>
      <c r="F4" s="110" t="s">
        <v>28</v>
      </c>
      <c r="G4" s="110"/>
      <c r="H4" s="113" t="s">
        <v>29</v>
      </c>
      <c r="I4" s="113"/>
      <c r="J4" s="147"/>
      <c r="K4" s="107"/>
      <c r="L4" s="107"/>
      <c r="M4" s="107"/>
      <c r="N4" s="104"/>
      <c r="O4" s="107"/>
      <c r="P4" s="114"/>
      <c r="Q4" s="114"/>
    </row>
    <row r="5" spans="1:27">
      <c r="A5" s="115"/>
      <c r="B5" s="115"/>
      <c r="C5" s="115"/>
      <c r="D5" s="115"/>
      <c r="E5" s="116" t="s">
        <v>30</v>
      </c>
      <c r="F5" s="117" t="s">
        <v>31</v>
      </c>
      <c r="G5" s="117"/>
      <c r="H5" s="113" t="s">
        <v>32</v>
      </c>
      <c r="I5" s="166"/>
      <c r="J5" s="147"/>
      <c r="K5" s="107"/>
      <c r="L5" s="107"/>
      <c r="M5" s="107"/>
      <c r="N5" s="104"/>
      <c r="O5" s="107"/>
      <c r="P5" s="115"/>
      <c r="Q5" s="114"/>
    </row>
    <row r="6" spans="1:27">
      <c r="A6" s="281"/>
      <c r="B6" s="281"/>
      <c r="C6" s="281"/>
      <c r="D6" s="281"/>
      <c r="E6" s="3" t="s">
        <v>1097</v>
      </c>
      <c r="F6" s="87" t="s">
        <v>1098</v>
      </c>
      <c r="G6" s="87" t="s">
        <v>1099</v>
      </c>
      <c r="H6" s="88" t="s">
        <v>1100</v>
      </c>
      <c r="I6" s="88" t="s">
        <v>1101</v>
      </c>
      <c r="J6" s="89" t="s">
        <v>1102</v>
      </c>
      <c r="K6" s="90"/>
      <c r="L6" s="90"/>
      <c r="M6" s="90"/>
    </row>
    <row r="7" spans="1:27" ht="69">
      <c r="A7" s="282" t="s">
        <v>174</v>
      </c>
      <c r="B7" s="282"/>
      <c r="C7" s="282"/>
      <c r="D7" s="282"/>
      <c r="E7" s="94" t="s">
        <v>1103</v>
      </c>
      <c r="F7" s="94" t="s">
        <v>1104</v>
      </c>
      <c r="G7" s="94" t="s">
        <v>1105</v>
      </c>
      <c r="H7" s="94" t="s">
        <v>1106</v>
      </c>
      <c r="I7" s="94" t="s">
        <v>1107</v>
      </c>
      <c r="J7" s="94" t="s">
        <v>1108</v>
      </c>
      <c r="K7" s="90"/>
      <c r="L7" s="90"/>
      <c r="M7" s="90"/>
    </row>
    <row r="8" spans="1:27" ht="60">
      <c r="A8" s="281" t="s">
        <v>54</v>
      </c>
      <c r="B8" s="281"/>
      <c r="C8" s="281"/>
      <c r="D8" s="281"/>
      <c r="E8" s="122" t="s">
        <v>1109</v>
      </c>
      <c r="F8" s="95" t="s">
        <v>1110</v>
      </c>
      <c r="G8" s="95" t="s">
        <v>1111</v>
      </c>
      <c r="H8" s="95" t="s">
        <v>1112</v>
      </c>
      <c r="I8" s="95" t="s">
        <v>1113</v>
      </c>
      <c r="J8" s="95" t="s">
        <v>1114</v>
      </c>
      <c r="K8" s="96"/>
      <c r="L8" s="96"/>
      <c r="M8" s="96"/>
    </row>
    <row r="9" spans="1:27" ht="132">
      <c r="A9" s="281" t="s">
        <v>65</v>
      </c>
      <c r="B9" s="281"/>
      <c r="C9" s="281"/>
      <c r="D9" s="281"/>
      <c r="E9" s="122" t="s">
        <v>1115</v>
      </c>
      <c r="F9" s="95" t="s">
        <v>1116</v>
      </c>
      <c r="G9" s="95" t="s">
        <v>1117</v>
      </c>
      <c r="H9" s="95" t="s">
        <v>1118</v>
      </c>
      <c r="I9" s="95" t="s">
        <v>1119</v>
      </c>
      <c r="J9" s="95" t="s">
        <v>1120</v>
      </c>
      <c r="K9" s="96"/>
      <c r="L9" s="96"/>
      <c r="M9" s="96"/>
    </row>
    <row r="10" spans="1:27" ht="216">
      <c r="A10" s="119" t="s">
        <v>76</v>
      </c>
      <c r="B10" s="119"/>
      <c r="C10" s="119"/>
      <c r="D10" s="119"/>
      <c r="E10" s="95" t="s">
        <v>1121</v>
      </c>
      <c r="F10" s="95" t="s">
        <v>1122</v>
      </c>
      <c r="G10" s="95" t="s">
        <v>1123</v>
      </c>
      <c r="H10" s="95" t="s">
        <v>1124</v>
      </c>
      <c r="I10" s="95" t="s">
        <v>1125</v>
      </c>
      <c r="J10" s="95" t="s">
        <v>1126</v>
      </c>
      <c r="K10" s="96"/>
      <c r="L10" s="96"/>
      <c r="M10" s="96"/>
    </row>
    <row r="11" spans="1:27" ht="120">
      <c r="A11" s="284" t="s">
        <v>86</v>
      </c>
      <c r="B11" s="284"/>
      <c r="C11" s="284"/>
      <c r="D11" s="284"/>
      <c r="E11" s="95"/>
      <c r="F11" s="95" t="s">
        <v>1127</v>
      </c>
      <c r="G11" s="95" t="s">
        <v>1128</v>
      </c>
      <c r="H11" s="95" t="s">
        <v>1129</v>
      </c>
      <c r="I11" s="95" t="s">
        <v>1130</v>
      </c>
      <c r="J11" s="95" t="s">
        <v>1131</v>
      </c>
      <c r="K11" s="96"/>
      <c r="L11" s="96"/>
      <c r="M11" s="96"/>
    </row>
    <row r="12" spans="1:27" ht="36">
      <c r="F12" s="285" t="s">
        <v>1132</v>
      </c>
      <c r="G12" s="286"/>
      <c r="H12" s="285" t="s">
        <v>1133</v>
      </c>
      <c r="I12" s="286"/>
      <c r="J12" s="285" t="s">
        <v>1134</v>
      </c>
      <c r="K12" s="285"/>
      <c r="L12" s="285"/>
      <c r="M12" s="285"/>
    </row>
    <row r="13" spans="1:27" ht="36">
      <c r="F13" s="285" t="s">
        <v>1135</v>
      </c>
      <c r="G13" s="286"/>
      <c r="H13" s="286"/>
      <c r="I13" s="286"/>
      <c r="J13" s="286"/>
      <c r="K13" s="286"/>
      <c r="L13" s="286"/>
      <c r="M13" s="286"/>
    </row>
    <row r="15" spans="1:27" customFormat="1">
      <c r="A15" t="s">
        <v>96</v>
      </c>
      <c r="B15" t="s">
        <v>97</v>
      </c>
      <c r="C15" t="s">
        <v>98</v>
      </c>
      <c r="D15" s="309" t="s">
        <v>99</v>
      </c>
      <c r="E15" s="14" t="s">
        <v>1097</v>
      </c>
      <c r="F15" s="14" t="s">
        <v>1098</v>
      </c>
      <c r="G15" s="14" t="s">
        <v>1099</v>
      </c>
      <c r="H15" s="14" t="s">
        <v>1100</v>
      </c>
      <c r="I15" s="14" t="s">
        <v>1101</v>
      </c>
      <c r="J15" s="14" t="s">
        <v>1102</v>
      </c>
    </row>
    <row r="16" spans="1:27">
      <c r="A16" t="s">
        <v>100</v>
      </c>
      <c r="B16" s="15" t="s">
        <v>97</v>
      </c>
      <c r="C16"/>
      <c r="D16"/>
      <c r="E16" t="s">
        <v>101</v>
      </c>
      <c r="F16"/>
      <c r="G16" t="s">
        <v>101</v>
      </c>
      <c r="H16" t="s">
        <v>101</v>
      </c>
      <c r="I16"/>
      <c r="J16" t="s">
        <v>101</v>
      </c>
      <c r="K16"/>
      <c r="L16"/>
      <c r="M16"/>
      <c r="N16"/>
      <c r="O16"/>
      <c r="P16"/>
      <c r="Q16"/>
      <c r="R16"/>
      <c r="S16"/>
      <c r="T16"/>
      <c r="U16"/>
      <c r="V16"/>
      <c r="W16"/>
      <c r="X16"/>
      <c r="Y16"/>
      <c r="Z16"/>
      <c r="AA16"/>
    </row>
    <row r="17" spans="1:27">
      <c r="A17" t="s">
        <v>100</v>
      </c>
      <c r="B17" s="15" t="s">
        <v>97</v>
      </c>
      <c r="C17" s="15" t="str">
        <f>HYPERLINK("02-项目级\P3-主从数据库复制及性能提升项目\01-生存周期\03-项目策划\03-项目计划书 (QCUBIC-XNTS-PLAN-Plan)V1.1-engl.docx", "engl")</f>
        <v>engl</v>
      </c>
      <c r="D17"/>
      <c r="E17" t="s">
        <v>101</v>
      </c>
      <c r="F17" t="s">
        <v>101</v>
      </c>
      <c r="G17"/>
      <c r="H17"/>
      <c r="I17"/>
      <c r="J17"/>
      <c r="K17"/>
      <c r="L17"/>
      <c r="M17"/>
      <c r="N17"/>
      <c r="O17"/>
      <c r="P17"/>
      <c r="Q17"/>
      <c r="R17"/>
      <c r="S17"/>
      <c r="T17"/>
      <c r="U17"/>
      <c r="V17"/>
      <c r="W17"/>
      <c r="X17"/>
      <c r="Y17"/>
      <c r="Z17"/>
      <c r="AA17"/>
    </row>
    <row r="18" spans="1:27">
      <c r="A18" t="s">
        <v>100</v>
      </c>
      <c r="B18" s="15" t="s">
        <v>97</v>
      </c>
      <c r="C18" s="15" t="str">
        <f>HYPERLINK("02-项目级\P1-Qcubic数据库管理工具 V1.0\01-生存周期\03-项目策划\03-项目计划书 (QCUBIC-SJKGL-PLAN-Plan)V1.1-engl.docx", "engl")</f>
        <v>engl</v>
      </c>
      <c r="D18"/>
      <c r="E18" t="s">
        <v>101</v>
      </c>
      <c r="F18" t="s">
        <v>101</v>
      </c>
      <c r="G18"/>
      <c r="H18"/>
      <c r="I18"/>
      <c r="J18"/>
      <c r="K18"/>
      <c r="L18"/>
      <c r="M18"/>
      <c r="N18"/>
      <c r="O18"/>
      <c r="P18"/>
      <c r="Q18"/>
      <c r="R18"/>
      <c r="S18"/>
      <c r="T18"/>
      <c r="U18"/>
      <c r="V18"/>
      <c r="W18"/>
      <c r="X18"/>
      <c r="Y18"/>
      <c r="Z18"/>
      <c r="AA18"/>
    </row>
    <row r="19" spans="1:27">
      <c r="A19" t="s">
        <v>100</v>
      </c>
      <c r="B19" s="15" t="s">
        <v>97</v>
      </c>
      <c r="C19" s="15" t="str">
        <f>HYPERLINK("02-项目级\P2-Qcubic to MySQL数据同步工具 V1.0\01-生存周期\03-项目策划\03-项目计划书 (QCUBIC-SJTB-PLAN-Plan)V1.0-engl.docx", "engl")</f>
        <v>engl</v>
      </c>
      <c r="D19"/>
      <c r="E19" t="s">
        <v>101</v>
      </c>
      <c r="F19" t="s">
        <v>101</v>
      </c>
      <c r="G19"/>
      <c r="H19"/>
      <c r="I19"/>
      <c r="J19"/>
      <c r="K19"/>
      <c r="L19"/>
      <c r="M19"/>
      <c r="N19"/>
      <c r="O19"/>
      <c r="P19"/>
      <c r="Q19"/>
      <c r="R19"/>
      <c r="S19"/>
      <c r="T19"/>
      <c r="U19"/>
      <c r="V19"/>
      <c r="W19"/>
      <c r="X19"/>
      <c r="Y19"/>
      <c r="Z19"/>
      <c r="AA19"/>
    </row>
    <row r="20" spans="1:27">
      <c r="A20" t="s">
        <v>100</v>
      </c>
      <c r="B20" s="15" t="s">
        <v>97</v>
      </c>
      <c r="C20" s="15" t="str">
        <f>HYPERLINK("01-组织级\02-组织工作库\02-EPG活动库\03-过程改进计划\过程改进计划(QCUBIC-SPI-PIM-PIPlan)V1.2-engl.docx", "engl")</f>
        <v>engl</v>
      </c>
      <c r="D20"/>
      <c r="E20"/>
      <c r="F20" t="s">
        <v>101</v>
      </c>
      <c r="G20"/>
      <c r="H20"/>
      <c r="I20"/>
      <c r="J20"/>
      <c r="K20"/>
      <c r="L20"/>
      <c r="M20"/>
      <c r="N20"/>
      <c r="O20"/>
      <c r="P20"/>
      <c r="Q20"/>
      <c r="R20"/>
      <c r="S20"/>
      <c r="T20"/>
      <c r="U20"/>
      <c r="V20"/>
      <c r="W20"/>
      <c r="X20"/>
      <c r="Y20"/>
      <c r="Z20"/>
      <c r="AA20"/>
    </row>
    <row r="21" spans="1:27">
      <c r="A21" t="s">
        <v>100</v>
      </c>
      <c r="B21" s="15" t="s">
        <v>97</v>
      </c>
      <c r="C21" s="15" t="str">
        <f>HYPERLINK("01-组织级\02-组织工作库\03-PQA活动库\组织级不符合项管理表(QCUBIC-SPI-PQA-NCList)V1.2-engl.xlsx", "engl")</f>
        <v>engl</v>
      </c>
      <c r="D21"/>
      <c r="E21"/>
      <c r="F21"/>
      <c r="G21" t="s">
        <v>101</v>
      </c>
      <c r="H21"/>
      <c r="I21" t="s">
        <v>101</v>
      </c>
      <c r="J21"/>
      <c r="K21"/>
      <c r="L21"/>
      <c r="M21"/>
      <c r="N21"/>
      <c r="O21"/>
      <c r="P21"/>
      <c r="Q21"/>
      <c r="R21"/>
      <c r="S21"/>
      <c r="T21"/>
      <c r="U21"/>
      <c r="V21"/>
      <c r="W21"/>
      <c r="X21"/>
      <c r="Y21"/>
      <c r="Z21"/>
      <c r="AA21"/>
    </row>
    <row r="22" spans="1:27">
      <c r="A22" t="s">
        <v>100</v>
      </c>
      <c r="B22" s="15" t="s">
        <v>97</v>
      </c>
      <c r="C22" s="15" t="str">
        <f>HYPERLINK("01-组织级\02-组织工作库\06-度量\组织度量表(QCUBIC-SPI-MPM-Tem-datasheet)V1.3-engl.xlsx", "engl")</f>
        <v>engl</v>
      </c>
      <c r="D22"/>
      <c r="E22"/>
      <c r="F22"/>
      <c r="G22"/>
      <c r="H22"/>
      <c r="I22" t="s">
        <v>101</v>
      </c>
      <c r="J22"/>
      <c r="K22"/>
      <c r="L22"/>
      <c r="M22"/>
      <c r="N22"/>
      <c r="O22"/>
      <c r="P22"/>
      <c r="Q22"/>
      <c r="R22"/>
      <c r="S22"/>
      <c r="T22"/>
      <c r="U22"/>
      <c r="V22"/>
      <c r="W22"/>
      <c r="X22"/>
      <c r="Y22"/>
      <c r="Z22"/>
      <c r="AA22"/>
    </row>
    <row r="23" spans="1:27">
      <c r="A23" t="s">
        <v>100</v>
      </c>
      <c r="B23" s="15" t="s">
        <v>97</v>
      </c>
      <c r="C23" s="15" t="str">
        <f>HYPERLINK("01-组织级\02-组织工作库\02-EPG活动库\过程改进总结报告-engl.pptx", "engl")</f>
        <v>engl</v>
      </c>
      <c r="D23"/>
      <c r="E23"/>
      <c r="F23"/>
      <c r="G23"/>
      <c r="H23"/>
      <c r="I23" t="s">
        <v>101</v>
      </c>
      <c r="J23"/>
      <c r="K23"/>
      <c r="L23"/>
      <c r="M23"/>
      <c r="N23"/>
      <c r="O23"/>
      <c r="P23"/>
      <c r="Q23"/>
      <c r="R23"/>
      <c r="S23"/>
      <c r="T23"/>
      <c r="U23"/>
      <c r="V23"/>
      <c r="W23"/>
      <c r="X23"/>
      <c r="Y23"/>
      <c r="Z23"/>
      <c r="AA23"/>
    </row>
    <row r="24" spans="1:27">
      <c r="A24" t="s">
        <v>100</v>
      </c>
      <c r="B24" s="15" t="s">
        <v>97</v>
      </c>
      <c r="C24" s="15" t="str">
        <f>HYPERLINK("01-组织级\02-组织工作库\02-EPG活动库\07-EPG跟踪\05-过程改进建议表\过程改进建议表(QCUBIC-SPI-PIM-SPIAdvic)V1.2-engl.xlsx", "engl")</f>
        <v>engl</v>
      </c>
      <c r="D24"/>
      <c r="E24"/>
      <c r="F24"/>
      <c r="G24"/>
      <c r="H24"/>
      <c r="I24"/>
      <c r="J24" t="s">
        <v>101</v>
      </c>
      <c r="K24"/>
      <c r="L24"/>
      <c r="M24"/>
      <c r="N24"/>
      <c r="O24"/>
      <c r="P24"/>
      <c r="Q24"/>
      <c r="R24"/>
      <c r="S24"/>
      <c r="T24"/>
      <c r="U24"/>
      <c r="V24"/>
      <c r="W24"/>
      <c r="X24"/>
      <c r="Y24"/>
      <c r="Z24"/>
      <c r="AA24"/>
    </row>
    <row r="25" spans="1:27">
      <c r="A25"/>
      <c r="B25"/>
      <c r="C25"/>
      <c r="D25"/>
      <c r="E25"/>
      <c r="F25"/>
      <c r="G25"/>
      <c r="H25"/>
      <c r="I25"/>
      <c r="J25"/>
      <c r="K25"/>
      <c r="L25"/>
      <c r="M25"/>
      <c r="N25"/>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33CCF2F7-BF0B-46CA-983C-B6516D32FCB6}"/>
    <hyperlink ref="B17" r:id="rId2" xr:uid="{CC3397DA-E2EC-4AC3-BC12-CCC41F28AD5C}"/>
    <hyperlink ref="B18" r:id="rId3" xr:uid="{CB7C0748-BF19-40C3-A784-91144794FF8F}"/>
    <hyperlink ref="B19" r:id="rId4" xr:uid="{966A389F-06A5-4DE5-9933-9B7A3797DC8F}"/>
    <hyperlink ref="B20" r:id="rId5" xr:uid="{778000F6-5AB6-4DB4-98C7-9439E780A79A}"/>
    <hyperlink ref="B21" r:id="rId6" xr:uid="{EB3FA398-C607-454F-910F-A15BD006A967}"/>
    <hyperlink ref="B22" r:id="rId7" xr:uid="{2E5FCC7A-AD28-4CAF-B9A6-25006087A744}"/>
    <hyperlink ref="B23" r:id="rId8" xr:uid="{0957568F-3549-4A31-9F37-F7D1315BA6BC}"/>
    <hyperlink ref="B24" r:id="rId9" xr:uid="{18412005-E11F-4642-A59D-73B1C33A2586}"/>
  </hyperlinks>
  <pageMargins left="0.7" right="0.7" top="0.75" bottom="0.75" header="0.3" footer="0.3"/>
  <pageSetup paperSize="9" orientation="portrait" r:id="rId1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CD2E0-48C0-4B18-AA10-1DE0AE312EDD}">
  <sheetPr codeName="Sheet27">
    <tabColor rgb="FF6B2B88"/>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32.6640625" style="120" customWidth="1"/>
    <col min="2" max="4" width="7.88671875" style="120" customWidth="1"/>
    <col min="5" max="6" width="27.6640625" style="120" customWidth="1"/>
    <col min="7" max="12" width="27.6640625" style="105" customWidth="1"/>
    <col min="13" max="13" width="17.44140625" style="105" customWidth="1"/>
    <col min="14" max="14" width="3.6640625" style="105" customWidth="1"/>
    <col min="15" max="15" width="34.88671875" style="105" bestFit="1" customWidth="1"/>
    <col min="16" max="16" width="98.109375" style="104" customWidth="1"/>
    <col min="17" max="17" width="18.6640625" style="120" customWidth="1"/>
    <col min="18" max="16384" width="8.6640625" style="120"/>
  </cols>
  <sheetData>
    <row r="1" spans="1:27" s="104" customFormat="1" ht="18">
      <c r="A1" s="102" t="s">
        <v>1136</v>
      </c>
      <c r="B1" s="102"/>
      <c r="C1" s="102"/>
      <c r="D1" s="102"/>
      <c r="E1" s="103"/>
      <c r="G1" s="105"/>
      <c r="H1" s="105"/>
      <c r="I1" s="105"/>
      <c r="J1" s="105"/>
      <c r="K1" s="105"/>
      <c r="L1" s="105"/>
      <c r="M1" s="105"/>
      <c r="N1" s="105"/>
      <c r="O1" s="105"/>
    </row>
    <row r="2" spans="1:27" s="104" customFormat="1">
      <c r="A2" s="107" t="s">
        <v>1137</v>
      </c>
      <c r="B2" s="107"/>
      <c r="C2" s="107"/>
      <c r="D2" s="107"/>
      <c r="E2" s="104" t="s">
        <v>1138</v>
      </c>
      <c r="G2" s="105"/>
      <c r="H2" s="105"/>
      <c r="I2" s="105"/>
      <c r="J2" s="105"/>
      <c r="K2" s="105"/>
      <c r="L2" s="105"/>
      <c r="M2" s="105"/>
      <c r="N2" s="105"/>
      <c r="O2" s="105"/>
    </row>
    <row r="3" spans="1:27" s="104" customFormat="1">
      <c r="A3" s="104" t="s">
        <v>1139</v>
      </c>
      <c r="E3" s="104" t="s">
        <v>1140</v>
      </c>
      <c r="G3" s="105"/>
      <c r="H3" s="105"/>
      <c r="I3" s="105"/>
      <c r="J3" s="105"/>
      <c r="K3" s="105"/>
      <c r="L3" s="105"/>
      <c r="M3" s="105"/>
      <c r="N3" s="105"/>
      <c r="O3" s="105"/>
    </row>
    <row r="4" spans="1:27" s="104" customFormat="1" ht="14.4">
      <c r="A4" s="108"/>
      <c r="B4" s="108"/>
      <c r="C4" s="108"/>
      <c r="D4" s="108"/>
      <c r="E4" s="109" t="s">
        <v>27</v>
      </c>
      <c r="F4" s="110" t="s">
        <v>28</v>
      </c>
      <c r="G4" s="110"/>
      <c r="H4" s="111"/>
      <c r="I4" s="110"/>
      <c r="J4" s="113" t="s">
        <v>29</v>
      </c>
      <c r="K4" s="147"/>
      <c r="L4" s="170" t="s">
        <v>371</v>
      </c>
      <c r="M4" s="114"/>
      <c r="N4" s="114"/>
      <c r="O4" s="114"/>
      <c r="R4" s="107"/>
      <c r="S4" s="114"/>
      <c r="T4" s="114"/>
    </row>
    <row r="5" spans="1:27" s="104" customFormat="1" ht="14.4">
      <c r="A5" s="115"/>
      <c r="B5" s="115"/>
      <c r="C5" s="115"/>
      <c r="D5" s="115"/>
      <c r="E5" s="116" t="s">
        <v>30</v>
      </c>
      <c r="F5" s="117" t="s">
        <v>31</v>
      </c>
      <c r="G5" s="117"/>
      <c r="H5" s="111"/>
      <c r="I5" s="117"/>
      <c r="J5" s="113" t="s">
        <v>32</v>
      </c>
      <c r="K5" s="147"/>
      <c r="L5" s="171" t="s">
        <v>372</v>
      </c>
      <c r="M5" s="115"/>
      <c r="N5" s="115"/>
      <c r="O5" s="115"/>
      <c r="R5" s="107"/>
      <c r="S5" s="115"/>
      <c r="T5" s="114"/>
    </row>
    <row r="6" spans="1:27" s="104" customFormat="1">
      <c r="A6" s="281"/>
      <c r="B6" s="281"/>
      <c r="C6" s="281"/>
      <c r="D6" s="281"/>
      <c r="E6" s="3" t="s">
        <v>1141</v>
      </c>
      <c r="F6" s="87" t="s">
        <v>1142</v>
      </c>
      <c r="G6" s="87" t="s">
        <v>1143</v>
      </c>
      <c r="H6" s="87" t="s">
        <v>1144</v>
      </c>
      <c r="I6" s="87" t="s">
        <v>1145</v>
      </c>
      <c r="J6" s="88" t="s">
        <v>1146</v>
      </c>
      <c r="K6" s="88" t="s">
        <v>1147</v>
      </c>
      <c r="L6" s="173" t="s">
        <v>1148</v>
      </c>
      <c r="M6" s="90"/>
      <c r="N6" s="90"/>
      <c r="O6" s="90"/>
      <c r="Q6" s="120"/>
    </row>
    <row r="7" spans="1:27" s="104" customFormat="1" ht="118.35" customHeight="1">
      <c r="A7" s="282" t="s">
        <v>174</v>
      </c>
      <c r="B7" s="282"/>
      <c r="C7" s="282"/>
      <c r="D7" s="282"/>
      <c r="E7" s="94" t="s">
        <v>1149</v>
      </c>
      <c r="F7" s="94" t="s">
        <v>1150</v>
      </c>
      <c r="G7" s="94" t="s">
        <v>1151</v>
      </c>
      <c r="H7" s="94" t="s">
        <v>1152</v>
      </c>
      <c r="I7" s="94" t="s">
        <v>1153</v>
      </c>
      <c r="J7" s="94" t="s">
        <v>1154</v>
      </c>
      <c r="K7" s="94" t="s">
        <v>1155</v>
      </c>
      <c r="L7" s="94" t="s">
        <v>1156</v>
      </c>
      <c r="M7" s="90"/>
      <c r="N7" s="90"/>
      <c r="O7" s="90"/>
    </row>
    <row r="8" spans="1:27" s="104" customFormat="1" ht="96.6">
      <c r="A8" s="281" t="s">
        <v>54</v>
      </c>
      <c r="B8" s="281"/>
      <c r="C8" s="281"/>
      <c r="D8" s="281"/>
      <c r="E8" s="99" t="s">
        <v>1157</v>
      </c>
      <c r="F8" s="99" t="s">
        <v>1158</v>
      </c>
      <c r="G8" s="99" t="s">
        <v>1159</v>
      </c>
      <c r="H8" s="99" t="s">
        <v>1160</v>
      </c>
      <c r="I8" s="99" t="s">
        <v>1161</v>
      </c>
      <c r="J8" s="99" t="s">
        <v>1162</v>
      </c>
      <c r="K8" s="100" t="s">
        <v>1163</v>
      </c>
      <c r="L8" s="122" t="s">
        <v>1164</v>
      </c>
      <c r="M8" s="124"/>
      <c r="N8" s="124"/>
      <c r="O8" s="124"/>
    </row>
    <row r="9" spans="1:27" s="104" customFormat="1" ht="192">
      <c r="A9" s="281" t="s">
        <v>65</v>
      </c>
      <c r="B9" s="281"/>
      <c r="C9" s="281"/>
      <c r="D9" s="281"/>
      <c r="E9" s="95" t="s">
        <v>1165</v>
      </c>
      <c r="F9" s="95" t="s">
        <v>1166</v>
      </c>
      <c r="G9" s="95" t="s">
        <v>1167</v>
      </c>
      <c r="H9" s="95" t="s">
        <v>1168</v>
      </c>
      <c r="I9" s="95" t="s">
        <v>1169</v>
      </c>
      <c r="J9" s="95" t="s">
        <v>1170</v>
      </c>
      <c r="K9" s="95" t="s">
        <v>1171</v>
      </c>
      <c r="L9" s="95" t="s">
        <v>1172</v>
      </c>
      <c r="M9" s="96"/>
      <c r="N9" s="96"/>
      <c r="O9" s="96"/>
    </row>
    <row r="10" spans="1:27" s="104" customFormat="1" ht="303.60000000000002">
      <c r="A10" s="119" t="s">
        <v>76</v>
      </c>
      <c r="B10" s="168"/>
      <c r="C10" s="168"/>
      <c r="D10" s="168"/>
      <c r="E10" s="287" t="s">
        <v>1173</v>
      </c>
      <c r="F10" s="287" t="s">
        <v>1174</v>
      </c>
      <c r="G10" s="287" t="s">
        <v>1175</v>
      </c>
      <c r="H10" s="288" t="s">
        <v>1176</v>
      </c>
      <c r="I10" s="287" t="s">
        <v>1177</v>
      </c>
      <c r="J10" s="288" t="s">
        <v>1178</v>
      </c>
      <c r="K10" s="288" t="s">
        <v>1179</v>
      </c>
      <c r="L10" s="289" t="s">
        <v>1180</v>
      </c>
      <c r="M10" s="290"/>
      <c r="N10" s="290"/>
      <c r="O10" s="291"/>
    </row>
    <row r="11" spans="1:27" s="104" customFormat="1" ht="303.60000000000002">
      <c r="A11" s="284" t="s">
        <v>86</v>
      </c>
      <c r="B11" s="284"/>
      <c r="C11" s="284"/>
      <c r="D11" s="284"/>
      <c r="E11" s="99" t="s">
        <v>1181</v>
      </c>
      <c r="F11" s="289" t="s">
        <v>1182</v>
      </c>
      <c r="G11" s="289" t="s">
        <v>1183</v>
      </c>
      <c r="H11" s="289" t="s">
        <v>1184</v>
      </c>
      <c r="I11" s="289" t="s">
        <v>1185</v>
      </c>
      <c r="J11" s="289" t="s">
        <v>1186</v>
      </c>
      <c r="K11" s="289" t="s">
        <v>1187</v>
      </c>
      <c r="L11" s="289" t="s">
        <v>1188</v>
      </c>
      <c r="M11" s="290"/>
      <c r="N11" s="290"/>
      <c r="O11" s="291"/>
      <c r="P11" s="105"/>
      <c r="Q11" s="105"/>
    </row>
    <row r="12" spans="1:27" s="114" customFormat="1" ht="14.4">
      <c r="A12" s="120"/>
      <c r="B12" s="120"/>
      <c r="C12" s="120"/>
      <c r="D12" s="120"/>
      <c r="E12" s="120"/>
      <c r="F12" s="120"/>
      <c r="G12" s="105"/>
      <c r="H12" s="105"/>
      <c r="I12" s="105"/>
      <c r="J12" s="105"/>
      <c r="K12" s="105"/>
      <c r="L12" s="105"/>
      <c r="M12" s="105"/>
      <c r="N12" s="105"/>
      <c r="O12" s="105"/>
      <c r="P12" s="104"/>
      <c r="Q12" s="120"/>
    </row>
    <row r="13" spans="1:27" s="114" customFormat="1" ht="14.4">
      <c r="A13" s="120"/>
      <c r="B13" s="120"/>
      <c r="C13" s="120"/>
      <c r="D13" s="120"/>
      <c r="E13" s="120"/>
      <c r="F13" s="120"/>
      <c r="G13" s="105"/>
      <c r="H13" s="105"/>
      <c r="I13" s="105"/>
      <c r="J13" s="105"/>
      <c r="K13" s="105"/>
      <c r="L13" s="105"/>
      <c r="M13" s="105"/>
      <c r="N13" s="105"/>
      <c r="O13" s="105"/>
      <c r="P13" s="104"/>
      <c r="Q13" s="120"/>
    </row>
    <row r="14" spans="1:27" s="114" customFormat="1" ht="14.4">
      <c r="A14" s="120"/>
      <c r="B14" s="120"/>
      <c r="C14" s="120"/>
      <c r="D14" s="120"/>
      <c r="E14" s="120"/>
      <c r="F14" s="120"/>
      <c r="G14" s="105"/>
      <c r="H14" s="105"/>
      <c r="I14" s="105"/>
      <c r="J14" s="105"/>
      <c r="K14" s="105"/>
      <c r="L14" s="105"/>
      <c r="M14" s="105"/>
      <c r="N14" s="105"/>
      <c r="O14" s="105"/>
      <c r="P14" s="104"/>
      <c r="Q14" s="120"/>
    </row>
    <row r="15" spans="1:27" customFormat="1" ht="14.4">
      <c r="A15" t="s">
        <v>96</v>
      </c>
      <c r="B15" t="s">
        <v>97</v>
      </c>
      <c r="C15" t="s">
        <v>98</v>
      </c>
      <c r="D15" s="309" t="s">
        <v>99</v>
      </c>
      <c r="E15" s="14" t="s">
        <v>1141</v>
      </c>
      <c r="F15" s="14" t="s">
        <v>1142</v>
      </c>
      <c r="G15" s="14" t="s">
        <v>1143</v>
      </c>
      <c r="H15" s="14" t="s">
        <v>1144</v>
      </c>
      <c r="I15" s="14" t="s">
        <v>1145</v>
      </c>
      <c r="J15" s="14" t="s">
        <v>1146</v>
      </c>
      <c r="K15" s="14" t="s">
        <v>1147</v>
      </c>
      <c r="L15" s="14" t="s">
        <v>1148</v>
      </c>
      <c r="M15" s="14"/>
    </row>
    <row r="16" spans="1:27" s="114" customFormat="1" ht="14.4">
      <c r="A16" t="s">
        <v>100</v>
      </c>
      <c r="B16" s="15" t="s">
        <v>97</v>
      </c>
      <c r="C16" s="15" t="str">
        <f>HYPERLINK("01-组织级\01-组织财富库\01-标准过程文件库\04-组织过程类\02-过程资产管理\组织方针 (QCUBIC-SPI-OPAL-Ply-Doc)V1.2-engl.docx", "engl")</f>
        <v>engl</v>
      </c>
      <c r="D16"/>
      <c r="E16" t="s">
        <v>101</v>
      </c>
      <c r="F16" t="s">
        <v>101</v>
      </c>
      <c r="G16"/>
      <c r="H16"/>
      <c r="I16"/>
      <c r="J16"/>
      <c r="K16"/>
      <c r="L16"/>
      <c r="M16"/>
      <c r="N16"/>
      <c r="O16"/>
      <c r="P16"/>
      <c r="Q16"/>
      <c r="R16"/>
      <c r="S16"/>
      <c r="T16"/>
      <c r="U16"/>
      <c r="V16"/>
      <c r="W16"/>
      <c r="X16"/>
      <c r="Y16"/>
      <c r="Z16"/>
      <c r="AA16"/>
    </row>
    <row r="17" spans="1:27" s="114" customFormat="1" ht="14.4">
      <c r="A17" t="s">
        <v>100</v>
      </c>
      <c r="B17" s="15" t="s">
        <v>97</v>
      </c>
      <c r="C17" s="15" t="str">
        <f>HYPERLINK("01-组织级\02-组织工作库\02-EPG活动库\03-过程改进计划\过程改进计划(QCUBIC-SPI-PIM-PIPlan)V1.2-engl.docx", "engl")</f>
        <v>engl</v>
      </c>
      <c r="D17"/>
      <c r="E17"/>
      <c r="F17"/>
      <c r="G17" t="s">
        <v>101</v>
      </c>
      <c r="H17"/>
      <c r="I17"/>
      <c r="J17"/>
      <c r="K17"/>
      <c r="L17"/>
      <c r="M17"/>
      <c r="N17"/>
      <c r="O17"/>
      <c r="P17"/>
      <c r="Q17"/>
      <c r="R17"/>
      <c r="S17"/>
      <c r="T17"/>
      <c r="U17"/>
      <c r="V17"/>
      <c r="W17"/>
      <c r="X17"/>
      <c r="Y17"/>
      <c r="Z17"/>
      <c r="AA17"/>
    </row>
    <row r="18" spans="1:27" s="114" customFormat="1" ht="14.4">
      <c r="A18" t="s">
        <v>100</v>
      </c>
      <c r="B18" s="15" t="s">
        <v>97</v>
      </c>
      <c r="C18" s="15" t="str">
        <f>HYPERLINK("01-组织级\02-组织工作库\05-OT培训库\01_公司级培训\03_2022年培训计划\02_年度培训计划\2022培训课程表(ORG_OT_TraininCNSchedule)V1.0-engl.xlsx", "engl")</f>
        <v>engl</v>
      </c>
      <c r="D18"/>
      <c r="E18"/>
      <c r="F18"/>
      <c r="G18" t="s">
        <v>101</v>
      </c>
      <c r="H18"/>
      <c r="I18"/>
      <c r="J18"/>
      <c r="K18"/>
      <c r="L18"/>
      <c r="M18"/>
      <c r="N18"/>
      <c r="O18"/>
      <c r="P18"/>
      <c r="Q18"/>
      <c r="R18"/>
      <c r="S18"/>
      <c r="T18"/>
      <c r="U18"/>
      <c r="V18"/>
      <c r="W18"/>
      <c r="X18"/>
      <c r="Y18"/>
      <c r="Z18"/>
      <c r="AA18"/>
    </row>
    <row r="19" spans="1:27" s="114" customFormat="1" ht="14.4">
      <c r="A19" t="s">
        <v>100</v>
      </c>
      <c r="B19" s="15" t="s">
        <v>97</v>
      </c>
      <c r="C19"/>
      <c r="D19"/>
      <c r="E19"/>
      <c r="F19"/>
      <c r="G19" t="s">
        <v>101</v>
      </c>
      <c r="H19"/>
      <c r="I19"/>
      <c r="J19"/>
      <c r="K19"/>
      <c r="L19"/>
      <c r="M19"/>
      <c r="N19"/>
      <c r="O19"/>
      <c r="P19"/>
      <c r="Q19"/>
      <c r="R19"/>
      <c r="S19"/>
      <c r="T19"/>
      <c r="U19"/>
      <c r="V19"/>
      <c r="W19"/>
      <c r="X19"/>
      <c r="Y19"/>
      <c r="Z19"/>
      <c r="AA19"/>
    </row>
    <row r="20" spans="1:27" s="114" customFormat="1" ht="14.4">
      <c r="A20" t="s">
        <v>100</v>
      </c>
      <c r="B20" s="15" t="s">
        <v>97</v>
      </c>
      <c r="C20"/>
      <c r="D20"/>
      <c r="E20"/>
      <c r="F20"/>
      <c r="G20" t="s">
        <v>101</v>
      </c>
      <c r="H20"/>
      <c r="I20"/>
      <c r="J20"/>
      <c r="K20"/>
      <c r="L20"/>
      <c r="M20"/>
      <c r="N20"/>
      <c r="O20"/>
      <c r="P20"/>
      <c r="Q20"/>
      <c r="R20"/>
      <c r="S20"/>
      <c r="T20"/>
      <c r="U20"/>
      <c r="V20"/>
      <c r="W20"/>
      <c r="X20"/>
      <c r="Y20"/>
      <c r="Z20"/>
      <c r="AA20"/>
    </row>
    <row r="21" spans="1:27" s="114" customFormat="1" ht="14.4">
      <c r="A21" t="s">
        <v>100</v>
      </c>
      <c r="B21" s="15" t="s">
        <v>97</v>
      </c>
      <c r="C21"/>
      <c r="D21"/>
      <c r="E21"/>
      <c r="F21"/>
      <c r="G21"/>
      <c r="H21" t="s">
        <v>101</v>
      </c>
      <c r="I21" t="s">
        <v>101</v>
      </c>
      <c r="J21"/>
      <c r="K21"/>
      <c r="L21"/>
      <c r="M21"/>
      <c r="N21"/>
      <c r="O21"/>
      <c r="P21"/>
      <c r="Q21"/>
      <c r="R21"/>
      <c r="S21"/>
      <c r="T21"/>
      <c r="U21"/>
      <c r="V21"/>
      <c r="W21"/>
      <c r="X21"/>
      <c r="Y21"/>
      <c r="Z21"/>
      <c r="AA21"/>
    </row>
    <row r="22" spans="1:27" s="114" customFormat="1" ht="14.4">
      <c r="A22" t="s">
        <v>100</v>
      </c>
      <c r="B22" s="15" t="s">
        <v>97</v>
      </c>
      <c r="C22" s="15" t="str">
        <f>HYPERLINK("01-组织级\02-组织工作库\02-EPG活动库\过程改进总结报告-engl.pptx", "engl")</f>
        <v>engl</v>
      </c>
      <c r="D22"/>
      <c r="E22"/>
      <c r="F22"/>
      <c r="G22"/>
      <c r="H22" t="s">
        <v>101</v>
      </c>
      <c r="I22" t="s">
        <v>101</v>
      </c>
      <c r="J22"/>
      <c r="K22" t="s">
        <v>101</v>
      </c>
      <c r="L22"/>
      <c r="M22"/>
      <c r="N22"/>
      <c r="O22"/>
      <c r="P22"/>
      <c r="Q22"/>
      <c r="R22"/>
      <c r="S22"/>
      <c r="T22"/>
      <c r="U22"/>
      <c r="V22"/>
      <c r="W22"/>
      <c r="X22"/>
      <c r="Y22"/>
      <c r="Z22"/>
      <c r="AA22"/>
    </row>
    <row r="23" spans="1:27" s="114" customFormat="1" ht="14.4">
      <c r="A23" t="s">
        <v>100</v>
      </c>
      <c r="B23" s="15" t="s">
        <v>97</v>
      </c>
      <c r="C23" s="15" t="str">
        <f>HYPERLINK("01-组织级\02-组织工作库\02-EPG活动库\07-EPG跟踪\06-过程改进里程碑\过程改进里程碑报告(ORG_PCM_Milestone_20220628)V1.0-engl.docx", "engl")</f>
        <v>engl</v>
      </c>
      <c r="D23"/>
      <c r="E23"/>
      <c r="F23"/>
      <c r="G23"/>
      <c r="H23" t="s">
        <v>101</v>
      </c>
      <c r="I23" t="s">
        <v>101</v>
      </c>
      <c r="J23"/>
      <c r="K23"/>
      <c r="L23"/>
      <c r="M23"/>
      <c r="N23"/>
      <c r="O23"/>
      <c r="P23"/>
      <c r="Q23"/>
      <c r="R23"/>
      <c r="S23"/>
      <c r="T23"/>
      <c r="U23"/>
      <c r="V23"/>
      <c r="W23"/>
      <c r="X23"/>
      <c r="Y23"/>
      <c r="Z23"/>
      <c r="AA23"/>
    </row>
    <row r="24" spans="1:27" s="114" customFormat="1" ht="14.4">
      <c r="A24" t="s">
        <v>100</v>
      </c>
      <c r="B24" s="15" t="s">
        <v>97</v>
      </c>
      <c r="C24" s="15" t="str">
        <f>HYPERLINK("01-组织级\02-组织工作库\06-度量\组织度量表(QCUBIC-SPI-MPM-Tem-datasheet)V1.3-engl.xlsx", "engl")</f>
        <v>engl</v>
      </c>
      <c r="D24"/>
      <c r="E24"/>
      <c r="F24"/>
      <c r="G24"/>
      <c r="H24" t="s">
        <v>101</v>
      </c>
      <c r="I24" t="s">
        <v>101</v>
      </c>
      <c r="J24" t="s">
        <v>101</v>
      </c>
      <c r="K24" t="s">
        <v>101</v>
      </c>
      <c r="L24"/>
      <c r="M24"/>
      <c r="N24"/>
      <c r="O24"/>
      <c r="P24"/>
      <c r="Q24"/>
      <c r="R24"/>
      <c r="S24"/>
      <c r="T24"/>
      <c r="U24"/>
      <c r="V24"/>
      <c r="W24"/>
      <c r="X24"/>
      <c r="Y24"/>
      <c r="Z24"/>
      <c r="AA24"/>
    </row>
    <row r="25" spans="1:27" s="114" customFormat="1" ht="14.4">
      <c r="A25" t="s">
        <v>100</v>
      </c>
      <c r="B25" s="15" t="s">
        <v>97</v>
      </c>
      <c r="C25" s="15" t="str">
        <f>HYPERLINK("01-组织级\02-组织工作库\06-度量\组织度量计划(QCUBIC-SPI-MPM-Plan)V1.3-engl.xlsx", "engl")</f>
        <v>engl</v>
      </c>
      <c r="D25"/>
      <c r="E25"/>
      <c r="F25"/>
      <c r="G25"/>
      <c r="H25" t="s">
        <v>101</v>
      </c>
      <c r="I25" t="s">
        <v>101</v>
      </c>
      <c r="J25" t="s">
        <v>101</v>
      </c>
      <c r="K25" t="s">
        <v>101</v>
      </c>
      <c r="L25"/>
      <c r="M25"/>
      <c r="N25"/>
      <c r="O25"/>
      <c r="P25"/>
      <c r="Q25"/>
      <c r="R25"/>
      <c r="S25"/>
      <c r="T25"/>
      <c r="U25"/>
      <c r="V25"/>
      <c r="W25"/>
      <c r="X25"/>
      <c r="Y25"/>
      <c r="Z25"/>
      <c r="AA25"/>
    </row>
    <row r="26" spans="1:27" s="114" customFormat="1" ht="14.4">
      <c r="A26" t="s">
        <v>100</v>
      </c>
      <c r="B26" s="15" t="s">
        <v>97</v>
      </c>
      <c r="C26" s="15" t="str">
        <f>HYPERLINK("01-组织级\02-组织工作库\03-PQA活动库\组织级的质量保证计划(QCUBIC-SPI-PQA-OQAPlan)V1.4-engl.xlsx", "engl")</f>
        <v>engl</v>
      </c>
      <c r="D26"/>
      <c r="E26"/>
      <c r="F26"/>
      <c r="G26"/>
      <c r="H26"/>
      <c r="I26" t="s">
        <v>101</v>
      </c>
      <c r="J26"/>
      <c r="K26"/>
      <c r="L26"/>
      <c r="M26"/>
      <c r="N26"/>
      <c r="O26"/>
      <c r="P26"/>
      <c r="Q26"/>
      <c r="R26"/>
      <c r="S26"/>
      <c r="T26"/>
      <c r="U26"/>
      <c r="V26"/>
      <c r="W26"/>
      <c r="X26"/>
      <c r="Y26"/>
      <c r="Z26"/>
      <c r="AA26"/>
    </row>
    <row r="27" spans="1:27" s="114" customFormat="1" ht="14.4">
      <c r="A27"/>
      <c r="B27"/>
      <c r="C27"/>
      <c r="D27"/>
      <c r="E27"/>
      <c r="F27"/>
      <c r="G27"/>
      <c r="H27"/>
      <c r="I27"/>
      <c r="J27"/>
      <c r="K27"/>
      <c r="L27"/>
      <c r="M27"/>
      <c r="N27"/>
      <c r="O27"/>
      <c r="P27"/>
      <c r="Q27"/>
      <c r="R27"/>
      <c r="S27"/>
      <c r="T27"/>
      <c r="U27"/>
      <c r="V27"/>
      <c r="W27"/>
      <c r="X27"/>
      <c r="Y27"/>
      <c r="Z27"/>
      <c r="AA27"/>
    </row>
    <row r="28" spans="1:27" s="114" customFormat="1" ht="14.4">
      <c r="A28"/>
      <c r="B28"/>
      <c r="C28"/>
      <c r="D28"/>
      <c r="E28"/>
      <c r="F28"/>
      <c r="G28"/>
      <c r="H28"/>
      <c r="I28"/>
      <c r="J28"/>
      <c r="K28"/>
      <c r="L28"/>
      <c r="M28"/>
      <c r="N28"/>
      <c r="O28"/>
      <c r="P28"/>
      <c r="Q28"/>
      <c r="R28"/>
      <c r="S28"/>
      <c r="T28"/>
      <c r="U28"/>
      <c r="V28"/>
      <c r="W28"/>
      <c r="X28"/>
      <c r="Y28"/>
      <c r="Z28"/>
      <c r="AA28"/>
    </row>
    <row r="29" spans="1:27" s="127" customFormat="1" ht="14.4">
      <c r="A29"/>
      <c r="B29"/>
      <c r="C29"/>
      <c r="D29"/>
      <c r="E29"/>
      <c r="F29"/>
      <c r="G29"/>
      <c r="H29"/>
      <c r="I29"/>
      <c r="J29"/>
      <c r="K29"/>
      <c r="L29"/>
      <c r="M29"/>
      <c r="N29"/>
      <c r="O29"/>
      <c r="P29"/>
      <c r="Q29"/>
      <c r="R29"/>
      <c r="S29"/>
      <c r="T29"/>
      <c r="U29"/>
      <c r="V29"/>
      <c r="W29"/>
      <c r="X29"/>
      <c r="Y29"/>
      <c r="Z29"/>
      <c r="AA29"/>
    </row>
    <row r="30" spans="1:27" s="127" customFormat="1" ht="17.100000000000001" customHeight="1">
      <c r="A30"/>
      <c r="B30"/>
      <c r="C30"/>
      <c r="D30"/>
      <c r="E30"/>
      <c r="F30"/>
      <c r="G30"/>
      <c r="H30"/>
      <c r="I30"/>
      <c r="J30"/>
      <c r="K30"/>
      <c r="L30"/>
      <c r="M30"/>
      <c r="N30"/>
      <c r="O30"/>
      <c r="P30"/>
      <c r="Q30"/>
      <c r="R30"/>
      <c r="S30"/>
      <c r="T30"/>
      <c r="U30"/>
      <c r="V30"/>
      <c r="W30"/>
      <c r="X30"/>
      <c r="Y30"/>
      <c r="Z30"/>
      <c r="AA30"/>
    </row>
    <row r="31" spans="1:27" s="104" customFormat="1"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8F376F31-8541-48DD-8CCC-8DA06B9153CC}"/>
    <hyperlink ref="B17" r:id="rId2" xr:uid="{FFF9FEF4-954C-4C4D-9D11-78EB74DBBD55}"/>
    <hyperlink ref="B18" r:id="rId3" xr:uid="{0C752AEF-91FB-4130-BF86-8A02FA905EC0}"/>
    <hyperlink ref="B19" r:id="rId4" xr:uid="{5A1365B3-8676-490F-82F6-6AED781C294C}"/>
    <hyperlink ref="B20" r:id="rId5" xr:uid="{002133FC-E2FC-4BFB-B07D-3BEDD49719FA}"/>
    <hyperlink ref="B21" r:id="rId6" xr:uid="{F0466F7C-E47D-45CC-8C32-0B35D107A100}"/>
    <hyperlink ref="B22" r:id="rId7" xr:uid="{9B81923D-75FB-436B-A311-1C2C3DE1F70B}"/>
    <hyperlink ref="B23" r:id="rId8" xr:uid="{431A566E-5836-41C2-A0E7-09427A265D33}"/>
    <hyperlink ref="B24" r:id="rId9" xr:uid="{27D14FD6-140F-4A79-AC63-ED03C8BB61F3}"/>
    <hyperlink ref="B25" r:id="rId10" xr:uid="{5AE9E6D0-5388-4114-980C-D397F98A12B3}"/>
    <hyperlink ref="B26" r:id="rId11" xr:uid="{F4AAEBAC-1421-427C-A349-DEC4AF8487EC}"/>
  </hyperlinks>
  <pageMargins left="0.7" right="0.7" top="0.75" bottom="0.75" header="0.3" footer="0.3"/>
  <pageSetup orientation="portrait" r:id="rId1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BE207-E445-456B-96C1-A3545A7CE081}">
  <sheetPr codeName="Sheet29">
    <tabColor rgb="FF007DC4"/>
  </sheetPr>
  <dimension ref="A2:ALP1016"/>
  <sheetViews>
    <sheetView topLeftCell="A11" zoomScaleNormal="100" workbookViewId="0">
      <selection activeCell="C16" sqref="C16"/>
    </sheetView>
  </sheetViews>
  <sheetFormatPr defaultColWidth="14.6640625" defaultRowHeight="14.4"/>
  <cols>
    <col min="1" max="1" width="5.6640625" style="68" customWidth="1"/>
    <col min="2" max="3" width="14.6640625" style="68"/>
    <col min="4" max="4" width="6.33203125" style="68" customWidth="1"/>
    <col min="5" max="5" width="6" style="68" customWidth="1"/>
    <col min="6" max="7" width="14.6640625" style="68"/>
    <col min="8" max="8" width="6.44140625" style="68" customWidth="1"/>
    <col min="9" max="9" width="5.6640625" style="68" customWidth="1"/>
    <col min="10" max="16384" width="14.6640625" style="68"/>
  </cols>
  <sheetData>
    <row r="2" spans="1:1004">
      <c r="B2" s="68" t="s">
        <v>1189</v>
      </c>
      <c r="C2" s="68" t="s">
        <v>1190</v>
      </c>
      <c r="E2" s="68" t="s">
        <v>1191</v>
      </c>
    </row>
    <row r="3" spans="1:1004">
      <c r="B3" s="68" t="s">
        <v>1192</v>
      </c>
      <c r="C3" s="68" t="s">
        <v>1193</v>
      </c>
      <c r="E3" s="68" t="s">
        <v>1194</v>
      </c>
    </row>
    <row r="4" spans="1:1004">
      <c r="B4" s="68" t="s">
        <v>1195</v>
      </c>
      <c r="C4" s="68" t="s">
        <v>1196</v>
      </c>
      <c r="E4" s="68" t="s">
        <v>1197</v>
      </c>
    </row>
    <row r="5" spans="1:1004">
      <c r="B5" s="68" t="s">
        <v>1198</v>
      </c>
      <c r="C5" s="68" t="s">
        <v>1199</v>
      </c>
      <c r="E5" s="68" t="s">
        <v>1200</v>
      </c>
    </row>
    <row r="6" spans="1:1004">
      <c r="B6" s="68" t="s">
        <v>1201</v>
      </c>
      <c r="C6" s="68" t="s">
        <v>1202</v>
      </c>
      <c r="E6" s="68" t="s">
        <v>1203</v>
      </c>
    </row>
    <row r="9" spans="1:1004">
      <c r="B9" s="68" t="s">
        <v>1204</v>
      </c>
      <c r="C9" s="68" t="s">
        <v>1205</v>
      </c>
    </row>
    <row r="10" spans="1:1004">
      <c r="B10" s="68" t="s">
        <v>1206</v>
      </c>
      <c r="C10" s="68" t="s">
        <v>1207</v>
      </c>
    </row>
    <row r="11" spans="1:1004">
      <c r="B11" s="68" t="s">
        <v>1208</v>
      </c>
    </row>
    <row r="13" spans="1:1004">
      <c r="A13" s="311"/>
      <c r="B13" s="311"/>
    </row>
    <row r="16" spans="1:1004">
      <c r="A16">
        <v>1</v>
      </c>
      <c r="B16" t="s">
        <v>1209</v>
      </c>
      <c r="C16"/>
      <c r="D16" t="str">
        <f t="shared" ref="D16:D37" si="0">_xlfn.CONCAT(A16, ". ", B16)</f>
        <v>1. None</v>
      </c>
      <c r="E16">
        <v>1</v>
      </c>
      <c r="F16" t="s">
        <v>1209</v>
      </c>
      <c r="G16"/>
      <c r="H16" t="str">
        <f t="shared" ref="H16:H25" si="1">_xlfn.CONCAT(E16, ". ", F16)</f>
        <v>1. None</v>
      </c>
      <c r="I16">
        <v>1</v>
      </c>
      <c r="J16" t="s">
        <v>1209</v>
      </c>
      <c r="K16"/>
      <c r="L16" t="str">
        <f t="shared" ref="L16:L25" si="2">_xlfn.CONCAT(I16, ". ", J16)</f>
        <v>1. None</v>
      </c>
      <c r="M16">
        <v>1</v>
      </c>
      <c r="N16" t="s">
        <v>1209</v>
      </c>
      <c r="O16"/>
      <c r="P16" t="str">
        <f>_xlfn.CONCAT(M16, ". ", N16)</f>
        <v>1. None</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row>
    <row r="17" spans="1:1004">
      <c r="A17">
        <v>2</v>
      </c>
      <c r="B17" t="s">
        <v>1210</v>
      </c>
      <c r="C17"/>
      <c r="D17" t="str">
        <f t="shared" si="0"/>
        <v>2. Pieter van Zyl</v>
      </c>
      <c r="E17">
        <v>2</v>
      </c>
      <c r="F17" t="s">
        <v>1211</v>
      </c>
      <c r="G17"/>
      <c r="H17" t="str">
        <f t="shared" si="1"/>
        <v>2. ATL</v>
      </c>
      <c r="I17">
        <v>2</v>
      </c>
      <c r="J17" t="s">
        <v>1212</v>
      </c>
      <c r="K17"/>
      <c r="L17" t="str">
        <f t="shared" si="2"/>
        <v>2. 30p</v>
      </c>
      <c r="M17">
        <v>2</v>
      </c>
      <c r="N17" t="s">
        <v>1213</v>
      </c>
      <c r="O17"/>
      <c r="P17" t="str">
        <f>_xlfn.CONCAT(M17, ". ", N17)</f>
        <v>2. Not started</v>
      </c>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row>
    <row r="18" spans="1:1004">
      <c r="A18">
        <v>3</v>
      </c>
      <c r="B18" t="s">
        <v>1214</v>
      </c>
      <c r="C18"/>
      <c r="D18" t="str">
        <f t="shared" si="0"/>
        <v>3. Joan van Zyl</v>
      </c>
      <c r="E18">
        <v>3</v>
      </c>
      <c r="F18" t="s">
        <v>1215</v>
      </c>
      <c r="G18"/>
      <c r="H18" t="str">
        <f t="shared" si="1"/>
        <v>3. ATL Coordinator</v>
      </c>
      <c r="I18">
        <v>3</v>
      </c>
      <c r="J18" t="s">
        <v>1216</v>
      </c>
      <c r="K18"/>
      <c r="L18" t="str">
        <f t="shared" si="2"/>
        <v>3. 50p</v>
      </c>
      <c r="M18">
        <v>3</v>
      </c>
      <c r="N18" t="s">
        <v>1217</v>
      </c>
      <c r="O18"/>
      <c r="P18" t="str">
        <f>_xlfn.CONCAT(M18, ". ", N18)</f>
        <v>3. WIP</v>
      </c>
    </row>
    <row r="19" spans="1:1004">
      <c r="A19">
        <v>4</v>
      </c>
      <c r="B19" t="s">
        <v>1218</v>
      </c>
      <c r="C19"/>
      <c r="D19" t="str">
        <f t="shared" si="0"/>
        <v>4. Jared Twigg</v>
      </c>
      <c r="E19">
        <v>4</v>
      </c>
      <c r="F19" t="s">
        <v>1219</v>
      </c>
      <c r="G19"/>
      <c r="H19" t="str">
        <f t="shared" si="1"/>
        <v>4. Sponsor</v>
      </c>
      <c r="I19">
        <v>4</v>
      </c>
      <c r="J19" t="s">
        <v>1220</v>
      </c>
      <c r="K19"/>
      <c r="L19" t="str">
        <f t="shared" si="2"/>
        <v>4. 90p</v>
      </c>
      <c r="M19">
        <v>4</v>
      </c>
      <c r="N19" t="s">
        <v>1221</v>
      </c>
      <c r="O19"/>
      <c r="P19" t="str">
        <f>_xlfn.CONCAT(M19, ". ", N19)</f>
        <v>4. Done</v>
      </c>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row>
    <row r="20" spans="1:1004">
      <c r="A20">
        <v>5</v>
      </c>
      <c r="B20" t="s">
        <v>1222</v>
      </c>
      <c r="C20"/>
      <c r="D20" t="str">
        <f t="shared" si="0"/>
        <v>5. Marike Matthee</v>
      </c>
      <c r="E20">
        <v>5</v>
      </c>
      <c r="F20" t="s">
        <v>1223</v>
      </c>
      <c r="G20"/>
      <c r="H20" t="str">
        <f t="shared" si="1"/>
        <v>5. Scheduler</v>
      </c>
      <c r="I20">
        <v>5</v>
      </c>
      <c r="J20" t="s">
        <v>1224</v>
      </c>
      <c r="K20"/>
      <c r="L20" t="str">
        <f t="shared" si="2"/>
        <v>5. 100p</v>
      </c>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row>
    <row r="21" spans="1:1004">
      <c r="A21">
        <v>6</v>
      </c>
      <c r="B21" t="s">
        <v>1225</v>
      </c>
      <c r="C21"/>
      <c r="D21" t="str">
        <f t="shared" si="0"/>
        <v>6. Melanie van Zyl</v>
      </c>
      <c r="E21">
        <v>6</v>
      </c>
      <c r="F21" t="s">
        <v>1226</v>
      </c>
      <c r="G21"/>
      <c r="H21" t="str">
        <f t="shared" si="1"/>
        <v>6. BPOC</v>
      </c>
      <c r="I21">
        <v>6</v>
      </c>
      <c r="J21" t="s">
        <v>1227</v>
      </c>
      <c r="K21"/>
      <c r="L21" t="str">
        <f t="shared" si="2"/>
        <v>6. 60d b4 p2</v>
      </c>
      <c r="M21"/>
      <c r="N21"/>
      <c r="O21"/>
      <c r="P21"/>
    </row>
    <row r="22" spans="1:1004">
      <c r="A22">
        <v>7</v>
      </c>
      <c r="B22" t="s">
        <v>1228</v>
      </c>
      <c r="C22"/>
      <c r="D22" t="str">
        <f t="shared" si="0"/>
        <v>7. Bianca Coetzee</v>
      </c>
      <c r="E22">
        <v>7</v>
      </c>
      <c r="F22" t="s">
        <v>1229</v>
      </c>
      <c r="G22"/>
      <c r="H22" t="str">
        <f t="shared" si="1"/>
        <v>7. Translator</v>
      </c>
      <c r="I22">
        <v>7</v>
      </c>
      <c r="J22" t="s">
        <v>1230</v>
      </c>
      <c r="K22"/>
      <c r="L22" t="str">
        <f t="shared" si="2"/>
        <v>7. 40d b4 p2</v>
      </c>
      <c r="M22"/>
      <c r="N22"/>
      <c r="O22"/>
      <c r="P22"/>
    </row>
    <row r="23" spans="1:1004">
      <c r="A23">
        <v>9</v>
      </c>
      <c r="B23" t="s">
        <v>1231</v>
      </c>
      <c r="C23"/>
      <c r="D23" t="str">
        <f t="shared" si="0"/>
        <v>9. Francois van Niekerk</v>
      </c>
      <c r="E23">
        <v>8</v>
      </c>
      <c r="F23" t="s">
        <v>1232</v>
      </c>
      <c r="G23"/>
      <c r="H23" t="str">
        <f t="shared" si="1"/>
        <v>8. ATM</v>
      </c>
      <c r="I23">
        <v>8</v>
      </c>
      <c r="J23" t="s">
        <v>1233</v>
      </c>
      <c r="K23"/>
      <c r="L23" t="str">
        <f t="shared" si="2"/>
        <v>8. Scope approval</v>
      </c>
      <c r="M23"/>
      <c r="N23"/>
      <c r="O23"/>
      <c r="P23"/>
    </row>
    <row r="24" spans="1:1004">
      <c r="A24">
        <v>11</v>
      </c>
      <c r="B24" t="s">
        <v>1234</v>
      </c>
      <c r="C24"/>
      <c r="D24" t="str">
        <f t="shared" si="0"/>
        <v>11. Andries vd Walt</v>
      </c>
      <c r="E24">
        <v>9</v>
      </c>
      <c r="F24" t="s">
        <v>1235</v>
      </c>
      <c r="G24"/>
      <c r="H24" t="str">
        <f t="shared" si="1"/>
        <v>9. IPOC</v>
      </c>
      <c r="I24">
        <v>9</v>
      </c>
      <c r="J24" t="s">
        <v>1236</v>
      </c>
      <c r="K24"/>
      <c r="L24" t="str">
        <f t="shared" si="2"/>
        <v>9. Tech Test</v>
      </c>
      <c r="M24"/>
      <c r="N24"/>
      <c r="O24"/>
      <c r="P24"/>
    </row>
    <row r="25" spans="1:1004">
      <c r="A25">
        <v>12</v>
      </c>
      <c r="B25" t="s">
        <v>1237</v>
      </c>
      <c r="C25"/>
      <c r="D25" t="str">
        <f t="shared" si="0"/>
        <v>12. Francina Botha</v>
      </c>
      <c r="E25">
        <v>10</v>
      </c>
      <c r="F25" t="s">
        <v>1238</v>
      </c>
      <c r="G25"/>
      <c r="H25" t="str">
        <f t="shared" si="1"/>
        <v>10. ATLC Leader</v>
      </c>
      <c r="I25">
        <v>10</v>
      </c>
      <c r="J25" t="s">
        <v>1239</v>
      </c>
      <c r="K25"/>
      <c r="L25" t="str">
        <f t="shared" si="2"/>
        <v>10. Final RR</v>
      </c>
      <c r="M25"/>
      <c r="N25"/>
      <c r="O25"/>
      <c r="P25"/>
    </row>
    <row r="26" spans="1:1004">
      <c r="A26">
        <v>14</v>
      </c>
      <c r="B26" t="s">
        <v>1240</v>
      </c>
      <c r="C26"/>
      <c r="D26" t="str">
        <f t="shared" si="0"/>
        <v>14. Tony Gardiner</v>
      </c>
      <c r="E26"/>
      <c r="F26"/>
      <c r="G26"/>
      <c r="H26"/>
      <c r="I26"/>
      <c r="J26"/>
      <c r="K26"/>
      <c r="L26"/>
      <c r="M26"/>
      <c r="N26"/>
      <c r="O26"/>
      <c r="P26"/>
    </row>
    <row r="27" spans="1:1004">
      <c r="A27">
        <v>15</v>
      </c>
      <c r="B27" t="s">
        <v>1241</v>
      </c>
      <c r="C27"/>
      <c r="D27" t="str">
        <f t="shared" si="0"/>
        <v>15. Elmo Scheffer</v>
      </c>
      <c r="E27"/>
      <c r="F27"/>
      <c r="G27"/>
      <c r="H27"/>
      <c r="I27"/>
      <c r="J27"/>
      <c r="K27"/>
      <c r="L27"/>
      <c r="M27"/>
      <c r="N27"/>
      <c r="O27"/>
      <c r="P27"/>
    </row>
    <row r="28" spans="1:1004">
      <c r="A28">
        <v>16</v>
      </c>
      <c r="B28" t="s">
        <v>1242</v>
      </c>
      <c r="C28"/>
      <c r="D28" t="str">
        <f t="shared" si="0"/>
        <v>16. Pieter Roos</v>
      </c>
      <c r="E28"/>
      <c r="F28"/>
      <c r="G28"/>
      <c r="H28"/>
      <c r="I28"/>
      <c r="J28"/>
      <c r="K28"/>
      <c r="L28"/>
      <c r="M28"/>
      <c r="N28"/>
      <c r="O28"/>
      <c r="P28"/>
    </row>
    <row r="29" spans="1:1004">
      <c r="A29">
        <v>17</v>
      </c>
      <c r="B29" t="s">
        <v>1243</v>
      </c>
      <c r="C29"/>
      <c r="D29" t="str">
        <f t="shared" si="0"/>
        <v>17. Barry Headland</v>
      </c>
      <c r="E29"/>
      <c r="F29"/>
      <c r="G29"/>
      <c r="H29"/>
      <c r="I29"/>
      <c r="J29"/>
      <c r="K29"/>
      <c r="L29"/>
      <c r="M29"/>
      <c r="N29"/>
      <c r="O29"/>
      <c r="P29"/>
    </row>
    <row r="30" spans="1:1004">
      <c r="A30">
        <v>18</v>
      </c>
      <c r="B30" t="s">
        <v>1244</v>
      </c>
      <c r="C30"/>
      <c r="D30" t="str">
        <f t="shared" si="0"/>
        <v>18. Nigel Owen</v>
      </c>
      <c r="E30"/>
      <c r="F30"/>
      <c r="G30"/>
      <c r="H30"/>
      <c r="I30"/>
      <c r="J30"/>
      <c r="K30"/>
      <c r="L30"/>
      <c r="M30"/>
      <c r="N30"/>
      <c r="O30"/>
      <c r="P30"/>
    </row>
    <row r="31" spans="1:1004">
      <c r="A31">
        <v>19</v>
      </c>
      <c r="B31" t="s">
        <v>1245</v>
      </c>
      <c r="C31"/>
      <c r="D31" t="str">
        <f t="shared" si="0"/>
        <v>19. Ria Fouche</v>
      </c>
      <c r="E31"/>
      <c r="F31"/>
      <c r="G31"/>
      <c r="H31"/>
      <c r="I31"/>
      <c r="J31"/>
      <c r="K31"/>
      <c r="L31"/>
      <c r="M31"/>
      <c r="N31"/>
      <c r="O31"/>
      <c r="P31"/>
    </row>
    <row r="32" spans="1:1004">
      <c r="A32">
        <v>20</v>
      </c>
      <c r="B32" t="s">
        <v>1246</v>
      </c>
      <c r="C32"/>
      <c r="D32" t="str">
        <f t="shared" si="0"/>
        <v>20. Elsabie Koster</v>
      </c>
      <c r="E32"/>
      <c r="F32"/>
      <c r="G32"/>
      <c r="H32"/>
      <c r="I32"/>
      <c r="J32"/>
      <c r="K32"/>
      <c r="L32"/>
      <c r="M32"/>
      <c r="N32"/>
      <c r="O32"/>
      <c r="P32"/>
    </row>
    <row r="33" spans="1:16">
      <c r="A33">
        <v>21</v>
      </c>
      <c r="B33" t="s">
        <v>1247</v>
      </c>
      <c r="C33"/>
      <c r="D33" t="str">
        <f t="shared" si="0"/>
        <v>21. Lizwin Jacobs</v>
      </c>
      <c r="E33"/>
      <c r="F33"/>
      <c r="G33"/>
      <c r="H33"/>
      <c r="I33"/>
      <c r="J33"/>
      <c r="K33"/>
      <c r="L33"/>
      <c r="M33"/>
      <c r="N33"/>
      <c r="O33"/>
      <c r="P33"/>
    </row>
    <row r="34" spans="1:16">
      <c r="A34">
        <v>22</v>
      </c>
      <c r="B34" t="s">
        <v>1248</v>
      </c>
      <c r="C34"/>
      <c r="D34" t="str">
        <f t="shared" si="0"/>
        <v>22. Michael</v>
      </c>
      <c r="E34"/>
      <c r="F34"/>
      <c r="G34"/>
      <c r="H34"/>
      <c r="I34"/>
      <c r="J34"/>
      <c r="K34"/>
      <c r="L34"/>
      <c r="M34"/>
      <c r="N34"/>
      <c r="O34"/>
      <c r="P34"/>
    </row>
    <row r="35" spans="1:16">
      <c r="A35">
        <v>23</v>
      </c>
      <c r="B35" t="s">
        <v>1249</v>
      </c>
      <c r="C35"/>
      <c r="D35" t="str">
        <f t="shared" si="0"/>
        <v>23. Alice Erasmus</v>
      </c>
      <c r="E35"/>
      <c r="F35"/>
      <c r="G35"/>
      <c r="H35"/>
      <c r="I35"/>
      <c r="J35"/>
      <c r="K35"/>
      <c r="L35"/>
      <c r="M35"/>
      <c r="N35"/>
      <c r="O35"/>
      <c r="P35"/>
    </row>
    <row r="36" spans="1:16">
      <c r="A36">
        <v>24</v>
      </c>
      <c r="B36" t="s">
        <v>1250</v>
      </c>
      <c r="C36"/>
      <c r="D36" t="str">
        <f t="shared" si="0"/>
        <v>24. Sasha</v>
      </c>
      <c r="E36"/>
      <c r="F36"/>
      <c r="G36"/>
      <c r="H36"/>
      <c r="I36"/>
      <c r="J36"/>
      <c r="K36"/>
      <c r="L36"/>
      <c r="M36"/>
      <c r="N36"/>
      <c r="O36"/>
      <c r="P36"/>
    </row>
    <row r="37" spans="1:16">
      <c r="A37">
        <v>25</v>
      </c>
      <c r="B37" t="s">
        <v>1251</v>
      </c>
      <c r="C37"/>
      <c r="D37" t="str">
        <f t="shared" si="0"/>
        <v>25. Tembeka</v>
      </c>
      <c r="E37"/>
      <c r="F37"/>
      <c r="G37"/>
      <c r="H37"/>
      <c r="I37"/>
      <c r="J37"/>
      <c r="K37"/>
      <c r="L37"/>
      <c r="M37"/>
      <c r="N37"/>
      <c r="O37"/>
      <c r="P37"/>
    </row>
    <row r="38" spans="1:16">
      <c r="A38"/>
      <c r="B38"/>
      <c r="C38"/>
      <c r="D38"/>
      <c r="E38"/>
      <c r="F38"/>
      <c r="G38"/>
      <c r="H38"/>
      <c r="I38"/>
      <c r="J38"/>
      <c r="K38"/>
      <c r="L38"/>
      <c r="M38"/>
      <c r="N38"/>
      <c r="O38"/>
      <c r="P38"/>
    </row>
    <row r="39" spans="1:16">
      <c r="A39"/>
      <c r="B39"/>
      <c r="C39"/>
      <c r="D39"/>
      <c r="E39"/>
      <c r="F39"/>
      <c r="G39"/>
      <c r="H39"/>
      <c r="I39"/>
      <c r="J39"/>
      <c r="K39"/>
      <c r="L39"/>
      <c r="M39"/>
      <c r="N39"/>
      <c r="O39"/>
      <c r="P39"/>
    </row>
    <row r="40" spans="1:16">
      <c r="A40"/>
      <c r="B40"/>
      <c r="C40"/>
      <c r="D40"/>
      <c r="E40"/>
      <c r="F40"/>
      <c r="G40"/>
      <c r="H40"/>
      <c r="I40"/>
      <c r="J40"/>
      <c r="K40"/>
      <c r="L40"/>
      <c r="M40"/>
      <c r="N40"/>
      <c r="O40"/>
      <c r="P40"/>
    </row>
    <row r="41" spans="1:16">
      <c r="A41"/>
      <c r="B41"/>
      <c r="C41"/>
      <c r="D41"/>
      <c r="E41"/>
      <c r="F41"/>
      <c r="G41"/>
      <c r="H41"/>
      <c r="I41"/>
      <c r="J41"/>
      <c r="K41"/>
      <c r="L41"/>
      <c r="M41"/>
      <c r="N41"/>
      <c r="O41"/>
      <c r="P41"/>
    </row>
    <row r="42" spans="1:16">
      <c r="A42"/>
      <c r="B42"/>
      <c r="C42"/>
      <c r="D42"/>
      <c r="E42"/>
      <c r="F42"/>
      <c r="G42"/>
      <c r="H42"/>
      <c r="I42"/>
      <c r="J42"/>
      <c r="K42"/>
      <c r="L42"/>
      <c r="M42"/>
      <c r="N42"/>
      <c r="O42"/>
      <c r="P42"/>
    </row>
    <row r="43" spans="1:16">
      <c r="A43"/>
      <c r="B43"/>
      <c r="C43"/>
      <c r="D43"/>
      <c r="E43"/>
      <c r="F43"/>
      <c r="G43"/>
      <c r="H43"/>
      <c r="I43"/>
      <c r="J43"/>
      <c r="K43"/>
      <c r="L43"/>
      <c r="M43"/>
      <c r="N43"/>
      <c r="O43"/>
      <c r="P43"/>
    </row>
    <row r="44" spans="1:16">
      <c r="A44"/>
      <c r="B44"/>
      <c r="C44"/>
      <c r="D44"/>
      <c r="E44"/>
      <c r="F44"/>
      <c r="G44"/>
      <c r="H44"/>
      <c r="I44"/>
      <c r="J44"/>
      <c r="K44"/>
      <c r="L44"/>
      <c r="M44"/>
      <c r="N44"/>
      <c r="O44"/>
      <c r="P44"/>
    </row>
    <row r="45" spans="1:16">
      <c r="A45"/>
      <c r="B45"/>
      <c r="C45"/>
      <c r="D45"/>
      <c r="E45"/>
      <c r="F45"/>
      <c r="G45"/>
      <c r="H45"/>
      <c r="I45"/>
      <c r="J45"/>
      <c r="K45"/>
      <c r="L45"/>
      <c r="M45"/>
      <c r="N45"/>
      <c r="O45"/>
      <c r="P45"/>
    </row>
    <row r="46" spans="1:16">
      <c r="A46"/>
      <c r="B46"/>
      <c r="C46"/>
      <c r="D46"/>
      <c r="E46"/>
      <c r="F46"/>
      <c r="G46"/>
      <c r="H46"/>
      <c r="I46"/>
      <c r="J46"/>
      <c r="K46"/>
      <c r="L46"/>
      <c r="M46"/>
      <c r="N46"/>
      <c r="O46"/>
      <c r="P46"/>
    </row>
    <row r="47" spans="1:16">
      <c r="A47"/>
      <c r="B47"/>
      <c r="C47"/>
      <c r="D47"/>
      <c r="E47"/>
      <c r="F47"/>
      <c r="G47"/>
      <c r="H47"/>
      <c r="I47"/>
      <c r="J47"/>
      <c r="K47"/>
      <c r="L47"/>
      <c r="M47"/>
      <c r="N47"/>
      <c r="O47"/>
      <c r="P47"/>
    </row>
    <row r="48" spans="1:16">
      <c r="A48"/>
      <c r="B48"/>
      <c r="C48"/>
      <c r="D48"/>
      <c r="E48"/>
      <c r="F48"/>
      <c r="G48"/>
      <c r="H48"/>
      <c r="I48"/>
      <c r="J48"/>
      <c r="K48"/>
      <c r="L48"/>
      <c r="M48"/>
      <c r="N48"/>
      <c r="O48"/>
      <c r="P48"/>
    </row>
    <row r="49" spans="1:16">
      <c r="A49"/>
      <c r="B49"/>
      <c r="C49"/>
      <c r="D49"/>
      <c r="E49"/>
      <c r="F49"/>
      <c r="G49"/>
      <c r="H49"/>
      <c r="I49"/>
      <c r="J49"/>
      <c r="K49"/>
      <c r="L49"/>
      <c r="M49"/>
      <c r="N49"/>
      <c r="O49"/>
      <c r="P49"/>
    </row>
    <row r="50" spans="1:16">
      <c r="A50"/>
      <c r="B50"/>
      <c r="C50"/>
      <c r="D50"/>
      <c r="E50"/>
      <c r="F50"/>
      <c r="G50"/>
      <c r="H50"/>
      <c r="I50"/>
      <c r="J50"/>
      <c r="K50"/>
      <c r="L50"/>
      <c r="M50"/>
      <c r="N50"/>
      <c r="O50"/>
      <c r="P50"/>
    </row>
    <row r="51" spans="1:16">
      <c r="A51"/>
      <c r="B51"/>
      <c r="C51"/>
      <c r="D51"/>
      <c r="E51"/>
      <c r="F51"/>
      <c r="G51"/>
      <c r="H51"/>
      <c r="I51"/>
      <c r="J51"/>
      <c r="K51"/>
      <c r="L51"/>
      <c r="M51"/>
      <c r="N51"/>
      <c r="O51"/>
      <c r="P51"/>
    </row>
    <row r="52" spans="1:16">
      <c r="A52"/>
      <c r="B52"/>
      <c r="C52"/>
      <c r="D52"/>
      <c r="E52"/>
      <c r="F52"/>
      <c r="G52"/>
      <c r="H52"/>
      <c r="I52"/>
      <c r="J52"/>
      <c r="K52"/>
      <c r="L52"/>
      <c r="M52"/>
      <c r="N52"/>
      <c r="O52"/>
      <c r="P52"/>
    </row>
    <row r="53" spans="1:16">
      <c r="A53"/>
      <c r="B53"/>
      <c r="C53"/>
      <c r="D53"/>
      <c r="E53"/>
      <c r="F53"/>
      <c r="G53"/>
      <c r="H53"/>
      <c r="I53"/>
      <c r="J53"/>
      <c r="K53"/>
      <c r="L53"/>
      <c r="M53"/>
      <c r="N53"/>
      <c r="O53"/>
      <c r="P53"/>
    </row>
    <row r="54" spans="1:16">
      <c r="A54"/>
      <c r="B54"/>
      <c r="C54"/>
      <c r="D54"/>
      <c r="E54"/>
      <c r="F54"/>
      <c r="G54"/>
      <c r="H54"/>
      <c r="I54"/>
      <c r="J54"/>
      <c r="K54"/>
      <c r="L54"/>
      <c r="M54"/>
      <c r="N54"/>
      <c r="O54"/>
      <c r="P54"/>
    </row>
    <row r="55" spans="1:16">
      <c r="A55"/>
      <c r="B55"/>
      <c r="C55"/>
      <c r="D55"/>
      <c r="E55"/>
      <c r="F55"/>
      <c r="G55"/>
      <c r="H55"/>
      <c r="I55"/>
      <c r="J55"/>
      <c r="K55"/>
      <c r="L55"/>
      <c r="M55"/>
      <c r="N55"/>
      <c r="O55"/>
      <c r="P55"/>
    </row>
    <row r="56" spans="1:16">
      <c r="A56"/>
      <c r="B56"/>
      <c r="C56"/>
      <c r="D56"/>
      <c r="E56"/>
      <c r="F56"/>
      <c r="G56"/>
      <c r="H56"/>
      <c r="I56"/>
      <c r="J56"/>
      <c r="K56"/>
      <c r="L56"/>
      <c r="M56"/>
      <c r="N56"/>
      <c r="O56"/>
      <c r="P56"/>
    </row>
    <row r="57" spans="1:16">
      <c r="A57"/>
      <c r="B57"/>
      <c r="C57"/>
      <c r="D57"/>
      <c r="E57"/>
      <c r="F57"/>
      <c r="G57"/>
      <c r="H57"/>
      <c r="I57"/>
      <c r="J57"/>
      <c r="K57"/>
      <c r="L57"/>
      <c r="M57"/>
      <c r="N57"/>
      <c r="O57"/>
      <c r="P57"/>
    </row>
    <row r="58" spans="1:16">
      <c r="A58"/>
      <c r="B58"/>
      <c r="C58"/>
      <c r="D58"/>
      <c r="E58"/>
      <c r="F58"/>
      <c r="G58"/>
      <c r="H58"/>
      <c r="I58"/>
      <c r="J58"/>
      <c r="K58"/>
      <c r="L58"/>
      <c r="M58"/>
      <c r="N58"/>
      <c r="O58"/>
      <c r="P58"/>
    </row>
    <row r="59" spans="1:16">
      <c r="A59"/>
      <c r="B59"/>
      <c r="C59"/>
      <c r="D59"/>
      <c r="E59"/>
      <c r="F59"/>
      <c r="G59"/>
      <c r="H59"/>
      <c r="I59"/>
      <c r="J59"/>
      <c r="K59"/>
      <c r="L59"/>
      <c r="M59"/>
      <c r="N59"/>
      <c r="O59"/>
      <c r="P59"/>
    </row>
    <row r="60" spans="1:16">
      <c r="A60"/>
      <c r="B60"/>
      <c r="C60"/>
      <c r="D60"/>
      <c r="E60"/>
      <c r="F60"/>
      <c r="G60"/>
      <c r="H60"/>
      <c r="I60"/>
      <c r="J60"/>
      <c r="K60"/>
      <c r="L60"/>
      <c r="M60"/>
      <c r="N60"/>
      <c r="O60"/>
      <c r="P60"/>
    </row>
    <row r="61" spans="1:16">
      <c r="A61"/>
      <c r="B61"/>
      <c r="C61"/>
      <c r="D61"/>
      <c r="E61"/>
      <c r="F61"/>
      <c r="G61"/>
      <c r="H61"/>
      <c r="I61"/>
      <c r="J61"/>
      <c r="K61"/>
      <c r="L61"/>
      <c r="M61"/>
      <c r="N61"/>
      <c r="O61"/>
      <c r="P61"/>
    </row>
    <row r="62" spans="1:16">
      <c r="A62"/>
      <c r="B62"/>
      <c r="C62"/>
      <c r="D62"/>
      <c r="E62"/>
      <c r="F62"/>
      <c r="G62"/>
      <c r="H62"/>
      <c r="I62"/>
      <c r="J62"/>
      <c r="K62"/>
      <c r="L62"/>
      <c r="M62"/>
      <c r="N62"/>
      <c r="O62"/>
      <c r="P62"/>
    </row>
    <row r="63" spans="1:16">
      <c r="A63"/>
      <c r="B63"/>
      <c r="C63"/>
      <c r="D63"/>
      <c r="E63"/>
      <c r="F63"/>
      <c r="G63"/>
      <c r="H63"/>
      <c r="I63"/>
      <c r="J63"/>
      <c r="K63"/>
      <c r="L63"/>
      <c r="M63"/>
      <c r="N63"/>
      <c r="O63"/>
      <c r="P63"/>
    </row>
    <row r="64" spans="1:16">
      <c r="A64"/>
      <c r="B64"/>
      <c r="C64"/>
      <c r="D64"/>
      <c r="E64"/>
      <c r="F64"/>
      <c r="G64"/>
      <c r="H64"/>
      <c r="I64"/>
      <c r="J64"/>
      <c r="K64"/>
      <c r="L64"/>
      <c r="M64"/>
      <c r="N64"/>
      <c r="O64"/>
      <c r="P64"/>
    </row>
    <row r="65" spans="1:16">
      <c r="A65"/>
      <c r="B65"/>
      <c r="C65"/>
      <c r="D65"/>
      <c r="E65"/>
      <c r="F65"/>
      <c r="G65"/>
      <c r="H65"/>
      <c r="I65"/>
      <c r="J65"/>
      <c r="K65"/>
      <c r="L65"/>
      <c r="M65"/>
      <c r="N65"/>
      <c r="O65"/>
      <c r="P65"/>
    </row>
    <row r="66" spans="1:16">
      <c r="A66"/>
      <c r="B66"/>
      <c r="C66"/>
      <c r="D66"/>
      <c r="E66"/>
      <c r="F66"/>
      <c r="G66"/>
      <c r="H66"/>
      <c r="I66"/>
      <c r="J66"/>
      <c r="K66"/>
      <c r="L66"/>
      <c r="M66"/>
      <c r="N66"/>
      <c r="O66"/>
      <c r="P66"/>
    </row>
    <row r="67" spans="1:16">
      <c r="A67"/>
      <c r="B67"/>
      <c r="C67"/>
      <c r="D67"/>
      <c r="E67"/>
      <c r="F67"/>
      <c r="G67"/>
      <c r="H67"/>
      <c r="I67"/>
      <c r="J67"/>
      <c r="K67"/>
      <c r="L67"/>
      <c r="M67"/>
      <c r="N67"/>
      <c r="O67"/>
      <c r="P67"/>
    </row>
    <row r="68" spans="1:16">
      <c r="A68"/>
      <c r="B68"/>
      <c r="C68"/>
      <c r="D68"/>
      <c r="E68"/>
      <c r="F68"/>
      <c r="G68"/>
      <c r="H68"/>
      <c r="I68"/>
      <c r="J68"/>
      <c r="K68"/>
      <c r="L68"/>
      <c r="M68"/>
      <c r="N68"/>
      <c r="O68"/>
      <c r="P68"/>
    </row>
    <row r="69" spans="1:16">
      <c r="A69"/>
      <c r="B69"/>
      <c r="C69"/>
      <c r="D69"/>
      <c r="E69"/>
      <c r="F69"/>
      <c r="G69"/>
      <c r="H69"/>
      <c r="I69"/>
      <c r="J69"/>
      <c r="K69"/>
      <c r="L69"/>
      <c r="M69"/>
      <c r="N69"/>
      <c r="O69"/>
      <c r="P69"/>
    </row>
    <row r="70" spans="1:16">
      <c r="A70"/>
      <c r="B70"/>
      <c r="C70"/>
      <c r="D70"/>
      <c r="E70"/>
      <c r="F70"/>
      <c r="G70"/>
      <c r="H70"/>
      <c r="I70"/>
      <c r="J70"/>
      <c r="K70"/>
      <c r="L70"/>
      <c r="M70"/>
      <c r="N70"/>
      <c r="O70"/>
      <c r="P70"/>
    </row>
    <row r="71" spans="1:16">
      <c r="A71"/>
      <c r="B71"/>
      <c r="C71"/>
      <c r="D71"/>
      <c r="E71"/>
      <c r="F71"/>
      <c r="G71"/>
      <c r="H71"/>
      <c r="I71"/>
      <c r="J71"/>
      <c r="K71"/>
      <c r="L71"/>
      <c r="M71"/>
      <c r="N71"/>
      <c r="O71"/>
      <c r="P71"/>
    </row>
    <row r="72" spans="1:16">
      <c r="A72"/>
      <c r="B72"/>
      <c r="C72"/>
      <c r="D72"/>
      <c r="E72"/>
      <c r="F72"/>
      <c r="G72"/>
      <c r="H72"/>
      <c r="I72"/>
      <c r="J72"/>
      <c r="K72"/>
      <c r="L72"/>
      <c r="M72"/>
      <c r="N72"/>
      <c r="O72"/>
      <c r="P72"/>
    </row>
    <row r="73" spans="1:16">
      <c r="A73"/>
      <c r="B73"/>
      <c r="C73"/>
      <c r="D73"/>
      <c r="E73"/>
      <c r="F73"/>
      <c r="G73"/>
      <c r="H73"/>
      <c r="I73"/>
      <c r="J73"/>
      <c r="K73"/>
      <c r="L73"/>
      <c r="M73"/>
      <c r="N73"/>
      <c r="O73"/>
      <c r="P73"/>
    </row>
    <row r="74" spans="1:16">
      <c r="A74"/>
      <c r="B74"/>
      <c r="C74"/>
      <c r="D74"/>
      <c r="E74"/>
      <c r="F74"/>
      <c r="G74"/>
      <c r="H74"/>
      <c r="I74"/>
      <c r="J74"/>
      <c r="K74"/>
      <c r="L74"/>
      <c r="M74"/>
      <c r="N74"/>
      <c r="O74"/>
      <c r="P74"/>
    </row>
    <row r="75" spans="1:16">
      <c r="A75"/>
      <c r="B75"/>
      <c r="C75"/>
      <c r="D75"/>
      <c r="E75"/>
      <c r="F75"/>
      <c r="G75"/>
      <c r="H75"/>
      <c r="I75"/>
      <c r="J75"/>
      <c r="K75"/>
      <c r="L75"/>
      <c r="M75"/>
      <c r="N75"/>
      <c r="O75"/>
      <c r="P75"/>
    </row>
    <row r="76" spans="1:16">
      <c r="A76"/>
      <c r="B76"/>
      <c r="C76"/>
      <c r="D76"/>
      <c r="E76"/>
      <c r="F76"/>
      <c r="G76"/>
      <c r="H76"/>
      <c r="I76"/>
      <c r="J76"/>
      <c r="K76"/>
      <c r="L76"/>
      <c r="M76"/>
      <c r="N76"/>
      <c r="O76"/>
      <c r="P76"/>
    </row>
    <row r="77" spans="1:16">
      <c r="A77"/>
      <c r="B77"/>
      <c r="C77"/>
      <c r="D77"/>
      <c r="E77"/>
      <c r="F77"/>
      <c r="G77"/>
      <c r="H77"/>
      <c r="I77"/>
      <c r="J77"/>
      <c r="K77"/>
      <c r="L77"/>
      <c r="M77"/>
      <c r="N77"/>
      <c r="O77"/>
      <c r="P77"/>
    </row>
    <row r="78" spans="1:16">
      <c r="A78"/>
      <c r="B78"/>
      <c r="C78"/>
      <c r="D78"/>
      <c r="E78"/>
      <c r="F78"/>
      <c r="G78"/>
      <c r="H78"/>
      <c r="I78"/>
      <c r="J78"/>
      <c r="K78"/>
      <c r="L78"/>
      <c r="M78"/>
      <c r="N78"/>
      <c r="O78"/>
      <c r="P78"/>
    </row>
    <row r="79" spans="1:16">
      <c r="A79"/>
      <c r="B79"/>
      <c r="C79"/>
      <c r="D79"/>
      <c r="E79"/>
      <c r="F79"/>
      <c r="G79"/>
      <c r="H79"/>
      <c r="I79"/>
      <c r="J79"/>
      <c r="K79"/>
      <c r="L79"/>
      <c r="M79"/>
      <c r="N79"/>
      <c r="O79"/>
      <c r="P79"/>
    </row>
    <row r="80" spans="1:16">
      <c r="A80"/>
      <c r="B80"/>
      <c r="C80"/>
      <c r="D80"/>
      <c r="E80"/>
      <c r="F80"/>
      <c r="G80"/>
      <c r="H80"/>
      <c r="I80"/>
      <c r="J80"/>
      <c r="K80"/>
      <c r="L80"/>
      <c r="M80"/>
      <c r="N80"/>
      <c r="O80"/>
      <c r="P80"/>
    </row>
    <row r="81" spans="1:16">
      <c r="A81"/>
      <c r="B81"/>
      <c r="C81"/>
      <c r="D81"/>
      <c r="E81"/>
      <c r="F81"/>
      <c r="G81"/>
      <c r="H81"/>
      <c r="I81"/>
      <c r="J81"/>
      <c r="K81"/>
      <c r="L81"/>
      <c r="M81"/>
      <c r="N81"/>
      <c r="O81"/>
      <c r="P81"/>
    </row>
    <row r="82" spans="1:16">
      <c r="A82"/>
      <c r="B82"/>
      <c r="C82"/>
      <c r="D82"/>
      <c r="E82"/>
      <c r="F82"/>
      <c r="G82"/>
      <c r="H82"/>
      <c r="I82"/>
      <c r="J82"/>
      <c r="K82"/>
      <c r="L82"/>
      <c r="M82"/>
      <c r="N82"/>
      <c r="O82"/>
      <c r="P82"/>
    </row>
    <row r="83" spans="1:16">
      <c r="A83"/>
      <c r="B83"/>
      <c r="C83"/>
      <c r="D83"/>
      <c r="E83"/>
      <c r="F83"/>
      <c r="G83"/>
      <c r="H83"/>
      <c r="I83"/>
      <c r="J83"/>
      <c r="K83"/>
      <c r="L83"/>
      <c r="M83"/>
      <c r="N83"/>
      <c r="O83"/>
      <c r="P83"/>
    </row>
    <row r="84" spans="1:16">
      <c r="A84"/>
      <c r="B84"/>
      <c r="C84"/>
      <c r="D84"/>
      <c r="E84"/>
      <c r="F84"/>
      <c r="G84"/>
      <c r="H84"/>
      <c r="I84"/>
      <c r="J84"/>
      <c r="K84"/>
      <c r="L84"/>
      <c r="M84"/>
      <c r="N84"/>
      <c r="O84"/>
      <c r="P84"/>
    </row>
    <row r="85" spans="1:16">
      <c r="A85"/>
      <c r="B85"/>
      <c r="C85"/>
      <c r="D85"/>
      <c r="E85"/>
      <c r="F85"/>
      <c r="G85"/>
      <c r="H85"/>
      <c r="I85"/>
      <c r="J85"/>
      <c r="K85"/>
      <c r="L85"/>
      <c r="M85"/>
      <c r="N85"/>
      <c r="O85"/>
      <c r="P85"/>
    </row>
    <row r="86" spans="1:16">
      <c r="A86"/>
      <c r="B86"/>
      <c r="C86"/>
      <c r="D86"/>
      <c r="E86"/>
      <c r="F86"/>
      <c r="G86"/>
      <c r="H86"/>
      <c r="I86"/>
      <c r="J86"/>
      <c r="K86"/>
      <c r="L86"/>
      <c r="M86"/>
      <c r="N86"/>
      <c r="O86"/>
      <c r="P86"/>
    </row>
    <row r="87" spans="1:16">
      <c r="A87"/>
      <c r="B87"/>
      <c r="C87"/>
      <c r="D87"/>
      <c r="E87"/>
      <c r="F87"/>
      <c r="G87"/>
      <c r="H87"/>
      <c r="I87"/>
      <c r="J87"/>
      <c r="K87"/>
      <c r="L87"/>
      <c r="M87"/>
      <c r="N87"/>
      <c r="O87"/>
      <c r="P87"/>
    </row>
    <row r="88" spans="1:16">
      <c r="A88"/>
      <c r="B88"/>
      <c r="C88"/>
      <c r="D88"/>
      <c r="E88"/>
      <c r="F88"/>
      <c r="G88"/>
      <c r="H88"/>
      <c r="I88"/>
      <c r="J88"/>
      <c r="K88"/>
      <c r="L88"/>
      <c r="M88"/>
      <c r="N88"/>
      <c r="O88"/>
      <c r="P88"/>
    </row>
    <row r="89" spans="1:16">
      <c r="A89"/>
      <c r="B89"/>
      <c r="C89"/>
      <c r="D89"/>
      <c r="E89"/>
      <c r="F89"/>
      <c r="G89"/>
      <c r="H89"/>
      <c r="I89"/>
      <c r="J89"/>
      <c r="K89"/>
      <c r="L89"/>
      <c r="M89"/>
      <c r="N89"/>
      <c r="O89"/>
      <c r="P89"/>
    </row>
    <row r="90" spans="1:16">
      <c r="A90"/>
      <c r="B90"/>
      <c r="C90"/>
      <c r="D90"/>
      <c r="E90"/>
      <c r="F90"/>
      <c r="G90"/>
      <c r="H90"/>
      <c r="I90"/>
      <c r="J90"/>
      <c r="K90"/>
      <c r="L90"/>
      <c r="M90"/>
      <c r="N90"/>
      <c r="O90"/>
      <c r="P90"/>
    </row>
    <row r="91" spans="1:16">
      <c r="A91"/>
      <c r="B91"/>
      <c r="C91"/>
      <c r="D91"/>
      <c r="E91"/>
      <c r="F91"/>
      <c r="G91"/>
      <c r="H91"/>
      <c r="I91"/>
      <c r="J91"/>
      <c r="K91"/>
      <c r="L91"/>
      <c r="M91"/>
      <c r="N91"/>
      <c r="O91"/>
      <c r="P91"/>
    </row>
    <row r="92" spans="1:16">
      <c r="A92"/>
      <c r="B92"/>
      <c r="C92"/>
      <c r="D92"/>
      <c r="E92"/>
      <c r="F92"/>
      <c r="G92"/>
      <c r="H92"/>
      <c r="I92"/>
      <c r="J92"/>
      <c r="K92"/>
      <c r="L92"/>
      <c r="M92"/>
      <c r="N92"/>
      <c r="O92"/>
      <c r="P92"/>
    </row>
    <row r="93" spans="1:16">
      <c r="A93"/>
      <c r="B93"/>
      <c r="C93"/>
      <c r="D93"/>
      <c r="E93"/>
      <c r="F93"/>
      <c r="G93"/>
      <c r="H93"/>
      <c r="I93"/>
      <c r="J93"/>
      <c r="K93"/>
      <c r="L93"/>
      <c r="M93"/>
      <c r="N93"/>
      <c r="O93"/>
      <c r="P93"/>
    </row>
    <row r="94" spans="1:16">
      <c r="A94"/>
      <c r="B94"/>
      <c r="C94"/>
      <c r="D94"/>
      <c r="E94"/>
      <c r="F94"/>
      <c r="G94"/>
      <c r="H94"/>
      <c r="I94"/>
      <c r="J94"/>
      <c r="K94"/>
      <c r="L94"/>
      <c r="M94"/>
      <c r="N94"/>
      <c r="O94"/>
      <c r="P94"/>
    </row>
    <row r="95" spans="1:16">
      <c r="A95"/>
      <c r="B95"/>
      <c r="C95"/>
      <c r="D95"/>
      <c r="E95"/>
      <c r="F95"/>
      <c r="G95"/>
      <c r="H95"/>
      <c r="I95"/>
      <c r="J95"/>
      <c r="K95"/>
      <c r="L95"/>
      <c r="M95"/>
      <c r="N95"/>
      <c r="O95"/>
      <c r="P95"/>
    </row>
    <row r="96" spans="1:16">
      <c r="A96"/>
      <c r="B96"/>
      <c r="C96"/>
      <c r="D96"/>
      <c r="E96"/>
      <c r="F96"/>
      <c r="G96"/>
      <c r="H96"/>
      <c r="I96"/>
      <c r="J96"/>
      <c r="K96"/>
      <c r="L96"/>
      <c r="M96"/>
      <c r="N96"/>
      <c r="O96"/>
      <c r="P96"/>
    </row>
    <row r="97" spans="1:16">
      <c r="A97"/>
      <c r="B97"/>
      <c r="C97"/>
      <c r="D97"/>
      <c r="E97"/>
      <c r="F97"/>
      <c r="G97"/>
      <c r="H97"/>
      <c r="I97"/>
      <c r="J97"/>
      <c r="K97"/>
      <c r="L97"/>
      <c r="M97"/>
      <c r="N97"/>
      <c r="O97"/>
      <c r="P97"/>
    </row>
    <row r="98" spans="1:16">
      <c r="A98"/>
      <c r="B98"/>
      <c r="C98"/>
      <c r="D98"/>
      <c r="E98"/>
      <c r="F98"/>
      <c r="G98"/>
      <c r="H98"/>
      <c r="I98"/>
      <c r="J98"/>
      <c r="K98"/>
      <c r="L98"/>
      <c r="M98"/>
      <c r="N98"/>
      <c r="O98"/>
      <c r="P98"/>
    </row>
    <row r="99" spans="1:16">
      <c r="A99"/>
      <c r="B99"/>
      <c r="C99"/>
      <c r="D99"/>
      <c r="E99"/>
      <c r="F99"/>
      <c r="G99"/>
      <c r="H99"/>
      <c r="I99"/>
      <c r="J99"/>
      <c r="K99"/>
      <c r="L99"/>
      <c r="M99"/>
      <c r="N99"/>
      <c r="O99"/>
      <c r="P99"/>
    </row>
    <row r="100" spans="1:16">
      <c r="A100"/>
      <c r="B100"/>
      <c r="C100"/>
      <c r="D100"/>
      <c r="E100"/>
      <c r="F100"/>
      <c r="G100"/>
      <c r="H100"/>
      <c r="I100"/>
      <c r="J100"/>
      <c r="K100"/>
      <c r="L100"/>
      <c r="M100"/>
      <c r="N100"/>
      <c r="O100"/>
      <c r="P100"/>
    </row>
    <row r="101" spans="1:16">
      <c r="A101"/>
      <c r="B101"/>
      <c r="C101"/>
      <c r="D101"/>
      <c r="E101"/>
      <c r="F101"/>
      <c r="G101"/>
      <c r="H101"/>
      <c r="I101"/>
      <c r="J101"/>
      <c r="K101"/>
      <c r="L101"/>
      <c r="M101"/>
      <c r="N101"/>
      <c r="O101"/>
      <c r="P101"/>
    </row>
    <row r="102" spans="1:16">
      <c r="A102"/>
      <c r="B102"/>
      <c r="C102"/>
      <c r="D102"/>
      <c r="E102"/>
      <c r="F102"/>
      <c r="G102"/>
      <c r="H102"/>
      <c r="I102"/>
      <c r="J102"/>
      <c r="K102"/>
      <c r="L102"/>
      <c r="M102"/>
      <c r="N102"/>
      <c r="O102"/>
      <c r="P102"/>
    </row>
    <row r="103" spans="1:16">
      <c r="A103"/>
      <c r="B103"/>
      <c r="C103"/>
      <c r="D103"/>
      <c r="E103"/>
      <c r="F103"/>
      <c r="G103"/>
      <c r="H103"/>
      <c r="I103"/>
      <c r="J103"/>
      <c r="K103"/>
      <c r="L103"/>
      <c r="M103"/>
      <c r="N103"/>
      <c r="O103"/>
      <c r="P103"/>
    </row>
    <row r="104" spans="1:16">
      <c r="A104"/>
      <c r="B104"/>
      <c r="C104"/>
      <c r="D104"/>
      <c r="E104"/>
      <c r="F104"/>
      <c r="G104"/>
      <c r="H104"/>
      <c r="I104"/>
      <c r="J104"/>
      <c r="K104"/>
      <c r="L104"/>
      <c r="M104"/>
      <c r="N104"/>
      <c r="O104"/>
      <c r="P104"/>
    </row>
    <row r="105" spans="1:16">
      <c r="A105"/>
      <c r="B105"/>
      <c r="C105"/>
      <c r="D105"/>
      <c r="E105"/>
      <c r="F105"/>
      <c r="G105"/>
      <c r="H105"/>
      <c r="I105"/>
      <c r="J105"/>
      <c r="K105"/>
      <c r="L105"/>
      <c r="M105"/>
      <c r="N105"/>
      <c r="O105"/>
      <c r="P105"/>
    </row>
    <row r="106" spans="1:16">
      <c r="A106"/>
      <c r="B106"/>
      <c r="C106"/>
      <c r="D106"/>
      <c r="E106"/>
      <c r="F106"/>
      <c r="G106"/>
      <c r="H106"/>
      <c r="I106"/>
      <c r="J106"/>
      <c r="K106"/>
      <c r="L106"/>
      <c r="M106"/>
      <c r="N106"/>
      <c r="O106"/>
      <c r="P106"/>
    </row>
    <row r="107" spans="1:16">
      <c r="A107"/>
      <c r="B107"/>
      <c r="C107"/>
      <c r="D107"/>
      <c r="E107"/>
      <c r="F107"/>
      <c r="G107"/>
      <c r="H107"/>
      <c r="I107"/>
      <c r="J107"/>
      <c r="K107"/>
      <c r="L107"/>
      <c r="M107"/>
      <c r="N107"/>
      <c r="O107"/>
      <c r="P107"/>
    </row>
    <row r="108" spans="1:16">
      <c r="A108"/>
      <c r="B108"/>
      <c r="C108"/>
      <c r="D108"/>
      <c r="E108"/>
      <c r="F108"/>
      <c r="G108"/>
      <c r="H108"/>
      <c r="I108"/>
      <c r="J108"/>
      <c r="K108"/>
      <c r="L108"/>
      <c r="M108"/>
      <c r="N108"/>
      <c r="O108"/>
      <c r="P108"/>
    </row>
    <row r="109" spans="1:16">
      <c r="A109"/>
      <c r="B109"/>
      <c r="C109"/>
      <c r="D109"/>
      <c r="E109"/>
      <c r="F109"/>
      <c r="G109"/>
      <c r="H109"/>
      <c r="I109"/>
      <c r="J109"/>
      <c r="K109"/>
      <c r="L109"/>
      <c r="M109"/>
      <c r="N109"/>
      <c r="O109"/>
      <c r="P109"/>
    </row>
    <row r="110" spans="1:16">
      <c r="A110"/>
      <c r="B110"/>
      <c r="C110"/>
      <c r="D110"/>
      <c r="E110"/>
      <c r="F110"/>
      <c r="G110"/>
      <c r="H110"/>
      <c r="I110"/>
      <c r="J110"/>
      <c r="K110"/>
      <c r="L110"/>
      <c r="M110"/>
      <c r="N110"/>
      <c r="O110"/>
      <c r="P110"/>
    </row>
    <row r="111" spans="1:16">
      <c r="A111"/>
      <c r="B111"/>
      <c r="C111"/>
      <c r="D111"/>
      <c r="E111"/>
      <c r="F111"/>
      <c r="G111"/>
      <c r="H111"/>
      <c r="I111"/>
      <c r="J111"/>
      <c r="K111"/>
      <c r="L111"/>
      <c r="M111"/>
      <c r="N111"/>
      <c r="O111"/>
      <c r="P111"/>
    </row>
    <row r="112" spans="1:16">
      <c r="A112"/>
      <c r="B112"/>
      <c r="C112"/>
      <c r="D112"/>
      <c r="E112"/>
      <c r="F112"/>
      <c r="G112"/>
      <c r="H112"/>
      <c r="I112"/>
      <c r="J112"/>
      <c r="K112"/>
      <c r="L112"/>
      <c r="M112"/>
      <c r="N112"/>
      <c r="O112"/>
      <c r="P112"/>
    </row>
    <row r="113" spans="1:16">
      <c r="A113"/>
      <c r="B113"/>
      <c r="C113"/>
      <c r="D113"/>
      <c r="E113"/>
      <c r="F113"/>
      <c r="G113"/>
      <c r="H113"/>
      <c r="I113"/>
      <c r="J113"/>
      <c r="K113"/>
      <c r="L113"/>
      <c r="M113"/>
      <c r="N113"/>
      <c r="O113"/>
      <c r="P113"/>
    </row>
    <row r="114" spans="1:16">
      <c r="A114"/>
      <c r="B114"/>
      <c r="C114"/>
      <c r="D114"/>
      <c r="E114"/>
      <c r="F114"/>
      <c r="G114"/>
      <c r="H114"/>
      <c r="I114"/>
      <c r="J114"/>
      <c r="K114"/>
      <c r="L114"/>
      <c r="M114"/>
      <c r="N114"/>
      <c r="O114"/>
      <c r="P114"/>
    </row>
    <row r="115" spans="1:16">
      <c r="A115"/>
      <c r="B115"/>
      <c r="C115"/>
      <c r="D115"/>
      <c r="E115"/>
      <c r="F115"/>
      <c r="G115"/>
      <c r="H115"/>
      <c r="I115"/>
      <c r="J115"/>
      <c r="K115"/>
      <c r="L115"/>
      <c r="M115"/>
      <c r="N115"/>
      <c r="O115"/>
      <c r="P115"/>
    </row>
    <row r="116" spans="1:16">
      <c r="A116"/>
      <c r="B116"/>
      <c r="C116"/>
      <c r="D116"/>
      <c r="E116"/>
      <c r="F116"/>
      <c r="G116"/>
      <c r="H116"/>
      <c r="I116"/>
      <c r="J116"/>
      <c r="K116"/>
      <c r="L116"/>
      <c r="M116"/>
      <c r="N116"/>
      <c r="O116"/>
      <c r="P116"/>
    </row>
    <row r="117" spans="1:16">
      <c r="A117"/>
      <c r="B117"/>
      <c r="C117"/>
      <c r="D117"/>
      <c r="E117"/>
      <c r="F117"/>
      <c r="G117"/>
      <c r="H117"/>
      <c r="I117"/>
      <c r="J117"/>
      <c r="K117"/>
      <c r="L117"/>
      <c r="M117"/>
      <c r="N117"/>
      <c r="O117"/>
      <c r="P117"/>
    </row>
    <row r="118" spans="1:16">
      <c r="A118"/>
      <c r="B118"/>
      <c r="C118"/>
      <c r="D118"/>
      <c r="E118"/>
      <c r="F118"/>
      <c r="G118"/>
      <c r="H118"/>
      <c r="I118"/>
      <c r="J118"/>
      <c r="K118"/>
      <c r="L118"/>
      <c r="M118"/>
      <c r="N118"/>
      <c r="O118"/>
      <c r="P118"/>
    </row>
    <row r="119" spans="1:16">
      <c r="A119"/>
      <c r="B119"/>
      <c r="C119"/>
      <c r="D119"/>
      <c r="E119"/>
      <c r="F119"/>
      <c r="G119"/>
      <c r="H119"/>
      <c r="I119"/>
      <c r="J119"/>
      <c r="K119"/>
      <c r="L119"/>
      <c r="M119"/>
      <c r="N119"/>
      <c r="O119"/>
      <c r="P119"/>
    </row>
    <row r="120" spans="1:16">
      <c r="A120"/>
      <c r="B120"/>
      <c r="C120"/>
      <c r="D120"/>
      <c r="E120"/>
      <c r="F120"/>
      <c r="G120"/>
      <c r="H120"/>
      <c r="I120"/>
      <c r="J120"/>
      <c r="K120"/>
      <c r="L120"/>
      <c r="M120"/>
      <c r="N120"/>
      <c r="O120"/>
      <c r="P120"/>
    </row>
    <row r="121" spans="1:16">
      <c r="A121"/>
      <c r="B121"/>
      <c r="C121"/>
      <c r="D121"/>
      <c r="E121"/>
      <c r="F121"/>
      <c r="G121"/>
      <c r="H121"/>
      <c r="I121"/>
      <c r="J121"/>
      <c r="K121"/>
      <c r="L121"/>
      <c r="M121"/>
      <c r="N121"/>
      <c r="O121"/>
      <c r="P121"/>
    </row>
    <row r="122" spans="1:16">
      <c r="A122"/>
      <c r="B122"/>
      <c r="C122"/>
      <c r="D122"/>
      <c r="E122"/>
      <c r="F122"/>
      <c r="G122"/>
      <c r="H122"/>
      <c r="I122"/>
      <c r="J122"/>
      <c r="K122"/>
      <c r="L122"/>
      <c r="M122"/>
      <c r="N122"/>
      <c r="O122"/>
      <c r="P122"/>
    </row>
    <row r="123" spans="1:16">
      <c r="A123"/>
      <c r="B123"/>
      <c r="C123"/>
      <c r="D123"/>
      <c r="E123"/>
      <c r="F123"/>
      <c r="G123"/>
      <c r="H123"/>
      <c r="I123"/>
      <c r="J123"/>
      <c r="K123"/>
      <c r="L123"/>
      <c r="M123"/>
      <c r="N123"/>
      <c r="O123"/>
      <c r="P123"/>
    </row>
    <row r="124" spans="1:16">
      <c r="A124"/>
      <c r="B124"/>
      <c r="C124"/>
      <c r="D124"/>
      <c r="E124"/>
      <c r="F124"/>
      <c r="G124"/>
      <c r="H124"/>
      <c r="I124"/>
      <c r="J124"/>
      <c r="K124"/>
      <c r="L124"/>
      <c r="M124"/>
      <c r="N124"/>
      <c r="O124"/>
      <c r="P124"/>
    </row>
    <row r="125" spans="1:16">
      <c r="A125"/>
      <c r="B125"/>
      <c r="C125"/>
      <c r="D125"/>
      <c r="E125"/>
      <c r="F125"/>
      <c r="G125"/>
      <c r="H125"/>
      <c r="I125"/>
      <c r="J125"/>
      <c r="K125"/>
      <c r="L125"/>
      <c r="M125"/>
      <c r="N125"/>
      <c r="O125"/>
      <c r="P125"/>
    </row>
    <row r="126" spans="1:16">
      <c r="A126"/>
      <c r="B126"/>
      <c r="C126"/>
      <c r="D126"/>
      <c r="E126"/>
      <c r="F126"/>
      <c r="G126"/>
      <c r="H126"/>
      <c r="I126"/>
      <c r="J126"/>
      <c r="K126"/>
      <c r="L126"/>
      <c r="M126"/>
      <c r="N126"/>
      <c r="O126"/>
      <c r="P126"/>
    </row>
    <row r="127" spans="1:16">
      <c r="A127"/>
      <c r="B127"/>
      <c r="C127"/>
      <c r="D127"/>
      <c r="E127"/>
      <c r="F127"/>
      <c r="G127"/>
      <c r="H127"/>
      <c r="I127"/>
      <c r="J127"/>
      <c r="K127"/>
      <c r="L127"/>
      <c r="M127"/>
      <c r="N127"/>
      <c r="O127"/>
      <c r="P127"/>
    </row>
    <row r="128" spans="1:16">
      <c r="A128"/>
      <c r="B128"/>
      <c r="C128"/>
      <c r="D128"/>
      <c r="E128"/>
      <c r="F128"/>
      <c r="G128"/>
      <c r="H128"/>
      <c r="I128"/>
      <c r="J128"/>
      <c r="K128"/>
      <c r="L128"/>
      <c r="M128"/>
      <c r="N128"/>
      <c r="O128"/>
      <c r="P128"/>
    </row>
    <row r="129" spans="1:16">
      <c r="A129"/>
      <c r="B129"/>
      <c r="C129"/>
      <c r="D129"/>
      <c r="E129"/>
      <c r="F129"/>
      <c r="G129"/>
      <c r="H129"/>
      <c r="I129"/>
      <c r="J129"/>
      <c r="K129"/>
      <c r="L129"/>
      <c r="M129"/>
      <c r="N129"/>
      <c r="O129"/>
      <c r="P129"/>
    </row>
    <row r="130" spans="1:16">
      <c r="A130"/>
      <c r="B130"/>
      <c r="C130"/>
      <c r="D130"/>
      <c r="E130"/>
      <c r="F130"/>
      <c r="G130"/>
      <c r="H130"/>
      <c r="I130"/>
      <c r="J130"/>
      <c r="K130"/>
      <c r="L130"/>
      <c r="M130"/>
      <c r="N130"/>
      <c r="O130"/>
      <c r="P130"/>
    </row>
    <row r="131" spans="1:16">
      <c r="A131"/>
      <c r="B131"/>
      <c r="C131"/>
      <c r="D131"/>
      <c r="E131"/>
      <c r="F131"/>
      <c r="G131"/>
      <c r="H131"/>
      <c r="I131"/>
      <c r="J131"/>
      <c r="K131"/>
      <c r="L131"/>
      <c r="M131"/>
      <c r="N131"/>
      <c r="O131"/>
      <c r="P131"/>
    </row>
    <row r="132" spans="1:16">
      <c r="A132"/>
      <c r="B132"/>
      <c r="C132"/>
      <c r="D132"/>
      <c r="E132"/>
      <c r="F132"/>
      <c r="G132"/>
      <c r="H132"/>
      <c r="I132"/>
      <c r="J132"/>
      <c r="K132"/>
      <c r="L132"/>
      <c r="M132"/>
      <c r="N132"/>
      <c r="O132"/>
      <c r="P132"/>
    </row>
    <row r="133" spans="1:16">
      <c r="A133"/>
      <c r="B133"/>
      <c r="C133"/>
      <c r="D133"/>
      <c r="E133"/>
      <c r="F133"/>
      <c r="G133"/>
      <c r="H133"/>
      <c r="I133"/>
      <c r="J133"/>
      <c r="K133"/>
      <c r="L133"/>
      <c r="M133"/>
      <c r="N133"/>
      <c r="O133"/>
      <c r="P133"/>
    </row>
    <row r="134" spans="1:16">
      <c r="A134"/>
      <c r="B134"/>
      <c r="C134"/>
      <c r="D134"/>
      <c r="E134"/>
      <c r="F134"/>
      <c r="G134"/>
      <c r="H134"/>
      <c r="I134"/>
      <c r="J134"/>
      <c r="K134"/>
      <c r="L134"/>
      <c r="M134"/>
      <c r="N134"/>
      <c r="O134"/>
      <c r="P134"/>
    </row>
    <row r="135" spans="1:16">
      <c r="A135"/>
      <c r="B135"/>
      <c r="C135"/>
      <c r="D135"/>
      <c r="E135"/>
      <c r="F135"/>
      <c r="G135"/>
      <c r="H135"/>
      <c r="I135"/>
      <c r="J135"/>
      <c r="K135"/>
      <c r="L135"/>
      <c r="M135"/>
      <c r="N135"/>
      <c r="O135"/>
      <c r="P135"/>
    </row>
    <row r="136" spans="1:16">
      <c r="A136"/>
      <c r="B136"/>
      <c r="C136"/>
      <c r="D136"/>
      <c r="E136"/>
      <c r="F136"/>
      <c r="G136"/>
      <c r="H136"/>
      <c r="I136"/>
      <c r="J136"/>
      <c r="K136"/>
      <c r="L136"/>
      <c r="M136"/>
      <c r="N136"/>
      <c r="O136"/>
      <c r="P136"/>
    </row>
    <row r="137" spans="1:16">
      <c r="A137"/>
      <c r="B137"/>
      <c r="C137"/>
      <c r="D137"/>
      <c r="E137"/>
      <c r="F137"/>
      <c r="G137"/>
      <c r="H137"/>
      <c r="I137"/>
      <c r="J137"/>
      <c r="K137"/>
      <c r="L137"/>
      <c r="M137"/>
      <c r="N137"/>
      <c r="O137"/>
      <c r="P137"/>
    </row>
    <row r="138" spans="1:16">
      <c r="A138"/>
      <c r="B138"/>
      <c r="C138"/>
      <c r="D138"/>
      <c r="E138"/>
      <c r="F138"/>
      <c r="G138"/>
      <c r="H138"/>
      <c r="I138"/>
      <c r="J138"/>
      <c r="K138"/>
      <c r="L138"/>
      <c r="M138"/>
      <c r="N138"/>
      <c r="O138"/>
      <c r="P138"/>
    </row>
    <row r="139" spans="1:16">
      <c r="A139"/>
      <c r="B139"/>
      <c r="C139"/>
      <c r="D139"/>
      <c r="E139"/>
      <c r="F139"/>
      <c r="G139"/>
      <c r="H139"/>
      <c r="I139"/>
      <c r="J139"/>
      <c r="K139"/>
      <c r="L139"/>
      <c r="M139"/>
      <c r="N139"/>
      <c r="O139"/>
      <c r="P139"/>
    </row>
    <row r="140" spans="1:16">
      <c r="A140"/>
      <c r="B140"/>
      <c r="C140"/>
      <c r="D140"/>
      <c r="E140"/>
      <c r="F140"/>
      <c r="G140"/>
      <c r="H140"/>
      <c r="I140"/>
      <c r="J140"/>
      <c r="K140"/>
      <c r="L140"/>
      <c r="M140"/>
      <c r="N140"/>
      <c r="O140"/>
      <c r="P140"/>
    </row>
    <row r="141" spans="1:16">
      <c r="A141"/>
      <c r="B141"/>
      <c r="C141"/>
      <c r="D141"/>
      <c r="E141"/>
      <c r="F141"/>
      <c r="G141"/>
      <c r="H141"/>
      <c r="I141"/>
      <c r="J141"/>
      <c r="K141"/>
      <c r="L141"/>
      <c r="M141"/>
      <c r="N141"/>
      <c r="O141"/>
      <c r="P141"/>
    </row>
    <row r="142" spans="1:16">
      <c r="A142"/>
      <c r="B142"/>
      <c r="C142"/>
      <c r="D142"/>
      <c r="E142"/>
      <c r="F142"/>
      <c r="G142"/>
      <c r="H142"/>
      <c r="I142"/>
      <c r="J142"/>
      <c r="K142"/>
      <c r="L142"/>
      <c r="M142"/>
      <c r="N142"/>
      <c r="O142"/>
      <c r="P142"/>
    </row>
    <row r="143" spans="1:16">
      <c r="A143"/>
      <c r="B143"/>
      <c r="C143"/>
      <c r="D143"/>
      <c r="E143"/>
      <c r="F143"/>
      <c r="G143"/>
      <c r="H143"/>
      <c r="I143"/>
      <c r="J143"/>
      <c r="K143"/>
      <c r="L143"/>
      <c r="M143"/>
      <c r="N143"/>
      <c r="O143"/>
      <c r="P143"/>
    </row>
    <row r="144" spans="1:16">
      <c r="A144"/>
      <c r="B144"/>
      <c r="C144"/>
      <c r="D144"/>
      <c r="E144"/>
      <c r="F144"/>
      <c r="G144"/>
      <c r="H144"/>
      <c r="I144"/>
      <c r="J144"/>
      <c r="K144"/>
      <c r="L144"/>
      <c r="M144"/>
      <c r="N144"/>
      <c r="O144"/>
      <c r="P144"/>
    </row>
    <row r="145" spans="1:16">
      <c r="A145"/>
      <c r="B145"/>
      <c r="C145"/>
      <c r="D145"/>
      <c r="E145"/>
      <c r="F145"/>
      <c r="G145"/>
      <c r="H145"/>
      <c r="I145"/>
      <c r="J145"/>
      <c r="K145"/>
      <c r="L145"/>
      <c r="M145"/>
      <c r="N145"/>
      <c r="O145"/>
      <c r="P145"/>
    </row>
    <row r="146" spans="1:16">
      <c r="A146"/>
      <c r="B146"/>
      <c r="C146"/>
      <c r="D146"/>
      <c r="E146"/>
      <c r="F146"/>
      <c r="G146"/>
      <c r="H146"/>
      <c r="I146"/>
      <c r="J146"/>
      <c r="K146"/>
      <c r="L146"/>
      <c r="M146"/>
      <c r="N146"/>
      <c r="O146"/>
      <c r="P146"/>
    </row>
    <row r="147" spans="1:16">
      <c r="A147"/>
      <c r="B147"/>
      <c r="C147"/>
      <c r="D147"/>
      <c r="E147"/>
      <c r="F147"/>
      <c r="G147"/>
      <c r="H147"/>
      <c r="I147"/>
      <c r="J147"/>
      <c r="K147"/>
      <c r="L147"/>
      <c r="M147"/>
      <c r="N147"/>
      <c r="O147"/>
      <c r="P147"/>
    </row>
    <row r="148" spans="1:16">
      <c r="A148"/>
      <c r="B148"/>
      <c r="C148"/>
      <c r="D148"/>
      <c r="E148"/>
      <c r="F148"/>
      <c r="G148"/>
      <c r="H148"/>
      <c r="I148"/>
      <c r="J148"/>
      <c r="K148"/>
      <c r="L148"/>
      <c r="M148"/>
      <c r="N148"/>
      <c r="O148"/>
      <c r="P148"/>
    </row>
    <row r="149" spans="1:16">
      <c r="A149"/>
      <c r="B149"/>
      <c r="C149"/>
      <c r="D149"/>
      <c r="E149"/>
      <c r="F149"/>
      <c r="G149"/>
      <c r="H149"/>
      <c r="I149"/>
      <c r="J149"/>
      <c r="K149"/>
      <c r="L149"/>
      <c r="M149"/>
      <c r="N149"/>
      <c r="O149"/>
      <c r="P149"/>
    </row>
    <row r="150" spans="1:16">
      <c r="A150"/>
      <c r="B150"/>
      <c r="C150"/>
      <c r="D150"/>
      <c r="E150"/>
      <c r="F150"/>
      <c r="G150"/>
      <c r="H150"/>
      <c r="I150"/>
      <c r="J150"/>
      <c r="K150"/>
      <c r="L150"/>
      <c r="M150"/>
      <c r="N150"/>
      <c r="O150"/>
      <c r="P150"/>
    </row>
    <row r="151" spans="1:16">
      <c r="A151"/>
      <c r="B151"/>
      <c r="C151"/>
      <c r="D151"/>
      <c r="E151"/>
      <c r="F151"/>
      <c r="G151"/>
      <c r="H151"/>
      <c r="I151"/>
      <c r="J151"/>
      <c r="K151"/>
      <c r="L151"/>
      <c r="M151"/>
      <c r="N151"/>
      <c r="O151"/>
      <c r="P151"/>
    </row>
    <row r="152" spans="1:16">
      <c r="A152"/>
      <c r="B152"/>
      <c r="C152"/>
      <c r="D152"/>
      <c r="E152"/>
      <c r="F152"/>
      <c r="G152"/>
      <c r="H152"/>
      <c r="I152"/>
      <c r="J152"/>
      <c r="K152"/>
      <c r="L152"/>
      <c r="M152"/>
      <c r="N152"/>
      <c r="O152"/>
      <c r="P152"/>
    </row>
    <row r="153" spans="1:16">
      <c r="A153"/>
      <c r="B153"/>
      <c r="C153"/>
      <c r="D153"/>
      <c r="E153"/>
      <c r="F153"/>
      <c r="G153"/>
      <c r="H153"/>
      <c r="I153"/>
      <c r="J153"/>
      <c r="K153"/>
      <c r="L153"/>
      <c r="M153"/>
      <c r="N153"/>
      <c r="O153"/>
      <c r="P153"/>
    </row>
    <row r="154" spans="1:16">
      <c r="A154"/>
      <c r="B154"/>
      <c r="C154"/>
      <c r="D154"/>
      <c r="E154"/>
      <c r="F154"/>
      <c r="G154"/>
      <c r="H154"/>
      <c r="I154"/>
      <c r="J154"/>
      <c r="K154"/>
      <c r="L154"/>
      <c r="M154"/>
      <c r="N154"/>
      <c r="O154"/>
      <c r="P154"/>
    </row>
    <row r="155" spans="1:16">
      <c r="A155"/>
      <c r="B155"/>
      <c r="C155"/>
      <c r="D155"/>
      <c r="E155"/>
      <c r="F155"/>
      <c r="G155"/>
      <c r="H155"/>
      <c r="I155"/>
      <c r="J155"/>
      <c r="K155"/>
      <c r="L155"/>
      <c r="M155"/>
      <c r="N155"/>
      <c r="O155"/>
      <c r="P155"/>
    </row>
    <row r="156" spans="1:16">
      <c r="A156"/>
      <c r="B156"/>
      <c r="C156"/>
      <c r="D156"/>
      <c r="E156"/>
      <c r="F156"/>
      <c r="G156"/>
      <c r="H156"/>
      <c r="I156"/>
      <c r="J156"/>
      <c r="K156"/>
      <c r="L156"/>
      <c r="M156"/>
      <c r="N156"/>
      <c r="O156"/>
      <c r="P156"/>
    </row>
    <row r="157" spans="1:16">
      <c r="A157"/>
      <c r="B157"/>
      <c r="C157"/>
      <c r="D157"/>
      <c r="E157"/>
      <c r="F157"/>
      <c r="G157"/>
      <c r="H157"/>
      <c r="I157"/>
      <c r="J157"/>
      <c r="K157"/>
      <c r="L157"/>
      <c r="M157"/>
      <c r="N157"/>
      <c r="O157"/>
      <c r="P157"/>
    </row>
    <row r="158" spans="1:16">
      <c r="A158"/>
      <c r="B158"/>
      <c r="C158"/>
      <c r="D158"/>
      <c r="E158"/>
      <c r="F158"/>
      <c r="G158"/>
      <c r="H158"/>
      <c r="I158"/>
      <c r="J158"/>
      <c r="K158"/>
      <c r="L158"/>
      <c r="M158"/>
      <c r="N158"/>
      <c r="O158"/>
      <c r="P158"/>
    </row>
    <row r="159" spans="1:16">
      <c r="A159"/>
      <c r="B159"/>
      <c r="C159"/>
      <c r="D159"/>
      <c r="E159"/>
      <c r="F159"/>
      <c r="G159"/>
      <c r="H159"/>
      <c r="I159"/>
      <c r="J159"/>
      <c r="K159"/>
      <c r="L159"/>
      <c r="M159"/>
      <c r="N159"/>
      <c r="O159"/>
      <c r="P159"/>
    </row>
    <row r="160" spans="1:16">
      <c r="A160"/>
      <c r="B160"/>
      <c r="C160"/>
      <c r="D160"/>
      <c r="E160"/>
      <c r="F160"/>
      <c r="G160"/>
      <c r="H160"/>
      <c r="I160"/>
      <c r="J160"/>
      <c r="K160"/>
      <c r="L160"/>
      <c r="M160"/>
      <c r="N160"/>
      <c r="O160"/>
      <c r="P160"/>
    </row>
    <row r="161" spans="1:16">
      <c r="A161"/>
      <c r="B161"/>
      <c r="C161"/>
      <c r="D161"/>
      <c r="E161"/>
      <c r="F161"/>
      <c r="G161"/>
      <c r="H161"/>
      <c r="I161"/>
      <c r="J161"/>
      <c r="K161"/>
      <c r="L161"/>
      <c r="M161"/>
      <c r="N161"/>
      <c r="O161"/>
      <c r="P161"/>
    </row>
    <row r="162" spans="1:16">
      <c r="A162"/>
      <c r="B162"/>
      <c r="C162"/>
      <c r="D162"/>
      <c r="E162"/>
      <c r="F162"/>
      <c r="G162"/>
      <c r="H162"/>
      <c r="I162"/>
      <c r="J162"/>
      <c r="K162"/>
      <c r="L162"/>
      <c r="M162"/>
      <c r="N162"/>
      <c r="O162"/>
      <c r="P162"/>
    </row>
    <row r="163" spans="1:16">
      <c r="A163"/>
      <c r="B163"/>
      <c r="C163"/>
      <c r="D163"/>
      <c r="E163"/>
      <c r="F163"/>
      <c r="G163"/>
      <c r="H163"/>
      <c r="I163"/>
      <c r="J163"/>
      <c r="K163"/>
      <c r="L163"/>
      <c r="M163"/>
      <c r="N163"/>
      <c r="O163"/>
      <c r="P163"/>
    </row>
    <row r="164" spans="1:16">
      <c r="A164"/>
      <c r="B164"/>
      <c r="C164"/>
      <c r="D164"/>
      <c r="E164"/>
      <c r="F164"/>
      <c r="G164"/>
      <c r="H164"/>
      <c r="I164"/>
      <c r="J164"/>
      <c r="K164"/>
      <c r="L164"/>
      <c r="M164"/>
      <c r="N164"/>
      <c r="O164"/>
      <c r="P164"/>
    </row>
    <row r="165" spans="1:16">
      <c r="A165"/>
      <c r="B165"/>
      <c r="C165"/>
      <c r="D165"/>
      <c r="E165"/>
      <c r="F165"/>
      <c r="G165"/>
      <c r="H165"/>
      <c r="I165"/>
      <c r="J165"/>
      <c r="K165"/>
      <c r="L165"/>
      <c r="M165"/>
      <c r="N165"/>
      <c r="O165"/>
      <c r="P165"/>
    </row>
    <row r="166" spans="1:16">
      <c r="A166"/>
      <c r="B166"/>
      <c r="C166"/>
      <c r="D166"/>
      <c r="E166"/>
      <c r="F166"/>
      <c r="G166"/>
      <c r="H166"/>
      <c r="I166"/>
      <c r="J166"/>
      <c r="K166"/>
      <c r="L166"/>
      <c r="M166"/>
      <c r="N166"/>
      <c r="O166"/>
      <c r="P166"/>
    </row>
    <row r="167" spans="1:16">
      <c r="A167"/>
      <c r="B167"/>
      <c r="C167"/>
      <c r="D167"/>
      <c r="E167"/>
      <c r="F167"/>
      <c r="G167"/>
      <c r="H167"/>
      <c r="I167"/>
      <c r="J167"/>
      <c r="K167"/>
      <c r="L167"/>
      <c r="M167"/>
      <c r="N167"/>
      <c r="O167"/>
      <c r="P167"/>
    </row>
    <row r="168" spans="1:16">
      <c r="A168"/>
      <c r="B168"/>
      <c r="C168"/>
      <c r="D168"/>
      <c r="E168"/>
      <c r="F168"/>
      <c r="G168"/>
      <c r="H168"/>
      <c r="I168"/>
      <c r="J168"/>
      <c r="K168"/>
      <c r="L168"/>
      <c r="M168"/>
      <c r="N168"/>
      <c r="O168"/>
      <c r="P168"/>
    </row>
    <row r="169" spans="1:16">
      <c r="A169"/>
      <c r="B169"/>
      <c r="C169"/>
      <c r="D169"/>
      <c r="E169"/>
      <c r="F169"/>
      <c r="G169"/>
      <c r="H169"/>
      <c r="I169"/>
      <c r="J169"/>
      <c r="K169"/>
      <c r="L169"/>
      <c r="M169"/>
      <c r="N169"/>
      <c r="O169"/>
      <c r="P169"/>
    </row>
    <row r="170" spans="1:16">
      <c r="A170"/>
      <c r="B170"/>
      <c r="C170"/>
      <c r="D170"/>
      <c r="E170"/>
      <c r="F170"/>
      <c r="G170"/>
      <c r="H170"/>
      <c r="I170"/>
      <c r="J170"/>
      <c r="K170"/>
      <c r="L170"/>
      <c r="M170"/>
      <c r="N170"/>
      <c r="O170"/>
      <c r="P170"/>
    </row>
    <row r="171" spans="1:16">
      <c r="A171"/>
      <c r="B171"/>
      <c r="C171"/>
      <c r="D171"/>
      <c r="E171"/>
      <c r="F171"/>
      <c r="G171"/>
      <c r="H171"/>
      <c r="I171"/>
      <c r="J171"/>
      <c r="K171"/>
      <c r="L171"/>
      <c r="M171"/>
      <c r="N171"/>
      <c r="O171"/>
      <c r="P171"/>
    </row>
    <row r="172" spans="1:16">
      <c r="A172"/>
      <c r="B172"/>
      <c r="C172"/>
      <c r="D172"/>
      <c r="E172"/>
      <c r="F172"/>
      <c r="G172"/>
      <c r="H172"/>
      <c r="I172"/>
      <c r="J172"/>
      <c r="K172"/>
      <c r="L172"/>
      <c r="M172"/>
      <c r="N172"/>
      <c r="O172"/>
      <c r="P172"/>
    </row>
    <row r="173" spans="1:16">
      <c r="A173"/>
      <c r="B173"/>
      <c r="C173"/>
      <c r="D173"/>
      <c r="E173"/>
      <c r="F173"/>
      <c r="G173"/>
      <c r="H173"/>
      <c r="I173"/>
      <c r="J173"/>
      <c r="K173"/>
      <c r="L173"/>
      <c r="M173"/>
      <c r="N173"/>
      <c r="O173"/>
      <c r="P173"/>
    </row>
    <row r="174" spans="1:16">
      <c r="A174"/>
      <c r="B174"/>
      <c r="C174"/>
      <c r="D174"/>
      <c r="E174"/>
      <c r="F174"/>
      <c r="G174"/>
      <c r="H174"/>
      <c r="I174"/>
      <c r="J174"/>
      <c r="K174"/>
      <c r="L174"/>
      <c r="M174"/>
      <c r="N174"/>
      <c r="O174"/>
      <c r="P174"/>
    </row>
    <row r="175" spans="1:16">
      <c r="A175"/>
      <c r="B175"/>
      <c r="C175"/>
      <c r="D175"/>
      <c r="E175"/>
      <c r="F175"/>
      <c r="G175"/>
      <c r="H175"/>
      <c r="I175"/>
      <c r="J175"/>
      <c r="K175"/>
      <c r="L175"/>
      <c r="M175"/>
      <c r="N175"/>
      <c r="O175"/>
      <c r="P175"/>
    </row>
    <row r="176" spans="1:16">
      <c r="A176"/>
      <c r="B176"/>
      <c r="C176"/>
      <c r="D176"/>
      <c r="E176"/>
      <c r="F176"/>
      <c r="G176"/>
      <c r="H176"/>
      <c r="I176"/>
      <c r="J176"/>
      <c r="K176"/>
      <c r="L176"/>
      <c r="M176"/>
      <c r="N176"/>
      <c r="O176"/>
      <c r="P176"/>
    </row>
    <row r="177" spans="1:16">
      <c r="A177"/>
      <c r="B177"/>
      <c r="C177"/>
      <c r="D177"/>
      <c r="E177"/>
      <c r="F177"/>
      <c r="G177"/>
      <c r="H177"/>
      <c r="I177"/>
      <c r="J177"/>
      <c r="K177"/>
      <c r="L177"/>
      <c r="M177"/>
      <c r="N177"/>
      <c r="O177"/>
      <c r="P177"/>
    </row>
    <row r="178" spans="1:16">
      <c r="A178"/>
      <c r="B178"/>
      <c r="C178"/>
      <c r="D178"/>
      <c r="E178"/>
      <c r="F178"/>
      <c r="G178"/>
      <c r="H178"/>
      <c r="I178"/>
      <c r="J178"/>
      <c r="K178"/>
      <c r="L178"/>
      <c r="M178"/>
      <c r="N178"/>
      <c r="O178"/>
      <c r="P178"/>
    </row>
    <row r="179" spans="1:16">
      <c r="A179"/>
      <c r="B179"/>
      <c r="C179"/>
      <c r="D179"/>
      <c r="E179"/>
      <c r="F179"/>
      <c r="G179"/>
      <c r="H179"/>
      <c r="I179"/>
      <c r="J179"/>
      <c r="K179"/>
      <c r="L179"/>
      <c r="M179"/>
      <c r="N179"/>
      <c r="O179"/>
      <c r="P179"/>
    </row>
    <row r="180" spans="1:16">
      <c r="A180"/>
      <c r="B180"/>
      <c r="C180"/>
      <c r="D180"/>
      <c r="E180"/>
      <c r="F180"/>
      <c r="G180"/>
      <c r="H180"/>
      <c r="I180"/>
      <c r="J180"/>
      <c r="K180"/>
      <c r="L180"/>
      <c r="M180"/>
      <c r="N180"/>
      <c r="O180"/>
      <c r="P180"/>
    </row>
    <row r="181" spans="1:16">
      <c r="A181"/>
      <c r="B181"/>
      <c r="C181"/>
      <c r="D181"/>
      <c r="E181"/>
      <c r="F181"/>
      <c r="G181"/>
      <c r="H181"/>
      <c r="I181"/>
      <c r="J181"/>
      <c r="K181"/>
      <c r="L181"/>
      <c r="M181"/>
      <c r="N181"/>
      <c r="O181"/>
      <c r="P181"/>
    </row>
    <row r="182" spans="1:16">
      <c r="A182"/>
      <c r="B182"/>
      <c r="C182"/>
      <c r="D182"/>
      <c r="E182"/>
      <c r="F182"/>
      <c r="G182"/>
      <c r="H182"/>
      <c r="I182"/>
      <c r="J182"/>
      <c r="K182"/>
      <c r="L182"/>
      <c r="M182"/>
      <c r="N182"/>
      <c r="O182"/>
      <c r="P182"/>
    </row>
    <row r="183" spans="1:16">
      <c r="A183"/>
      <c r="B183"/>
      <c r="C183"/>
      <c r="D183"/>
      <c r="E183"/>
      <c r="F183"/>
      <c r="G183"/>
      <c r="H183"/>
      <c r="I183"/>
      <c r="J183"/>
      <c r="K183"/>
      <c r="L183"/>
      <c r="M183"/>
      <c r="N183"/>
      <c r="O183"/>
      <c r="P183"/>
    </row>
    <row r="184" spans="1:16">
      <c r="A184"/>
      <c r="B184"/>
      <c r="C184"/>
      <c r="D184"/>
      <c r="E184"/>
      <c r="F184"/>
      <c r="G184"/>
      <c r="H184"/>
      <c r="I184"/>
      <c r="J184"/>
      <c r="K184"/>
      <c r="L184"/>
      <c r="M184"/>
      <c r="N184"/>
      <c r="O184"/>
      <c r="P184"/>
    </row>
    <row r="185" spans="1:16">
      <c r="A185"/>
      <c r="B185"/>
      <c r="C185"/>
      <c r="D185"/>
      <c r="E185"/>
      <c r="F185"/>
      <c r="G185"/>
      <c r="H185"/>
      <c r="I185"/>
      <c r="J185"/>
      <c r="K185"/>
      <c r="L185"/>
      <c r="M185"/>
      <c r="N185"/>
      <c r="O185"/>
      <c r="P185"/>
    </row>
    <row r="186" spans="1:16">
      <c r="A186"/>
      <c r="B186"/>
      <c r="C186"/>
      <c r="D186"/>
      <c r="E186"/>
      <c r="F186"/>
      <c r="G186"/>
      <c r="H186"/>
      <c r="I186"/>
      <c r="J186"/>
      <c r="K186"/>
      <c r="L186"/>
      <c r="M186"/>
      <c r="N186"/>
      <c r="O186"/>
      <c r="P186"/>
    </row>
    <row r="187" spans="1:16">
      <c r="A187"/>
      <c r="B187"/>
      <c r="C187"/>
      <c r="D187"/>
      <c r="E187"/>
      <c r="F187"/>
      <c r="G187"/>
      <c r="H187"/>
      <c r="I187"/>
      <c r="J187"/>
      <c r="K187"/>
      <c r="L187"/>
      <c r="M187"/>
      <c r="N187"/>
      <c r="O187"/>
      <c r="P187"/>
    </row>
    <row r="188" spans="1:16">
      <c r="A188"/>
      <c r="B188"/>
      <c r="C188"/>
      <c r="D188"/>
      <c r="E188"/>
      <c r="F188"/>
      <c r="G188"/>
      <c r="H188"/>
      <c r="I188"/>
      <c r="J188"/>
      <c r="K188"/>
      <c r="L188"/>
      <c r="M188"/>
      <c r="N188"/>
      <c r="O188"/>
      <c r="P188"/>
    </row>
    <row r="189" spans="1:16">
      <c r="A189"/>
      <c r="B189"/>
      <c r="C189"/>
      <c r="D189"/>
      <c r="E189"/>
      <c r="F189"/>
      <c r="G189"/>
      <c r="H189"/>
      <c r="I189"/>
      <c r="J189"/>
      <c r="K189"/>
      <c r="L189"/>
      <c r="M189"/>
      <c r="N189"/>
      <c r="O189"/>
      <c r="P189"/>
    </row>
    <row r="190" spans="1:16">
      <c r="A190"/>
      <c r="B190"/>
      <c r="C190"/>
      <c r="D190"/>
      <c r="E190"/>
      <c r="F190"/>
      <c r="G190"/>
      <c r="H190"/>
      <c r="I190"/>
      <c r="J190"/>
      <c r="K190"/>
      <c r="L190"/>
      <c r="M190"/>
      <c r="N190"/>
      <c r="O190"/>
      <c r="P190"/>
    </row>
    <row r="191" spans="1:16">
      <c r="A191"/>
      <c r="B191"/>
      <c r="C191"/>
      <c r="D191"/>
      <c r="E191"/>
      <c r="F191"/>
      <c r="G191"/>
      <c r="H191"/>
      <c r="I191"/>
      <c r="J191"/>
      <c r="K191"/>
      <c r="L191"/>
      <c r="M191"/>
      <c r="N191"/>
      <c r="O191"/>
      <c r="P191"/>
    </row>
    <row r="192" spans="1:16">
      <c r="A192"/>
      <c r="B192"/>
      <c r="C192"/>
      <c r="D192"/>
      <c r="E192"/>
      <c r="F192"/>
      <c r="G192"/>
      <c r="H192"/>
      <c r="I192"/>
      <c r="J192"/>
      <c r="K192"/>
      <c r="L192"/>
      <c r="M192"/>
      <c r="N192"/>
      <c r="O192"/>
      <c r="P192"/>
    </row>
    <row r="193" spans="1:16">
      <c r="A193"/>
      <c r="B193"/>
      <c r="C193"/>
      <c r="D193"/>
      <c r="E193"/>
      <c r="F193"/>
      <c r="G193"/>
      <c r="H193"/>
      <c r="I193"/>
      <c r="J193"/>
      <c r="K193"/>
      <c r="L193"/>
      <c r="M193"/>
      <c r="N193"/>
      <c r="O193"/>
      <c r="P193"/>
    </row>
    <row r="194" spans="1:16">
      <c r="A194"/>
      <c r="B194"/>
      <c r="C194"/>
      <c r="D194"/>
      <c r="E194"/>
      <c r="F194"/>
      <c r="G194"/>
      <c r="H194"/>
      <c r="I194"/>
      <c r="J194"/>
      <c r="K194"/>
      <c r="L194"/>
      <c r="M194"/>
      <c r="N194"/>
      <c r="O194"/>
      <c r="P194"/>
    </row>
    <row r="195" spans="1:16">
      <c r="A195"/>
      <c r="B195"/>
      <c r="C195"/>
      <c r="D195"/>
      <c r="E195"/>
      <c r="F195"/>
      <c r="G195"/>
      <c r="H195"/>
      <c r="I195"/>
      <c r="J195"/>
      <c r="K195"/>
      <c r="L195"/>
      <c r="M195"/>
      <c r="N195"/>
      <c r="O195"/>
      <c r="P195"/>
    </row>
    <row r="196" spans="1:16">
      <c r="A196"/>
      <c r="B196"/>
      <c r="C196"/>
      <c r="D196"/>
      <c r="E196"/>
      <c r="F196"/>
      <c r="G196"/>
      <c r="H196"/>
      <c r="I196"/>
      <c r="J196"/>
      <c r="K196"/>
      <c r="L196"/>
      <c r="M196"/>
      <c r="N196"/>
      <c r="O196"/>
      <c r="P196"/>
    </row>
    <row r="197" spans="1:16">
      <c r="A197"/>
      <c r="B197"/>
      <c r="C197"/>
      <c r="D197"/>
      <c r="E197"/>
      <c r="F197"/>
      <c r="G197"/>
      <c r="H197"/>
      <c r="I197"/>
      <c r="J197"/>
      <c r="K197"/>
      <c r="L197"/>
      <c r="M197"/>
      <c r="N197"/>
      <c r="O197"/>
      <c r="P197"/>
    </row>
    <row r="198" spans="1:16">
      <c r="A198"/>
      <c r="B198"/>
      <c r="C198"/>
      <c r="D198"/>
      <c r="E198"/>
      <c r="F198"/>
      <c r="G198"/>
      <c r="H198"/>
      <c r="I198"/>
      <c r="J198"/>
      <c r="K198"/>
      <c r="L198"/>
      <c r="M198"/>
      <c r="N198"/>
      <c r="O198"/>
      <c r="P198"/>
    </row>
    <row r="199" spans="1:16">
      <c r="A199"/>
      <c r="B199"/>
      <c r="C199"/>
      <c r="D199"/>
      <c r="E199"/>
      <c r="F199"/>
      <c r="G199"/>
      <c r="H199"/>
      <c r="I199"/>
      <c r="J199"/>
      <c r="K199"/>
      <c r="L199"/>
      <c r="M199"/>
      <c r="N199"/>
      <c r="O199"/>
      <c r="P199"/>
    </row>
    <row r="200" spans="1:16">
      <c r="A200"/>
      <c r="B200"/>
      <c r="C200"/>
      <c r="D200"/>
      <c r="E200"/>
      <c r="F200"/>
      <c r="G200"/>
      <c r="H200"/>
      <c r="I200"/>
      <c r="J200"/>
      <c r="K200"/>
      <c r="L200"/>
      <c r="M200"/>
      <c r="N200"/>
      <c r="O200"/>
      <c r="P200"/>
    </row>
    <row r="201" spans="1:16">
      <c r="A201"/>
      <c r="B201"/>
      <c r="C201"/>
      <c r="D201"/>
      <c r="E201"/>
      <c r="F201"/>
      <c r="G201"/>
      <c r="H201"/>
      <c r="I201"/>
      <c r="J201"/>
      <c r="K201"/>
      <c r="L201"/>
      <c r="M201"/>
      <c r="N201"/>
      <c r="O201"/>
      <c r="P201"/>
    </row>
    <row r="202" spans="1:16">
      <c r="A202"/>
      <c r="B202"/>
      <c r="C202"/>
      <c r="D202"/>
      <c r="E202"/>
      <c r="F202"/>
      <c r="G202"/>
      <c r="H202"/>
      <c r="I202"/>
      <c r="J202"/>
      <c r="K202"/>
      <c r="L202"/>
      <c r="M202"/>
      <c r="N202"/>
      <c r="O202"/>
      <c r="P202"/>
    </row>
    <row r="203" spans="1:16">
      <c r="A203"/>
      <c r="B203"/>
      <c r="C203"/>
      <c r="D203"/>
      <c r="E203"/>
      <c r="F203"/>
      <c r="G203"/>
      <c r="H203"/>
      <c r="I203"/>
      <c r="J203"/>
      <c r="K203"/>
      <c r="L203"/>
      <c r="M203"/>
      <c r="N203"/>
      <c r="O203"/>
      <c r="P203"/>
    </row>
    <row r="204" spans="1:16">
      <c r="A204"/>
      <c r="B204"/>
      <c r="C204"/>
      <c r="D204"/>
      <c r="E204"/>
      <c r="F204"/>
      <c r="G204"/>
      <c r="H204"/>
      <c r="I204"/>
      <c r="J204"/>
      <c r="K204"/>
      <c r="L204"/>
      <c r="M204"/>
      <c r="N204"/>
      <c r="O204"/>
      <c r="P204"/>
    </row>
    <row r="205" spans="1:16">
      <c r="A205"/>
      <c r="B205"/>
      <c r="C205"/>
      <c r="D205"/>
      <c r="E205"/>
      <c r="F205"/>
      <c r="G205"/>
      <c r="H205"/>
      <c r="I205"/>
      <c r="J205"/>
      <c r="K205"/>
      <c r="L205"/>
      <c r="M205"/>
      <c r="N205"/>
      <c r="O205"/>
      <c r="P205"/>
    </row>
    <row r="206" spans="1:16">
      <c r="A206"/>
      <c r="B206"/>
      <c r="C206"/>
      <c r="D206"/>
      <c r="E206"/>
      <c r="F206"/>
      <c r="G206"/>
      <c r="H206"/>
      <c r="I206"/>
      <c r="J206"/>
      <c r="K206"/>
      <c r="L206"/>
      <c r="M206"/>
      <c r="N206"/>
      <c r="O206"/>
      <c r="P206"/>
    </row>
    <row r="207" spans="1:16">
      <c r="A207"/>
      <c r="B207"/>
      <c r="C207"/>
      <c r="D207"/>
      <c r="E207"/>
      <c r="F207"/>
      <c r="G207"/>
      <c r="H207"/>
      <c r="I207"/>
      <c r="J207"/>
      <c r="K207"/>
      <c r="L207"/>
      <c r="M207"/>
      <c r="N207"/>
      <c r="O207"/>
      <c r="P207"/>
    </row>
    <row r="208" spans="1:16">
      <c r="A208"/>
      <c r="B208"/>
      <c r="C208"/>
      <c r="D208"/>
      <c r="E208"/>
      <c r="F208"/>
      <c r="G208"/>
      <c r="H208"/>
      <c r="I208"/>
      <c r="J208"/>
      <c r="K208"/>
      <c r="L208"/>
      <c r="M208"/>
      <c r="N208"/>
      <c r="O208"/>
      <c r="P208"/>
    </row>
    <row r="209" spans="1:16">
      <c r="A209"/>
      <c r="B209"/>
      <c r="C209"/>
      <c r="D209"/>
      <c r="E209"/>
      <c r="F209"/>
      <c r="G209"/>
      <c r="H209"/>
      <c r="I209"/>
      <c r="J209"/>
      <c r="K209"/>
      <c r="L209"/>
      <c r="M209"/>
      <c r="N209"/>
      <c r="O209"/>
      <c r="P209"/>
    </row>
    <row r="210" spans="1:16">
      <c r="A210"/>
      <c r="B210"/>
      <c r="C210"/>
      <c r="D210"/>
      <c r="E210"/>
      <c r="F210"/>
      <c r="G210"/>
      <c r="H210"/>
      <c r="I210"/>
      <c r="J210"/>
      <c r="K210"/>
      <c r="L210"/>
      <c r="M210"/>
      <c r="N210"/>
      <c r="O210"/>
      <c r="P210"/>
    </row>
    <row r="211" spans="1:16">
      <c r="A211"/>
      <c r="B211"/>
      <c r="C211"/>
      <c r="D211"/>
      <c r="E211"/>
      <c r="F211"/>
      <c r="G211"/>
      <c r="H211"/>
      <c r="I211"/>
      <c r="J211"/>
      <c r="K211"/>
      <c r="L211"/>
      <c r="M211"/>
      <c r="N211"/>
      <c r="O211"/>
      <c r="P211"/>
    </row>
    <row r="212" spans="1:16">
      <c r="A212"/>
      <c r="B212"/>
      <c r="C212"/>
      <c r="D212"/>
      <c r="E212"/>
      <c r="F212"/>
      <c r="G212"/>
      <c r="H212"/>
      <c r="I212"/>
      <c r="J212"/>
      <c r="K212"/>
      <c r="L212"/>
      <c r="M212"/>
      <c r="N212"/>
      <c r="O212"/>
      <c r="P212"/>
    </row>
    <row r="213" spans="1:16">
      <c r="A213"/>
      <c r="B213"/>
      <c r="C213"/>
      <c r="D213"/>
      <c r="E213"/>
      <c r="F213"/>
      <c r="G213"/>
      <c r="H213"/>
      <c r="I213"/>
      <c r="J213"/>
      <c r="K213"/>
      <c r="L213"/>
      <c r="M213"/>
      <c r="N213"/>
      <c r="O213"/>
      <c r="P213"/>
    </row>
    <row r="214" spans="1:16">
      <c r="A214"/>
      <c r="B214"/>
      <c r="C214"/>
      <c r="D214"/>
      <c r="E214"/>
      <c r="F214"/>
      <c r="G214"/>
      <c r="H214"/>
      <c r="I214"/>
      <c r="J214"/>
      <c r="K214"/>
      <c r="L214"/>
      <c r="M214"/>
      <c r="N214"/>
      <c r="O214"/>
      <c r="P214"/>
    </row>
    <row r="215" spans="1:16">
      <c r="A215"/>
      <c r="B215"/>
      <c r="C215"/>
      <c r="D215"/>
      <c r="E215"/>
      <c r="F215"/>
      <c r="G215"/>
      <c r="H215"/>
      <c r="I215"/>
      <c r="J215"/>
      <c r="K215"/>
      <c r="L215"/>
      <c r="M215"/>
      <c r="N215"/>
      <c r="O215"/>
      <c r="P215"/>
    </row>
    <row r="216" spans="1:16">
      <c r="A216"/>
      <c r="B216"/>
      <c r="C216"/>
      <c r="D216"/>
      <c r="E216"/>
      <c r="F216"/>
      <c r="G216"/>
      <c r="H216"/>
      <c r="I216"/>
      <c r="J216"/>
      <c r="K216"/>
      <c r="L216"/>
      <c r="M216"/>
      <c r="N216"/>
      <c r="O216"/>
      <c r="P216"/>
    </row>
    <row r="217" spans="1:16">
      <c r="A217"/>
      <c r="B217"/>
      <c r="C217"/>
      <c r="D217"/>
      <c r="E217"/>
      <c r="F217"/>
      <c r="G217"/>
      <c r="H217"/>
      <c r="I217"/>
      <c r="J217"/>
      <c r="K217"/>
      <c r="L217"/>
      <c r="M217"/>
      <c r="N217"/>
      <c r="O217"/>
      <c r="P217"/>
    </row>
    <row r="218" spans="1:16">
      <c r="A218"/>
      <c r="B218"/>
      <c r="C218"/>
      <c r="D218"/>
      <c r="E218"/>
      <c r="F218"/>
      <c r="G218"/>
      <c r="H218"/>
      <c r="I218"/>
      <c r="J218"/>
      <c r="K218"/>
      <c r="L218"/>
      <c r="M218"/>
      <c r="N218"/>
      <c r="O218"/>
      <c r="P218"/>
    </row>
    <row r="219" spans="1:16">
      <c r="A219"/>
      <c r="B219"/>
      <c r="C219"/>
      <c r="D219"/>
      <c r="E219"/>
      <c r="F219"/>
      <c r="G219"/>
      <c r="H219"/>
      <c r="I219"/>
      <c r="J219"/>
      <c r="K219"/>
      <c r="L219"/>
      <c r="M219"/>
      <c r="N219"/>
      <c r="O219"/>
      <c r="P219"/>
    </row>
    <row r="220" spans="1:16">
      <c r="A220"/>
      <c r="B220"/>
      <c r="C220"/>
      <c r="D220"/>
      <c r="E220"/>
      <c r="F220"/>
      <c r="G220"/>
      <c r="H220"/>
      <c r="I220"/>
      <c r="J220"/>
      <c r="K220"/>
      <c r="L220"/>
      <c r="M220"/>
      <c r="N220"/>
      <c r="O220"/>
      <c r="P220"/>
    </row>
    <row r="221" spans="1:16">
      <c r="A221"/>
      <c r="B221"/>
      <c r="C221"/>
      <c r="D221"/>
      <c r="E221"/>
      <c r="F221"/>
      <c r="G221"/>
      <c r="H221"/>
      <c r="I221"/>
      <c r="J221"/>
      <c r="K221"/>
      <c r="L221"/>
      <c r="M221"/>
      <c r="N221"/>
      <c r="O221"/>
      <c r="P221"/>
    </row>
    <row r="222" spans="1:16">
      <c r="A222"/>
      <c r="B222"/>
      <c r="C222"/>
      <c r="D222"/>
      <c r="E222"/>
      <c r="F222"/>
      <c r="G222"/>
      <c r="H222"/>
      <c r="I222"/>
      <c r="J222"/>
      <c r="K222"/>
      <c r="L222"/>
      <c r="M222"/>
      <c r="N222"/>
      <c r="O222"/>
      <c r="P222"/>
    </row>
    <row r="223" spans="1:16">
      <c r="A223"/>
      <c r="B223"/>
      <c r="C223"/>
      <c r="D223"/>
      <c r="E223"/>
      <c r="F223"/>
      <c r="G223"/>
      <c r="H223"/>
      <c r="I223"/>
      <c r="J223"/>
      <c r="K223"/>
      <c r="L223"/>
      <c r="M223"/>
      <c r="N223"/>
      <c r="O223"/>
      <c r="P223"/>
    </row>
    <row r="224" spans="1:16">
      <c r="A224"/>
      <c r="B224"/>
      <c r="C224"/>
      <c r="D224"/>
      <c r="E224"/>
      <c r="F224"/>
      <c r="G224"/>
      <c r="H224"/>
      <c r="I224"/>
      <c r="J224"/>
      <c r="K224"/>
      <c r="L224"/>
      <c r="M224"/>
      <c r="N224"/>
      <c r="O224"/>
      <c r="P224"/>
    </row>
    <row r="225" spans="1:16">
      <c r="A225"/>
      <c r="B225"/>
      <c r="C225"/>
      <c r="D225"/>
      <c r="E225"/>
      <c r="F225"/>
      <c r="G225"/>
      <c r="H225"/>
      <c r="I225"/>
      <c r="J225"/>
      <c r="K225"/>
      <c r="L225"/>
      <c r="M225"/>
      <c r="N225"/>
      <c r="O225"/>
      <c r="P225"/>
    </row>
    <row r="226" spans="1:16">
      <c r="A226"/>
      <c r="B226"/>
      <c r="C226"/>
      <c r="D226"/>
      <c r="E226"/>
      <c r="F226"/>
      <c r="G226"/>
      <c r="H226"/>
      <c r="I226"/>
      <c r="J226"/>
      <c r="K226"/>
      <c r="L226"/>
      <c r="M226"/>
      <c r="N226"/>
      <c r="O226"/>
      <c r="P226"/>
    </row>
    <row r="227" spans="1:16">
      <c r="A227"/>
      <c r="B227"/>
      <c r="C227"/>
      <c r="D227"/>
      <c r="E227"/>
      <c r="F227"/>
      <c r="G227"/>
      <c r="H227"/>
      <c r="I227"/>
      <c r="J227"/>
      <c r="K227"/>
      <c r="L227"/>
      <c r="M227"/>
      <c r="N227"/>
      <c r="O227"/>
      <c r="P227"/>
    </row>
    <row r="228" spans="1:16">
      <c r="A228"/>
      <c r="B228"/>
      <c r="C228"/>
      <c r="D228"/>
      <c r="E228"/>
      <c r="F228"/>
      <c r="G228"/>
      <c r="H228"/>
      <c r="I228"/>
      <c r="J228"/>
      <c r="K228"/>
      <c r="L228"/>
      <c r="M228"/>
      <c r="N228"/>
      <c r="O228"/>
      <c r="P228"/>
    </row>
    <row r="229" spans="1:16">
      <c r="A229"/>
      <c r="B229"/>
      <c r="C229"/>
      <c r="D229"/>
      <c r="E229"/>
      <c r="F229"/>
      <c r="G229"/>
      <c r="H229"/>
      <c r="I229"/>
      <c r="J229"/>
      <c r="K229"/>
      <c r="L229"/>
      <c r="M229"/>
      <c r="N229"/>
      <c r="O229"/>
      <c r="P229"/>
    </row>
    <row r="230" spans="1:16">
      <c r="A230"/>
      <c r="B230"/>
      <c r="C230"/>
      <c r="D230"/>
      <c r="E230"/>
      <c r="F230"/>
      <c r="G230"/>
      <c r="H230"/>
      <c r="I230"/>
      <c r="J230"/>
      <c r="K230"/>
      <c r="L230"/>
      <c r="M230"/>
      <c r="N230"/>
      <c r="O230"/>
      <c r="P230"/>
    </row>
    <row r="231" spans="1:16">
      <c r="A231"/>
      <c r="B231"/>
      <c r="C231"/>
      <c r="D231"/>
      <c r="E231"/>
      <c r="F231"/>
      <c r="G231"/>
      <c r="H231"/>
      <c r="I231"/>
      <c r="J231"/>
      <c r="K231"/>
      <c r="L231"/>
      <c r="M231"/>
      <c r="N231"/>
      <c r="O231"/>
      <c r="P231"/>
    </row>
    <row r="232" spans="1:16">
      <c r="A232"/>
      <c r="B232"/>
      <c r="C232"/>
      <c r="D232"/>
      <c r="E232"/>
      <c r="F232"/>
      <c r="G232"/>
      <c r="H232"/>
      <c r="I232"/>
      <c r="J232"/>
      <c r="K232"/>
      <c r="L232"/>
      <c r="M232"/>
      <c r="N232"/>
      <c r="O232"/>
      <c r="P232"/>
    </row>
    <row r="233" spans="1:16">
      <c r="A233"/>
      <c r="B233"/>
      <c r="C233"/>
      <c r="D233"/>
      <c r="E233"/>
      <c r="F233"/>
      <c r="G233"/>
      <c r="H233"/>
      <c r="I233"/>
      <c r="J233"/>
      <c r="K233"/>
      <c r="L233"/>
      <c r="M233"/>
      <c r="N233"/>
      <c r="O233"/>
      <c r="P233"/>
    </row>
    <row r="234" spans="1:16">
      <c r="A234"/>
      <c r="B234"/>
      <c r="C234"/>
      <c r="D234"/>
      <c r="E234"/>
      <c r="F234"/>
      <c r="G234"/>
      <c r="H234"/>
      <c r="I234"/>
      <c r="J234"/>
      <c r="K234"/>
      <c r="L234"/>
      <c r="M234"/>
      <c r="N234"/>
      <c r="O234"/>
      <c r="P234"/>
    </row>
    <row r="235" spans="1:16">
      <c r="A235"/>
      <c r="B235"/>
      <c r="C235"/>
      <c r="D235"/>
      <c r="E235"/>
      <c r="F235"/>
      <c r="G235"/>
      <c r="H235"/>
      <c r="I235"/>
      <c r="J235"/>
      <c r="K235"/>
      <c r="L235"/>
      <c r="M235"/>
      <c r="N235"/>
      <c r="O235"/>
      <c r="P235"/>
    </row>
    <row r="236" spans="1:16">
      <c r="A236"/>
      <c r="B236"/>
      <c r="C236"/>
      <c r="D236"/>
      <c r="E236"/>
      <c r="F236"/>
      <c r="G236"/>
      <c r="H236"/>
      <c r="I236"/>
      <c r="J236"/>
      <c r="K236"/>
      <c r="L236"/>
      <c r="M236"/>
      <c r="N236"/>
      <c r="O236"/>
      <c r="P236"/>
    </row>
    <row r="237" spans="1:16">
      <c r="A237"/>
      <c r="B237"/>
      <c r="C237"/>
      <c r="D237"/>
      <c r="E237"/>
      <c r="F237"/>
      <c r="G237"/>
      <c r="H237"/>
      <c r="I237"/>
      <c r="J237"/>
      <c r="K237"/>
      <c r="L237"/>
      <c r="M237"/>
      <c r="N237"/>
      <c r="O237"/>
      <c r="P237"/>
    </row>
    <row r="238" spans="1:16">
      <c r="A238"/>
      <c r="B238"/>
      <c r="C238"/>
      <c r="D238"/>
      <c r="E238"/>
      <c r="F238"/>
      <c r="G238"/>
      <c r="H238"/>
      <c r="I238"/>
      <c r="J238"/>
      <c r="K238"/>
      <c r="L238"/>
      <c r="M238"/>
      <c r="N238"/>
      <c r="O238"/>
      <c r="P238"/>
    </row>
    <row r="239" spans="1:16">
      <c r="A239"/>
      <c r="B239"/>
      <c r="C239"/>
      <c r="D239"/>
      <c r="E239"/>
      <c r="F239"/>
      <c r="G239"/>
      <c r="H239"/>
      <c r="I239"/>
      <c r="J239"/>
      <c r="K239"/>
      <c r="L239"/>
      <c r="M239"/>
      <c r="N239"/>
      <c r="O239"/>
      <c r="P239"/>
    </row>
    <row r="240" spans="1:16">
      <c r="A240"/>
      <c r="B240"/>
      <c r="C240"/>
      <c r="D240"/>
      <c r="E240"/>
      <c r="F240"/>
      <c r="G240"/>
      <c r="H240"/>
      <c r="I240"/>
      <c r="J240"/>
      <c r="K240"/>
      <c r="L240"/>
      <c r="M240"/>
      <c r="N240"/>
      <c r="O240"/>
      <c r="P240"/>
    </row>
    <row r="241" spans="1:16">
      <c r="A241"/>
      <c r="B241"/>
      <c r="C241"/>
      <c r="D241"/>
      <c r="E241"/>
      <c r="F241"/>
      <c r="G241"/>
      <c r="H241"/>
      <c r="I241"/>
      <c r="J241"/>
      <c r="K241"/>
      <c r="L241"/>
      <c r="M241"/>
      <c r="N241"/>
      <c r="O241"/>
      <c r="P241"/>
    </row>
    <row r="242" spans="1:16">
      <c r="A242"/>
      <c r="B242"/>
      <c r="C242"/>
      <c r="D242"/>
      <c r="E242"/>
      <c r="F242"/>
      <c r="G242"/>
      <c r="H242"/>
      <c r="I242"/>
      <c r="J242"/>
      <c r="K242"/>
      <c r="L242"/>
      <c r="M242"/>
      <c r="N242"/>
      <c r="O242"/>
      <c r="P242"/>
    </row>
    <row r="243" spans="1:16">
      <c r="A243"/>
      <c r="B243"/>
      <c r="C243"/>
      <c r="D243"/>
      <c r="E243"/>
      <c r="F243"/>
      <c r="G243"/>
      <c r="H243"/>
      <c r="I243"/>
      <c r="J243"/>
      <c r="K243"/>
      <c r="L243"/>
      <c r="M243"/>
      <c r="N243"/>
      <c r="O243"/>
      <c r="P243"/>
    </row>
    <row r="244" spans="1:16">
      <c r="A244"/>
      <c r="B244"/>
      <c r="C244"/>
      <c r="D244"/>
      <c r="E244"/>
      <c r="F244"/>
      <c r="G244"/>
      <c r="H244"/>
      <c r="I244"/>
      <c r="J244"/>
      <c r="K244"/>
      <c r="L244"/>
      <c r="M244"/>
      <c r="N244"/>
      <c r="O244"/>
      <c r="P244"/>
    </row>
    <row r="245" spans="1:16">
      <c r="A245"/>
      <c r="B245"/>
      <c r="C245"/>
      <c r="D245"/>
      <c r="E245"/>
      <c r="F245"/>
      <c r="G245"/>
      <c r="H245"/>
      <c r="I245"/>
      <c r="J245"/>
      <c r="K245"/>
      <c r="L245"/>
      <c r="M245"/>
      <c r="N245"/>
      <c r="O245"/>
      <c r="P245"/>
    </row>
    <row r="246" spans="1:16">
      <c r="A246"/>
      <c r="B246"/>
      <c r="C246"/>
      <c r="D246"/>
      <c r="E246"/>
      <c r="F246"/>
      <c r="G246"/>
      <c r="H246"/>
      <c r="I246"/>
      <c r="J246"/>
      <c r="K246"/>
      <c r="L246"/>
      <c r="M246"/>
      <c r="N246"/>
      <c r="O246"/>
      <c r="P246"/>
    </row>
    <row r="247" spans="1:16">
      <c r="A247"/>
      <c r="B247"/>
      <c r="C247"/>
      <c r="D247"/>
      <c r="E247"/>
      <c r="F247"/>
      <c r="G247"/>
      <c r="H247"/>
      <c r="I247"/>
      <c r="J247"/>
      <c r="K247"/>
      <c r="L247"/>
      <c r="M247"/>
      <c r="N247"/>
      <c r="O247"/>
      <c r="P247"/>
    </row>
    <row r="248" spans="1:16">
      <c r="A248"/>
      <c r="B248"/>
      <c r="C248"/>
      <c r="D248"/>
      <c r="E248"/>
      <c r="F248"/>
      <c r="G248"/>
      <c r="H248"/>
      <c r="I248"/>
      <c r="J248"/>
      <c r="K248"/>
      <c r="L248"/>
      <c r="M248"/>
      <c r="N248"/>
      <c r="O248"/>
      <c r="P248"/>
    </row>
    <row r="249" spans="1:16">
      <c r="A249"/>
      <c r="B249"/>
      <c r="C249"/>
      <c r="D249"/>
      <c r="E249"/>
      <c r="F249"/>
      <c r="G249"/>
      <c r="H249"/>
      <c r="I249"/>
      <c r="J249"/>
      <c r="K249"/>
      <c r="L249"/>
      <c r="M249"/>
      <c r="N249"/>
      <c r="O249"/>
      <c r="P249"/>
    </row>
    <row r="250" spans="1:16">
      <c r="A250"/>
      <c r="B250"/>
      <c r="C250"/>
      <c r="D250"/>
      <c r="E250"/>
      <c r="F250"/>
      <c r="G250"/>
      <c r="H250"/>
      <c r="I250"/>
      <c r="J250"/>
      <c r="K250"/>
      <c r="L250"/>
      <c r="M250"/>
      <c r="N250"/>
      <c r="O250"/>
      <c r="P250"/>
    </row>
    <row r="251" spans="1:16">
      <c r="A251"/>
      <c r="B251"/>
      <c r="C251"/>
      <c r="D251"/>
      <c r="E251"/>
      <c r="F251"/>
      <c r="G251"/>
      <c r="H251"/>
      <c r="I251"/>
      <c r="J251"/>
      <c r="K251"/>
      <c r="L251"/>
      <c r="M251"/>
      <c r="N251"/>
      <c r="O251"/>
      <c r="P251"/>
    </row>
    <row r="252" spans="1:16">
      <c r="A252"/>
      <c r="B252"/>
      <c r="C252"/>
      <c r="D252"/>
      <c r="E252"/>
      <c r="F252"/>
      <c r="G252"/>
      <c r="H252"/>
      <c r="I252"/>
      <c r="J252"/>
      <c r="K252"/>
      <c r="L252"/>
      <c r="M252"/>
      <c r="N252"/>
      <c r="O252"/>
      <c r="P252"/>
    </row>
    <row r="253" spans="1:16">
      <c r="A253"/>
      <c r="B253"/>
      <c r="C253"/>
      <c r="D253"/>
      <c r="E253"/>
      <c r="F253"/>
      <c r="G253"/>
      <c r="H253"/>
      <c r="I253"/>
      <c r="J253"/>
      <c r="K253"/>
      <c r="L253"/>
      <c r="M253"/>
      <c r="N253"/>
      <c r="O253"/>
      <c r="P253"/>
    </row>
    <row r="254" spans="1:16">
      <c r="A254"/>
      <c r="B254"/>
      <c r="C254"/>
      <c r="D254"/>
      <c r="E254"/>
      <c r="F254"/>
      <c r="G254"/>
      <c r="H254"/>
      <c r="I254"/>
      <c r="J254"/>
      <c r="K254"/>
      <c r="L254"/>
      <c r="M254"/>
      <c r="N254"/>
      <c r="O254"/>
      <c r="P254"/>
    </row>
    <row r="255" spans="1:16">
      <c r="A255"/>
      <c r="B255"/>
      <c r="C255"/>
      <c r="D255"/>
      <c r="E255"/>
      <c r="F255"/>
      <c r="G255"/>
      <c r="H255"/>
      <c r="I255"/>
      <c r="J255"/>
      <c r="K255"/>
      <c r="L255"/>
      <c r="M255"/>
      <c r="N255"/>
      <c r="O255"/>
      <c r="P255"/>
    </row>
    <row r="256" spans="1:16">
      <c r="A256"/>
      <c r="B256"/>
      <c r="C256"/>
      <c r="D256"/>
      <c r="E256"/>
      <c r="F256"/>
      <c r="G256"/>
      <c r="H256"/>
      <c r="I256"/>
      <c r="J256"/>
      <c r="K256"/>
      <c r="L256"/>
      <c r="M256"/>
      <c r="N256"/>
      <c r="O256"/>
      <c r="P256"/>
    </row>
    <row r="257" spans="1:16">
      <c r="A257"/>
      <c r="B257"/>
      <c r="C257"/>
      <c r="D257"/>
      <c r="E257"/>
      <c r="F257"/>
      <c r="G257"/>
      <c r="H257"/>
      <c r="I257"/>
      <c r="J257"/>
      <c r="K257"/>
      <c r="L257"/>
      <c r="M257"/>
      <c r="N257"/>
      <c r="O257"/>
      <c r="P257"/>
    </row>
    <row r="258" spans="1:16">
      <c r="A258"/>
      <c r="B258"/>
      <c r="C258"/>
      <c r="D258"/>
      <c r="E258"/>
      <c r="F258"/>
      <c r="G258"/>
      <c r="H258"/>
      <c r="I258"/>
      <c r="J258"/>
      <c r="K258"/>
      <c r="L258"/>
      <c r="M258"/>
      <c r="N258"/>
      <c r="O258"/>
      <c r="P258"/>
    </row>
    <row r="259" spans="1:16">
      <c r="A259"/>
      <c r="B259"/>
      <c r="C259"/>
      <c r="D259"/>
      <c r="E259"/>
      <c r="F259"/>
      <c r="G259"/>
      <c r="H259"/>
      <c r="I259"/>
      <c r="J259"/>
      <c r="K259"/>
      <c r="L259"/>
      <c r="M259"/>
      <c r="N259"/>
      <c r="O259"/>
      <c r="P259"/>
    </row>
    <row r="260" spans="1:16">
      <c r="A260"/>
      <c r="B260"/>
      <c r="C260"/>
      <c r="D260"/>
      <c r="E260"/>
      <c r="F260"/>
      <c r="G260"/>
      <c r="H260"/>
      <c r="I260"/>
      <c r="J260"/>
      <c r="K260"/>
      <c r="L260"/>
      <c r="M260"/>
      <c r="N260"/>
      <c r="O260"/>
      <c r="P260"/>
    </row>
    <row r="261" spans="1:16">
      <c r="A261"/>
      <c r="B261"/>
      <c r="C261"/>
      <c r="D261"/>
      <c r="E261"/>
      <c r="F261"/>
      <c r="G261"/>
      <c r="H261"/>
      <c r="I261"/>
      <c r="J261"/>
      <c r="K261"/>
      <c r="L261"/>
      <c r="M261"/>
      <c r="N261"/>
      <c r="O261"/>
      <c r="P261"/>
    </row>
    <row r="262" spans="1:16">
      <c r="A262"/>
      <c r="B262"/>
      <c r="C262"/>
      <c r="D262"/>
      <c r="E262"/>
      <c r="F262"/>
      <c r="G262"/>
      <c r="H262"/>
      <c r="I262"/>
      <c r="J262"/>
      <c r="K262"/>
      <c r="L262"/>
      <c r="M262"/>
      <c r="N262"/>
      <c r="O262"/>
      <c r="P262"/>
    </row>
    <row r="263" spans="1:16">
      <c r="A263"/>
      <c r="B263"/>
      <c r="C263"/>
      <c r="D263"/>
      <c r="E263"/>
      <c r="F263"/>
      <c r="G263"/>
      <c r="H263"/>
      <c r="I263"/>
      <c r="J263"/>
      <c r="K263"/>
      <c r="L263"/>
      <c r="M263"/>
      <c r="N263"/>
      <c r="O263"/>
      <c r="P263"/>
    </row>
    <row r="264" spans="1:16">
      <c r="A264"/>
      <c r="B264"/>
      <c r="C264"/>
      <c r="D264"/>
      <c r="E264"/>
      <c r="F264"/>
      <c r="G264"/>
      <c r="H264"/>
      <c r="I264"/>
      <c r="J264"/>
      <c r="K264"/>
      <c r="L264"/>
      <c r="M264"/>
      <c r="N264"/>
      <c r="O264"/>
      <c r="P264"/>
    </row>
    <row r="265" spans="1:16">
      <c r="A265"/>
      <c r="B265"/>
      <c r="C265"/>
      <c r="D265"/>
      <c r="E265"/>
      <c r="F265"/>
      <c r="G265"/>
      <c r="H265"/>
      <c r="I265"/>
      <c r="J265"/>
      <c r="K265"/>
      <c r="L265"/>
      <c r="M265"/>
      <c r="N265"/>
      <c r="O265"/>
      <c r="P265"/>
    </row>
    <row r="266" spans="1:16">
      <c r="A266"/>
      <c r="B266"/>
      <c r="C266"/>
      <c r="D266"/>
      <c r="E266"/>
      <c r="F266"/>
      <c r="G266"/>
      <c r="H266"/>
      <c r="I266"/>
      <c r="J266"/>
      <c r="K266"/>
      <c r="L266"/>
      <c r="M266"/>
      <c r="N266"/>
      <c r="O266"/>
      <c r="P266"/>
    </row>
    <row r="267" spans="1:16">
      <c r="A267"/>
      <c r="B267"/>
      <c r="C267"/>
      <c r="D267"/>
      <c r="E267"/>
      <c r="F267"/>
      <c r="G267"/>
      <c r="H267"/>
      <c r="I267"/>
      <c r="J267"/>
      <c r="K267"/>
      <c r="L267"/>
      <c r="M267"/>
      <c r="N267"/>
      <c r="O267"/>
      <c r="P267"/>
    </row>
    <row r="268" spans="1:16">
      <c r="A268"/>
      <c r="B268"/>
      <c r="C268"/>
      <c r="D268"/>
      <c r="E268"/>
      <c r="F268"/>
      <c r="G268"/>
      <c r="H268"/>
      <c r="I268"/>
      <c r="J268"/>
      <c r="K268"/>
      <c r="L268"/>
      <c r="M268"/>
      <c r="N268"/>
      <c r="O268"/>
      <c r="P268"/>
    </row>
    <row r="269" spans="1:16">
      <c r="A269"/>
      <c r="B269"/>
      <c r="C269"/>
      <c r="D269"/>
      <c r="E269"/>
      <c r="F269"/>
      <c r="G269"/>
      <c r="H269"/>
      <c r="I269"/>
      <c r="J269"/>
      <c r="K269"/>
      <c r="L269"/>
      <c r="M269"/>
      <c r="N269"/>
      <c r="O269"/>
      <c r="P269"/>
    </row>
    <row r="270" spans="1:16">
      <c r="A270"/>
      <c r="B270"/>
      <c r="C270"/>
      <c r="D270"/>
      <c r="E270"/>
      <c r="F270"/>
      <c r="G270"/>
      <c r="H270"/>
      <c r="I270"/>
      <c r="J270"/>
      <c r="K270"/>
      <c r="L270"/>
      <c r="M270"/>
      <c r="N270"/>
      <c r="O270"/>
      <c r="P270"/>
    </row>
    <row r="271" spans="1:16">
      <c r="A271"/>
      <c r="B271"/>
      <c r="C271"/>
      <c r="D271"/>
      <c r="E271"/>
      <c r="F271"/>
      <c r="G271"/>
      <c r="H271"/>
      <c r="I271"/>
      <c r="J271"/>
      <c r="K271"/>
      <c r="L271"/>
      <c r="M271"/>
      <c r="N271"/>
      <c r="O271"/>
      <c r="P271"/>
    </row>
    <row r="272" spans="1:16">
      <c r="A272"/>
      <c r="B272"/>
      <c r="C272"/>
      <c r="D272"/>
      <c r="E272"/>
      <c r="F272"/>
      <c r="G272"/>
      <c r="H272"/>
      <c r="I272"/>
      <c r="J272"/>
      <c r="K272"/>
      <c r="L272"/>
      <c r="M272"/>
      <c r="N272"/>
      <c r="O272"/>
      <c r="P272"/>
    </row>
    <row r="273" spans="1:16">
      <c r="A273"/>
      <c r="B273"/>
      <c r="C273"/>
      <c r="D273"/>
      <c r="E273"/>
      <c r="F273"/>
      <c r="G273"/>
      <c r="H273"/>
      <c r="I273"/>
      <c r="J273"/>
      <c r="K273"/>
      <c r="L273"/>
      <c r="M273"/>
      <c r="N273"/>
      <c r="O273"/>
      <c r="P273"/>
    </row>
    <row r="274" spans="1:16">
      <c r="A274"/>
      <c r="B274"/>
      <c r="C274"/>
      <c r="D274"/>
      <c r="E274"/>
      <c r="F274"/>
      <c r="G274"/>
      <c r="H274"/>
      <c r="I274"/>
      <c r="J274"/>
      <c r="K274"/>
      <c r="L274"/>
      <c r="M274"/>
      <c r="N274"/>
      <c r="O274"/>
      <c r="P274"/>
    </row>
    <row r="275" spans="1:16">
      <c r="A275"/>
      <c r="B275"/>
      <c r="C275"/>
      <c r="D275"/>
      <c r="E275"/>
      <c r="F275"/>
      <c r="G275"/>
      <c r="H275"/>
      <c r="I275"/>
      <c r="J275"/>
      <c r="K275"/>
      <c r="L275"/>
      <c r="M275"/>
      <c r="N275"/>
      <c r="O275"/>
      <c r="P275"/>
    </row>
    <row r="276" spans="1:16">
      <c r="A276"/>
      <c r="B276"/>
      <c r="C276"/>
      <c r="D276"/>
      <c r="E276"/>
      <c r="F276"/>
      <c r="G276"/>
      <c r="H276"/>
      <c r="I276"/>
      <c r="J276"/>
      <c r="K276"/>
      <c r="L276"/>
      <c r="M276"/>
      <c r="N276"/>
      <c r="O276"/>
      <c r="P276"/>
    </row>
    <row r="277" spans="1:16">
      <c r="A277"/>
      <c r="B277"/>
      <c r="C277"/>
      <c r="D277"/>
      <c r="E277"/>
      <c r="F277"/>
      <c r="G277"/>
      <c r="H277"/>
      <c r="I277"/>
      <c r="J277"/>
      <c r="K277"/>
      <c r="L277"/>
      <c r="M277"/>
      <c r="N277"/>
      <c r="O277"/>
      <c r="P277"/>
    </row>
    <row r="278" spans="1:16">
      <c r="A278"/>
      <c r="B278"/>
      <c r="C278"/>
      <c r="D278"/>
      <c r="E278"/>
      <c r="F278"/>
      <c r="G278"/>
      <c r="H278"/>
      <c r="I278"/>
      <c r="J278"/>
      <c r="K278"/>
      <c r="L278"/>
      <c r="M278"/>
      <c r="N278"/>
      <c r="O278"/>
      <c r="P278"/>
    </row>
    <row r="279" spans="1:16">
      <c r="A279"/>
      <c r="B279"/>
      <c r="C279"/>
      <c r="D279"/>
      <c r="E279"/>
      <c r="F279"/>
      <c r="G279"/>
      <c r="H279"/>
      <c r="I279"/>
      <c r="J279"/>
      <c r="K279"/>
      <c r="L279"/>
      <c r="M279"/>
      <c r="N279"/>
      <c r="O279"/>
      <c r="P279"/>
    </row>
    <row r="280" spans="1:16">
      <c r="A280"/>
      <c r="B280"/>
      <c r="C280"/>
      <c r="D280"/>
      <c r="E280"/>
      <c r="F280"/>
      <c r="G280"/>
      <c r="H280"/>
      <c r="I280"/>
      <c r="J280"/>
      <c r="K280"/>
      <c r="L280"/>
      <c r="M280"/>
      <c r="N280"/>
      <c r="O280"/>
      <c r="P280"/>
    </row>
    <row r="281" spans="1:16">
      <c r="A281"/>
      <c r="B281"/>
      <c r="C281"/>
      <c r="D281"/>
      <c r="E281"/>
      <c r="F281"/>
      <c r="G281"/>
      <c r="H281"/>
      <c r="I281"/>
      <c r="J281"/>
      <c r="K281"/>
      <c r="L281"/>
      <c r="M281"/>
      <c r="N281"/>
      <c r="O281"/>
      <c r="P281"/>
    </row>
    <row r="282" spans="1:16">
      <c r="A282"/>
      <c r="B282"/>
      <c r="C282"/>
      <c r="D282"/>
      <c r="E282"/>
      <c r="F282"/>
      <c r="G282"/>
      <c r="H282"/>
      <c r="I282"/>
      <c r="J282"/>
      <c r="K282"/>
      <c r="L282"/>
      <c r="M282"/>
      <c r="N282"/>
      <c r="O282"/>
      <c r="P282"/>
    </row>
    <row r="283" spans="1:16">
      <c r="A283"/>
      <c r="B283"/>
      <c r="C283"/>
      <c r="D283"/>
      <c r="E283"/>
      <c r="F283"/>
      <c r="G283"/>
      <c r="H283"/>
      <c r="I283"/>
      <c r="J283"/>
      <c r="K283"/>
      <c r="L283"/>
      <c r="M283"/>
      <c r="N283"/>
      <c r="O283"/>
      <c r="P283"/>
    </row>
    <row r="284" spans="1:16">
      <c r="A284"/>
      <c r="B284"/>
      <c r="C284"/>
      <c r="D284"/>
      <c r="E284"/>
      <c r="F284"/>
      <c r="G284"/>
      <c r="H284"/>
      <c r="I284"/>
      <c r="J284"/>
      <c r="K284"/>
      <c r="L284"/>
      <c r="M284"/>
      <c r="N284"/>
      <c r="O284"/>
      <c r="P284"/>
    </row>
    <row r="285" spans="1:16">
      <c r="A285"/>
      <c r="B285"/>
      <c r="C285"/>
      <c r="D285"/>
      <c r="E285"/>
      <c r="F285"/>
      <c r="G285"/>
      <c r="H285"/>
      <c r="I285"/>
      <c r="J285"/>
      <c r="K285"/>
      <c r="L285"/>
      <c r="M285"/>
      <c r="N285"/>
      <c r="O285"/>
      <c r="P285"/>
    </row>
    <row r="286" spans="1:16">
      <c r="A286"/>
      <c r="B286"/>
      <c r="C286"/>
      <c r="D286"/>
      <c r="E286"/>
      <c r="F286"/>
      <c r="G286"/>
      <c r="H286"/>
      <c r="I286"/>
      <c r="J286"/>
      <c r="K286"/>
      <c r="L286"/>
      <c r="M286"/>
      <c r="N286"/>
      <c r="O286"/>
      <c r="P286"/>
    </row>
    <row r="287" spans="1:16">
      <c r="A287"/>
      <c r="B287"/>
      <c r="C287"/>
      <c r="D287"/>
      <c r="E287"/>
      <c r="F287"/>
      <c r="G287"/>
      <c r="H287"/>
      <c r="I287"/>
      <c r="J287"/>
      <c r="K287"/>
      <c r="L287"/>
      <c r="M287"/>
      <c r="N287"/>
      <c r="O287"/>
      <c r="P287"/>
    </row>
    <row r="288" spans="1:16">
      <c r="A288"/>
      <c r="B288"/>
      <c r="C288"/>
      <c r="D288"/>
      <c r="E288"/>
      <c r="F288"/>
      <c r="G288"/>
      <c r="H288"/>
      <c r="I288"/>
      <c r="J288"/>
      <c r="K288"/>
      <c r="L288"/>
      <c r="M288"/>
      <c r="N288"/>
      <c r="O288"/>
      <c r="P288"/>
    </row>
    <row r="289" spans="1:16">
      <c r="A289"/>
      <c r="B289"/>
      <c r="C289"/>
      <c r="D289"/>
      <c r="E289"/>
      <c r="F289"/>
      <c r="G289"/>
      <c r="H289"/>
      <c r="I289"/>
      <c r="J289"/>
      <c r="K289"/>
      <c r="L289"/>
      <c r="M289"/>
      <c r="N289"/>
      <c r="O289"/>
      <c r="P289"/>
    </row>
    <row r="290" spans="1:16">
      <c r="A290"/>
      <c r="B290"/>
      <c r="C290"/>
      <c r="D290"/>
      <c r="E290"/>
      <c r="F290"/>
      <c r="G290"/>
      <c r="H290"/>
      <c r="I290"/>
      <c r="J290"/>
      <c r="K290"/>
      <c r="L290"/>
      <c r="M290"/>
      <c r="N290"/>
      <c r="O290"/>
      <c r="P290"/>
    </row>
    <row r="291" spans="1:16">
      <c r="A291"/>
      <c r="B291"/>
      <c r="C291"/>
      <c r="D291"/>
      <c r="E291"/>
      <c r="F291"/>
      <c r="G291"/>
      <c r="H291"/>
      <c r="I291"/>
      <c r="J291"/>
      <c r="K291"/>
      <c r="L291"/>
      <c r="M291"/>
      <c r="N291"/>
      <c r="O291"/>
      <c r="P291"/>
    </row>
    <row r="292" spans="1:16">
      <c r="A292"/>
      <c r="B292"/>
      <c r="C292"/>
      <c r="D292"/>
      <c r="E292"/>
      <c r="F292"/>
      <c r="G292"/>
      <c r="H292"/>
      <c r="I292"/>
      <c r="J292"/>
      <c r="K292"/>
      <c r="L292"/>
      <c r="M292"/>
      <c r="N292"/>
      <c r="O292"/>
      <c r="P292"/>
    </row>
    <row r="293" spans="1:16">
      <c r="A293"/>
      <c r="B293"/>
      <c r="C293"/>
      <c r="D293"/>
      <c r="E293"/>
      <c r="F293"/>
      <c r="G293"/>
      <c r="H293"/>
      <c r="I293"/>
      <c r="J293"/>
      <c r="K293"/>
      <c r="L293"/>
      <c r="M293"/>
      <c r="N293"/>
      <c r="O293"/>
      <c r="P293"/>
    </row>
    <row r="294" spans="1:16">
      <c r="A294"/>
      <c r="B294"/>
      <c r="C294"/>
      <c r="D294"/>
      <c r="E294"/>
      <c r="F294"/>
      <c r="G294"/>
      <c r="H294"/>
      <c r="I294"/>
      <c r="J294"/>
      <c r="K294"/>
      <c r="L294"/>
      <c r="M294"/>
      <c r="N294"/>
      <c r="O294"/>
      <c r="P294"/>
    </row>
    <row r="295" spans="1:16">
      <c r="A295"/>
      <c r="B295"/>
      <c r="C295"/>
      <c r="D295"/>
      <c r="E295"/>
      <c r="F295"/>
      <c r="G295"/>
      <c r="H295"/>
      <c r="I295"/>
      <c r="J295"/>
      <c r="K295"/>
      <c r="L295"/>
      <c r="M295"/>
      <c r="N295"/>
      <c r="O295"/>
      <c r="P295"/>
    </row>
    <row r="296" spans="1:16">
      <c r="A296"/>
      <c r="B296"/>
      <c r="C296"/>
      <c r="D296"/>
      <c r="E296"/>
      <c r="F296"/>
      <c r="G296"/>
      <c r="H296"/>
      <c r="I296"/>
      <c r="J296"/>
      <c r="K296"/>
      <c r="L296"/>
      <c r="M296"/>
      <c r="N296"/>
      <c r="O296"/>
      <c r="P296"/>
    </row>
    <row r="297" spans="1:16">
      <c r="A297"/>
      <c r="B297"/>
      <c r="C297"/>
      <c r="D297"/>
      <c r="E297"/>
      <c r="F297"/>
      <c r="G297"/>
      <c r="H297"/>
      <c r="I297"/>
      <c r="J297"/>
      <c r="K297"/>
      <c r="L297"/>
      <c r="M297"/>
      <c r="N297"/>
      <c r="O297"/>
      <c r="P297"/>
    </row>
    <row r="298" spans="1:16">
      <c r="A298"/>
      <c r="B298"/>
      <c r="C298"/>
      <c r="D298"/>
      <c r="E298"/>
      <c r="F298"/>
      <c r="G298"/>
      <c r="H298"/>
      <c r="I298"/>
      <c r="J298"/>
      <c r="K298"/>
      <c r="L298"/>
      <c r="M298"/>
      <c r="N298"/>
      <c r="O298"/>
      <c r="P298"/>
    </row>
    <row r="299" spans="1:16">
      <c r="A299"/>
      <c r="B299"/>
      <c r="C299"/>
      <c r="D299"/>
      <c r="E299"/>
      <c r="F299"/>
      <c r="G299"/>
      <c r="H299"/>
      <c r="I299"/>
      <c r="J299"/>
      <c r="K299"/>
      <c r="L299"/>
      <c r="M299"/>
      <c r="N299"/>
      <c r="O299"/>
      <c r="P299"/>
    </row>
    <row r="300" spans="1:16">
      <c r="A300"/>
      <c r="B300"/>
      <c r="C300"/>
      <c r="D300"/>
      <c r="E300"/>
      <c r="F300"/>
      <c r="G300"/>
      <c r="H300"/>
      <c r="I300"/>
      <c r="J300"/>
      <c r="K300"/>
      <c r="L300"/>
      <c r="M300"/>
      <c r="N300"/>
      <c r="O300"/>
      <c r="P300"/>
    </row>
    <row r="301" spans="1:16">
      <c r="A301"/>
      <c r="B301"/>
      <c r="C301"/>
      <c r="D301"/>
      <c r="E301"/>
      <c r="F301"/>
      <c r="G301"/>
      <c r="H301"/>
      <c r="I301"/>
      <c r="J301"/>
      <c r="K301"/>
      <c r="L301"/>
      <c r="M301"/>
      <c r="N301"/>
      <c r="O301"/>
      <c r="P301"/>
    </row>
    <row r="302" spans="1:16">
      <c r="A302"/>
      <c r="B302"/>
      <c r="C302"/>
      <c r="D302"/>
      <c r="E302"/>
      <c r="F302"/>
      <c r="G302"/>
      <c r="H302"/>
      <c r="I302"/>
      <c r="J302"/>
      <c r="K302"/>
      <c r="L302"/>
      <c r="M302"/>
      <c r="N302"/>
      <c r="O302"/>
      <c r="P302"/>
    </row>
    <row r="303" spans="1:16">
      <c r="A303"/>
      <c r="B303"/>
      <c r="C303"/>
      <c r="D303"/>
      <c r="E303"/>
      <c r="F303"/>
      <c r="G303"/>
      <c r="H303"/>
      <c r="I303"/>
      <c r="J303"/>
      <c r="K303"/>
      <c r="L303"/>
      <c r="M303"/>
      <c r="N303"/>
      <c r="O303"/>
      <c r="P303"/>
    </row>
    <row r="304" spans="1:16">
      <c r="A304"/>
      <c r="B304"/>
      <c r="C304"/>
      <c r="D304"/>
      <c r="E304"/>
      <c r="F304"/>
      <c r="G304"/>
      <c r="H304"/>
      <c r="I304"/>
      <c r="J304"/>
      <c r="K304"/>
      <c r="L304"/>
      <c r="M304"/>
      <c r="N304"/>
      <c r="O304"/>
      <c r="P304"/>
    </row>
    <row r="305" spans="1:16">
      <c r="A305"/>
      <c r="B305"/>
      <c r="C305"/>
      <c r="D305"/>
      <c r="E305"/>
      <c r="F305"/>
      <c r="G305"/>
      <c r="H305"/>
      <c r="I305"/>
      <c r="J305"/>
      <c r="K305"/>
      <c r="L305"/>
      <c r="M305"/>
      <c r="N305"/>
      <c r="O305"/>
      <c r="P305"/>
    </row>
    <row r="306" spans="1:16">
      <c r="A306"/>
      <c r="B306"/>
      <c r="C306"/>
      <c r="D306"/>
      <c r="E306"/>
      <c r="F306"/>
      <c r="G306"/>
      <c r="H306"/>
      <c r="I306"/>
      <c r="J306"/>
      <c r="K306"/>
      <c r="L306"/>
      <c r="M306"/>
      <c r="N306"/>
      <c r="O306"/>
      <c r="P306"/>
    </row>
    <row r="307" spans="1:16">
      <c r="A307"/>
      <c r="B307"/>
      <c r="C307"/>
      <c r="D307"/>
      <c r="E307"/>
      <c r="F307"/>
      <c r="G307"/>
      <c r="H307"/>
      <c r="I307"/>
      <c r="J307"/>
      <c r="K307"/>
      <c r="L307"/>
      <c r="M307"/>
      <c r="N307"/>
      <c r="O307"/>
      <c r="P307"/>
    </row>
    <row r="308" spans="1:16">
      <c r="A308"/>
      <c r="B308"/>
      <c r="C308"/>
      <c r="D308"/>
      <c r="E308"/>
      <c r="F308"/>
      <c r="G308"/>
      <c r="H308"/>
      <c r="I308"/>
      <c r="J308"/>
      <c r="K308"/>
      <c r="L308"/>
      <c r="M308"/>
      <c r="N308"/>
      <c r="O308"/>
      <c r="P308"/>
    </row>
    <row r="309" spans="1:16">
      <c r="A309"/>
      <c r="B309"/>
      <c r="C309"/>
      <c r="D309"/>
      <c r="E309"/>
      <c r="F309"/>
      <c r="G309"/>
      <c r="H309"/>
      <c r="I309"/>
      <c r="J309"/>
      <c r="K309"/>
      <c r="L309"/>
      <c r="M309"/>
      <c r="N309"/>
      <c r="O309"/>
      <c r="P309"/>
    </row>
    <row r="310" spans="1:16">
      <c r="A310"/>
      <c r="B310"/>
      <c r="C310"/>
      <c r="D310"/>
      <c r="E310"/>
      <c r="F310"/>
      <c r="G310"/>
      <c r="H310"/>
      <c r="I310"/>
      <c r="J310"/>
      <c r="K310"/>
      <c r="L310"/>
      <c r="M310"/>
      <c r="N310"/>
      <c r="O310"/>
      <c r="P310"/>
    </row>
    <row r="311" spans="1:16">
      <c r="A311"/>
      <c r="B311"/>
      <c r="C311"/>
      <c r="D311"/>
      <c r="E311"/>
      <c r="F311"/>
      <c r="G311"/>
      <c r="H311"/>
      <c r="I311"/>
      <c r="J311"/>
      <c r="K311"/>
      <c r="L311"/>
      <c r="M311"/>
      <c r="N311"/>
      <c r="O311"/>
      <c r="P311"/>
    </row>
    <row r="312" spans="1:16">
      <c r="A312"/>
      <c r="B312"/>
      <c r="C312"/>
      <c r="D312"/>
      <c r="E312"/>
      <c r="F312"/>
      <c r="G312"/>
      <c r="H312"/>
      <c r="I312"/>
      <c r="J312"/>
      <c r="K312"/>
      <c r="L312"/>
      <c r="M312"/>
      <c r="N312"/>
      <c r="O312"/>
      <c r="P312"/>
    </row>
    <row r="313" spans="1:16">
      <c r="A313"/>
      <c r="B313"/>
      <c r="C313"/>
      <c r="D313"/>
      <c r="E313"/>
      <c r="F313"/>
      <c r="G313"/>
      <c r="H313"/>
      <c r="I313"/>
      <c r="J313"/>
      <c r="K313"/>
      <c r="L313"/>
      <c r="M313"/>
      <c r="N313"/>
      <c r="O313"/>
      <c r="P313"/>
    </row>
    <row r="314" spans="1:16">
      <c r="A314"/>
      <c r="B314"/>
      <c r="C314"/>
      <c r="D314"/>
      <c r="E314"/>
      <c r="F314"/>
      <c r="G314"/>
      <c r="H314"/>
      <c r="I314"/>
      <c r="J314"/>
      <c r="K314"/>
      <c r="L314"/>
      <c r="M314"/>
      <c r="N314"/>
      <c r="O314"/>
      <c r="P314"/>
    </row>
    <row r="315" spans="1:16">
      <c r="A315"/>
      <c r="B315"/>
      <c r="C315"/>
      <c r="D315"/>
      <c r="E315"/>
      <c r="F315"/>
      <c r="G315"/>
      <c r="H315"/>
      <c r="I315"/>
      <c r="J315"/>
      <c r="K315"/>
      <c r="L315"/>
      <c r="M315"/>
      <c r="N315"/>
      <c r="O315"/>
      <c r="P315"/>
    </row>
    <row r="316" spans="1:16">
      <c r="A316"/>
      <c r="B316"/>
      <c r="C316"/>
      <c r="D316"/>
      <c r="E316"/>
      <c r="F316"/>
      <c r="G316"/>
      <c r="H316"/>
      <c r="I316"/>
      <c r="J316"/>
      <c r="K316"/>
      <c r="L316"/>
      <c r="M316"/>
      <c r="N316"/>
      <c r="O316"/>
      <c r="P316"/>
    </row>
    <row r="317" spans="1:16">
      <c r="A317"/>
      <c r="B317"/>
      <c r="C317"/>
      <c r="D317"/>
      <c r="E317"/>
      <c r="F317"/>
      <c r="G317"/>
      <c r="H317"/>
      <c r="I317"/>
      <c r="J317"/>
      <c r="K317"/>
      <c r="L317"/>
      <c r="M317"/>
      <c r="N317"/>
      <c r="O317"/>
      <c r="P317"/>
    </row>
    <row r="318" spans="1:16">
      <c r="A318"/>
      <c r="B318"/>
      <c r="C318"/>
      <c r="D318"/>
      <c r="E318"/>
      <c r="F318"/>
      <c r="G318"/>
      <c r="H318"/>
      <c r="I318"/>
      <c r="J318"/>
      <c r="K318"/>
      <c r="L318"/>
      <c r="M318"/>
      <c r="N318"/>
      <c r="O318"/>
      <c r="P318"/>
    </row>
    <row r="319" spans="1:16">
      <c r="A319"/>
      <c r="B319"/>
      <c r="C319"/>
      <c r="D319"/>
      <c r="E319"/>
      <c r="F319"/>
      <c r="G319"/>
      <c r="H319"/>
      <c r="I319"/>
      <c r="J319"/>
      <c r="K319"/>
      <c r="L319"/>
      <c r="M319"/>
      <c r="N319"/>
      <c r="O319"/>
      <c r="P319"/>
    </row>
    <row r="320" spans="1:16">
      <c r="A320"/>
      <c r="B320"/>
      <c r="C320"/>
      <c r="D320"/>
      <c r="E320"/>
      <c r="F320"/>
      <c r="G320"/>
      <c r="H320"/>
      <c r="I320"/>
      <c r="J320"/>
      <c r="K320"/>
      <c r="L320"/>
      <c r="M320"/>
      <c r="N320"/>
      <c r="O320"/>
      <c r="P320"/>
    </row>
    <row r="321" spans="1:16">
      <c r="A321"/>
      <c r="B321"/>
      <c r="C321"/>
      <c r="D321"/>
      <c r="E321"/>
      <c r="F321"/>
      <c r="G321"/>
      <c r="H321"/>
      <c r="I321"/>
      <c r="J321"/>
      <c r="K321"/>
      <c r="L321"/>
      <c r="M321"/>
      <c r="N321"/>
      <c r="O321"/>
      <c r="P321"/>
    </row>
    <row r="322" spans="1:16">
      <c r="A322"/>
      <c r="B322"/>
      <c r="C322"/>
      <c r="D322"/>
      <c r="E322"/>
      <c r="F322"/>
      <c r="G322"/>
      <c r="H322"/>
      <c r="I322"/>
      <c r="J322"/>
      <c r="K322"/>
      <c r="L322"/>
      <c r="M322"/>
      <c r="N322"/>
      <c r="O322"/>
      <c r="P322"/>
    </row>
    <row r="323" spans="1:16">
      <c r="A323"/>
      <c r="B323"/>
      <c r="C323"/>
      <c r="D323"/>
      <c r="E323"/>
      <c r="F323"/>
      <c r="G323"/>
      <c r="H323"/>
      <c r="I323"/>
      <c r="J323"/>
      <c r="K323"/>
      <c r="L323"/>
      <c r="M323"/>
      <c r="N323"/>
      <c r="O323"/>
      <c r="P323"/>
    </row>
    <row r="324" spans="1:16">
      <c r="A324"/>
      <c r="B324"/>
      <c r="C324"/>
      <c r="D324"/>
      <c r="E324"/>
      <c r="F324"/>
      <c r="G324"/>
      <c r="H324"/>
      <c r="I324"/>
      <c r="J324"/>
      <c r="K324"/>
      <c r="L324"/>
      <c r="M324"/>
      <c r="N324"/>
      <c r="O324"/>
      <c r="P324"/>
    </row>
    <row r="325" spans="1:16">
      <c r="A325"/>
      <c r="B325"/>
      <c r="C325"/>
      <c r="D325"/>
      <c r="E325"/>
      <c r="F325"/>
      <c r="G325"/>
      <c r="H325"/>
      <c r="I325"/>
      <c r="J325"/>
      <c r="K325"/>
      <c r="L325"/>
      <c r="M325"/>
      <c r="N325"/>
      <c r="O325"/>
      <c r="P325"/>
    </row>
    <row r="326" spans="1:16">
      <c r="A326"/>
      <c r="B326"/>
      <c r="C326"/>
      <c r="D326"/>
      <c r="E326"/>
      <c r="F326"/>
      <c r="G326"/>
      <c r="H326"/>
      <c r="I326"/>
      <c r="J326"/>
      <c r="K326"/>
      <c r="L326"/>
      <c r="M326"/>
      <c r="N326"/>
      <c r="O326"/>
      <c r="P326"/>
    </row>
    <row r="327" spans="1:16">
      <c r="A327"/>
      <c r="B327"/>
      <c r="C327"/>
      <c r="D327"/>
      <c r="E327"/>
      <c r="F327"/>
      <c r="G327"/>
      <c r="H327"/>
      <c r="I327"/>
      <c r="J327"/>
      <c r="K327"/>
      <c r="L327"/>
      <c r="M327"/>
      <c r="N327"/>
      <c r="O327"/>
      <c r="P327"/>
    </row>
    <row r="328" spans="1:16">
      <c r="A328"/>
      <c r="B328"/>
      <c r="C328"/>
      <c r="D328"/>
      <c r="E328"/>
      <c r="F328"/>
      <c r="G328"/>
      <c r="H328"/>
      <c r="I328"/>
      <c r="J328"/>
      <c r="K328"/>
      <c r="L328"/>
      <c r="M328"/>
      <c r="N328"/>
      <c r="O328"/>
      <c r="P328"/>
    </row>
    <row r="329" spans="1:16">
      <c r="A329"/>
      <c r="B329"/>
      <c r="C329"/>
      <c r="D329"/>
      <c r="E329"/>
      <c r="F329"/>
      <c r="G329"/>
      <c r="H329"/>
      <c r="I329"/>
      <c r="J329"/>
      <c r="K329"/>
      <c r="L329"/>
      <c r="M329"/>
      <c r="N329"/>
      <c r="O329"/>
      <c r="P329"/>
    </row>
    <row r="330" spans="1:16">
      <c r="A330"/>
      <c r="B330"/>
      <c r="C330"/>
      <c r="D330"/>
      <c r="E330"/>
      <c r="F330"/>
      <c r="G330"/>
      <c r="H330"/>
      <c r="I330"/>
      <c r="J330"/>
      <c r="K330"/>
      <c r="L330"/>
      <c r="M330"/>
      <c r="N330"/>
      <c r="O330"/>
      <c r="P330"/>
    </row>
    <row r="331" spans="1:16">
      <c r="A331"/>
      <c r="B331"/>
      <c r="C331"/>
      <c r="D331"/>
      <c r="E331"/>
      <c r="F331"/>
      <c r="G331"/>
      <c r="H331"/>
      <c r="I331"/>
      <c r="J331"/>
      <c r="K331"/>
      <c r="L331"/>
      <c r="M331"/>
      <c r="N331"/>
      <c r="O331"/>
      <c r="P331"/>
    </row>
    <row r="332" spans="1:16">
      <c r="A332"/>
      <c r="B332"/>
      <c r="C332"/>
      <c r="D332"/>
      <c r="E332"/>
      <c r="F332"/>
      <c r="G332"/>
      <c r="H332"/>
      <c r="I332"/>
      <c r="J332"/>
      <c r="K332"/>
      <c r="L332"/>
      <c r="M332"/>
      <c r="N332"/>
      <c r="O332"/>
      <c r="P332"/>
    </row>
    <row r="333" spans="1:16">
      <c r="A333"/>
      <c r="B333"/>
      <c r="C333"/>
      <c r="D333"/>
      <c r="E333"/>
      <c r="F333"/>
      <c r="G333"/>
      <c r="H333"/>
      <c r="I333"/>
      <c r="J333"/>
      <c r="K333"/>
      <c r="L333"/>
      <c r="M333"/>
      <c r="N333"/>
      <c r="O333"/>
      <c r="P333"/>
    </row>
    <row r="334" spans="1:16">
      <c r="A334"/>
      <c r="B334"/>
      <c r="C334"/>
      <c r="D334"/>
      <c r="E334"/>
      <c r="F334"/>
      <c r="G334"/>
      <c r="H334"/>
      <c r="I334"/>
      <c r="J334"/>
      <c r="K334"/>
      <c r="L334"/>
      <c r="M334"/>
      <c r="N334"/>
      <c r="O334"/>
      <c r="P334"/>
    </row>
    <row r="335" spans="1:16">
      <c r="A335"/>
      <c r="B335"/>
      <c r="C335"/>
      <c r="D335"/>
      <c r="E335"/>
      <c r="F335"/>
      <c r="G335"/>
      <c r="H335"/>
      <c r="I335"/>
      <c r="J335"/>
      <c r="K335"/>
      <c r="L335"/>
      <c r="M335"/>
      <c r="N335"/>
      <c r="O335"/>
      <c r="P335"/>
    </row>
    <row r="336" spans="1:16">
      <c r="A336"/>
      <c r="B336"/>
      <c r="C336"/>
      <c r="D336"/>
      <c r="E336"/>
      <c r="F336"/>
      <c r="G336"/>
      <c r="H336"/>
      <c r="I336"/>
      <c r="J336"/>
      <c r="K336"/>
      <c r="L336"/>
      <c r="M336"/>
      <c r="N336"/>
      <c r="O336"/>
      <c r="P336"/>
    </row>
    <row r="337" spans="1:16">
      <c r="A337"/>
      <c r="B337"/>
      <c r="C337"/>
      <c r="D337"/>
      <c r="E337"/>
      <c r="F337"/>
      <c r="G337"/>
      <c r="H337"/>
      <c r="I337"/>
      <c r="J337"/>
      <c r="K337"/>
      <c r="L337"/>
      <c r="M337"/>
      <c r="N337"/>
      <c r="O337"/>
      <c r="P337"/>
    </row>
    <row r="338" spans="1:16">
      <c r="A338"/>
      <c r="B338"/>
      <c r="C338"/>
      <c r="D338"/>
      <c r="E338"/>
      <c r="F338"/>
      <c r="G338"/>
      <c r="H338"/>
      <c r="I338"/>
      <c r="J338"/>
      <c r="K338"/>
      <c r="L338"/>
      <c r="M338"/>
      <c r="N338"/>
      <c r="O338"/>
      <c r="P338"/>
    </row>
    <row r="339" spans="1:16">
      <c r="A339"/>
      <c r="B339"/>
      <c r="C339"/>
      <c r="D339"/>
      <c r="E339"/>
      <c r="F339"/>
      <c r="G339"/>
      <c r="H339"/>
      <c r="I339"/>
      <c r="J339"/>
      <c r="K339"/>
      <c r="L339"/>
      <c r="M339"/>
      <c r="N339"/>
      <c r="O339"/>
      <c r="P339"/>
    </row>
    <row r="340" spans="1:16">
      <c r="A340"/>
      <c r="B340"/>
      <c r="C340"/>
      <c r="D340"/>
      <c r="E340"/>
      <c r="F340"/>
      <c r="G340"/>
      <c r="H340"/>
      <c r="I340"/>
      <c r="J340"/>
      <c r="K340"/>
      <c r="L340"/>
      <c r="M340"/>
      <c r="N340"/>
      <c r="O340"/>
      <c r="P340"/>
    </row>
    <row r="341" spans="1:16">
      <c r="A341"/>
      <c r="B341"/>
      <c r="C341"/>
      <c r="D341"/>
      <c r="E341"/>
      <c r="F341"/>
      <c r="G341"/>
      <c r="H341"/>
      <c r="I341"/>
      <c r="J341"/>
      <c r="K341"/>
      <c r="L341"/>
      <c r="M341"/>
      <c r="N341"/>
      <c r="O341"/>
      <c r="P341"/>
    </row>
    <row r="342" spans="1:16">
      <c r="A342"/>
      <c r="B342"/>
      <c r="C342"/>
      <c r="D342"/>
      <c r="E342"/>
      <c r="F342"/>
      <c r="G342"/>
      <c r="H342"/>
      <c r="I342"/>
      <c r="J342"/>
      <c r="K342"/>
      <c r="L342"/>
      <c r="M342"/>
      <c r="N342"/>
      <c r="O342"/>
      <c r="P342"/>
    </row>
    <row r="343" spans="1:16">
      <c r="A343"/>
      <c r="B343"/>
      <c r="C343"/>
      <c r="D343"/>
      <c r="E343"/>
      <c r="F343"/>
      <c r="G343"/>
      <c r="H343"/>
      <c r="I343"/>
      <c r="J343"/>
      <c r="K343"/>
      <c r="L343"/>
      <c r="M343"/>
      <c r="N343"/>
      <c r="O343"/>
      <c r="P343"/>
    </row>
    <row r="344" spans="1:16">
      <c r="A344"/>
      <c r="B344"/>
      <c r="C344"/>
      <c r="D344"/>
      <c r="E344"/>
      <c r="F344"/>
      <c r="G344"/>
      <c r="H344"/>
      <c r="I344"/>
      <c r="J344"/>
      <c r="K344"/>
      <c r="L344"/>
      <c r="M344"/>
      <c r="N344"/>
      <c r="O344"/>
      <c r="P344"/>
    </row>
    <row r="345" spans="1:16">
      <c r="A345"/>
      <c r="B345"/>
      <c r="C345"/>
      <c r="D345"/>
      <c r="E345"/>
      <c r="F345"/>
      <c r="G345"/>
      <c r="H345"/>
      <c r="I345"/>
      <c r="J345"/>
      <c r="K345"/>
      <c r="L345"/>
      <c r="M345"/>
      <c r="N345"/>
      <c r="O345"/>
      <c r="P345"/>
    </row>
    <row r="346" spans="1:16">
      <c r="A346"/>
      <c r="B346"/>
      <c r="C346"/>
      <c r="D346"/>
      <c r="E346"/>
      <c r="F346"/>
      <c r="G346"/>
      <c r="H346"/>
      <c r="I346"/>
      <c r="J346"/>
      <c r="K346"/>
      <c r="L346"/>
      <c r="M346"/>
      <c r="N346"/>
      <c r="O346"/>
      <c r="P346"/>
    </row>
    <row r="347" spans="1:16">
      <c r="A347"/>
      <c r="B347"/>
      <c r="C347"/>
      <c r="D347"/>
      <c r="E347"/>
      <c r="F347"/>
      <c r="G347"/>
      <c r="H347"/>
      <c r="I347"/>
      <c r="J347"/>
      <c r="K347"/>
      <c r="L347"/>
      <c r="M347"/>
      <c r="N347"/>
      <c r="O347"/>
      <c r="P347"/>
    </row>
    <row r="348" spans="1:16">
      <c r="A348"/>
      <c r="B348"/>
      <c r="C348"/>
      <c r="D348"/>
      <c r="E348"/>
      <c r="F348"/>
      <c r="G348"/>
      <c r="H348"/>
      <c r="I348"/>
      <c r="J348"/>
      <c r="K348"/>
      <c r="L348"/>
      <c r="M348"/>
      <c r="N348"/>
      <c r="O348"/>
      <c r="P348"/>
    </row>
    <row r="349" spans="1:16">
      <c r="A349"/>
      <c r="B349"/>
      <c r="C349"/>
      <c r="D349"/>
      <c r="E349"/>
      <c r="F349"/>
      <c r="G349"/>
      <c r="H349"/>
      <c r="I349"/>
      <c r="J349"/>
      <c r="K349"/>
      <c r="L349"/>
      <c r="M349"/>
      <c r="N349"/>
      <c r="O349"/>
      <c r="P349"/>
    </row>
    <row r="350" spans="1:16">
      <c r="A350"/>
      <c r="B350"/>
      <c r="C350"/>
      <c r="D350"/>
      <c r="E350"/>
      <c r="F350"/>
      <c r="G350"/>
      <c r="H350"/>
      <c r="I350"/>
      <c r="J350"/>
      <c r="K350"/>
      <c r="L350"/>
      <c r="M350"/>
      <c r="N350"/>
      <c r="O350"/>
      <c r="P350"/>
    </row>
    <row r="351" spans="1:16">
      <c r="A351"/>
      <c r="B351"/>
      <c r="C351"/>
      <c r="D351"/>
      <c r="E351"/>
      <c r="F351"/>
      <c r="G351"/>
      <c r="H351"/>
      <c r="I351"/>
      <c r="J351"/>
      <c r="K351"/>
      <c r="L351"/>
      <c r="M351"/>
      <c r="N351"/>
      <c r="O351"/>
      <c r="P351"/>
    </row>
    <row r="352" spans="1:16">
      <c r="A352"/>
      <c r="B352"/>
      <c r="C352"/>
      <c r="D352"/>
      <c r="E352"/>
      <c r="F352"/>
      <c r="G352"/>
      <c r="H352"/>
      <c r="I352"/>
      <c r="J352"/>
      <c r="K352"/>
      <c r="L352"/>
      <c r="M352"/>
      <c r="N352"/>
      <c r="O352"/>
      <c r="P352"/>
    </row>
    <row r="353" spans="1:16">
      <c r="A353"/>
      <c r="B353"/>
      <c r="C353"/>
      <c r="D353"/>
      <c r="E353"/>
      <c r="F353"/>
      <c r="G353"/>
      <c r="H353"/>
      <c r="I353"/>
      <c r="J353"/>
      <c r="K353"/>
      <c r="L353"/>
      <c r="M353"/>
      <c r="N353"/>
      <c r="O353"/>
      <c r="P353"/>
    </row>
    <row r="354" spans="1:16">
      <c r="A354"/>
      <c r="B354"/>
      <c r="C354"/>
      <c r="D354"/>
      <c r="E354"/>
      <c r="F354"/>
      <c r="G354"/>
      <c r="H354"/>
      <c r="I354"/>
      <c r="J354"/>
      <c r="K354"/>
      <c r="L354"/>
      <c r="M354"/>
      <c r="N354"/>
      <c r="O354"/>
      <c r="P354"/>
    </row>
    <row r="355" spans="1:16">
      <c r="A355"/>
      <c r="B355"/>
      <c r="C355"/>
      <c r="D355"/>
      <c r="E355"/>
      <c r="F355"/>
      <c r="G355"/>
      <c r="H355"/>
      <c r="I355"/>
      <c r="J355"/>
      <c r="K355"/>
      <c r="L355"/>
      <c r="M355"/>
      <c r="N355"/>
      <c r="O355"/>
      <c r="P355"/>
    </row>
    <row r="356" spans="1:16">
      <c r="A356"/>
      <c r="B356"/>
      <c r="C356"/>
      <c r="D356"/>
      <c r="E356"/>
      <c r="F356"/>
      <c r="G356"/>
      <c r="H356"/>
      <c r="I356"/>
      <c r="J356"/>
      <c r="K356"/>
      <c r="L356"/>
      <c r="M356"/>
      <c r="N356"/>
      <c r="O356"/>
      <c r="P356"/>
    </row>
    <row r="357" spans="1:16">
      <c r="A357"/>
      <c r="B357"/>
      <c r="C357"/>
      <c r="D357"/>
      <c r="E357"/>
      <c r="F357"/>
      <c r="G357"/>
      <c r="H357"/>
      <c r="I357"/>
      <c r="J357"/>
      <c r="K357"/>
      <c r="L357"/>
      <c r="M357"/>
      <c r="N357"/>
      <c r="O357"/>
      <c r="P357"/>
    </row>
    <row r="358" spans="1:16">
      <c r="A358"/>
      <c r="B358"/>
      <c r="C358"/>
      <c r="D358"/>
      <c r="E358"/>
      <c r="F358"/>
      <c r="G358"/>
      <c r="H358"/>
      <c r="I358"/>
      <c r="J358"/>
      <c r="K358"/>
      <c r="L358"/>
      <c r="M358"/>
      <c r="N358"/>
      <c r="O358"/>
      <c r="P358"/>
    </row>
    <row r="359" spans="1:16">
      <c r="A359"/>
      <c r="B359"/>
      <c r="C359"/>
      <c r="D359"/>
      <c r="E359"/>
      <c r="F359"/>
      <c r="G359"/>
      <c r="H359"/>
      <c r="I359"/>
      <c r="J359"/>
      <c r="K359"/>
      <c r="L359"/>
      <c r="M359"/>
      <c r="N359"/>
      <c r="O359"/>
      <c r="P359"/>
    </row>
    <row r="360" spans="1:16">
      <c r="A360"/>
      <c r="B360"/>
      <c r="C360"/>
      <c r="D360"/>
      <c r="E360"/>
      <c r="F360"/>
      <c r="G360"/>
      <c r="H360"/>
      <c r="I360"/>
      <c r="J360"/>
      <c r="K360"/>
      <c r="L360"/>
      <c r="M360"/>
      <c r="N360"/>
      <c r="O360"/>
      <c r="P360"/>
    </row>
    <row r="361" spans="1:16">
      <c r="A361"/>
      <c r="B361"/>
      <c r="C361"/>
      <c r="D361"/>
      <c r="E361"/>
      <c r="F361"/>
      <c r="G361"/>
      <c r="H361"/>
      <c r="I361"/>
      <c r="J361"/>
      <c r="K361"/>
      <c r="L361"/>
      <c r="M361"/>
      <c r="N361"/>
      <c r="O361"/>
      <c r="P361"/>
    </row>
    <row r="362" spans="1:16">
      <c r="A362"/>
      <c r="B362"/>
      <c r="C362"/>
      <c r="D362"/>
      <c r="E362"/>
      <c r="F362"/>
      <c r="G362"/>
      <c r="H362"/>
      <c r="I362"/>
      <c r="J362"/>
      <c r="K362"/>
      <c r="L362"/>
      <c r="M362"/>
      <c r="N362"/>
      <c r="O362"/>
      <c r="P362"/>
    </row>
    <row r="363" spans="1:16">
      <c r="A363"/>
      <c r="B363"/>
      <c r="C363"/>
      <c r="D363"/>
      <c r="E363"/>
      <c r="F363"/>
      <c r="G363"/>
      <c r="H363"/>
      <c r="I363"/>
      <c r="J363"/>
      <c r="K363"/>
      <c r="L363"/>
      <c r="M363"/>
      <c r="N363"/>
      <c r="O363"/>
      <c r="P363"/>
    </row>
    <row r="364" spans="1:16">
      <c r="A364"/>
      <c r="B364"/>
      <c r="C364"/>
      <c r="D364"/>
      <c r="E364"/>
      <c r="F364"/>
      <c r="G364"/>
      <c r="H364"/>
      <c r="I364"/>
      <c r="J364"/>
      <c r="K364"/>
      <c r="L364"/>
      <c r="M364"/>
      <c r="N364"/>
      <c r="O364"/>
      <c r="P364"/>
    </row>
    <row r="365" spans="1:16">
      <c r="A365"/>
      <c r="B365"/>
      <c r="C365"/>
      <c r="D365"/>
      <c r="E365"/>
      <c r="F365"/>
      <c r="G365"/>
      <c r="H365"/>
      <c r="I365"/>
      <c r="J365"/>
      <c r="K365"/>
      <c r="L365"/>
      <c r="M365"/>
      <c r="N365"/>
      <c r="O365"/>
      <c r="P365"/>
    </row>
    <row r="366" spans="1:16">
      <c r="A366"/>
      <c r="B366"/>
      <c r="C366"/>
      <c r="D366"/>
      <c r="E366"/>
      <c r="F366"/>
      <c r="G366"/>
      <c r="H366"/>
      <c r="I366"/>
      <c r="J366"/>
      <c r="K366"/>
      <c r="L366"/>
      <c r="M366"/>
      <c r="N366"/>
      <c r="O366"/>
      <c r="P366"/>
    </row>
    <row r="367" spans="1:16">
      <c r="A367"/>
      <c r="B367"/>
      <c r="C367"/>
      <c r="D367"/>
      <c r="E367"/>
      <c r="F367"/>
      <c r="G367"/>
      <c r="H367"/>
      <c r="I367"/>
      <c r="J367"/>
      <c r="K367"/>
      <c r="L367"/>
      <c r="M367"/>
      <c r="N367"/>
      <c r="O367"/>
      <c r="P367"/>
    </row>
    <row r="368" spans="1:16">
      <c r="A368"/>
      <c r="B368"/>
      <c r="C368"/>
      <c r="D368"/>
      <c r="E368"/>
      <c r="F368"/>
      <c r="G368"/>
      <c r="H368"/>
      <c r="I368"/>
      <c r="J368"/>
      <c r="K368"/>
      <c r="L368"/>
      <c r="M368"/>
      <c r="N368"/>
      <c r="O368"/>
      <c r="P368"/>
    </row>
    <row r="369" spans="1:16">
      <c r="A369"/>
      <c r="B369"/>
      <c r="C369"/>
      <c r="D369"/>
      <c r="E369"/>
      <c r="F369"/>
      <c r="G369"/>
      <c r="H369"/>
      <c r="I369"/>
      <c r="J369"/>
      <c r="K369"/>
      <c r="L369"/>
      <c r="M369"/>
      <c r="N369"/>
      <c r="O369"/>
      <c r="P369"/>
    </row>
    <row r="370" spans="1:16">
      <c r="A370"/>
      <c r="B370"/>
      <c r="C370"/>
      <c r="D370"/>
      <c r="E370"/>
      <c r="F370"/>
      <c r="G370"/>
      <c r="H370"/>
      <c r="I370"/>
      <c r="J370"/>
      <c r="K370"/>
      <c r="L370"/>
      <c r="M370"/>
      <c r="N370"/>
      <c r="O370"/>
      <c r="P370"/>
    </row>
    <row r="371" spans="1:16">
      <c r="A371"/>
      <c r="B371"/>
      <c r="C371"/>
      <c r="D371"/>
      <c r="E371"/>
      <c r="F371"/>
      <c r="G371"/>
      <c r="H371"/>
      <c r="I371"/>
      <c r="J371"/>
      <c r="K371"/>
      <c r="L371"/>
      <c r="M371"/>
      <c r="N371"/>
      <c r="O371"/>
      <c r="P371"/>
    </row>
    <row r="372" spans="1:16">
      <c r="A372"/>
      <c r="B372"/>
      <c r="C372"/>
      <c r="D372"/>
      <c r="E372"/>
      <c r="F372"/>
      <c r="G372"/>
      <c r="H372"/>
      <c r="I372"/>
      <c r="J372"/>
      <c r="K372"/>
      <c r="L372"/>
      <c r="M372"/>
      <c r="N372"/>
      <c r="O372"/>
      <c r="P372"/>
    </row>
    <row r="373" spans="1:16">
      <c r="A373"/>
      <c r="B373"/>
      <c r="C373"/>
      <c r="D373"/>
      <c r="E373"/>
      <c r="F373"/>
      <c r="G373"/>
      <c r="H373"/>
      <c r="I373"/>
      <c r="J373"/>
      <c r="K373"/>
      <c r="L373"/>
      <c r="M373"/>
      <c r="N373"/>
      <c r="O373"/>
      <c r="P373"/>
    </row>
    <row r="374" spans="1:16">
      <c r="A374"/>
      <c r="B374"/>
      <c r="C374"/>
      <c r="D374"/>
      <c r="E374"/>
      <c r="F374"/>
      <c r="G374"/>
      <c r="H374"/>
      <c r="I374"/>
      <c r="J374"/>
      <c r="K374"/>
      <c r="L374"/>
      <c r="M374"/>
      <c r="N374"/>
      <c r="O374"/>
      <c r="P374"/>
    </row>
    <row r="375" spans="1:16">
      <c r="A375"/>
      <c r="B375"/>
      <c r="C375"/>
      <c r="D375"/>
      <c r="E375"/>
      <c r="F375"/>
      <c r="G375"/>
      <c r="H375"/>
      <c r="I375"/>
      <c r="J375"/>
      <c r="K375"/>
      <c r="L375"/>
      <c r="M375"/>
      <c r="N375"/>
      <c r="O375"/>
      <c r="P375"/>
    </row>
    <row r="376" spans="1:16">
      <c r="A376"/>
      <c r="B376"/>
      <c r="C376"/>
      <c r="D376"/>
      <c r="E376"/>
      <c r="F376"/>
      <c r="G376"/>
      <c r="H376"/>
      <c r="I376"/>
      <c r="J376"/>
      <c r="K376"/>
      <c r="L376"/>
      <c r="M376"/>
      <c r="N376"/>
      <c r="O376"/>
      <c r="P376"/>
    </row>
    <row r="377" spans="1:16">
      <c r="A377"/>
      <c r="B377"/>
      <c r="C377"/>
      <c r="D377"/>
      <c r="E377"/>
      <c r="F377"/>
      <c r="G377"/>
      <c r="H377"/>
      <c r="I377"/>
      <c r="J377"/>
      <c r="K377"/>
      <c r="L377"/>
      <c r="M377"/>
      <c r="N377"/>
      <c r="O377"/>
      <c r="P377"/>
    </row>
    <row r="378" spans="1:16">
      <c r="A378"/>
      <c r="B378"/>
      <c r="C378"/>
      <c r="D378"/>
      <c r="E378"/>
      <c r="F378"/>
      <c r="G378"/>
      <c r="H378"/>
      <c r="I378"/>
      <c r="J378"/>
      <c r="K378"/>
      <c r="L378"/>
      <c r="M378"/>
      <c r="N378"/>
      <c r="O378"/>
      <c r="P378"/>
    </row>
    <row r="379" spans="1:16">
      <c r="A379"/>
      <c r="B379"/>
      <c r="C379"/>
      <c r="D379"/>
      <c r="E379"/>
      <c r="F379"/>
      <c r="G379"/>
      <c r="H379"/>
      <c r="I379"/>
      <c r="J379"/>
      <c r="K379"/>
      <c r="L379"/>
      <c r="M379"/>
      <c r="N379"/>
      <c r="O379"/>
      <c r="P379"/>
    </row>
    <row r="380" spans="1:16">
      <c r="A380"/>
      <c r="B380"/>
      <c r="C380"/>
      <c r="D380"/>
      <c r="E380"/>
      <c r="F380"/>
      <c r="G380"/>
      <c r="H380"/>
      <c r="I380"/>
      <c r="J380"/>
      <c r="K380"/>
      <c r="L380"/>
      <c r="M380"/>
      <c r="N380"/>
      <c r="O380"/>
      <c r="P380"/>
    </row>
    <row r="381" spans="1:16">
      <c r="A381"/>
      <c r="B381"/>
      <c r="C381"/>
      <c r="D381"/>
      <c r="E381"/>
      <c r="F381"/>
      <c r="G381"/>
      <c r="H381"/>
      <c r="I381"/>
      <c r="J381"/>
      <c r="K381"/>
      <c r="L381"/>
      <c r="M381"/>
      <c r="N381"/>
      <c r="O381"/>
      <c r="P381"/>
    </row>
    <row r="382" spans="1:16">
      <c r="A382"/>
      <c r="B382"/>
      <c r="C382"/>
      <c r="D382"/>
      <c r="E382"/>
      <c r="F382"/>
      <c r="G382"/>
      <c r="H382"/>
      <c r="I382"/>
      <c r="J382"/>
      <c r="K382"/>
      <c r="L382"/>
      <c r="M382"/>
      <c r="N382"/>
      <c r="O382"/>
      <c r="P382"/>
    </row>
    <row r="383" spans="1:16">
      <c r="A383"/>
      <c r="B383"/>
      <c r="C383"/>
      <c r="D383"/>
      <c r="E383"/>
      <c r="F383"/>
      <c r="G383"/>
      <c r="H383"/>
      <c r="I383"/>
      <c r="J383"/>
      <c r="K383"/>
      <c r="L383"/>
      <c r="M383"/>
      <c r="N383"/>
      <c r="O383"/>
      <c r="P383"/>
    </row>
    <row r="384" spans="1:16">
      <c r="A384"/>
      <c r="B384"/>
      <c r="C384"/>
      <c r="D384"/>
      <c r="E384"/>
      <c r="F384"/>
      <c r="G384"/>
      <c r="H384"/>
      <c r="I384"/>
      <c r="J384"/>
      <c r="K384"/>
      <c r="L384"/>
      <c r="M384"/>
      <c r="N384"/>
      <c r="O384"/>
      <c r="P384"/>
    </row>
    <row r="385" spans="1:16">
      <c r="A385"/>
      <c r="B385"/>
      <c r="C385"/>
      <c r="D385"/>
      <c r="E385"/>
      <c r="F385"/>
      <c r="G385"/>
      <c r="H385"/>
      <c r="I385"/>
      <c r="J385"/>
      <c r="K385"/>
      <c r="L385"/>
      <c r="M385"/>
      <c r="N385"/>
      <c r="O385"/>
      <c r="P385"/>
    </row>
    <row r="386" spans="1:16">
      <c r="A386"/>
      <c r="B386"/>
      <c r="C386"/>
      <c r="D386"/>
      <c r="E386"/>
      <c r="F386"/>
      <c r="G386"/>
      <c r="H386"/>
      <c r="I386"/>
      <c r="J386"/>
      <c r="K386"/>
      <c r="L386"/>
      <c r="M386"/>
      <c r="N386"/>
      <c r="O386"/>
      <c r="P386"/>
    </row>
    <row r="387" spans="1:16">
      <c r="A387"/>
      <c r="B387"/>
      <c r="C387"/>
      <c r="D387"/>
      <c r="E387"/>
      <c r="F387"/>
      <c r="G387"/>
      <c r="H387"/>
      <c r="I387"/>
      <c r="J387"/>
      <c r="K387"/>
      <c r="L387"/>
      <c r="M387"/>
      <c r="N387"/>
      <c r="O387"/>
      <c r="P387"/>
    </row>
    <row r="388" spans="1:16">
      <c r="A388"/>
      <c r="B388"/>
      <c r="C388"/>
      <c r="D388"/>
      <c r="E388"/>
      <c r="F388"/>
      <c r="G388"/>
      <c r="H388"/>
      <c r="I388"/>
      <c r="J388"/>
      <c r="K388"/>
      <c r="L388"/>
      <c r="M388"/>
      <c r="N388"/>
      <c r="O388"/>
      <c r="P388"/>
    </row>
    <row r="389" spans="1:16">
      <c r="A389"/>
      <c r="B389"/>
      <c r="C389"/>
      <c r="D389"/>
      <c r="E389"/>
      <c r="F389"/>
      <c r="G389"/>
      <c r="H389"/>
      <c r="I389"/>
      <c r="J389"/>
      <c r="K389"/>
      <c r="L389"/>
      <c r="M389"/>
      <c r="N389"/>
      <c r="O389"/>
      <c r="P389"/>
    </row>
    <row r="390" spans="1:16">
      <c r="A390"/>
      <c r="B390"/>
      <c r="C390"/>
      <c r="D390"/>
      <c r="E390"/>
      <c r="F390"/>
      <c r="G390"/>
      <c r="H390"/>
      <c r="I390"/>
      <c r="J390"/>
      <c r="K390"/>
      <c r="L390"/>
      <c r="M390"/>
      <c r="N390"/>
      <c r="O390"/>
      <c r="P390"/>
    </row>
    <row r="391" spans="1:16">
      <c r="A391"/>
      <c r="B391"/>
      <c r="C391"/>
      <c r="D391"/>
      <c r="E391"/>
      <c r="F391"/>
      <c r="G391"/>
      <c r="H391"/>
      <c r="I391"/>
      <c r="J391"/>
      <c r="K391"/>
      <c r="L391"/>
      <c r="M391"/>
      <c r="N391"/>
      <c r="O391"/>
      <c r="P391"/>
    </row>
    <row r="392" spans="1:16">
      <c r="A392"/>
      <c r="B392"/>
      <c r="C392"/>
      <c r="D392"/>
      <c r="E392"/>
      <c r="F392"/>
      <c r="G392"/>
      <c r="H392"/>
      <c r="I392"/>
      <c r="J392"/>
      <c r="K392"/>
      <c r="L392"/>
      <c r="M392"/>
      <c r="N392"/>
      <c r="O392"/>
      <c r="P392"/>
    </row>
    <row r="393" spans="1:16">
      <c r="A393"/>
      <c r="B393"/>
      <c r="C393"/>
      <c r="D393"/>
      <c r="E393"/>
      <c r="F393"/>
      <c r="G393"/>
      <c r="H393"/>
      <c r="I393"/>
      <c r="J393"/>
      <c r="K393"/>
      <c r="L393"/>
      <c r="M393"/>
      <c r="N393"/>
      <c r="O393"/>
      <c r="P393"/>
    </row>
    <row r="394" spans="1:16">
      <c r="A394"/>
      <c r="B394"/>
      <c r="C394"/>
      <c r="D394"/>
      <c r="E394"/>
      <c r="F394"/>
      <c r="G394"/>
      <c r="H394"/>
      <c r="I394"/>
      <c r="J394"/>
      <c r="K394"/>
      <c r="L394"/>
      <c r="M394"/>
      <c r="N394"/>
      <c r="O394"/>
      <c r="P394"/>
    </row>
    <row r="395" spans="1:16">
      <c r="A395"/>
      <c r="B395"/>
      <c r="C395"/>
      <c r="D395"/>
      <c r="E395"/>
      <c r="F395"/>
      <c r="G395"/>
      <c r="H395"/>
      <c r="I395"/>
      <c r="J395"/>
      <c r="K395"/>
      <c r="L395"/>
      <c r="M395"/>
      <c r="N395"/>
      <c r="O395"/>
      <c r="P395"/>
    </row>
    <row r="396" spans="1:16">
      <c r="A396"/>
      <c r="B396"/>
      <c r="C396"/>
      <c r="D396"/>
      <c r="E396"/>
      <c r="F396"/>
      <c r="G396"/>
      <c r="H396"/>
      <c r="I396"/>
      <c r="J396"/>
      <c r="K396"/>
      <c r="L396"/>
      <c r="M396"/>
      <c r="N396"/>
      <c r="O396"/>
      <c r="P396"/>
    </row>
    <row r="397" spans="1:16">
      <c r="A397"/>
      <c r="B397"/>
      <c r="C397"/>
      <c r="D397"/>
      <c r="E397"/>
      <c r="F397"/>
      <c r="G397"/>
      <c r="H397"/>
      <c r="I397"/>
      <c r="J397"/>
      <c r="K397"/>
      <c r="L397"/>
      <c r="M397"/>
      <c r="N397"/>
      <c r="O397"/>
      <c r="P397"/>
    </row>
    <row r="398" spans="1:16">
      <c r="A398"/>
      <c r="B398"/>
      <c r="C398"/>
      <c r="D398"/>
      <c r="E398"/>
      <c r="F398"/>
      <c r="G398"/>
      <c r="H398"/>
      <c r="I398"/>
      <c r="J398"/>
      <c r="K398"/>
      <c r="L398"/>
      <c r="M398"/>
      <c r="N398"/>
      <c r="O398"/>
      <c r="P398"/>
    </row>
    <row r="399" spans="1:16">
      <c r="A399"/>
      <c r="B399"/>
      <c r="C399"/>
      <c r="D399"/>
      <c r="E399"/>
      <c r="F399"/>
      <c r="G399"/>
      <c r="H399"/>
      <c r="I399"/>
      <c r="J399"/>
      <c r="K399"/>
      <c r="L399"/>
      <c r="M399"/>
      <c r="N399"/>
      <c r="O399"/>
      <c r="P399"/>
    </row>
    <row r="400" spans="1:16">
      <c r="A400"/>
      <c r="B400"/>
      <c r="C400"/>
      <c r="D400"/>
      <c r="E400"/>
      <c r="F400"/>
      <c r="G400"/>
      <c r="H400"/>
      <c r="I400"/>
      <c r="J400"/>
      <c r="K400"/>
      <c r="L400"/>
      <c r="M400"/>
      <c r="N400"/>
      <c r="O400"/>
      <c r="P400"/>
    </row>
    <row r="401" spans="1:16">
      <c r="A401"/>
      <c r="B401"/>
      <c r="C401"/>
      <c r="D401"/>
      <c r="E401"/>
      <c r="F401"/>
      <c r="G401"/>
      <c r="H401"/>
      <c r="I401"/>
      <c r="J401"/>
      <c r="K401"/>
      <c r="L401"/>
      <c r="M401"/>
      <c r="N401"/>
      <c r="O401"/>
      <c r="P401"/>
    </row>
    <row r="402" spans="1:16">
      <c r="A402"/>
      <c r="B402"/>
      <c r="C402"/>
      <c r="D402"/>
      <c r="E402"/>
      <c r="F402"/>
      <c r="G402"/>
      <c r="H402"/>
      <c r="I402"/>
      <c r="J402"/>
      <c r="K402"/>
      <c r="L402"/>
      <c r="M402"/>
      <c r="N402"/>
      <c r="O402"/>
      <c r="P402"/>
    </row>
    <row r="403" spans="1:16">
      <c r="A403"/>
      <c r="B403"/>
      <c r="C403"/>
      <c r="D403"/>
      <c r="E403"/>
      <c r="F403"/>
      <c r="G403"/>
      <c r="H403"/>
      <c r="I403"/>
      <c r="J403"/>
      <c r="K403"/>
      <c r="L403"/>
      <c r="M403"/>
      <c r="N403"/>
      <c r="O403"/>
      <c r="P403"/>
    </row>
    <row r="404" spans="1:16">
      <c r="A404"/>
      <c r="B404"/>
      <c r="C404"/>
      <c r="D404"/>
      <c r="E404"/>
      <c r="F404"/>
      <c r="G404"/>
      <c r="H404"/>
      <c r="I404"/>
      <c r="J404"/>
      <c r="K404"/>
      <c r="L404"/>
      <c r="M404"/>
      <c r="N404"/>
      <c r="O404"/>
      <c r="P404"/>
    </row>
    <row r="405" spans="1:16">
      <c r="A405"/>
      <c r="B405"/>
      <c r="C405"/>
      <c r="D405"/>
      <c r="E405"/>
      <c r="F405"/>
      <c r="G405"/>
      <c r="H405"/>
      <c r="I405"/>
      <c r="J405"/>
      <c r="K405"/>
      <c r="L405"/>
      <c r="M405"/>
      <c r="N405"/>
      <c r="O405"/>
      <c r="P405"/>
    </row>
    <row r="406" spans="1:16">
      <c r="A406"/>
      <c r="B406"/>
      <c r="C406"/>
      <c r="D406"/>
      <c r="E406"/>
      <c r="F406"/>
      <c r="G406"/>
      <c r="H406"/>
      <c r="I406"/>
      <c r="J406"/>
      <c r="K406"/>
      <c r="L406"/>
      <c r="M406"/>
      <c r="N406"/>
      <c r="O406"/>
      <c r="P406"/>
    </row>
    <row r="407" spans="1:16">
      <c r="A407"/>
      <c r="B407"/>
      <c r="C407"/>
      <c r="D407"/>
      <c r="E407"/>
      <c r="F407"/>
      <c r="G407"/>
      <c r="H407"/>
      <c r="I407"/>
      <c r="J407"/>
      <c r="K407"/>
      <c r="L407"/>
      <c r="M407"/>
      <c r="N407"/>
      <c r="O407"/>
      <c r="P407"/>
    </row>
    <row r="408" spans="1:16">
      <c r="A408"/>
      <c r="B408"/>
      <c r="C408"/>
      <c r="D408"/>
      <c r="E408"/>
      <c r="F408"/>
      <c r="G408"/>
      <c r="H408"/>
      <c r="I408"/>
      <c r="J408"/>
      <c r="K408"/>
      <c r="L408"/>
      <c r="M408"/>
      <c r="N408"/>
      <c r="O408"/>
      <c r="P408"/>
    </row>
    <row r="409" spans="1:16">
      <c r="A409"/>
      <c r="B409"/>
      <c r="C409"/>
      <c r="D409"/>
      <c r="E409"/>
      <c r="F409"/>
      <c r="G409"/>
      <c r="H409"/>
      <c r="I409"/>
      <c r="J409"/>
      <c r="K409"/>
      <c r="L409"/>
      <c r="M409"/>
      <c r="N409"/>
      <c r="O409"/>
      <c r="P409"/>
    </row>
    <row r="410" spans="1:16">
      <c r="A410"/>
      <c r="B410"/>
      <c r="C410"/>
      <c r="D410"/>
      <c r="E410"/>
      <c r="F410"/>
      <c r="G410"/>
      <c r="H410"/>
      <c r="I410"/>
      <c r="J410"/>
      <c r="K410"/>
      <c r="L410"/>
      <c r="M410"/>
      <c r="N410"/>
      <c r="O410"/>
      <c r="P410"/>
    </row>
    <row r="411" spans="1:16">
      <c r="A411"/>
      <c r="B411"/>
      <c r="C411"/>
      <c r="D411"/>
      <c r="E411"/>
      <c r="F411"/>
      <c r="G411"/>
      <c r="H411"/>
      <c r="I411"/>
      <c r="J411"/>
      <c r="K411"/>
      <c r="L411"/>
      <c r="M411"/>
      <c r="N411"/>
      <c r="O411"/>
      <c r="P411"/>
    </row>
    <row r="412" spans="1:16">
      <c r="A412"/>
      <c r="B412"/>
      <c r="C412"/>
      <c r="D412"/>
      <c r="E412"/>
      <c r="F412"/>
      <c r="G412"/>
      <c r="H412"/>
      <c r="I412"/>
      <c r="J412"/>
      <c r="K412"/>
      <c r="L412"/>
      <c r="M412"/>
      <c r="N412"/>
      <c r="O412"/>
      <c r="P412"/>
    </row>
    <row r="413" spans="1:16">
      <c r="A413"/>
      <c r="B413"/>
      <c r="C413"/>
      <c r="D413"/>
      <c r="E413"/>
      <c r="F413"/>
      <c r="G413"/>
      <c r="H413"/>
      <c r="I413"/>
      <c r="J413"/>
      <c r="K413"/>
      <c r="L413"/>
      <c r="M413"/>
      <c r="N413"/>
      <c r="O413"/>
      <c r="P413"/>
    </row>
    <row r="414" spans="1:16">
      <c r="A414"/>
      <c r="B414"/>
      <c r="C414"/>
      <c r="D414"/>
      <c r="E414"/>
      <c r="F414"/>
      <c r="G414"/>
      <c r="H414"/>
      <c r="I414"/>
      <c r="J414"/>
      <c r="K414"/>
      <c r="L414"/>
      <c r="M414"/>
      <c r="N414"/>
      <c r="O414"/>
      <c r="P414"/>
    </row>
    <row r="415" spans="1:16">
      <c r="A415"/>
      <c r="B415"/>
      <c r="C415"/>
      <c r="D415"/>
      <c r="E415"/>
      <c r="F415"/>
      <c r="G415"/>
      <c r="H415"/>
      <c r="I415"/>
      <c r="J415"/>
      <c r="K415"/>
      <c r="L415"/>
      <c r="M415"/>
      <c r="N415"/>
      <c r="O415"/>
      <c r="P415"/>
    </row>
    <row r="416" spans="1:16">
      <c r="A416"/>
      <c r="B416"/>
      <c r="C416"/>
      <c r="D416"/>
      <c r="E416"/>
      <c r="F416"/>
      <c r="G416"/>
      <c r="H416"/>
      <c r="I416"/>
      <c r="J416"/>
      <c r="K416"/>
      <c r="L416"/>
      <c r="M416"/>
      <c r="N416"/>
      <c r="O416"/>
      <c r="P416"/>
    </row>
    <row r="417" spans="1:16">
      <c r="A417"/>
      <c r="B417"/>
      <c r="C417"/>
      <c r="D417"/>
      <c r="E417"/>
      <c r="F417"/>
      <c r="G417"/>
      <c r="H417"/>
      <c r="I417"/>
      <c r="J417"/>
      <c r="K417"/>
      <c r="L417"/>
      <c r="M417"/>
      <c r="N417"/>
      <c r="O417"/>
      <c r="P417"/>
    </row>
    <row r="418" spans="1:16">
      <c r="A418"/>
      <c r="B418"/>
      <c r="C418"/>
      <c r="D418"/>
      <c r="E418"/>
      <c r="F418"/>
      <c r="G418"/>
      <c r="H418"/>
      <c r="I418"/>
      <c r="J418"/>
      <c r="K418"/>
      <c r="L418"/>
      <c r="M418"/>
      <c r="N418"/>
      <c r="O418"/>
      <c r="P418"/>
    </row>
    <row r="419" spans="1:16">
      <c r="A419"/>
      <c r="B419"/>
      <c r="C419"/>
      <c r="D419"/>
      <c r="E419"/>
      <c r="F419"/>
      <c r="G419"/>
      <c r="H419"/>
      <c r="I419"/>
      <c r="J419"/>
      <c r="K419"/>
      <c r="L419"/>
      <c r="M419"/>
      <c r="N419"/>
      <c r="O419"/>
      <c r="P419"/>
    </row>
    <row r="420" spans="1:16">
      <c r="A420"/>
      <c r="B420"/>
      <c r="C420"/>
      <c r="D420"/>
      <c r="E420"/>
      <c r="F420"/>
      <c r="G420"/>
      <c r="H420"/>
      <c r="I420"/>
      <c r="J420"/>
      <c r="K420"/>
      <c r="L420"/>
      <c r="M420"/>
      <c r="N420"/>
      <c r="O420"/>
      <c r="P420"/>
    </row>
    <row r="421" spans="1:16">
      <c r="A421"/>
      <c r="B421"/>
      <c r="C421"/>
      <c r="D421"/>
      <c r="E421"/>
      <c r="F421"/>
      <c r="G421"/>
      <c r="H421"/>
      <c r="I421"/>
      <c r="J421"/>
      <c r="K421"/>
      <c r="L421"/>
      <c r="M421"/>
      <c r="N421"/>
      <c r="O421"/>
      <c r="P421"/>
    </row>
    <row r="422" spans="1:16">
      <c r="A422"/>
      <c r="B422"/>
      <c r="C422"/>
      <c r="D422"/>
      <c r="E422"/>
      <c r="F422"/>
      <c r="G422"/>
      <c r="H422"/>
      <c r="I422"/>
      <c r="J422"/>
      <c r="K422"/>
      <c r="L422"/>
      <c r="M422"/>
      <c r="N422"/>
      <c r="O422"/>
      <c r="P422"/>
    </row>
    <row r="423" spans="1:16">
      <c r="A423"/>
      <c r="B423"/>
      <c r="C423"/>
      <c r="D423"/>
      <c r="E423"/>
      <c r="F423"/>
      <c r="G423"/>
      <c r="H423"/>
      <c r="I423"/>
      <c r="J423"/>
      <c r="K423"/>
      <c r="L423"/>
      <c r="M423"/>
      <c r="N423"/>
      <c r="O423"/>
      <c r="P423"/>
    </row>
    <row r="424" spans="1:16">
      <c r="A424"/>
      <c r="B424"/>
      <c r="C424"/>
      <c r="D424"/>
      <c r="E424"/>
      <c r="F424"/>
      <c r="G424"/>
      <c r="H424"/>
      <c r="I424"/>
      <c r="J424"/>
      <c r="K424"/>
      <c r="L424"/>
      <c r="M424"/>
      <c r="N424"/>
      <c r="O424"/>
      <c r="P424"/>
    </row>
    <row r="425" spans="1:16">
      <c r="A425"/>
      <c r="B425"/>
      <c r="C425"/>
      <c r="D425"/>
      <c r="E425"/>
      <c r="F425"/>
      <c r="G425"/>
      <c r="H425"/>
      <c r="I425"/>
      <c r="J425"/>
      <c r="K425"/>
      <c r="L425"/>
      <c r="M425"/>
      <c r="N425"/>
      <c r="O425"/>
      <c r="P425"/>
    </row>
    <row r="426" spans="1:16">
      <c r="A426"/>
      <c r="B426"/>
      <c r="C426"/>
      <c r="D426"/>
      <c r="E426"/>
      <c r="F426"/>
      <c r="G426"/>
      <c r="H426"/>
      <c r="I426"/>
      <c r="J426"/>
      <c r="K426"/>
      <c r="L426"/>
      <c r="M426"/>
      <c r="N426"/>
      <c r="O426"/>
      <c r="P426"/>
    </row>
    <row r="427" spans="1:16">
      <c r="A427"/>
      <c r="B427"/>
      <c r="C427"/>
      <c r="D427"/>
      <c r="E427"/>
      <c r="F427"/>
      <c r="G427"/>
      <c r="H427"/>
      <c r="I427"/>
      <c r="J427"/>
      <c r="K427"/>
      <c r="L427"/>
      <c r="M427"/>
      <c r="N427"/>
      <c r="O427"/>
      <c r="P427"/>
    </row>
    <row r="428" spans="1:16">
      <c r="A428"/>
      <c r="B428"/>
      <c r="C428"/>
      <c r="D428"/>
      <c r="E428"/>
      <c r="F428"/>
      <c r="G428"/>
      <c r="H428"/>
      <c r="I428"/>
      <c r="J428"/>
      <c r="K428"/>
      <c r="L428"/>
      <c r="M428"/>
      <c r="N428"/>
      <c r="O428"/>
      <c r="P428"/>
    </row>
    <row r="429" spans="1:16">
      <c r="A429"/>
      <c r="B429"/>
      <c r="C429"/>
      <c r="D429"/>
      <c r="E429"/>
      <c r="F429"/>
      <c r="G429"/>
      <c r="H429"/>
      <c r="I429"/>
      <c r="J429"/>
      <c r="K429"/>
      <c r="L429"/>
      <c r="M429"/>
      <c r="N429"/>
      <c r="O429"/>
      <c r="P429"/>
    </row>
    <row r="430" spans="1:16">
      <c r="A430"/>
      <c r="B430"/>
      <c r="C430"/>
      <c r="D430"/>
      <c r="E430"/>
      <c r="F430"/>
      <c r="G430"/>
      <c r="H430"/>
      <c r="I430"/>
      <c r="J430"/>
      <c r="K430"/>
      <c r="L430"/>
      <c r="M430"/>
      <c r="N430"/>
      <c r="O430"/>
      <c r="P430"/>
    </row>
    <row r="431" spans="1:16">
      <c r="A431"/>
      <c r="B431"/>
      <c r="C431"/>
      <c r="D431"/>
      <c r="E431"/>
      <c r="F431"/>
      <c r="G431"/>
      <c r="H431"/>
      <c r="I431"/>
      <c r="J431"/>
      <c r="K431"/>
      <c r="L431"/>
      <c r="M431"/>
      <c r="N431"/>
      <c r="O431"/>
      <c r="P431"/>
    </row>
    <row r="432" spans="1:16">
      <c r="A432"/>
      <c r="B432"/>
      <c r="C432"/>
      <c r="D432"/>
      <c r="E432"/>
      <c r="F432"/>
      <c r="G432"/>
      <c r="H432"/>
      <c r="I432"/>
      <c r="J432"/>
      <c r="K432"/>
      <c r="L432"/>
      <c r="M432"/>
      <c r="N432"/>
      <c r="O432"/>
      <c r="P432"/>
    </row>
    <row r="433" spans="1:16">
      <c r="A433"/>
      <c r="B433"/>
      <c r="C433"/>
      <c r="D433"/>
      <c r="E433"/>
      <c r="F433"/>
      <c r="G433"/>
      <c r="H433"/>
      <c r="I433"/>
      <c r="J433"/>
      <c r="K433"/>
      <c r="L433"/>
      <c r="M433"/>
      <c r="N433"/>
      <c r="O433"/>
      <c r="P433"/>
    </row>
    <row r="434" spans="1:16">
      <c r="A434"/>
      <c r="B434"/>
      <c r="C434"/>
      <c r="D434"/>
      <c r="E434"/>
      <c r="F434"/>
      <c r="G434"/>
      <c r="H434"/>
      <c r="I434"/>
      <c r="J434"/>
      <c r="K434"/>
      <c r="L434"/>
      <c r="M434"/>
      <c r="N434"/>
      <c r="O434"/>
      <c r="P434"/>
    </row>
    <row r="435" spans="1:16">
      <c r="A435"/>
      <c r="B435"/>
      <c r="C435"/>
      <c r="D435"/>
      <c r="E435"/>
      <c r="F435"/>
      <c r="G435"/>
      <c r="H435"/>
      <c r="I435"/>
      <c r="J435"/>
      <c r="K435"/>
      <c r="L435"/>
      <c r="M435"/>
      <c r="N435"/>
      <c r="O435"/>
      <c r="P435"/>
    </row>
    <row r="436" spans="1:16">
      <c r="A436"/>
      <c r="B436"/>
      <c r="C436"/>
      <c r="D436"/>
      <c r="E436"/>
      <c r="F436"/>
      <c r="G436"/>
      <c r="H436"/>
      <c r="I436"/>
      <c r="J436"/>
      <c r="K436"/>
      <c r="L436"/>
      <c r="M436"/>
      <c r="N436"/>
      <c r="O436"/>
      <c r="P436"/>
    </row>
    <row r="437" spans="1:16">
      <c r="A437"/>
      <c r="B437"/>
      <c r="C437"/>
      <c r="D437"/>
      <c r="E437"/>
      <c r="F437"/>
      <c r="G437"/>
      <c r="H437"/>
      <c r="I437"/>
      <c r="J437"/>
      <c r="K437"/>
      <c r="L437"/>
      <c r="M437"/>
      <c r="N437"/>
      <c r="O437"/>
      <c r="P437"/>
    </row>
    <row r="438" spans="1:16">
      <c r="A438"/>
      <c r="B438"/>
      <c r="C438"/>
      <c r="D438"/>
      <c r="E438"/>
      <c r="F438"/>
      <c r="G438"/>
      <c r="H438"/>
      <c r="I438"/>
      <c r="J438"/>
      <c r="K438"/>
      <c r="L438"/>
      <c r="M438"/>
      <c r="N438"/>
      <c r="O438"/>
      <c r="P438"/>
    </row>
    <row r="439" spans="1:16">
      <c r="A439"/>
      <c r="B439"/>
      <c r="C439"/>
      <c r="D439"/>
      <c r="E439"/>
      <c r="F439"/>
      <c r="G439"/>
      <c r="H439"/>
      <c r="I439"/>
      <c r="J439"/>
      <c r="K439"/>
      <c r="L439"/>
      <c r="M439"/>
      <c r="N439"/>
      <c r="O439"/>
      <c r="P439"/>
    </row>
    <row r="440" spans="1:16">
      <c r="A440"/>
      <c r="B440"/>
      <c r="C440"/>
      <c r="D440"/>
      <c r="E440"/>
      <c r="F440"/>
      <c r="G440"/>
      <c r="H440"/>
      <c r="I440"/>
      <c r="J440"/>
      <c r="K440"/>
      <c r="L440"/>
      <c r="M440"/>
      <c r="N440"/>
      <c r="O440"/>
      <c r="P440"/>
    </row>
    <row r="441" spans="1:16">
      <c r="A441"/>
      <c r="B441"/>
      <c r="C441"/>
      <c r="D441"/>
      <c r="E441"/>
      <c r="F441"/>
      <c r="G441"/>
      <c r="H441"/>
      <c r="I441"/>
      <c r="J441"/>
      <c r="K441"/>
      <c r="L441"/>
      <c r="M441"/>
      <c r="N441"/>
      <c r="O441"/>
      <c r="P441"/>
    </row>
    <row r="442" spans="1:16">
      <c r="A442"/>
      <c r="B442"/>
      <c r="C442"/>
      <c r="D442"/>
      <c r="E442"/>
      <c r="F442"/>
      <c r="G442"/>
      <c r="H442"/>
      <c r="I442"/>
      <c r="J442"/>
      <c r="K442"/>
      <c r="L442"/>
      <c r="M442"/>
      <c r="N442"/>
      <c r="O442"/>
      <c r="P442"/>
    </row>
    <row r="443" spans="1:16">
      <c r="A443"/>
      <c r="B443"/>
      <c r="C443"/>
      <c r="D443"/>
      <c r="E443"/>
      <c r="F443"/>
      <c r="G443"/>
      <c r="H443"/>
      <c r="I443"/>
      <c r="J443"/>
      <c r="K443"/>
      <c r="L443"/>
      <c r="M443"/>
      <c r="N443"/>
      <c r="O443"/>
      <c r="P443"/>
    </row>
    <row r="444" spans="1:16">
      <c r="A444"/>
      <c r="B444"/>
      <c r="C444"/>
      <c r="D444"/>
      <c r="E444"/>
      <c r="F444"/>
      <c r="G444"/>
      <c r="H444"/>
      <c r="I444"/>
      <c r="J444"/>
      <c r="K444"/>
      <c r="L444"/>
      <c r="M444"/>
      <c r="N444"/>
      <c r="O444"/>
      <c r="P444"/>
    </row>
    <row r="445" spans="1:16">
      <c r="A445"/>
      <c r="B445"/>
      <c r="C445"/>
      <c r="D445"/>
      <c r="E445"/>
      <c r="F445"/>
      <c r="G445"/>
      <c r="H445"/>
      <c r="I445"/>
      <c r="J445"/>
      <c r="K445"/>
      <c r="L445"/>
      <c r="M445"/>
      <c r="N445"/>
      <c r="O445"/>
      <c r="P445"/>
    </row>
    <row r="446" spans="1:16">
      <c r="A446"/>
      <c r="B446"/>
      <c r="C446"/>
      <c r="D446"/>
      <c r="E446"/>
      <c r="F446"/>
      <c r="G446"/>
      <c r="H446"/>
      <c r="I446"/>
      <c r="J446"/>
      <c r="K446"/>
      <c r="L446"/>
      <c r="M446"/>
      <c r="N446"/>
      <c r="O446"/>
      <c r="P446"/>
    </row>
    <row r="447" spans="1:16">
      <c r="A447"/>
      <c r="B447"/>
      <c r="C447"/>
      <c r="D447"/>
      <c r="E447"/>
      <c r="F447"/>
      <c r="G447"/>
      <c r="H447"/>
      <c r="I447"/>
      <c r="J447"/>
      <c r="K447"/>
      <c r="L447"/>
      <c r="M447"/>
      <c r="N447"/>
      <c r="O447"/>
      <c r="P447"/>
    </row>
    <row r="448" spans="1:16">
      <c r="A448"/>
      <c r="B448"/>
      <c r="C448"/>
      <c r="D448"/>
      <c r="E448"/>
      <c r="F448"/>
      <c r="G448"/>
      <c r="H448"/>
      <c r="I448"/>
      <c r="J448"/>
      <c r="K448"/>
      <c r="L448"/>
      <c r="M448"/>
      <c r="N448"/>
      <c r="O448"/>
      <c r="P448"/>
    </row>
    <row r="449" spans="1:16">
      <c r="A449"/>
      <c r="B449"/>
      <c r="C449"/>
      <c r="D449"/>
      <c r="E449"/>
      <c r="F449"/>
      <c r="G449"/>
      <c r="H449"/>
      <c r="I449"/>
      <c r="J449"/>
      <c r="K449"/>
      <c r="L449"/>
      <c r="M449"/>
      <c r="N449"/>
      <c r="O449"/>
      <c r="P449"/>
    </row>
    <row r="450" spans="1:16">
      <c r="A450"/>
      <c r="B450"/>
      <c r="C450"/>
      <c r="D450"/>
      <c r="E450"/>
      <c r="F450"/>
      <c r="G450"/>
      <c r="H450"/>
      <c r="I450"/>
      <c r="J450"/>
      <c r="K450"/>
      <c r="L450"/>
      <c r="M450"/>
      <c r="N450"/>
      <c r="O450"/>
      <c r="P450"/>
    </row>
    <row r="451" spans="1:16">
      <c r="A451"/>
      <c r="B451"/>
      <c r="C451"/>
      <c r="D451"/>
      <c r="E451"/>
      <c r="F451"/>
      <c r="G451"/>
      <c r="H451"/>
      <c r="I451"/>
      <c r="J451"/>
      <c r="K451"/>
      <c r="L451"/>
      <c r="M451"/>
      <c r="N451"/>
      <c r="O451"/>
      <c r="P451"/>
    </row>
    <row r="452" spans="1:16">
      <c r="A452"/>
      <c r="B452"/>
      <c r="C452"/>
      <c r="D452"/>
      <c r="E452"/>
      <c r="F452"/>
      <c r="G452"/>
      <c r="H452"/>
      <c r="I452"/>
      <c r="J452"/>
      <c r="K452"/>
      <c r="L452"/>
      <c r="M452"/>
      <c r="N452"/>
      <c r="O452"/>
      <c r="P452"/>
    </row>
    <row r="453" spans="1:16">
      <c r="A453"/>
      <c r="B453"/>
      <c r="C453"/>
      <c r="D453"/>
      <c r="E453"/>
      <c r="F453"/>
      <c r="G453"/>
      <c r="H453"/>
      <c r="I453"/>
      <c r="J453"/>
      <c r="K453"/>
      <c r="L453"/>
      <c r="M453"/>
      <c r="N453"/>
      <c r="O453"/>
      <c r="P453"/>
    </row>
    <row r="454" spans="1:16">
      <c r="A454"/>
      <c r="B454"/>
      <c r="C454"/>
      <c r="D454"/>
      <c r="E454"/>
      <c r="F454"/>
      <c r="G454"/>
      <c r="H454"/>
      <c r="I454"/>
      <c r="J454"/>
      <c r="K454"/>
      <c r="L454"/>
      <c r="M454"/>
      <c r="N454"/>
      <c r="O454"/>
      <c r="P454"/>
    </row>
    <row r="455" spans="1:16">
      <c r="A455"/>
      <c r="B455"/>
      <c r="C455"/>
      <c r="D455"/>
      <c r="E455"/>
      <c r="F455"/>
      <c r="G455"/>
      <c r="H455"/>
      <c r="I455"/>
      <c r="J455"/>
      <c r="K455"/>
      <c r="L455"/>
      <c r="M455"/>
      <c r="N455"/>
      <c r="O455"/>
      <c r="P455"/>
    </row>
    <row r="456" spans="1:16">
      <c r="A456"/>
      <c r="B456"/>
      <c r="C456"/>
      <c r="D456"/>
      <c r="E456"/>
      <c r="F456"/>
      <c r="G456"/>
      <c r="H456"/>
      <c r="I456"/>
      <c r="J456"/>
      <c r="K456"/>
      <c r="L456"/>
      <c r="M456"/>
      <c r="N456"/>
      <c r="O456"/>
      <c r="P456"/>
    </row>
    <row r="457" spans="1:16">
      <c r="A457"/>
      <c r="B457"/>
      <c r="C457"/>
      <c r="D457"/>
      <c r="E457"/>
      <c r="F457"/>
      <c r="G457"/>
      <c r="H457"/>
      <c r="I457"/>
      <c r="J457"/>
      <c r="K457"/>
      <c r="L457"/>
      <c r="M457"/>
      <c r="N457"/>
      <c r="O457"/>
      <c r="P457"/>
    </row>
    <row r="458" spans="1:16">
      <c r="A458"/>
      <c r="B458"/>
      <c r="C458"/>
      <c r="D458"/>
      <c r="E458"/>
      <c r="F458"/>
      <c r="G458"/>
      <c r="H458"/>
      <c r="I458"/>
      <c r="J458"/>
      <c r="K458"/>
      <c r="L458"/>
      <c r="M458"/>
      <c r="N458"/>
      <c r="O458"/>
      <c r="P458"/>
    </row>
    <row r="459" spans="1:16">
      <c r="A459"/>
      <c r="B459"/>
      <c r="C459"/>
      <c r="D459"/>
      <c r="E459"/>
      <c r="F459"/>
      <c r="G459"/>
      <c r="H459"/>
      <c r="I459"/>
      <c r="J459"/>
      <c r="K459"/>
      <c r="L459"/>
      <c r="M459"/>
      <c r="N459"/>
      <c r="O459"/>
      <c r="P459"/>
    </row>
    <row r="460" spans="1:16">
      <c r="A460"/>
      <c r="B460"/>
      <c r="C460"/>
      <c r="D460"/>
      <c r="E460"/>
      <c r="F460"/>
      <c r="G460"/>
      <c r="H460"/>
      <c r="I460"/>
      <c r="J460"/>
      <c r="K460"/>
      <c r="L460"/>
      <c r="M460"/>
      <c r="N460"/>
      <c r="O460"/>
      <c r="P460"/>
    </row>
    <row r="461" spans="1:16">
      <c r="A461"/>
      <c r="B461"/>
      <c r="C461"/>
      <c r="D461"/>
      <c r="E461"/>
      <c r="F461"/>
      <c r="G461"/>
      <c r="H461"/>
      <c r="I461"/>
      <c r="J461"/>
      <c r="K461"/>
      <c r="L461"/>
      <c r="M461"/>
      <c r="N461"/>
      <c r="O461"/>
      <c r="P461"/>
    </row>
    <row r="462" spans="1:16">
      <c r="A462"/>
      <c r="B462"/>
      <c r="C462"/>
      <c r="D462"/>
      <c r="E462"/>
      <c r="F462"/>
      <c r="G462"/>
      <c r="H462"/>
      <c r="I462"/>
      <c r="J462"/>
      <c r="K462"/>
      <c r="L462"/>
      <c r="M462"/>
      <c r="N462"/>
      <c r="O462"/>
      <c r="P462"/>
    </row>
    <row r="463" spans="1:16">
      <c r="A463"/>
      <c r="B463"/>
      <c r="C463"/>
      <c r="D463"/>
      <c r="E463"/>
      <c r="F463"/>
      <c r="G463"/>
      <c r="H463"/>
      <c r="I463"/>
      <c r="J463"/>
      <c r="K463"/>
      <c r="L463"/>
      <c r="M463"/>
      <c r="N463"/>
      <c r="O463"/>
      <c r="P463"/>
    </row>
    <row r="464" spans="1:16">
      <c r="A464"/>
      <c r="B464"/>
      <c r="C464"/>
      <c r="D464"/>
      <c r="E464"/>
      <c r="F464"/>
      <c r="G464"/>
      <c r="H464"/>
      <c r="I464"/>
      <c r="J464"/>
      <c r="K464"/>
      <c r="L464"/>
      <c r="M464"/>
      <c r="N464"/>
      <c r="O464"/>
      <c r="P464"/>
    </row>
    <row r="465" spans="1:16">
      <c r="A465"/>
      <c r="B465"/>
      <c r="C465"/>
      <c r="D465"/>
      <c r="E465"/>
      <c r="F465"/>
      <c r="G465"/>
      <c r="H465"/>
      <c r="I465"/>
      <c r="J465"/>
      <c r="K465"/>
      <c r="L465"/>
      <c r="M465"/>
      <c r="N465"/>
      <c r="O465"/>
      <c r="P465"/>
    </row>
    <row r="466" spans="1:16">
      <c r="A466"/>
      <c r="B466"/>
      <c r="C466"/>
      <c r="D466"/>
      <c r="E466"/>
      <c r="F466"/>
      <c r="G466"/>
      <c r="H466"/>
      <c r="I466"/>
      <c r="J466"/>
      <c r="K466"/>
      <c r="L466"/>
      <c r="M466"/>
      <c r="N466"/>
      <c r="O466"/>
      <c r="P466"/>
    </row>
    <row r="467" spans="1:16">
      <c r="A467"/>
      <c r="B467"/>
      <c r="C467"/>
      <c r="D467"/>
      <c r="E467"/>
      <c r="F467"/>
      <c r="G467"/>
      <c r="H467"/>
      <c r="I467"/>
      <c r="J467"/>
      <c r="K467"/>
      <c r="L467"/>
      <c r="M467"/>
      <c r="N467"/>
      <c r="O467"/>
      <c r="P467"/>
    </row>
    <row r="468" spans="1:16">
      <c r="A468"/>
      <c r="B468"/>
      <c r="C468"/>
      <c r="D468"/>
      <c r="E468"/>
      <c r="F468"/>
      <c r="G468"/>
      <c r="H468"/>
      <c r="I468"/>
      <c r="J468"/>
      <c r="K468"/>
      <c r="L468"/>
      <c r="M468"/>
      <c r="N468"/>
      <c r="O468"/>
      <c r="P468"/>
    </row>
    <row r="469" spans="1:16">
      <c r="A469"/>
      <c r="B469"/>
      <c r="C469"/>
      <c r="D469"/>
      <c r="E469"/>
      <c r="F469"/>
      <c r="G469"/>
      <c r="H469"/>
      <c r="I469"/>
      <c r="J469"/>
      <c r="K469"/>
      <c r="L469"/>
      <c r="M469"/>
      <c r="N469"/>
      <c r="O469"/>
      <c r="P469"/>
    </row>
    <row r="470" spans="1:16">
      <c r="A470"/>
      <c r="B470"/>
      <c r="C470"/>
      <c r="D470"/>
      <c r="E470"/>
      <c r="F470"/>
      <c r="G470"/>
      <c r="H470"/>
      <c r="I470"/>
      <c r="J470"/>
      <c r="K470"/>
      <c r="L470"/>
      <c r="M470"/>
      <c r="N470"/>
      <c r="O470"/>
      <c r="P470"/>
    </row>
    <row r="471" spans="1:16">
      <c r="A471"/>
      <c r="B471"/>
      <c r="C471"/>
      <c r="D471"/>
      <c r="E471"/>
      <c r="F471"/>
      <c r="G471"/>
      <c r="H471"/>
      <c r="I471"/>
      <c r="J471"/>
      <c r="K471"/>
      <c r="L471"/>
      <c r="M471"/>
      <c r="N471"/>
      <c r="O471"/>
      <c r="P471"/>
    </row>
    <row r="472" spans="1:16">
      <c r="A472"/>
      <c r="B472"/>
      <c r="C472"/>
      <c r="D472"/>
      <c r="E472"/>
      <c r="F472"/>
      <c r="G472"/>
      <c r="H472"/>
      <c r="I472"/>
      <c r="J472"/>
      <c r="K472"/>
      <c r="L472"/>
      <c r="M472"/>
      <c r="N472"/>
      <c r="O472"/>
      <c r="P472"/>
    </row>
    <row r="473" spans="1:16">
      <c r="A473"/>
      <c r="B473"/>
      <c r="C473"/>
      <c r="D473"/>
      <c r="E473"/>
      <c r="F473"/>
      <c r="G473"/>
      <c r="H473"/>
      <c r="I473"/>
      <c r="J473"/>
      <c r="K473"/>
      <c r="L473"/>
      <c r="M473"/>
      <c r="N473"/>
      <c r="O473"/>
      <c r="P473"/>
    </row>
    <row r="474" spans="1:16">
      <c r="A474"/>
      <c r="B474"/>
      <c r="C474"/>
      <c r="D474"/>
      <c r="E474"/>
      <c r="F474"/>
      <c r="G474"/>
      <c r="H474"/>
      <c r="I474"/>
      <c r="J474"/>
      <c r="K474"/>
      <c r="L474"/>
      <c r="M474"/>
      <c r="N474"/>
      <c r="O474"/>
      <c r="P474"/>
    </row>
    <row r="475" spans="1:16">
      <c r="A475"/>
      <c r="B475"/>
      <c r="C475"/>
      <c r="D475"/>
      <c r="E475"/>
      <c r="F475"/>
      <c r="G475"/>
      <c r="H475"/>
      <c r="I475"/>
      <c r="J475"/>
      <c r="K475"/>
      <c r="L475"/>
      <c r="M475"/>
      <c r="N475"/>
      <c r="O475"/>
      <c r="P475"/>
    </row>
    <row r="476" spans="1:16">
      <c r="A476"/>
      <c r="B476"/>
      <c r="C476"/>
      <c r="D476"/>
      <c r="E476"/>
      <c r="F476"/>
      <c r="G476"/>
      <c r="H476"/>
      <c r="I476"/>
      <c r="J476"/>
      <c r="K476"/>
      <c r="L476"/>
      <c r="M476"/>
      <c r="N476"/>
      <c r="O476"/>
      <c r="P476"/>
    </row>
    <row r="477" spans="1:16">
      <c r="A477"/>
      <c r="B477"/>
      <c r="C477"/>
      <c r="D477"/>
      <c r="E477"/>
      <c r="F477"/>
      <c r="G477"/>
      <c r="H477"/>
      <c r="I477"/>
      <c r="J477"/>
      <c r="K477"/>
      <c r="L477"/>
      <c r="M477"/>
      <c r="N477"/>
      <c r="O477"/>
      <c r="P477"/>
    </row>
    <row r="478" spans="1:16">
      <c r="A478"/>
      <c r="B478"/>
      <c r="C478"/>
      <c r="D478"/>
      <c r="E478"/>
      <c r="F478"/>
      <c r="G478"/>
      <c r="H478"/>
      <c r="I478"/>
      <c r="J478"/>
      <c r="K478"/>
      <c r="L478"/>
      <c r="M478"/>
      <c r="N478"/>
      <c r="O478"/>
      <c r="P478"/>
    </row>
    <row r="479" spans="1:16">
      <c r="A479"/>
      <c r="B479"/>
      <c r="C479"/>
      <c r="D479"/>
      <c r="E479"/>
      <c r="F479"/>
      <c r="G479"/>
      <c r="H479"/>
      <c r="I479"/>
      <c r="J479"/>
      <c r="K479"/>
      <c r="L479"/>
      <c r="M479"/>
      <c r="N479"/>
      <c r="O479"/>
      <c r="P479"/>
    </row>
    <row r="480" spans="1:16">
      <c r="A480"/>
      <c r="B480"/>
      <c r="C480"/>
      <c r="D480"/>
      <c r="E480"/>
      <c r="F480"/>
      <c r="G480"/>
      <c r="H480"/>
      <c r="I480"/>
      <c r="J480"/>
      <c r="K480"/>
      <c r="L480"/>
      <c r="M480"/>
      <c r="N480"/>
      <c r="O480"/>
      <c r="P480"/>
    </row>
    <row r="481" spans="1:16">
      <c r="A481"/>
      <c r="B481"/>
      <c r="C481"/>
      <c r="D481"/>
      <c r="E481"/>
      <c r="F481"/>
      <c r="G481"/>
      <c r="H481"/>
      <c r="I481"/>
      <c r="J481"/>
      <c r="K481"/>
      <c r="L481"/>
      <c r="M481"/>
      <c r="N481"/>
      <c r="O481"/>
      <c r="P481"/>
    </row>
    <row r="482" spans="1:16">
      <c r="A482"/>
      <c r="B482"/>
      <c r="C482"/>
      <c r="D482"/>
      <c r="E482"/>
      <c r="F482"/>
      <c r="G482"/>
      <c r="H482"/>
      <c r="I482"/>
      <c r="J482"/>
      <c r="K482"/>
      <c r="L482"/>
      <c r="M482"/>
      <c r="N482"/>
      <c r="O482"/>
      <c r="P482"/>
    </row>
    <row r="483" spans="1:16">
      <c r="A483"/>
      <c r="B483"/>
      <c r="C483"/>
      <c r="D483"/>
      <c r="E483"/>
      <c r="F483"/>
      <c r="G483"/>
      <c r="H483"/>
      <c r="I483"/>
      <c r="J483"/>
      <c r="K483"/>
      <c r="L483"/>
      <c r="M483"/>
      <c r="N483"/>
      <c r="O483"/>
      <c r="P483"/>
    </row>
    <row r="484" spans="1:16">
      <c r="A484"/>
      <c r="B484"/>
      <c r="C484"/>
      <c r="D484"/>
      <c r="E484"/>
      <c r="F484"/>
      <c r="G484"/>
      <c r="H484"/>
      <c r="I484"/>
      <c r="J484"/>
      <c r="K484"/>
      <c r="L484"/>
      <c r="M484"/>
      <c r="N484"/>
      <c r="O484"/>
      <c r="P484"/>
    </row>
    <row r="485" spans="1:16">
      <c r="A485"/>
      <c r="B485"/>
      <c r="C485"/>
      <c r="D485"/>
      <c r="E485"/>
      <c r="F485"/>
      <c r="G485"/>
      <c r="H485"/>
      <c r="I485"/>
      <c r="J485"/>
      <c r="K485"/>
      <c r="L485"/>
      <c r="M485"/>
      <c r="N485"/>
      <c r="O485"/>
      <c r="P485"/>
    </row>
    <row r="486" spans="1:16">
      <c r="A486"/>
      <c r="B486"/>
      <c r="C486"/>
      <c r="D486"/>
      <c r="E486"/>
      <c r="F486"/>
      <c r="G486"/>
      <c r="H486"/>
      <c r="I486"/>
      <c r="J486"/>
      <c r="K486"/>
      <c r="L486"/>
      <c r="M486"/>
      <c r="N486"/>
      <c r="O486"/>
      <c r="P486"/>
    </row>
    <row r="487" spans="1:16">
      <c r="A487"/>
      <c r="B487"/>
      <c r="C487"/>
      <c r="D487"/>
      <c r="E487"/>
      <c r="F487"/>
      <c r="G487"/>
      <c r="H487"/>
      <c r="I487"/>
      <c r="J487"/>
      <c r="K487"/>
      <c r="L487"/>
      <c r="M487"/>
      <c r="N487"/>
      <c r="O487"/>
      <c r="P487"/>
    </row>
    <row r="488" spans="1:16">
      <c r="A488"/>
      <c r="B488"/>
      <c r="C488"/>
      <c r="D488"/>
      <c r="E488"/>
      <c r="F488"/>
      <c r="G488"/>
      <c r="H488"/>
      <c r="I488"/>
      <c r="J488"/>
      <c r="K488"/>
      <c r="L488"/>
      <c r="M488"/>
      <c r="N488"/>
      <c r="O488"/>
      <c r="P488"/>
    </row>
    <row r="489" spans="1:16">
      <c r="A489"/>
      <c r="B489"/>
      <c r="C489"/>
      <c r="D489"/>
      <c r="E489"/>
      <c r="F489"/>
      <c r="G489"/>
      <c r="H489"/>
      <c r="I489"/>
      <c r="J489"/>
      <c r="K489"/>
      <c r="L489"/>
      <c r="M489"/>
      <c r="N489"/>
      <c r="O489"/>
      <c r="P489"/>
    </row>
    <row r="490" spans="1:16">
      <c r="A490"/>
      <c r="B490"/>
      <c r="C490"/>
      <c r="D490"/>
      <c r="E490"/>
      <c r="F490"/>
      <c r="G490"/>
      <c r="H490"/>
      <c r="I490"/>
      <c r="J490"/>
      <c r="K490"/>
      <c r="L490"/>
      <c r="M490"/>
      <c r="N490"/>
      <c r="O490"/>
      <c r="P490"/>
    </row>
    <row r="491" spans="1:16">
      <c r="A491"/>
      <c r="B491"/>
      <c r="C491"/>
      <c r="D491"/>
      <c r="E491"/>
      <c r="F491"/>
      <c r="G491"/>
      <c r="H491"/>
      <c r="I491"/>
      <c r="J491"/>
      <c r="K491"/>
      <c r="L491"/>
      <c r="M491"/>
      <c r="N491"/>
      <c r="O491"/>
      <c r="P491"/>
    </row>
    <row r="492" spans="1:16">
      <c r="A492"/>
      <c r="B492"/>
      <c r="C492"/>
      <c r="D492"/>
      <c r="E492"/>
      <c r="F492"/>
      <c r="G492"/>
      <c r="H492"/>
      <c r="I492"/>
      <c r="J492"/>
      <c r="K492"/>
      <c r="L492"/>
      <c r="M492"/>
      <c r="N492"/>
      <c r="O492"/>
      <c r="P492"/>
    </row>
    <row r="493" spans="1:16">
      <c r="A493"/>
      <c r="B493"/>
      <c r="C493"/>
      <c r="D493"/>
      <c r="E493"/>
      <c r="F493"/>
      <c r="G493"/>
      <c r="H493"/>
      <c r="I493"/>
      <c r="J493"/>
      <c r="K493"/>
      <c r="L493"/>
      <c r="M493"/>
      <c r="N493"/>
      <c r="O493"/>
      <c r="P493"/>
    </row>
    <row r="494" spans="1:16">
      <c r="A494"/>
      <c r="B494"/>
      <c r="C494"/>
      <c r="D494"/>
      <c r="E494"/>
      <c r="F494"/>
      <c r="G494"/>
      <c r="H494"/>
      <c r="I494"/>
      <c r="J494"/>
      <c r="K494"/>
      <c r="L494"/>
      <c r="M494"/>
      <c r="N494"/>
      <c r="O494"/>
      <c r="P494"/>
    </row>
    <row r="495" spans="1:16">
      <c r="A495"/>
      <c r="B495"/>
      <c r="C495"/>
      <c r="D495"/>
      <c r="E495"/>
      <c r="F495"/>
      <c r="G495"/>
      <c r="H495"/>
      <c r="I495"/>
      <c r="J495"/>
      <c r="K495"/>
      <c r="L495"/>
      <c r="M495"/>
      <c r="N495"/>
      <c r="O495"/>
      <c r="P495"/>
    </row>
    <row r="496" spans="1:16">
      <c r="A496"/>
      <c r="B496"/>
      <c r="C496"/>
      <c r="D496"/>
      <c r="E496"/>
      <c r="F496"/>
      <c r="G496"/>
      <c r="H496"/>
      <c r="I496"/>
      <c r="J496"/>
      <c r="K496"/>
      <c r="L496"/>
      <c r="M496"/>
      <c r="N496"/>
      <c r="O496"/>
      <c r="P496"/>
    </row>
    <row r="497" spans="1:16">
      <c r="A497"/>
      <c r="B497"/>
      <c r="C497"/>
      <c r="D497"/>
      <c r="E497"/>
      <c r="F497"/>
      <c r="G497"/>
      <c r="H497"/>
      <c r="I497"/>
      <c r="J497"/>
      <c r="K497"/>
      <c r="L497"/>
      <c r="M497"/>
      <c r="N497"/>
      <c r="O497"/>
      <c r="P497"/>
    </row>
    <row r="498" spans="1:16">
      <c r="A498"/>
      <c r="B498"/>
      <c r="C498"/>
      <c r="D498"/>
      <c r="E498"/>
      <c r="F498"/>
      <c r="G498"/>
      <c r="H498"/>
      <c r="I498"/>
      <c r="J498"/>
      <c r="K498"/>
      <c r="L498"/>
      <c r="M498"/>
      <c r="N498"/>
      <c r="O498"/>
      <c r="P498"/>
    </row>
    <row r="499" spans="1:16">
      <c r="A499"/>
      <c r="B499"/>
      <c r="C499"/>
      <c r="D499"/>
      <c r="E499"/>
      <c r="F499"/>
      <c r="G499"/>
      <c r="H499"/>
      <c r="I499"/>
      <c r="J499"/>
      <c r="K499"/>
      <c r="L499"/>
      <c r="M499"/>
      <c r="N499"/>
      <c r="O499"/>
      <c r="P499"/>
    </row>
    <row r="500" spans="1:16">
      <c r="A500"/>
      <c r="B500"/>
      <c r="C500"/>
      <c r="D500"/>
      <c r="E500"/>
      <c r="F500"/>
      <c r="G500"/>
      <c r="H500"/>
      <c r="I500"/>
      <c r="J500"/>
      <c r="K500"/>
      <c r="L500"/>
      <c r="M500"/>
      <c r="N500"/>
      <c r="O500"/>
      <c r="P500"/>
    </row>
    <row r="501" spans="1:16">
      <c r="A501"/>
      <c r="B501"/>
      <c r="C501"/>
      <c r="D501"/>
      <c r="E501"/>
      <c r="F501"/>
      <c r="G501"/>
      <c r="H501"/>
      <c r="I501"/>
      <c r="J501"/>
      <c r="K501"/>
      <c r="L501"/>
      <c r="M501"/>
      <c r="N501"/>
      <c r="O501"/>
      <c r="P501"/>
    </row>
    <row r="502" spans="1:16">
      <c r="A502"/>
      <c r="B502"/>
      <c r="C502"/>
      <c r="D502"/>
      <c r="E502"/>
      <c r="F502"/>
      <c r="G502"/>
      <c r="H502"/>
      <c r="I502"/>
      <c r="J502"/>
      <c r="K502"/>
      <c r="L502"/>
      <c r="M502"/>
      <c r="N502"/>
      <c r="O502"/>
      <c r="P502"/>
    </row>
    <row r="503" spans="1:16">
      <c r="A503"/>
      <c r="B503"/>
      <c r="C503"/>
      <c r="D503"/>
      <c r="E503"/>
      <c r="F503"/>
      <c r="G503"/>
      <c r="H503"/>
      <c r="I503"/>
      <c r="J503"/>
      <c r="K503"/>
      <c r="L503"/>
      <c r="M503"/>
      <c r="N503"/>
      <c r="O503"/>
      <c r="P503"/>
    </row>
    <row r="504" spans="1:16">
      <c r="A504"/>
      <c r="B504"/>
      <c r="C504"/>
      <c r="D504"/>
      <c r="E504"/>
      <c r="F504"/>
      <c r="G504"/>
      <c r="H504"/>
      <c r="I504"/>
      <c r="J504"/>
      <c r="K504"/>
      <c r="L504"/>
      <c r="M504"/>
      <c r="N504"/>
      <c r="O504"/>
      <c r="P504"/>
    </row>
    <row r="505" spans="1:16">
      <c r="A505"/>
      <c r="B505"/>
      <c r="C505"/>
      <c r="D505"/>
      <c r="E505"/>
      <c r="F505"/>
      <c r="G505"/>
      <c r="H505"/>
      <c r="I505"/>
      <c r="J505"/>
      <c r="K505"/>
      <c r="L505"/>
      <c r="M505"/>
      <c r="N505"/>
      <c r="O505"/>
      <c r="P505"/>
    </row>
    <row r="506" spans="1:16">
      <c r="A506"/>
      <c r="B506"/>
      <c r="C506"/>
      <c r="D506"/>
      <c r="E506"/>
      <c r="F506"/>
      <c r="G506"/>
      <c r="H506"/>
      <c r="I506"/>
      <c r="J506"/>
      <c r="K506"/>
      <c r="L506"/>
      <c r="M506"/>
      <c r="N506"/>
      <c r="O506"/>
      <c r="P506"/>
    </row>
    <row r="507" spans="1:16">
      <c r="A507"/>
      <c r="B507"/>
      <c r="C507"/>
      <c r="D507"/>
      <c r="E507"/>
      <c r="F507"/>
      <c r="G507"/>
      <c r="H507"/>
      <c r="I507"/>
      <c r="J507"/>
      <c r="K507"/>
      <c r="L507"/>
      <c r="M507"/>
      <c r="N507"/>
      <c r="O507"/>
      <c r="P507"/>
    </row>
    <row r="508" spans="1:16">
      <c r="A508"/>
      <c r="B508"/>
      <c r="C508"/>
      <c r="D508"/>
      <c r="E508"/>
      <c r="F508"/>
      <c r="G508"/>
      <c r="H508"/>
      <c r="I508"/>
      <c r="J508"/>
      <c r="K508"/>
      <c r="L508"/>
      <c r="M508"/>
      <c r="N508"/>
      <c r="O508"/>
      <c r="P508"/>
    </row>
    <row r="509" spans="1:16">
      <c r="A509"/>
      <c r="B509"/>
      <c r="C509"/>
      <c r="D509"/>
      <c r="E509"/>
      <c r="F509"/>
      <c r="G509"/>
      <c r="H509"/>
      <c r="I509"/>
      <c r="J509"/>
      <c r="K509"/>
      <c r="L509"/>
      <c r="M509"/>
      <c r="N509"/>
      <c r="O509"/>
      <c r="P509"/>
    </row>
    <row r="510" spans="1:16">
      <c r="A510"/>
      <c r="B510"/>
      <c r="C510"/>
      <c r="D510"/>
      <c r="E510"/>
      <c r="F510"/>
      <c r="G510"/>
      <c r="H510"/>
      <c r="I510"/>
      <c r="J510"/>
      <c r="K510"/>
      <c r="L510"/>
      <c r="M510"/>
      <c r="N510"/>
      <c r="O510"/>
      <c r="P510"/>
    </row>
    <row r="511" spans="1:16">
      <c r="A511"/>
      <c r="B511"/>
      <c r="C511"/>
      <c r="D511"/>
      <c r="E511"/>
      <c r="F511"/>
      <c r="G511"/>
      <c r="H511"/>
      <c r="I511"/>
      <c r="J511"/>
      <c r="K511"/>
      <c r="L511"/>
      <c r="M511"/>
      <c r="N511"/>
      <c r="O511"/>
      <c r="P511"/>
    </row>
    <row r="512" spans="1:16">
      <c r="A512"/>
      <c r="B512"/>
      <c r="C512"/>
      <c r="D512"/>
      <c r="E512"/>
      <c r="F512"/>
      <c r="G512"/>
      <c r="H512"/>
      <c r="I512"/>
      <c r="J512"/>
      <c r="K512"/>
      <c r="L512"/>
      <c r="M512"/>
      <c r="N512"/>
      <c r="O512"/>
      <c r="P512"/>
    </row>
    <row r="513" spans="1:16">
      <c r="A513"/>
      <c r="B513"/>
      <c r="C513"/>
      <c r="D513"/>
      <c r="E513"/>
      <c r="F513"/>
      <c r="G513"/>
      <c r="H513"/>
      <c r="I513"/>
      <c r="J513"/>
      <c r="K513"/>
      <c r="L513"/>
      <c r="M513"/>
      <c r="N513"/>
      <c r="O513"/>
      <c r="P513"/>
    </row>
    <row r="514" spans="1:16">
      <c r="A514"/>
      <c r="B514"/>
      <c r="C514"/>
      <c r="D514"/>
      <c r="E514"/>
      <c r="F514"/>
      <c r="G514"/>
      <c r="H514"/>
      <c r="I514"/>
      <c r="J514"/>
      <c r="K514"/>
      <c r="L514"/>
      <c r="M514"/>
      <c r="N514"/>
      <c r="O514"/>
      <c r="P514"/>
    </row>
    <row r="515" spans="1:16">
      <c r="A515"/>
      <c r="B515"/>
      <c r="C515"/>
      <c r="D515"/>
      <c r="E515"/>
      <c r="F515"/>
      <c r="G515"/>
      <c r="H515"/>
      <c r="I515"/>
      <c r="J515"/>
      <c r="K515"/>
      <c r="L515"/>
      <c r="M515"/>
      <c r="N515"/>
      <c r="O515"/>
      <c r="P515"/>
    </row>
    <row r="516" spans="1:16">
      <c r="A516"/>
      <c r="B516"/>
      <c r="C516"/>
      <c r="D516"/>
      <c r="E516"/>
      <c r="F516"/>
      <c r="G516"/>
      <c r="H516"/>
      <c r="I516"/>
      <c r="J516"/>
      <c r="K516"/>
      <c r="L516"/>
      <c r="M516"/>
      <c r="N516"/>
      <c r="O516"/>
      <c r="P516"/>
    </row>
    <row r="517" spans="1:16">
      <c r="A517"/>
      <c r="B517"/>
      <c r="C517"/>
      <c r="D517"/>
      <c r="E517"/>
      <c r="F517"/>
      <c r="G517"/>
      <c r="H517"/>
      <c r="I517"/>
      <c r="J517"/>
      <c r="K517"/>
      <c r="L517"/>
      <c r="M517"/>
      <c r="N517"/>
      <c r="O517"/>
      <c r="P517"/>
    </row>
    <row r="518" spans="1:16">
      <c r="A518"/>
      <c r="B518"/>
      <c r="C518"/>
      <c r="D518"/>
      <c r="E518"/>
      <c r="F518"/>
      <c r="G518"/>
      <c r="H518"/>
      <c r="I518"/>
      <c r="J518"/>
      <c r="K518"/>
      <c r="L518"/>
      <c r="M518"/>
      <c r="N518"/>
      <c r="O518"/>
      <c r="P518"/>
    </row>
    <row r="519" spans="1:16">
      <c r="A519"/>
      <c r="B519"/>
      <c r="C519"/>
      <c r="D519"/>
      <c r="E519"/>
      <c r="F519"/>
      <c r="G519"/>
      <c r="H519"/>
      <c r="I519"/>
      <c r="J519"/>
      <c r="K519"/>
      <c r="L519"/>
      <c r="M519"/>
      <c r="N519"/>
      <c r="O519"/>
      <c r="P519"/>
    </row>
    <row r="520" spans="1:16">
      <c r="A520"/>
      <c r="B520"/>
      <c r="C520"/>
      <c r="D520"/>
      <c r="E520"/>
      <c r="F520"/>
      <c r="G520"/>
      <c r="H520"/>
      <c r="I520"/>
      <c r="J520"/>
      <c r="K520"/>
      <c r="L520"/>
      <c r="M520"/>
      <c r="N520"/>
      <c r="O520"/>
      <c r="P520"/>
    </row>
    <row r="521" spans="1:16">
      <c r="A521"/>
      <c r="B521"/>
      <c r="C521"/>
      <c r="D521"/>
      <c r="E521"/>
      <c r="F521"/>
      <c r="G521"/>
      <c r="H521"/>
      <c r="I521"/>
      <c r="J521"/>
      <c r="K521"/>
      <c r="L521"/>
      <c r="M521"/>
      <c r="N521"/>
      <c r="O521"/>
      <c r="P521"/>
    </row>
    <row r="522" spans="1:16">
      <c r="A522"/>
      <c r="B522"/>
      <c r="C522"/>
      <c r="D522"/>
      <c r="E522"/>
      <c r="F522"/>
      <c r="G522"/>
      <c r="H522"/>
      <c r="I522"/>
      <c r="J522"/>
      <c r="K522"/>
      <c r="L522"/>
      <c r="M522"/>
      <c r="N522"/>
      <c r="O522"/>
      <c r="P522"/>
    </row>
    <row r="523" spans="1:16">
      <c r="A523"/>
      <c r="B523"/>
      <c r="C523"/>
      <c r="D523"/>
      <c r="E523"/>
      <c r="F523"/>
      <c r="G523"/>
      <c r="H523"/>
      <c r="I523"/>
      <c r="J523"/>
      <c r="K523"/>
      <c r="L523"/>
      <c r="M523"/>
      <c r="N523"/>
      <c r="O523"/>
      <c r="P523"/>
    </row>
    <row r="524" spans="1:16">
      <c r="A524"/>
      <c r="B524"/>
      <c r="C524"/>
      <c r="D524"/>
      <c r="E524"/>
      <c r="F524"/>
      <c r="G524"/>
      <c r="H524"/>
      <c r="I524"/>
      <c r="J524"/>
      <c r="K524"/>
      <c r="L524"/>
      <c r="M524"/>
      <c r="N524"/>
      <c r="O524"/>
      <c r="P524"/>
    </row>
    <row r="525" spans="1:16">
      <c r="A525"/>
      <c r="B525"/>
      <c r="C525"/>
      <c r="D525"/>
      <c r="E525"/>
      <c r="F525"/>
      <c r="G525"/>
      <c r="H525"/>
      <c r="I525"/>
      <c r="J525"/>
      <c r="K525"/>
      <c r="L525"/>
      <c r="M525"/>
      <c r="N525"/>
      <c r="O525"/>
      <c r="P525"/>
    </row>
    <row r="526" spans="1:16">
      <c r="A526"/>
      <c r="B526"/>
      <c r="C526"/>
      <c r="D526"/>
      <c r="E526"/>
      <c r="F526"/>
      <c r="G526"/>
      <c r="H526"/>
      <c r="I526"/>
      <c r="J526"/>
      <c r="K526"/>
      <c r="L526"/>
      <c r="M526"/>
      <c r="N526"/>
      <c r="O526"/>
      <c r="P526"/>
    </row>
    <row r="527" spans="1:16">
      <c r="A527"/>
      <c r="B527"/>
      <c r="C527"/>
      <c r="D527"/>
      <c r="E527"/>
      <c r="F527"/>
      <c r="G527"/>
      <c r="H527"/>
      <c r="I527"/>
      <c r="J527"/>
      <c r="K527"/>
      <c r="L527"/>
      <c r="M527"/>
      <c r="N527"/>
      <c r="O527"/>
      <c r="P527"/>
    </row>
    <row r="528" spans="1:16">
      <c r="A528"/>
      <c r="B528"/>
      <c r="C528"/>
      <c r="D528"/>
      <c r="E528"/>
      <c r="F528"/>
      <c r="G528"/>
      <c r="H528"/>
      <c r="I528"/>
      <c r="J528"/>
      <c r="K528"/>
      <c r="L528"/>
      <c r="M528"/>
      <c r="N528"/>
      <c r="O528"/>
      <c r="P528"/>
    </row>
    <row r="529" spans="1:16">
      <c r="A529"/>
      <c r="B529"/>
      <c r="C529"/>
      <c r="D529"/>
      <c r="E529"/>
      <c r="F529"/>
      <c r="G529"/>
      <c r="H529"/>
      <c r="I529"/>
      <c r="J529"/>
      <c r="K529"/>
      <c r="L529"/>
      <c r="M529"/>
      <c r="N529"/>
      <c r="O529"/>
      <c r="P529"/>
    </row>
    <row r="530" spans="1:16">
      <c r="A530"/>
      <c r="B530"/>
      <c r="C530"/>
      <c r="D530"/>
      <c r="E530"/>
      <c r="F530"/>
      <c r="G530"/>
      <c r="H530"/>
      <c r="I530"/>
      <c r="J530"/>
      <c r="K530"/>
      <c r="L530"/>
      <c r="M530"/>
      <c r="N530"/>
      <c r="O530"/>
      <c r="P530"/>
    </row>
    <row r="531" spans="1:16">
      <c r="A531"/>
      <c r="B531"/>
      <c r="C531"/>
      <c r="D531"/>
      <c r="E531"/>
      <c r="F531"/>
      <c r="G531"/>
      <c r="H531"/>
      <c r="I531"/>
      <c r="J531"/>
      <c r="K531"/>
      <c r="L531"/>
      <c r="M531"/>
      <c r="N531"/>
      <c r="O531"/>
      <c r="P531"/>
    </row>
    <row r="532" spans="1:16">
      <c r="A532"/>
      <c r="B532"/>
      <c r="C532"/>
      <c r="D532"/>
      <c r="E532"/>
      <c r="F532"/>
      <c r="G532"/>
      <c r="H532"/>
      <c r="I532"/>
      <c r="J532"/>
      <c r="K532"/>
      <c r="L532"/>
      <c r="M532"/>
      <c r="N532"/>
      <c r="O532"/>
      <c r="P532"/>
    </row>
    <row r="533" spans="1:16">
      <c r="A533"/>
      <c r="B533"/>
      <c r="C533"/>
      <c r="D533"/>
      <c r="E533"/>
      <c r="F533"/>
      <c r="G533"/>
      <c r="H533"/>
      <c r="I533"/>
      <c r="J533"/>
      <c r="K533"/>
      <c r="L533"/>
      <c r="M533"/>
      <c r="N533"/>
      <c r="O533"/>
      <c r="P533"/>
    </row>
    <row r="534" spans="1:16">
      <c r="A534"/>
      <c r="B534"/>
      <c r="C534"/>
      <c r="D534"/>
      <c r="E534"/>
      <c r="F534"/>
      <c r="G534"/>
      <c r="H534"/>
      <c r="I534"/>
      <c r="J534"/>
      <c r="K534"/>
      <c r="L534"/>
      <c r="M534"/>
      <c r="N534"/>
      <c r="O534"/>
      <c r="P534"/>
    </row>
    <row r="535" spans="1:16">
      <c r="A535"/>
      <c r="B535"/>
      <c r="C535"/>
      <c r="D535"/>
      <c r="E535"/>
      <c r="F535"/>
      <c r="G535"/>
      <c r="H535"/>
      <c r="I535"/>
      <c r="J535"/>
      <c r="K535"/>
      <c r="L535"/>
      <c r="M535"/>
      <c r="N535"/>
      <c r="O535"/>
      <c r="P535"/>
    </row>
    <row r="536" spans="1:16">
      <c r="A536"/>
      <c r="B536"/>
      <c r="C536"/>
      <c r="D536"/>
      <c r="E536"/>
      <c r="F536"/>
      <c r="G536"/>
      <c r="H536"/>
      <c r="I536"/>
      <c r="J536"/>
      <c r="K536"/>
      <c r="L536"/>
      <c r="M536"/>
      <c r="N536"/>
      <c r="O536"/>
      <c r="P536"/>
    </row>
    <row r="537" spans="1:16">
      <c r="A537"/>
      <c r="B537"/>
      <c r="C537"/>
      <c r="D537"/>
      <c r="E537"/>
      <c r="F537"/>
      <c r="G537"/>
      <c r="H537"/>
      <c r="I537"/>
      <c r="J537"/>
      <c r="K537"/>
      <c r="L537"/>
      <c r="M537"/>
      <c r="N537"/>
      <c r="O537"/>
      <c r="P537"/>
    </row>
    <row r="538" spans="1:16">
      <c r="A538"/>
      <c r="B538"/>
      <c r="C538"/>
      <c r="D538"/>
      <c r="E538"/>
      <c r="F538"/>
      <c r="G538"/>
      <c r="H538"/>
      <c r="I538"/>
      <c r="J538"/>
      <c r="K538"/>
      <c r="L538"/>
      <c r="M538"/>
      <c r="N538"/>
      <c r="O538"/>
      <c r="P538"/>
    </row>
    <row r="539" spans="1:16">
      <c r="A539"/>
      <c r="B539"/>
      <c r="C539"/>
      <c r="D539"/>
      <c r="E539"/>
      <c r="F539"/>
      <c r="G539"/>
      <c r="H539"/>
      <c r="I539"/>
      <c r="J539"/>
      <c r="K539"/>
      <c r="L539"/>
      <c r="M539"/>
      <c r="N539"/>
      <c r="O539"/>
      <c r="P539"/>
    </row>
    <row r="540" spans="1:16">
      <c r="A540"/>
      <c r="B540"/>
      <c r="C540"/>
      <c r="D540"/>
      <c r="E540"/>
      <c r="F540"/>
      <c r="G540"/>
      <c r="H540"/>
      <c r="I540"/>
      <c r="J540"/>
      <c r="K540"/>
      <c r="L540"/>
      <c r="M540"/>
      <c r="N540"/>
      <c r="O540"/>
      <c r="P540"/>
    </row>
    <row r="541" spans="1:16">
      <c r="A541"/>
      <c r="B541"/>
      <c r="C541"/>
      <c r="D541"/>
      <c r="E541"/>
      <c r="F541"/>
      <c r="G541"/>
      <c r="H541"/>
      <c r="I541"/>
      <c r="J541"/>
      <c r="K541"/>
      <c r="L541"/>
      <c r="M541"/>
      <c r="N541"/>
      <c r="O541"/>
      <c r="P541"/>
    </row>
    <row r="542" spans="1:16">
      <c r="A542"/>
      <c r="B542"/>
      <c r="C542"/>
      <c r="D542"/>
      <c r="E542"/>
      <c r="F542"/>
      <c r="G542"/>
      <c r="H542"/>
      <c r="I542"/>
      <c r="J542"/>
      <c r="K542"/>
      <c r="L542"/>
      <c r="M542"/>
      <c r="N542"/>
      <c r="O542"/>
      <c r="P542"/>
    </row>
    <row r="543" spans="1:16">
      <c r="A543"/>
      <c r="B543"/>
      <c r="C543"/>
      <c r="D543"/>
      <c r="E543"/>
      <c r="F543"/>
      <c r="G543"/>
      <c r="H543"/>
      <c r="I543"/>
      <c r="J543"/>
      <c r="K543"/>
      <c r="L543"/>
      <c r="M543"/>
      <c r="N543"/>
      <c r="O543"/>
      <c r="P543"/>
    </row>
    <row r="544" spans="1:16">
      <c r="A544"/>
      <c r="B544"/>
      <c r="C544"/>
      <c r="D544"/>
      <c r="E544"/>
      <c r="F544"/>
      <c r="G544"/>
      <c r="H544"/>
      <c r="I544"/>
      <c r="J544"/>
      <c r="K544"/>
      <c r="L544"/>
      <c r="M544"/>
      <c r="N544"/>
      <c r="O544"/>
      <c r="P544"/>
    </row>
    <row r="545" spans="1:16">
      <c r="A545"/>
      <c r="B545"/>
      <c r="C545"/>
      <c r="D545"/>
      <c r="E545"/>
      <c r="F545"/>
      <c r="G545"/>
      <c r="H545"/>
      <c r="I545"/>
      <c r="J545"/>
      <c r="K545"/>
      <c r="L545"/>
      <c r="M545"/>
      <c r="N545"/>
      <c r="O545"/>
      <c r="P545"/>
    </row>
    <row r="546" spans="1:16">
      <c r="A546"/>
      <c r="B546"/>
      <c r="C546"/>
      <c r="D546"/>
      <c r="E546"/>
      <c r="F546"/>
      <c r="G546"/>
      <c r="H546"/>
      <c r="I546"/>
      <c r="J546"/>
      <c r="K546"/>
      <c r="L546"/>
      <c r="M546"/>
      <c r="N546"/>
      <c r="O546"/>
      <c r="P546"/>
    </row>
    <row r="547" spans="1:16">
      <c r="A547"/>
      <c r="B547"/>
      <c r="C547"/>
      <c r="D547"/>
      <c r="E547"/>
      <c r="F547"/>
      <c r="G547"/>
      <c r="H547"/>
      <c r="I547"/>
      <c r="J547"/>
      <c r="K547"/>
      <c r="L547"/>
      <c r="M547"/>
      <c r="N547"/>
      <c r="O547"/>
      <c r="P547"/>
    </row>
    <row r="548" spans="1:16">
      <c r="A548"/>
      <c r="B548"/>
      <c r="C548"/>
      <c r="D548"/>
      <c r="E548"/>
      <c r="F548"/>
      <c r="G548"/>
      <c r="H548"/>
      <c r="I548"/>
      <c r="J548"/>
      <c r="K548"/>
      <c r="L548"/>
      <c r="M548"/>
      <c r="N548"/>
      <c r="O548"/>
      <c r="P548"/>
    </row>
    <row r="549" spans="1:16">
      <c r="A549"/>
      <c r="B549"/>
      <c r="C549"/>
      <c r="D549"/>
      <c r="E549"/>
      <c r="F549"/>
      <c r="G549"/>
      <c r="H549"/>
      <c r="I549"/>
      <c r="J549"/>
      <c r="K549"/>
      <c r="L549"/>
      <c r="M549"/>
      <c r="N549"/>
      <c r="O549"/>
      <c r="P549"/>
    </row>
    <row r="550" spans="1:16">
      <c r="A550"/>
      <c r="B550"/>
      <c r="C550"/>
      <c r="D550"/>
      <c r="E550"/>
      <c r="F550"/>
      <c r="G550"/>
      <c r="H550"/>
      <c r="I550"/>
      <c r="J550"/>
      <c r="K550"/>
      <c r="L550"/>
      <c r="M550"/>
      <c r="N550"/>
      <c r="O550"/>
      <c r="P550"/>
    </row>
    <row r="551" spans="1:16">
      <c r="A551"/>
      <c r="B551"/>
      <c r="C551"/>
      <c r="D551"/>
      <c r="E551"/>
      <c r="F551"/>
      <c r="G551"/>
      <c r="H551"/>
      <c r="I551"/>
      <c r="J551"/>
      <c r="K551"/>
      <c r="L551"/>
      <c r="M551"/>
      <c r="N551"/>
      <c r="O551"/>
      <c r="P551"/>
    </row>
    <row r="552" spans="1:16">
      <c r="A552"/>
      <c r="B552"/>
      <c r="C552"/>
      <c r="D552"/>
      <c r="E552"/>
      <c r="F552"/>
      <c r="G552"/>
      <c r="H552"/>
      <c r="I552"/>
      <c r="J552"/>
      <c r="K552"/>
      <c r="L552"/>
      <c r="M552"/>
      <c r="N552"/>
      <c r="O552"/>
      <c r="P552"/>
    </row>
    <row r="553" spans="1:16">
      <c r="A553"/>
      <c r="B553"/>
      <c r="C553"/>
      <c r="D553"/>
      <c r="E553"/>
      <c r="F553"/>
      <c r="G553"/>
      <c r="H553"/>
      <c r="I553"/>
      <c r="J553"/>
      <c r="K553"/>
      <c r="L553"/>
      <c r="M553"/>
      <c r="N553"/>
      <c r="O553"/>
      <c r="P553"/>
    </row>
    <row r="554" spans="1:16">
      <c r="A554"/>
      <c r="B554"/>
      <c r="C554"/>
      <c r="D554"/>
      <c r="E554"/>
      <c r="F554"/>
      <c r="G554"/>
      <c r="H554"/>
      <c r="I554"/>
      <c r="J554"/>
      <c r="K554"/>
      <c r="L554"/>
      <c r="M554"/>
      <c r="N554"/>
      <c r="O554"/>
      <c r="P554"/>
    </row>
    <row r="555" spans="1:16">
      <c r="A555"/>
      <c r="B555"/>
      <c r="C555"/>
      <c r="D555"/>
      <c r="E555"/>
      <c r="F555"/>
      <c r="G555"/>
      <c r="H555"/>
      <c r="I555"/>
      <c r="J555"/>
      <c r="K555"/>
      <c r="L555"/>
      <c r="M555"/>
      <c r="N555"/>
      <c r="O555"/>
      <c r="P555"/>
    </row>
    <row r="556" spans="1:16">
      <c r="A556"/>
      <c r="B556"/>
      <c r="C556"/>
      <c r="D556"/>
      <c r="E556"/>
      <c r="F556"/>
      <c r="G556"/>
      <c r="H556"/>
      <c r="I556"/>
      <c r="J556"/>
      <c r="K556"/>
      <c r="L556"/>
      <c r="M556"/>
      <c r="N556"/>
      <c r="O556"/>
      <c r="P556"/>
    </row>
    <row r="557" spans="1:16">
      <c r="A557"/>
      <c r="B557"/>
      <c r="C557"/>
      <c r="D557"/>
      <c r="E557"/>
      <c r="F557"/>
      <c r="G557"/>
      <c r="H557"/>
      <c r="I557"/>
      <c r="J557"/>
      <c r="K557"/>
      <c r="L557"/>
      <c r="M557"/>
      <c r="N557"/>
      <c r="O557"/>
      <c r="P557"/>
    </row>
    <row r="558" spans="1:16">
      <c r="A558"/>
      <c r="B558"/>
      <c r="C558"/>
      <c r="D558"/>
      <c r="E558"/>
      <c r="F558"/>
      <c r="G558"/>
      <c r="H558"/>
      <c r="I558"/>
      <c r="J558"/>
      <c r="K558"/>
      <c r="L558"/>
      <c r="M558"/>
      <c r="N558"/>
      <c r="O558"/>
      <c r="P558"/>
    </row>
    <row r="559" spans="1:16">
      <c r="A559"/>
      <c r="B559"/>
      <c r="C559"/>
      <c r="D559"/>
      <c r="E559"/>
      <c r="F559"/>
      <c r="G559"/>
      <c r="H559"/>
      <c r="I559"/>
      <c r="J559"/>
      <c r="K559"/>
      <c r="L559"/>
      <c r="M559"/>
      <c r="N559"/>
      <c r="O559"/>
      <c r="P559"/>
    </row>
    <row r="560" spans="1:16">
      <c r="A560"/>
      <c r="B560"/>
      <c r="C560"/>
      <c r="D560"/>
      <c r="E560"/>
      <c r="F560"/>
      <c r="G560"/>
      <c r="H560"/>
      <c r="I560"/>
      <c r="J560"/>
      <c r="K560"/>
      <c r="L560"/>
      <c r="M560"/>
      <c r="N560"/>
      <c r="O560"/>
      <c r="P560"/>
    </row>
    <row r="561" spans="1:16">
      <c r="A561"/>
      <c r="B561"/>
      <c r="C561"/>
      <c r="D561"/>
      <c r="E561"/>
      <c r="F561"/>
      <c r="G561"/>
      <c r="H561"/>
      <c r="I561"/>
      <c r="J561"/>
      <c r="K561"/>
      <c r="L561"/>
      <c r="M561"/>
      <c r="N561"/>
      <c r="O561"/>
      <c r="P561"/>
    </row>
    <row r="562" spans="1:16">
      <c r="A562"/>
      <c r="B562"/>
      <c r="C562"/>
      <c r="D562"/>
      <c r="E562"/>
      <c r="F562"/>
      <c r="G562"/>
      <c r="H562"/>
      <c r="I562"/>
      <c r="J562"/>
      <c r="K562"/>
      <c r="L562"/>
      <c r="M562"/>
      <c r="N562"/>
      <c r="O562"/>
      <c r="P562"/>
    </row>
    <row r="563" spans="1:16">
      <c r="A563"/>
      <c r="B563"/>
      <c r="C563"/>
      <c r="D563"/>
      <c r="E563"/>
      <c r="F563"/>
      <c r="G563"/>
      <c r="H563"/>
      <c r="I563"/>
      <c r="J563"/>
      <c r="K563"/>
      <c r="L563"/>
      <c r="M563"/>
      <c r="N563"/>
      <c r="O563"/>
      <c r="P563"/>
    </row>
    <row r="564" spans="1:16">
      <c r="A564"/>
      <c r="B564"/>
      <c r="C564"/>
      <c r="D564"/>
      <c r="E564"/>
      <c r="F564"/>
      <c r="G564"/>
      <c r="H564"/>
      <c r="I564"/>
      <c r="J564"/>
      <c r="K564"/>
      <c r="L564"/>
      <c r="M564"/>
      <c r="N564"/>
      <c r="O564"/>
      <c r="P564"/>
    </row>
    <row r="565" spans="1:16">
      <c r="A565"/>
      <c r="B565"/>
      <c r="C565"/>
      <c r="D565"/>
      <c r="E565"/>
      <c r="F565"/>
      <c r="G565"/>
      <c r="H565"/>
      <c r="I565"/>
      <c r="J565"/>
      <c r="K565"/>
      <c r="L565"/>
      <c r="M565"/>
      <c r="N565"/>
      <c r="O565"/>
      <c r="P565"/>
    </row>
    <row r="566" spans="1:16">
      <c r="A566"/>
      <c r="B566"/>
      <c r="C566"/>
      <c r="D566"/>
      <c r="E566"/>
      <c r="F566"/>
      <c r="G566"/>
      <c r="H566"/>
      <c r="I566"/>
      <c r="J566"/>
      <c r="K566"/>
      <c r="L566"/>
      <c r="M566"/>
      <c r="N566"/>
      <c r="O566"/>
      <c r="P566"/>
    </row>
    <row r="567" spans="1:16">
      <c r="A567"/>
      <c r="B567"/>
      <c r="C567"/>
      <c r="D567"/>
      <c r="E567"/>
      <c r="F567"/>
      <c r="G567"/>
      <c r="H567"/>
      <c r="I567"/>
      <c r="J567"/>
      <c r="K567"/>
      <c r="L567"/>
      <c r="M567"/>
      <c r="N567"/>
      <c r="O567"/>
      <c r="P567"/>
    </row>
    <row r="568" spans="1:16">
      <c r="A568"/>
      <c r="B568"/>
      <c r="C568"/>
      <c r="D568"/>
      <c r="E568"/>
      <c r="F568"/>
      <c r="G568"/>
      <c r="H568"/>
      <c r="I568"/>
      <c r="J568"/>
      <c r="K568"/>
      <c r="L568"/>
      <c r="M568"/>
      <c r="N568"/>
      <c r="O568"/>
      <c r="P568"/>
    </row>
    <row r="569" spans="1:16">
      <c r="A569"/>
      <c r="B569"/>
      <c r="C569"/>
      <c r="D569"/>
      <c r="E569"/>
      <c r="F569"/>
      <c r="G569"/>
      <c r="H569"/>
      <c r="I569"/>
      <c r="J569"/>
      <c r="K569"/>
      <c r="L569"/>
      <c r="M569"/>
      <c r="N569"/>
      <c r="O569"/>
      <c r="P569"/>
    </row>
    <row r="570" spans="1:16">
      <c r="A570"/>
      <c r="B570"/>
      <c r="C570"/>
      <c r="D570"/>
      <c r="E570"/>
      <c r="F570"/>
      <c r="G570"/>
      <c r="H570"/>
      <c r="I570"/>
      <c r="J570"/>
      <c r="K570"/>
      <c r="L570"/>
      <c r="M570"/>
      <c r="N570"/>
      <c r="O570"/>
      <c r="P570"/>
    </row>
    <row r="571" spans="1:16">
      <c r="A571"/>
      <c r="B571"/>
      <c r="C571"/>
      <c r="D571"/>
      <c r="E571"/>
      <c r="F571"/>
      <c r="G571"/>
      <c r="H571"/>
      <c r="I571"/>
      <c r="J571"/>
      <c r="K571"/>
      <c r="L571"/>
      <c r="M571"/>
      <c r="N571"/>
      <c r="O571"/>
      <c r="P571"/>
    </row>
    <row r="572" spans="1:16">
      <c r="A572"/>
      <c r="B572"/>
      <c r="C572"/>
      <c r="D572"/>
      <c r="E572"/>
      <c r="F572"/>
      <c r="G572"/>
      <c r="H572"/>
      <c r="I572"/>
      <c r="J572"/>
      <c r="K572"/>
      <c r="L572"/>
      <c r="M572"/>
      <c r="N572"/>
      <c r="O572"/>
      <c r="P572"/>
    </row>
    <row r="573" spans="1:16">
      <c r="A573"/>
      <c r="B573"/>
      <c r="C573"/>
      <c r="D573"/>
      <c r="E573"/>
      <c r="F573"/>
      <c r="G573"/>
      <c r="H573"/>
      <c r="I573"/>
      <c r="J573"/>
      <c r="K573"/>
      <c r="L573"/>
      <c r="M573"/>
      <c r="N573"/>
      <c r="O573"/>
      <c r="P573"/>
    </row>
    <row r="574" spans="1:16">
      <c r="A574"/>
      <c r="B574"/>
      <c r="C574"/>
      <c r="D574"/>
      <c r="E574"/>
      <c r="F574"/>
      <c r="G574"/>
      <c r="H574"/>
      <c r="I574"/>
      <c r="J574"/>
      <c r="K574"/>
      <c r="L574"/>
      <c r="M574"/>
      <c r="N574"/>
      <c r="O574"/>
      <c r="P574"/>
    </row>
    <row r="575" spans="1:16">
      <c r="A575"/>
      <c r="B575"/>
      <c r="C575"/>
      <c r="D575"/>
      <c r="E575"/>
      <c r="F575"/>
      <c r="G575"/>
      <c r="H575"/>
      <c r="I575"/>
      <c r="J575"/>
      <c r="K575"/>
      <c r="L575"/>
      <c r="M575"/>
      <c r="N575"/>
      <c r="O575"/>
      <c r="P575"/>
    </row>
    <row r="576" spans="1:16">
      <c r="A576"/>
      <c r="B576"/>
      <c r="C576"/>
      <c r="D576"/>
      <c r="E576"/>
      <c r="F576"/>
      <c r="G576"/>
      <c r="H576"/>
      <c r="I576"/>
      <c r="J576"/>
      <c r="K576"/>
      <c r="L576"/>
      <c r="M576"/>
      <c r="N576"/>
      <c r="O576"/>
      <c r="P576"/>
    </row>
    <row r="577" spans="1:16">
      <c r="A577"/>
      <c r="B577"/>
      <c r="C577"/>
      <c r="D577"/>
      <c r="E577"/>
      <c r="F577"/>
      <c r="G577"/>
      <c r="H577"/>
      <c r="I577"/>
      <c r="J577"/>
      <c r="K577"/>
      <c r="L577"/>
      <c r="M577"/>
      <c r="N577"/>
      <c r="O577"/>
      <c r="P577"/>
    </row>
    <row r="578" spans="1:16">
      <c r="A578"/>
      <c r="B578"/>
      <c r="C578"/>
      <c r="D578"/>
      <c r="E578"/>
      <c r="F578"/>
      <c r="G578"/>
      <c r="H578"/>
      <c r="I578"/>
      <c r="J578"/>
      <c r="K578"/>
      <c r="L578"/>
      <c r="M578"/>
      <c r="N578"/>
      <c r="O578"/>
      <c r="P578"/>
    </row>
    <row r="579" spans="1:16">
      <c r="A579"/>
      <c r="B579"/>
      <c r="C579"/>
      <c r="D579"/>
      <c r="E579"/>
      <c r="F579"/>
      <c r="G579"/>
      <c r="H579"/>
      <c r="I579"/>
      <c r="J579"/>
      <c r="K579"/>
      <c r="L579"/>
      <c r="M579"/>
      <c r="N579"/>
      <c r="O579"/>
      <c r="P579"/>
    </row>
    <row r="580" spans="1:16">
      <c r="A580"/>
      <c r="B580"/>
      <c r="C580"/>
      <c r="D580"/>
      <c r="E580"/>
      <c r="F580"/>
      <c r="G580"/>
      <c r="H580"/>
      <c r="I580"/>
      <c r="J580"/>
      <c r="K580"/>
      <c r="L580"/>
      <c r="M580"/>
      <c r="N580"/>
      <c r="O580"/>
      <c r="P580"/>
    </row>
    <row r="581" spans="1:16">
      <c r="A581"/>
      <c r="B581"/>
      <c r="C581"/>
      <c r="D581"/>
      <c r="E581"/>
      <c r="F581"/>
      <c r="G581"/>
      <c r="H581"/>
      <c r="I581"/>
      <c r="J581"/>
      <c r="K581"/>
      <c r="L581"/>
      <c r="M581"/>
      <c r="N581"/>
      <c r="O581"/>
      <c r="P581"/>
    </row>
    <row r="582" spans="1:16">
      <c r="A582"/>
      <c r="B582"/>
      <c r="C582"/>
      <c r="D582"/>
      <c r="E582"/>
      <c r="F582"/>
      <c r="G582"/>
      <c r="H582"/>
      <c r="I582"/>
      <c r="J582"/>
      <c r="K582"/>
      <c r="L582"/>
      <c r="M582"/>
      <c r="N582"/>
      <c r="O582"/>
      <c r="P582"/>
    </row>
    <row r="583" spans="1:16">
      <c r="A583"/>
      <c r="B583"/>
      <c r="C583"/>
      <c r="D583"/>
      <c r="E583"/>
      <c r="F583"/>
      <c r="G583"/>
      <c r="H583"/>
      <c r="I583"/>
      <c r="J583"/>
      <c r="K583"/>
      <c r="L583"/>
      <c r="M583"/>
      <c r="N583"/>
      <c r="O583"/>
      <c r="P583"/>
    </row>
    <row r="584" spans="1:16">
      <c r="A584"/>
      <c r="B584"/>
      <c r="C584"/>
      <c r="D584"/>
      <c r="E584"/>
      <c r="F584"/>
      <c r="G584"/>
      <c r="H584"/>
      <c r="I584"/>
      <c r="J584"/>
      <c r="K584"/>
      <c r="L584"/>
      <c r="M584"/>
      <c r="N584"/>
      <c r="O584"/>
      <c r="P584"/>
    </row>
    <row r="585" spans="1:16">
      <c r="A585"/>
      <c r="B585"/>
      <c r="C585"/>
      <c r="D585"/>
      <c r="E585"/>
      <c r="F585"/>
      <c r="G585"/>
      <c r="H585"/>
      <c r="I585"/>
      <c r="J585"/>
      <c r="K585"/>
      <c r="L585"/>
      <c r="M585"/>
      <c r="N585"/>
      <c r="O585"/>
      <c r="P585"/>
    </row>
    <row r="586" spans="1:16">
      <c r="A586"/>
      <c r="B586"/>
      <c r="C586"/>
      <c r="D586"/>
      <c r="E586"/>
      <c r="F586"/>
      <c r="G586"/>
      <c r="H586"/>
      <c r="I586"/>
      <c r="J586"/>
      <c r="K586"/>
      <c r="L586"/>
      <c r="M586"/>
      <c r="N586"/>
      <c r="O586"/>
      <c r="P586"/>
    </row>
    <row r="587" spans="1:16">
      <c r="A587"/>
      <c r="B587"/>
      <c r="C587"/>
      <c r="D587"/>
      <c r="E587"/>
      <c r="F587"/>
      <c r="G587"/>
      <c r="H587"/>
      <c r="I587"/>
      <c r="J587"/>
      <c r="K587"/>
      <c r="L587"/>
      <c r="M587"/>
      <c r="N587"/>
      <c r="O587"/>
      <c r="P587"/>
    </row>
    <row r="588" spans="1:16">
      <c r="A588"/>
      <c r="B588"/>
      <c r="C588"/>
      <c r="D588"/>
      <c r="E588"/>
      <c r="F588"/>
      <c r="G588"/>
      <c r="H588"/>
      <c r="I588"/>
      <c r="J588"/>
      <c r="K588"/>
      <c r="L588"/>
      <c r="M588"/>
      <c r="N588"/>
      <c r="O588"/>
      <c r="P588"/>
    </row>
    <row r="589" spans="1:16">
      <c r="A589"/>
      <c r="B589"/>
      <c r="C589"/>
      <c r="D589"/>
      <c r="E589"/>
      <c r="F589"/>
      <c r="G589"/>
      <c r="H589"/>
      <c r="I589"/>
      <c r="J589"/>
      <c r="K589"/>
      <c r="L589"/>
      <c r="M589"/>
      <c r="N589"/>
      <c r="O589"/>
      <c r="P589"/>
    </row>
    <row r="590" spans="1:16">
      <c r="A590"/>
      <c r="B590"/>
      <c r="C590"/>
      <c r="D590"/>
      <c r="E590"/>
      <c r="F590"/>
      <c r="G590"/>
      <c r="H590"/>
      <c r="I590"/>
      <c r="J590"/>
      <c r="K590"/>
      <c r="L590"/>
      <c r="M590"/>
      <c r="N590"/>
      <c r="O590"/>
      <c r="P590"/>
    </row>
    <row r="591" spans="1:16">
      <c r="A591"/>
      <c r="B591"/>
      <c r="C591"/>
      <c r="D591"/>
      <c r="E591"/>
      <c r="F591"/>
      <c r="G591"/>
      <c r="H591"/>
      <c r="I591"/>
      <c r="J591"/>
      <c r="K591"/>
      <c r="L591"/>
      <c r="M591"/>
      <c r="N591"/>
      <c r="O591"/>
      <c r="P591"/>
    </row>
    <row r="592" spans="1:16">
      <c r="A592"/>
      <c r="B592"/>
      <c r="C592"/>
      <c r="D592"/>
      <c r="E592"/>
      <c r="F592"/>
      <c r="G592"/>
      <c r="H592"/>
      <c r="I592"/>
      <c r="J592"/>
      <c r="K592"/>
      <c r="L592"/>
      <c r="M592"/>
      <c r="N592"/>
      <c r="O592"/>
      <c r="P592"/>
    </row>
    <row r="593" spans="1:16">
      <c r="A593"/>
      <c r="B593"/>
      <c r="C593"/>
      <c r="D593"/>
      <c r="E593"/>
      <c r="F593"/>
      <c r="G593"/>
      <c r="H593"/>
      <c r="I593"/>
      <c r="J593"/>
      <c r="K593"/>
      <c r="L593"/>
      <c r="M593"/>
      <c r="N593"/>
      <c r="O593"/>
      <c r="P593"/>
    </row>
    <row r="594" spans="1:16">
      <c r="A594"/>
      <c r="B594"/>
      <c r="C594"/>
      <c r="D594"/>
      <c r="E594"/>
      <c r="F594"/>
      <c r="G594"/>
      <c r="H594"/>
      <c r="I594"/>
      <c r="J594"/>
      <c r="K594"/>
      <c r="L594"/>
      <c r="M594"/>
      <c r="N594"/>
      <c r="O594"/>
      <c r="P594"/>
    </row>
    <row r="595" spans="1:16">
      <c r="A595"/>
      <c r="B595"/>
      <c r="C595"/>
      <c r="D595"/>
      <c r="E595"/>
      <c r="F595"/>
      <c r="G595"/>
      <c r="H595"/>
      <c r="I595"/>
      <c r="J595"/>
      <c r="K595"/>
      <c r="L595"/>
      <c r="M595"/>
      <c r="N595"/>
      <c r="O595"/>
      <c r="P595"/>
    </row>
    <row r="596" spans="1:16">
      <c r="A596"/>
      <c r="B596"/>
      <c r="C596"/>
      <c r="D596"/>
      <c r="E596"/>
      <c r="F596"/>
      <c r="G596"/>
      <c r="H596"/>
      <c r="I596"/>
      <c r="J596"/>
      <c r="K596"/>
      <c r="L596"/>
      <c r="M596"/>
      <c r="N596"/>
      <c r="O596"/>
      <c r="P596"/>
    </row>
    <row r="597" spans="1:16">
      <c r="A597"/>
      <c r="B597"/>
      <c r="C597"/>
      <c r="D597"/>
      <c r="E597"/>
      <c r="F597"/>
      <c r="G597"/>
      <c r="H597"/>
      <c r="I597"/>
      <c r="J597"/>
      <c r="K597"/>
      <c r="L597"/>
      <c r="M597"/>
      <c r="N597"/>
      <c r="O597"/>
      <c r="P597"/>
    </row>
    <row r="598" spans="1:16">
      <c r="A598"/>
      <c r="B598"/>
      <c r="C598"/>
      <c r="D598"/>
      <c r="E598"/>
      <c r="F598"/>
      <c r="G598"/>
      <c r="H598"/>
      <c r="I598"/>
      <c r="J598"/>
      <c r="K598"/>
      <c r="L598"/>
      <c r="M598"/>
      <c r="N598"/>
      <c r="O598"/>
      <c r="P598"/>
    </row>
    <row r="599" spans="1:16">
      <c r="A599"/>
      <c r="B599"/>
      <c r="C599"/>
      <c r="D599"/>
      <c r="E599"/>
      <c r="F599"/>
      <c r="G599"/>
      <c r="H599"/>
      <c r="I599"/>
      <c r="J599"/>
      <c r="K599"/>
      <c r="L599"/>
      <c r="M599"/>
      <c r="N599"/>
      <c r="O599"/>
      <c r="P599"/>
    </row>
    <row r="600" spans="1:16">
      <c r="A600"/>
      <c r="B600"/>
      <c r="C600"/>
      <c r="D600"/>
      <c r="E600"/>
      <c r="F600"/>
      <c r="G600"/>
      <c r="H600"/>
      <c r="I600"/>
      <c r="J600"/>
      <c r="K600"/>
      <c r="L600"/>
      <c r="M600"/>
      <c r="N600"/>
      <c r="O600"/>
      <c r="P600"/>
    </row>
    <row r="601" spans="1:16">
      <c r="A601"/>
      <c r="B601"/>
      <c r="C601"/>
      <c r="D601"/>
      <c r="E601"/>
      <c r="F601"/>
      <c r="G601"/>
      <c r="H601"/>
      <c r="I601"/>
      <c r="J601"/>
      <c r="K601"/>
      <c r="L601"/>
      <c r="M601"/>
      <c r="N601"/>
      <c r="O601"/>
      <c r="P601"/>
    </row>
    <row r="602" spans="1:16">
      <c r="A602"/>
      <c r="B602"/>
      <c r="C602"/>
      <c r="D602"/>
      <c r="E602"/>
      <c r="F602"/>
      <c r="G602"/>
      <c r="H602"/>
      <c r="I602"/>
      <c r="J602"/>
      <c r="K602"/>
      <c r="L602"/>
      <c r="M602"/>
      <c r="N602"/>
      <c r="O602"/>
      <c r="P602"/>
    </row>
    <row r="603" spans="1:16">
      <c r="A603"/>
      <c r="B603"/>
      <c r="C603"/>
      <c r="D603"/>
      <c r="E603"/>
      <c r="F603"/>
      <c r="G603"/>
      <c r="H603"/>
      <c r="I603"/>
      <c r="J603"/>
      <c r="K603"/>
      <c r="L603"/>
      <c r="M603"/>
      <c r="N603"/>
      <c r="O603"/>
      <c r="P603"/>
    </row>
    <row r="604" spans="1:16">
      <c r="A604"/>
      <c r="B604"/>
      <c r="C604"/>
      <c r="D604"/>
      <c r="E604"/>
      <c r="F604"/>
      <c r="G604"/>
      <c r="H604"/>
      <c r="I604"/>
      <c r="J604"/>
      <c r="K604"/>
      <c r="L604"/>
      <c r="M604"/>
      <c r="N604"/>
      <c r="O604"/>
      <c r="P604"/>
    </row>
    <row r="605" spans="1:16">
      <c r="A605"/>
      <c r="B605"/>
      <c r="C605"/>
      <c r="D605"/>
      <c r="E605"/>
      <c r="F605"/>
      <c r="G605"/>
      <c r="H605"/>
      <c r="I605"/>
      <c r="J605"/>
      <c r="K605"/>
      <c r="L605"/>
      <c r="M605"/>
      <c r="N605"/>
      <c r="O605"/>
      <c r="P605"/>
    </row>
    <row r="606" spans="1:16">
      <c r="A606"/>
      <c r="B606"/>
      <c r="C606"/>
      <c r="D606"/>
      <c r="E606"/>
      <c r="F606"/>
      <c r="G606"/>
      <c r="H606"/>
      <c r="I606"/>
      <c r="J606"/>
      <c r="K606"/>
      <c r="L606"/>
      <c r="M606"/>
      <c r="N606"/>
      <c r="O606"/>
      <c r="P606"/>
    </row>
    <row r="607" spans="1:16">
      <c r="A607"/>
      <c r="B607"/>
      <c r="C607"/>
      <c r="D607"/>
      <c r="E607"/>
      <c r="F607"/>
      <c r="G607"/>
      <c r="H607"/>
      <c r="I607"/>
      <c r="J607"/>
      <c r="K607"/>
      <c r="L607"/>
      <c r="M607"/>
      <c r="N607"/>
      <c r="O607"/>
      <c r="P607"/>
    </row>
    <row r="608" spans="1:16">
      <c r="A608"/>
      <c r="B608"/>
      <c r="C608"/>
      <c r="D608"/>
      <c r="E608"/>
      <c r="F608"/>
      <c r="G608"/>
      <c r="H608"/>
      <c r="I608"/>
      <c r="J608"/>
      <c r="K608"/>
      <c r="L608"/>
      <c r="M608"/>
      <c r="N608"/>
      <c r="O608"/>
      <c r="P608"/>
    </row>
    <row r="609" spans="1:16">
      <c r="A609"/>
      <c r="B609"/>
      <c r="C609"/>
      <c r="D609"/>
      <c r="E609"/>
      <c r="F609"/>
      <c r="G609"/>
      <c r="H609"/>
      <c r="I609"/>
      <c r="J609"/>
      <c r="K609"/>
      <c r="L609"/>
      <c r="M609"/>
      <c r="N609"/>
      <c r="O609"/>
      <c r="P609"/>
    </row>
    <row r="610" spans="1:16">
      <c r="A610"/>
      <c r="B610"/>
      <c r="C610"/>
      <c r="D610"/>
      <c r="E610"/>
      <c r="F610"/>
      <c r="G610"/>
      <c r="H610"/>
      <c r="I610"/>
      <c r="J610"/>
      <c r="K610"/>
      <c r="L610"/>
      <c r="M610"/>
      <c r="N610"/>
      <c r="O610"/>
      <c r="P610"/>
    </row>
    <row r="611" spans="1:16">
      <c r="A611"/>
      <c r="B611"/>
      <c r="C611"/>
      <c r="D611"/>
      <c r="E611"/>
      <c r="F611"/>
      <c r="G611"/>
      <c r="H611"/>
      <c r="I611"/>
      <c r="J611"/>
      <c r="K611"/>
      <c r="L611"/>
      <c r="M611"/>
      <c r="N611"/>
      <c r="O611"/>
      <c r="P611"/>
    </row>
    <row r="612" spans="1:16">
      <c r="A612"/>
      <c r="B612"/>
      <c r="C612"/>
      <c r="D612"/>
      <c r="E612"/>
      <c r="F612"/>
      <c r="G612"/>
      <c r="H612"/>
      <c r="I612"/>
      <c r="J612"/>
      <c r="K612"/>
      <c r="L612"/>
      <c r="M612"/>
      <c r="N612"/>
      <c r="O612"/>
      <c r="P612"/>
    </row>
    <row r="613" spans="1:16">
      <c r="A613"/>
      <c r="B613"/>
      <c r="C613"/>
      <c r="D613"/>
      <c r="E613"/>
      <c r="F613"/>
      <c r="G613"/>
      <c r="H613"/>
      <c r="I613"/>
      <c r="J613"/>
      <c r="K613"/>
      <c r="L613"/>
      <c r="M613"/>
      <c r="N613"/>
      <c r="O613"/>
      <c r="P613"/>
    </row>
    <row r="614" spans="1:16">
      <c r="A614"/>
      <c r="B614"/>
      <c r="C614"/>
      <c r="D614"/>
      <c r="E614"/>
      <c r="F614"/>
      <c r="G614"/>
      <c r="H614"/>
      <c r="I614"/>
      <c r="J614"/>
      <c r="K614"/>
      <c r="L614"/>
      <c r="M614"/>
      <c r="N614"/>
      <c r="O614"/>
      <c r="P614"/>
    </row>
    <row r="615" spans="1:16">
      <c r="A615"/>
      <c r="B615"/>
      <c r="C615"/>
      <c r="D615"/>
      <c r="E615"/>
      <c r="F615"/>
      <c r="G615"/>
      <c r="H615"/>
      <c r="I615"/>
      <c r="J615"/>
      <c r="K615"/>
      <c r="L615"/>
      <c r="M615"/>
      <c r="N615"/>
      <c r="O615"/>
      <c r="P615"/>
    </row>
    <row r="616" spans="1:16">
      <c r="A616"/>
      <c r="B616"/>
      <c r="C616"/>
      <c r="D616"/>
      <c r="E616"/>
      <c r="F616"/>
      <c r="G616"/>
      <c r="H616"/>
      <c r="I616"/>
      <c r="J616"/>
      <c r="K616"/>
      <c r="L616"/>
      <c r="M616"/>
      <c r="N616"/>
      <c r="O616"/>
      <c r="P616"/>
    </row>
    <row r="617" spans="1:16">
      <c r="A617"/>
      <c r="B617"/>
      <c r="C617"/>
      <c r="D617"/>
      <c r="E617"/>
      <c r="F617"/>
      <c r="G617"/>
      <c r="H617"/>
      <c r="I617"/>
      <c r="J617"/>
      <c r="K617"/>
      <c r="L617"/>
      <c r="M617"/>
      <c r="N617"/>
      <c r="O617"/>
      <c r="P617"/>
    </row>
    <row r="618" spans="1:16">
      <c r="A618"/>
      <c r="B618"/>
      <c r="C618"/>
      <c r="D618"/>
      <c r="E618"/>
      <c r="F618"/>
      <c r="G618"/>
      <c r="H618"/>
      <c r="I618"/>
      <c r="J618"/>
      <c r="K618"/>
      <c r="L618"/>
      <c r="M618"/>
      <c r="N618"/>
      <c r="O618"/>
      <c r="P618"/>
    </row>
    <row r="619" spans="1:16">
      <c r="A619"/>
      <c r="B619"/>
      <c r="C619"/>
      <c r="D619"/>
      <c r="E619"/>
      <c r="F619"/>
      <c r="G619"/>
      <c r="H619"/>
      <c r="I619"/>
      <c r="J619"/>
      <c r="K619"/>
      <c r="L619"/>
      <c r="M619"/>
      <c r="N619"/>
      <c r="O619"/>
      <c r="P619"/>
    </row>
    <row r="620" spans="1:16">
      <c r="A620"/>
      <c r="B620"/>
      <c r="C620"/>
      <c r="D620"/>
      <c r="E620"/>
      <c r="F620"/>
      <c r="G620"/>
      <c r="H620"/>
      <c r="I620"/>
      <c r="J620"/>
      <c r="K620"/>
      <c r="L620"/>
      <c r="M620"/>
      <c r="N620"/>
      <c r="O620"/>
      <c r="P620"/>
    </row>
    <row r="621" spans="1:16">
      <c r="A621"/>
      <c r="B621"/>
      <c r="C621"/>
      <c r="D621"/>
      <c r="E621"/>
      <c r="F621"/>
      <c r="G621"/>
      <c r="H621"/>
      <c r="I621"/>
      <c r="J621"/>
      <c r="K621"/>
      <c r="L621"/>
      <c r="M621"/>
      <c r="N621"/>
      <c r="O621"/>
      <c r="P621"/>
    </row>
    <row r="622" spans="1:16">
      <c r="A622"/>
      <c r="B622"/>
      <c r="C622"/>
      <c r="D622"/>
      <c r="E622"/>
      <c r="F622"/>
      <c r="G622"/>
      <c r="H622"/>
      <c r="I622"/>
      <c r="J622"/>
      <c r="K622"/>
      <c r="L622"/>
      <c r="M622"/>
      <c r="N622"/>
      <c r="O622"/>
      <c r="P622"/>
    </row>
    <row r="623" spans="1:16">
      <c r="A623"/>
      <c r="B623"/>
      <c r="C623"/>
      <c r="D623"/>
      <c r="E623"/>
      <c r="F623"/>
      <c r="G623"/>
      <c r="H623"/>
      <c r="I623"/>
      <c r="J623"/>
      <c r="K623"/>
      <c r="L623"/>
      <c r="M623"/>
      <c r="N623"/>
      <c r="O623"/>
      <c r="P623"/>
    </row>
    <row r="624" spans="1:16">
      <c r="A624"/>
      <c r="B624"/>
      <c r="C624"/>
      <c r="D624"/>
      <c r="E624"/>
      <c r="F624"/>
      <c r="G624"/>
      <c r="H624"/>
      <c r="I624"/>
      <c r="J624"/>
      <c r="K624"/>
      <c r="L624"/>
      <c r="M624"/>
      <c r="N624"/>
      <c r="O624"/>
      <c r="P624"/>
    </row>
    <row r="625" spans="1:16">
      <c r="A625"/>
      <c r="B625"/>
      <c r="C625"/>
      <c r="D625"/>
      <c r="E625"/>
      <c r="F625"/>
      <c r="G625"/>
      <c r="H625"/>
      <c r="I625"/>
      <c r="J625"/>
      <c r="K625"/>
      <c r="L625"/>
      <c r="M625"/>
      <c r="N625"/>
      <c r="O625"/>
      <c r="P625"/>
    </row>
    <row r="626" spans="1:16">
      <c r="A626"/>
      <c r="B626"/>
      <c r="C626"/>
      <c r="D626"/>
      <c r="E626"/>
      <c r="F626"/>
      <c r="G626"/>
      <c r="H626"/>
      <c r="I626"/>
      <c r="J626"/>
      <c r="K626"/>
      <c r="L626"/>
      <c r="M626"/>
      <c r="N626"/>
      <c r="O626"/>
      <c r="P626"/>
    </row>
    <row r="627" spans="1:16">
      <c r="A627"/>
      <c r="B627"/>
      <c r="C627"/>
      <c r="D627"/>
      <c r="E627"/>
      <c r="F627"/>
      <c r="G627"/>
      <c r="H627"/>
      <c r="I627"/>
      <c r="J627"/>
      <c r="K627"/>
      <c r="L627"/>
      <c r="M627"/>
      <c r="N627"/>
      <c r="O627"/>
      <c r="P627"/>
    </row>
    <row r="628" spans="1:16">
      <c r="A628"/>
      <c r="B628"/>
      <c r="C628"/>
      <c r="D628"/>
      <c r="E628"/>
      <c r="F628"/>
      <c r="G628"/>
      <c r="H628"/>
      <c r="I628"/>
      <c r="J628"/>
      <c r="K628"/>
      <c r="L628"/>
      <c r="M628"/>
      <c r="N628"/>
      <c r="O628"/>
      <c r="P628"/>
    </row>
    <row r="629" spans="1:16">
      <c r="A629"/>
      <c r="B629"/>
      <c r="C629"/>
      <c r="D629"/>
      <c r="E629"/>
      <c r="F629"/>
      <c r="G629"/>
      <c r="H629"/>
      <c r="I629"/>
      <c r="J629"/>
      <c r="K629"/>
      <c r="L629"/>
      <c r="M629"/>
      <c r="N629"/>
      <c r="O629"/>
      <c r="P629"/>
    </row>
    <row r="630" spans="1:16">
      <c r="A630"/>
      <c r="B630"/>
      <c r="C630"/>
      <c r="D630"/>
      <c r="E630"/>
      <c r="F630"/>
      <c r="G630"/>
      <c r="H630"/>
      <c r="I630"/>
      <c r="J630"/>
      <c r="K630"/>
      <c r="L630"/>
      <c r="M630"/>
      <c r="N630"/>
      <c r="O630"/>
      <c r="P630"/>
    </row>
    <row r="631" spans="1:16">
      <c r="A631"/>
      <c r="B631"/>
      <c r="C631"/>
      <c r="D631"/>
      <c r="E631"/>
      <c r="F631"/>
      <c r="G631"/>
      <c r="H631"/>
      <c r="I631"/>
      <c r="J631"/>
      <c r="K631"/>
      <c r="L631"/>
      <c r="M631"/>
      <c r="N631"/>
      <c r="O631"/>
      <c r="P631"/>
    </row>
    <row r="632" spans="1:16">
      <c r="A632"/>
      <c r="B632"/>
      <c r="C632"/>
      <c r="D632"/>
      <c r="E632"/>
      <c r="F632"/>
      <c r="G632"/>
      <c r="H632"/>
      <c r="I632"/>
      <c r="J632"/>
      <c r="K632"/>
      <c r="L632"/>
      <c r="M632"/>
      <c r="N632"/>
      <c r="O632"/>
      <c r="P632"/>
    </row>
    <row r="633" spans="1:16">
      <c r="A633"/>
      <c r="B633"/>
      <c r="C633"/>
      <c r="D633"/>
      <c r="E633"/>
      <c r="F633"/>
      <c r="G633"/>
      <c r="H633"/>
      <c r="I633"/>
      <c r="J633"/>
      <c r="K633"/>
      <c r="L633"/>
      <c r="M633"/>
      <c r="N633"/>
      <c r="O633"/>
      <c r="P633"/>
    </row>
    <row r="634" spans="1:16">
      <c r="A634"/>
      <c r="B634"/>
      <c r="C634"/>
      <c r="D634"/>
      <c r="E634"/>
      <c r="F634"/>
      <c r="G634"/>
      <c r="H634"/>
      <c r="I634"/>
      <c r="J634"/>
      <c r="K634"/>
      <c r="L634"/>
      <c r="M634"/>
      <c r="N634"/>
      <c r="O634"/>
      <c r="P634"/>
    </row>
    <row r="635" spans="1:16">
      <c r="A635"/>
      <c r="B635"/>
      <c r="C635"/>
      <c r="D635"/>
      <c r="E635"/>
      <c r="F635"/>
      <c r="G635"/>
      <c r="H635"/>
      <c r="I635"/>
      <c r="J635"/>
      <c r="K635"/>
      <c r="L635"/>
      <c r="M635"/>
      <c r="N635"/>
      <c r="O635"/>
      <c r="P635"/>
    </row>
    <row r="636" spans="1:16">
      <c r="A636"/>
      <c r="B636"/>
      <c r="C636"/>
      <c r="D636"/>
      <c r="E636"/>
      <c r="F636"/>
      <c r="G636"/>
      <c r="H636"/>
      <c r="I636"/>
      <c r="J636"/>
      <c r="K636"/>
      <c r="L636"/>
      <c r="M636"/>
      <c r="N636"/>
      <c r="O636"/>
      <c r="P636"/>
    </row>
    <row r="637" spans="1:16">
      <c r="A637"/>
      <c r="B637"/>
      <c r="C637"/>
      <c r="D637"/>
      <c r="E637"/>
      <c r="F637"/>
      <c r="G637"/>
      <c r="H637"/>
      <c r="I637"/>
      <c r="J637"/>
      <c r="K637"/>
      <c r="L637"/>
      <c r="M637"/>
      <c r="N637"/>
      <c r="O637"/>
      <c r="P637"/>
    </row>
    <row r="638" spans="1:16">
      <c r="A638"/>
      <c r="B638"/>
      <c r="C638"/>
      <c r="D638"/>
      <c r="E638"/>
      <c r="F638"/>
      <c r="G638"/>
      <c r="H638"/>
      <c r="I638"/>
      <c r="J638"/>
      <c r="K638"/>
      <c r="L638"/>
      <c r="M638"/>
      <c r="N638"/>
      <c r="O638"/>
      <c r="P638"/>
    </row>
    <row r="639" spans="1:16">
      <c r="A639"/>
      <c r="B639"/>
      <c r="C639"/>
      <c r="D639"/>
      <c r="E639"/>
      <c r="F639"/>
      <c r="G639"/>
      <c r="H639"/>
      <c r="I639"/>
      <c r="J639"/>
      <c r="K639"/>
      <c r="L639"/>
      <c r="M639"/>
      <c r="N639"/>
      <c r="O639"/>
      <c r="P639"/>
    </row>
    <row r="640" spans="1:16">
      <c r="A640"/>
      <c r="B640"/>
      <c r="C640"/>
      <c r="D640"/>
      <c r="E640"/>
      <c r="F640"/>
      <c r="G640"/>
      <c r="H640"/>
      <c r="I640"/>
      <c r="J640"/>
      <c r="K640"/>
      <c r="L640"/>
      <c r="M640"/>
      <c r="N640"/>
      <c r="O640"/>
      <c r="P640"/>
    </row>
    <row r="641" spans="1:16">
      <c r="A641"/>
      <c r="B641"/>
      <c r="C641"/>
      <c r="D641"/>
      <c r="E641"/>
      <c r="F641"/>
      <c r="G641"/>
      <c r="H641"/>
      <c r="I641"/>
      <c r="J641"/>
      <c r="K641"/>
      <c r="L641"/>
      <c r="M641"/>
      <c r="N641"/>
      <c r="O641"/>
      <c r="P641"/>
    </row>
    <row r="642" spans="1:16">
      <c r="A642"/>
      <c r="B642"/>
      <c r="C642"/>
      <c r="D642"/>
      <c r="E642"/>
      <c r="F642"/>
      <c r="G642"/>
      <c r="H642"/>
      <c r="I642"/>
      <c r="J642"/>
      <c r="K642"/>
      <c r="L642"/>
      <c r="M642"/>
      <c r="N642"/>
      <c r="O642"/>
      <c r="P642"/>
    </row>
    <row r="643" spans="1:16">
      <c r="A643"/>
      <c r="B643"/>
      <c r="C643"/>
      <c r="D643"/>
      <c r="E643"/>
      <c r="F643"/>
      <c r="G643"/>
      <c r="H643"/>
      <c r="I643"/>
      <c r="J643"/>
      <c r="K643"/>
      <c r="L643"/>
      <c r="M643"/>
      <c r="N643"/>
      <c r="O643"/>
      <c r="P643"/>
    </row>
    <row r="644" spans="1:16">
      <c r="A644"/>
      <c r="B644"/>
      <c r="C644"/>
      <c r="D644"/>
      <c r="E644"/>
      <c r="F644"/>
      <c r="G644"/>
      <c r="H644"/>
      <c r="I644"/>
      <c r="J644"/>
      <c r="K644"/>
      <c r="L644"/>
      <c r="M644"/>
      <c r="N644"/>
      <c r="O644"/>
      <c r="P644"/>
    </row>
    <row r="645" spans="1:16">
      <c r="A645"/>
      <c r="B645"/>
      <c r="C645"/>
      <c r="D645"/>
      <c r="E645"/>
      <c r="F645"/>
      <c r="G645"/>
      <c r="H645"/>
      <c r="I645"/>
      <c r="J645"/>
      <c r="K645"/>
      <c r="L645"/>
      <c r="M645"/>
      <c r="N645"/>
      <c r="O645"/>
      <c r="P645"/>
    </row>
    <row r="646" spans="1:16">
      <c r="A646"/>
      <c r="B646"/>
      <c r="C646"/>
      <c r="D646"/>
      <c r="E646"/>
      <c r="F646"/>
      <c r="G646"/>
      <c r="H646"/>
      <c r="I646"/>
      <c r="J646"/>
      <c r="K646"/>
      <c r="L646"/>
      <c r="M646"/>
      <c r="N646"/>
      <c r="O646"/>
      <c r="P646"/>
    </row>
    <row r="647" spans="1:16">
      <c r="A647"/>
      <c r="B647"/>
      <c r="C647"/>
      <c r="D647"/>
      <c r="E647"/>
      <c r="F647"/>
      <c r="G647"/>
      <c r="H647"/>
      <c r="I647"/>
      <c r="J647"/>
      <c r="K647"/>
      <c r="L647"/>
      <c r="M647"/>
      <c r="N647"/>
      <c r="O647"/>
      <c r="P647"/>
    </row>
    <row r="648" spans="1:16">
      <c r="A648"/>
      <c r="B648"/>
      <c r="C648"/>
      <c r="D648"/>
      <c r="E648"/>
      <c r="F648"/>
      <c r="G648"/>
      <c r="H648"/>
      <c r="I648"/>
      <c r="J648"/>
      <c r="K648"/>
      <c r="L648"/>
      <c r="M648"/>
      <c r="N648"/>
      <c r="O648"/>
      <c r="P648"/>
    </row>
    <row r="649" spans="1:16">
      <c r="A649"/>
      <c r="B649"/>
      <c r="C649"/>
      <c r="D649"/>
      <c r="E649"/>
      <c r="F649"/>
      <c r="G649"/>
      <c r="H649"/>
      <c r="I649"/>
      <c r="J649"/>
      <c r="K649"/>
      <c r="L649"/>
      <c r="M649"/>
      <c r="N649"/>
      <c r="O649"/>
      <c r="P649"/>
    </row>
    <row r="650" spans="1:16">
      <c r="A650"/>
      <c r="B650"/>
      <c r="C650"/>
      <c r="D650"/>
      <c r="E650"/>
      <c r="F650"/>
      <c r="G650"/>
      <c r="H650"/>
      <c r="I650"/>
      <c r="J650"/>
      <c r="K650"/>
      <c r="L650"/>
      <c r="M650"/>
      <c r="N650"/>
      <c r="O650"/>
      <c r="P650"/>
    </row>
    <row r="651" spans="1:16">
      <c r="A651"/>
      <c r="B651"/>
      <c r="C651"/>
      <c r="D651"/>
      <c r="E651"/>
      <c r="F651"/>
      <c r="G651"/>
      <c r="H651"/>
      <c r="I651"/>
      <c r="J651"/>
      <c r="K651"/>
      <c r="L651"/>
      <c r="M651"/>
      <c r="N651"/>
      <c r="O651"/>
      <c r="P651"/>
    </row>
    <row r="652" spans="1:16">
      <c r="A652"/>
      <c r="B652"/>
      <c r="C652"/>
      <c r="D652"/>
      <c r="E652"/>
      <c r="F652"/>
      <c r="G652"/>
      <c r="H652"/>
      <c r="I652"/>
      <c r="J652"/>
      <c r="K652"/>
      <c r="L652"/>
      <c r="M652"/>
      <c r="N652"/>
      <c r="O652"/>
      <c r="P652"/>
    </row>
    <row r="653" spans="1:16">
      <c r="A653"/>
      <c r="B653"/>
      <c r="C653"/>
      <c r="D653"/>
      <c r="E653"/>
      <c r="F653"/>
      <c r="G653"/>
      <c r="H653"/>
      <c r="I653"/>
      <c r="J653"/>
      <c r="K653"/>
      <c r="L653"/>
      <c r="M653"/>
      <c r="N653"/>
      <c r="O653"/>
      <c r="P653"/>
    </row>
    <row r="654" spans="1:16">
      <c r="A654"/>
      <c r="B654"/>
      <c r="C654"/>
      <c r="D654"/>
      <c r="E654"/>
      <c r="F654"/>
      <c r="G654"/>
      <c r="H654"/>
      <c r="I654"/>
      <c r="J654"/>
      <c r="K654"/>
      <c r="L654"/>
      <c r="M654"/>
      <c r="N654"/>
      <c r="O654"/>
      <c r="P654"/>
    </row>
    <row r="655" spans="1:16">
      <c r="A655"/>
      <c r="B655"/>
      <c r="C655"/>
      <c r="D655"/>
      <c r="E655"/>
      <c r="F655"/>
      <c r="G655"/>
      <c r="H655"/>
      <c r="I655"/>
      <c r="J655"/>
      <c r="K655"/>
      <c r="L655"/>
      <c r="M655"/>
      <c r="N655"/>
      <c r="O655"/>
      <c r="P655"/>
    </row>
    <row r="656" spans="1:16">
      <c r="A656"/>
      <c r="B656"/>
      <c r="C656"/>
      <c r="D656"/>
      <c r="E656"/>
      <c r="F656"/>
      <c r="G656"/>
      <c r="H656"/>
      <c r="I656"/>
      <c r="J656"/>
      <c r="K656"/>
      <c r="L656"/>
      <c r="M656"/>
      <c r="N656"/>
      <c r="O656"/>
      <c r="P656"/>
    </row>
    <row r="657" spans="1:16">
      <c r="A657"/>
      <c r="B657"/>
      <c r="C657"/>
      <c r="D657"/>
      <c r="E657"/>
      <c r="F657"/>
      <c r="G657"/>
      <c r="H657"/>
      <c r="I657"/>
      <c r="J657"/>
      <c r="K657"/>
      <c r="L657"/>
      <c r="M657"/>
      <c r="N657"/>
      <c r="O657"/>
      <c r="P657"/>
    </row>
    <row r="658" spans="1:16">
      <c r="A658"/>
      <c r="B658"/>
      <c r="C658"/>
      <c r="D658"/>
      <c r="E658"/>
      <c r="F658"/>
      <c r="G658"/>
      <c r="H658"/>
      <c r="I658"/>
      <c r="J658"/>
      <c r="K658"/>
      <c r="L658"/>
      <c r="M658"/>
      <c r="N658"/>
      <c r="O658"/>
      <c r="P658"/>
    </row>
    <row r="659" spans="1:16">
      <c r="A659"/>
      <c r="B659"/>
      <c r="C659"/>
      <c r="D659"/>
      <c r="E659"/>
      <c r="F659"/>
      <c r="G659"/>
      <c r="H659"/>
      <c r="I659"/>
      <c r="J659"/>
      <c r="K659"/>
      <c r="L659"/>
      <c r="M659"/>
      <c r="N659"/>
      <c r="O659"/>
      <c r="P659"/>
    </row>
    <row r="660" spans="1:16">
      <c r="A660"/>
      <c r="B660"/>
      <c r="C660"/>
      <c r="D660"/>
      <c r="E660"/>
      <c r="F660"/>
      <c r="G660"/>
      <c r="H660"/>
      <c r="I660"/>
      <c r="J660"/>
      <c r="K660"/>
      <c r="L660"/>
      <c r="M660"/>
      <c r="N660"/>
      <c r="O660"/>
      <c r="P660"/>
    </row>
    <row r="661" spans="1:16">
      <c r="A661"/>
      <c r="B661"/>
      <c r="C661"/>
      <c r="D661"/>
      <c r="E661"/>
      <c r="F661"/>
      <c r="G661"/>
      <c r="H661"/>
      <c r="I661"/>
      <c r="J661"/>
      <c r="K661"/>
      <c r="L661"/>
      <c r="M661"/>
      <c r="N661"/>
      <c r="O661"/>
      <c r="P661"/>
    </row>
    <row r="662" spans="1:16">
      <c r="A662"/>
      <c r="B662"/>
      <c r="C662"/>
      <c r="D662"/>
      <c r="E662"/>
      <c r="F662"/>
      <c r="G662"/>
      <c r="H662"/>
      <c r="I662"/>
      <c r="J662"/>
      <c r="K662"/>
      <c r="L662"/>
      <c r="M662"/>
      <c r="N662"/>
      <c r="O662"/>
      <c r="P662"/>
    </row>
    <row r="663" spans="1:16">
      <c r="A663"/>
      <c r="B663"/>
      <c r="C663"/>
      <c r="D663"/>
      <c r="E663"/>
      <c r="F663"/>
      <c r="G663"/>
      <c r="H663"/>
      <c r="I663"/>
      <c r="J663"/>
      <c r="K663"/>
      <c r="L663"/>
      <c r="M663"/>
      <c r="N663"/>
      <c r="O663"/>
      <c r="P663"/>
    </row>
    <row r="664" spans="1:16">
      <c r="A664"/>
      <c r="B664"/>
      <c r="C664"/>
      <c r="D664"/>
      <c r="E664"/>
      <c r="F664"/>
      <c r="G664"/>
      <c r="H664"/>
      <c r="I664"/>
      <c r="J664"/>
      <c r="K664"/>
      <c r="L664"/>
      <c r="M664"/>
      <c r="N664"/>
      <c r="O664"/>
      <c r="P664"/>
    </row>
    <row r="665" spans="1:16">
      <c r="A665"/>
      <c r="B665"/>
      <c r="C665"/>
      <c r="D665"/>
      <c r="E665"/>
      <c r="F665"/>
      <c r="G665"/>
      <c r="H665"/>
      <c r="I665"/>
      <c r="J665"/>
      <c r="K665"/>
      <c r="L665"/>
      <c r="M665"/>
      <c r="N665"/>
      <c r="O665"/>
      <c r="P665"/>
    </row>
    <row r="666" spans="1:16">
      <c r="A666"/>
      <c r="B666"/>
      <c r="C666"/>
      <c r="D666"/>
      <c r="E666"/>
      <c r="F666"/>
      <c r="G666"/>
      <c r="H666"/>
      <c r="I666"/>
      <c r="J666"/>
      <c r="K666"/>
      <c r="L666"/>
      <c r="M666"/>
      <c r="N666"/>
      <c r="O666"/>
      <c r="P666"/>
    </row>
    <row r="667" spans="1:16">
      <c r="A667"/>
      <c r="B667"/>
      <c r="C667"/>
      <c r="D667"/>
      <c r="E667"/>
      <c r="F667"/>
      <c r="G667"/>
      <c r="H667"/>
      <c r="I667"/>
      <c r="J667"/>
      <c r="K667"/>
      <c r="L667"/>
      <c r="M667"/>
      <c r="N667"/>
      <c r="O667"/>
      <c r="P667"/>
    </row>
    <row r="668" spans="1:16">
      <c r="A668"/>
      <c r="B668"/>
      <c r="C668"/>
      <c r="D668"/>
      <c r="E668"/>
      <c r="F668"/>
      <c r="G668"/>
      <c r="H668"/>
      <c r="I668"/>
      <c r="J668"/>
      <c r="K668"/>
      <c r="L668"/>
      <c r="M668"/>
      <c r="N668"/>
      <c r="O668"/>
      <c r="P668"/>
    </row>
    <row r="669" spans="1:16">
      <c r="A669"/>
      <c r="B669"/>
      <c r="C669"/>
      <c r="D669"/>
      <c r="E669"/>
      <c r="F669"/>
      <c r="G669"/>
      <c r="H669"/>
      <c r="I669"/>
      <c r="J669"/>
      <c r="K669"/>
      <c r="L669"/>
      <c r="M669"/>
      <c r="N669"/>
      <c r="O669"/>
      <c r="P669"/>
    </row>
    <row r="670" spans="1:16">
      <c r="A670"/>
      <c r="B670"/>
      <c r="C670"/>
      <c r="D670"/>
      <c r="E670"/>
      <c r="F670"/>
      <c r="G670"/>
      <c r="H670"/>
      <c r="I670"/>
      <c r="J670"/>
      <c r="K670"/>
      <c r="L670"/>
      <c r="M670"/>
      <c r="N670"/>
      <c r="O670"/>
      <c r="P670"/>
    </row>
    <row r="671" spans="1:16">
      <c r="A671"/>
      <c r="B671"/>
      <c r="C671"/>
      <c r="D671"/>
      <c r="E671"/>
      <c r="F671"/>
      <c r="G671"/>
      <c r="H671"/>
      <c r="I671"/>
      <c r="J671"/>
      <c r="K671"/>
      <c r="L671"/>
      <c r="M671"/>
      <c r="N671"/>
      <c r="O671"/>
      <c r="P671"/>
    </row>
    <row r="672" spans="1:16">
      <c r="A672"/>
      <c r="B672"/>
      <c r="C672"/>
      <c r="D672"/>
      <c r="E672"/>
      <c r="F672"/>
      <c r="G672"/>
      <c r="H672"/>
      <c r="I672"/>
      <c r="J672"/>
      <c r="K672"/>
      <c r="L672"/>
      <c r="M672"/>
      <c r="N672"/>
      <c r="O672"/>
      <c r="P672"/>
    </row>
    <row r="673" spans="1:16">
      <c r="A673"/>
      <c r="B673"/>
      <c r="C673"/>
      <c r="D673"/>
      <c r="E673"/>
      <c r="F673"/>
      <c r="G673"/>
      <c r="H673"/>
      <c r="I673"/>
      <c r="J673"/>
      <c r="K673"/>
      <c r="L673"/>
      <c r="M673"/>
      <c r="N673"/>
      <c r="O673"/>
      <c r="P673"/>
    </row>
    <row r="674" spans="1:16">
      <c r="A674"/>
      <c r="B674"/>
      <c r="C674"/>
      <c r="D674"/>
      <c r="E674"/>
      <c r="F674"/>
      <c r="G674"/>
      <c r="H674"/>
      <c r="I674"/>
      <c r="J674"/>
      <c r="K674"/>
      <c r="L674"/>
      <c r="M674"/>
      <c r="N674"/>
      <c r="O674"/>
      <c r="P674"/>
    </row>
    <row r="675" spans="1:16">
      <c r="A675"/>
      <c r="B675"/>
      <c r="C675"/>
      <c r="D675"/>
      <c r="E675"/>
      <c r="F675"/>
      <c r="G675"/>
      <c r="H675"/>
      <c r="I675"/>
      <c r="J675"/>
      <c r="K675"/>
      <c r="L675"/>
      <c r="M675"/>
      <c r="N675"/>
      <c r="O675"/>
      <c r="P675"/>
    </row>
    <row r="676" spans="1:16">
      <c r="A676"/>
      <c r="B676"/>
      <c r="C676"/>
      <c r="D676"/>
      <c r="E676"/>
      <c r="F676"/>
      <c r="G676"/>
      <c r="H676"/>
      <c r="I676"/>
      <c r="J676"/>
      <c r="K676"/>
      <c r="L676"/>
      <c r="M676"/>
      <c r="N676"/>
      <c r="O676"/>
      <c r="P676"/>
    </row>
    <row r="677" spans="1:16">
      <c r="A677"/>
      <c r="B677"/>
      <c r="C677"/>
      <c r="D677"/>
      <c r="E677"/>
      <c r="F677"/>
      <c r="G677"/>
      <c r="H677"/>
      <c r="I677"/>
      <c r="J677"/>
      <c r="K677"/>
      <c r="L677"/>
      <c r="M677"/>
      <c r="N677"/>
      <c r="O677"/>
      <c r="P677"/>
    </row>
    <row r="678" spans="1:16">
      <c r="A678"/>
      <c r="B678"/>
      <c r="C678"/>
      <c r="D678"/>
      <c r="E678"/>
      <c r="F678"/>
      <c r="G678"/>
      <c r="H678"/>
      <c r="I678"/>
      <c r="J678"/>
      <c r="K678"/>
      <c r="L678"/>
      <c r="M678"/>
      <c r="N678"/>
      <c r="O678"/>
      <c r="P678"/>
    </row>
    <row r="679" spans="1:16">
      <c r="A679"/>
      <c r="B679"/>
      <c r="C679"/>
      <c r="D679"/>
      <c r="E679"/>
      <c r="F679"/>
      <c r="G679"/>
      <c r="H679"/>
      <c r="I679"/>
      <c r="J679"/>
      <c r="K679"/>
      <c r="L679"/>
      <c r="M679"/>
      <c r="N679"/>
      <c r="O679"/>
      <c r="P679"/>
    </row>
    <row r="680" spans="1:16">
      <c r="A680"/>
      <c r="B680"/>
      <c r="C680"/>
      <c r="D680"/>
      <c r="E680"/>
      <c r="F680"/>
      <c r="G680"/>
      <c r="H680"/>
      <c r="I680"/>
      <c r="J680"/>
      <c r="K680"/>
      <c r="L680"/>
      <c r="M680"/>
      <c r="N680"/>
      <c r="O680"/>
      <c r="P680"/>
    </row>
    <row r="681" spans="1:16">
      <c r="A681"/>
      <c r="B681"/>
      <c r="C681"/>
      <c r="D681"/>
      <c r="E681"/>
      <c r="F681"/>
      <c r="G681"/>
      <c r="H681"/>
      <c r="I681"/>
      <c r="J681"/>
      <c r="K681"/>
      <c r="L681"/>
      <c r="M681"/>
      <c r="N681"/>
      <c r="O681"/>
      <c r="P681"/>
    </row>
    <row r="682" spans="1:16">
      <c r="A682"/>
      <c r="B682"/>
      <c r="C682"/>
      <c r="D682"/>
      <c r="E682"/>
      <c r="F682"/>
      <c r="G682"/>
      <c r="H682"/>
      <c r="I682"/>
      <c r="J682"/>
      <c r="K682"/>
      <c r="L682"/>
      <c r="M682"/>
      <c r="N682"/>
      <c r="O682"/>
      <c r="P682"/>
    </row>
    <row r="683" spans="1:16">
      <c r="A683"/>
      <c r="B683"/>
      <c r="C683"/>
      <c r="D683"/>
      <c r="E683"/>
      <c r="F683"/>
      <c r="G683"/>
      <c r="H683"/>
      <c r="I683"/>
      <c r="J683"/>
      <c r="K683"/>
      <c r="L683"/>
      <c r="M683"/>
      <c r="N683"/>
      <c r="O683"/>
      <c r="P683"/>
    </row>
    <row r="684" spans="1:16">
      <c r="A684"/>
      <c r="B684"/>
      <c r="C684"/>
      <c r="D684"/>
      <c r="E684"/>
      <c r="F684"/>
      <c r="G684"/>
      <c r="H684"/>
      <c r="I684"/>
      <c r="J684"/>
      <c r="K684"/>
      <c r="L684"/>
      <c r="M684"/>
      <c r="N684"/>
      <c r="O684"/>
      <c r="P684"/>
    </row>
    <row r="685" spans="1:16">
      <c r="A685"/>
      <c r="B685"/>
      <c r="C685"/>
      <c r="D685"/>
      <c r="E685"/>
      <c r="F685"/>
      <c r="G685"/>
      <c r="H685"/>
      <c r="I685"/>
      <c r="J685"/>
      <c r="K685"/>
      <c r="L685"/>
      <c r="M685"/>
      <c r="N685"/>
      <c r="O685"/>
      <c r="P685"/>
    </row>
    <row r="686" spans="1:16">
      <c r="A686"/>
      <c r="B686"/>
      <c r="C686"/>
      <c r="D686"/>
      <c r="E686"/>
      <c r="F686"/>
      <c r="G686"/>
      <c r="H686"/>
      <c r="I686"/>
      <c r="J686"/>
      <c r="K686"/>
      <c r="L686"/>
      <c r="M686"/>
      <c r="N686"/>
      <c r="O686"/>
      <c r="P686"/>
    </row>
    <row r="687" spans="1:16">
      <c r="A687"/>
      <c r="B687"/>
      <c r="C687"/>
      <c r="D687"/>
      <c r="E687"/>
      <c r="F687"/>
      <c r="G687"/>
      <c r="H687"/>
      <c r="I687"/>
      <c r="J687"/>
      <c r="K687"/>
      <c r="L687"/>
      <c r="M687"/>
      <c r="N687"/>
      <c r="O687"/>
      <c r="P687"/>
    </row>
    <row r="688" spans="1:16">
      <c r="A688"/>
      <c r="B688"/>
      <c r="C688"/>
      <c r="D688"/>
      <c r="E688"/>
      <c r="F688"/>
      <c r="G688"/>
      <c r="H688"/>
      <c r="I688"/>
      <c r="J688"/>
      <c r="K688"/>
      <c r="L688"/>
      <c r="M688"/>
      <c r="N688"/>
      <c r="O688"/>
      <c r="P688"/>
    </row>
    <row r="689" spans="1:16">
      <c r="A689"/>
      <c r="B689"/>
      <c r="C689"/>
      <c r="D689"/>
      <c r="E689"/>
      <c r="F689"/>
      <c r="G689"/>
      <c r="H689"/>
      <c r="I689"/>
      <c r="J689"/>
      <c r="K689"/>
      <c r="L689"/>
      <c r="M689"/>
      <c r="N689"/>
      <c r="O689"/>
      <c r="P689"/>
    </row>
    <row r="690" spans="1:16">
      <c r="A690"/>
      <c r="B690"/>
      <c r="C690"/>
      <c r="D690"/>
      <c r="E690"/>
      <c r="F690"/>
      <c r="G690"/>
      <c r="H690"/>
      <c r="I690"/>
      <c r="J690"/>
      <c r="K690"/>
      <c r="L690"/>
      <c r="M690"/>
      <c r="N690"/>
      <c r="O690"/>
      <c r="P690"/>
    </row>
    <row r="691" spans="1:16">
      <c r="A691"/>
      <c r="B691"/>
      <c r="C691"/>
      <c r="D691"/>
      <c r="E691"/>
      <c r="F691"/>
      <c r="G691"/>
      <c r="H691"/>
      <c r="I691"/>
      <c r="J691"/>
      <c r="K691"/>
      <c r="L691"/>
      <c r="M691"/>
      <c r="N691"/>
      <c r="O691"/>
      <c r="P691"/>
    </row>
    <row r="692" spans="1:16">
      <c r="A692"/>
      <c r="B692"/>
      <c r="C692"/>
      <c r="D692"/>
      <c r="E692"/>
      <c r="F692"/>
      <c r="G692"/>
      <c r="H692"/>
      <c r="I692"/>
      <c r="J692"/>
      <c r="K692"/>
      <c r="L692"/>
      <c r="M692"/>
      <c r="N692"/>
      <c r="O692"/>
      <c r="P692"/>
    </row>
    <row r="693" spans="1:16">
      <c r="A693"/>
      <c r="B693"/>
      <c r="C693"/>
      <c r="D693"/>
      <c r="E693"/>
      <c r="F693"/>
      <c r="G693"/>
      <c r="H693"/>
      <c r="I693"/>
      <c r="J693"/>
      <c r="K693"/>
      <c r="L693"/>
      <c r="M693"/>
      <c r="N693"/>
      <c r="O693"/>
      <c r="P693"/>
    </row>
    <row r="694" spans="1:16">
      <c r="A694"/>
      <c r="B694"/>
      <c r="C694"/>
      <c r="D694"/>
      <c r="E694"/>
      <c r="F694"/>
      <c r="G694"/>
      <c r="H694"/>
      <c r="I694"/>
      <c r="J694"/>
      <c r="K694"/>
      <c r="L694"/>
      <c r="M694"/>
      <c r="N694"/>
      <c r="O694"/>
      <c r="P694"/>
    </row>
    <row r="695" spans="1:16">
      <c r="A695"/>
      <c r="B695"/>
      <c r="C695"/>
      <c r="D695"/>
      <c r="E695"/>
      <c r="F695"/>
      <c r="G695"/>
      <c r="H695"/>
      <c r="I695"/>
      <c r="J695"/>
      <c r="K695"/>
      <c r="L695"/>
      <c r="M695"/>
      <c r="N695"/>
      <c r="O695"/>
      <c r="P695"/>
    </row>
    <row r="696" spans="1:16">
      <c r="A696"/>
      <c r="B696"/>
      <c r="C696"/>
      <c r="D696"/>
      <c r="E696"/>
      <c r="F696"/>
      <c r="G696"/>
      <c r="H696"/>
      <c r="I696"/>
      <c r="J696"/>
      <c r="K696"/>
      <c r="L696"/>
      <c r="M696"/>
      <c r="N696"/>
      <c r="O696"/>
      <c r="P696"/>
    </row>
    <row r="697" spans="1:16">
      <c r="A697"/>
      <c r="B697"/>
      <c r="C697"/>
      <c r="D697"/>
      <c r="E697"/>
      <c r="F697"/>
      <c r="G697"/>
      <c r="H697"/>
      <c r="I697"/>
      <c r="J697"/>
      <c r="K697"/>
      <c r="L697"/>
      <c r="M697"/>
      <c r="N697"/>
      <c r="O697"/>
      <c r="P697"/>
    </row>
    <row r="698" spans="1:16">
      <c r="A698"/>
      <c r="B698"/>
      <c r="C698"/>
      <c r="D698"/>
      <c r="E698"/>
      <c r="F698"/>
      <c r="G698"/>
      <c r="H698"/>
      <c r="I698"/>
      <c r="J698"/>
      <c r="K698"/>
      <c r="L698"/>
      <c r="M698"/>
      <c r="N698"/>
      <c r="O698"/>
      <c r="P698"/>
    </row>
    <row r="699" spans="1:16">
      <c r="A699"/>
      <c r="B699"/>
      <c r="C699"/>
      <c r="D699"/>
      <c r="E699"/>
      <c r="F699"/>
      <c r="G699"/>
      <c r="H699"/>
      <c r="I699"/>
      <c r="J699"/>
      <c r="K699"/>
      <c r="L699"/>
      <c r="M699"/>
      <c r="N699"/>
      <c r="O699"/>
      <c r="P699"/>
    </row>
    <row r="700" spans="1:16">
      <c r="A700"/>
      <c r="B700"/>
      <c r="C700"/>
      <c r="D700"/>
      <c r="E700"/>
      <c r="F700"/>
      <c r="G700"/>
      <c r="H700"/>
      <c r="I700"/>
      <c r="J700"/>
      <c r="K700"/>
      <c r="L700"/>
      <c r="M700"/>
      <c r="N700"/>
      <c r="O700"/>
      <c r="P700"/>
    </row>
    <row r="701" spans="1:16">
      <c r="A701"/>
      <c r="B701"/>
      <c r="C701"/>
      <c r="D701"/>
      <c r="E701"/>
      <c r="F701"/>
      <c r="G701"/>
      <c r="H701"/>
      <c r="I701"/>
      <c r="J701"/>
      <c r="K701"/>
      <c r="L701"/>
      <c r="M701"/>
      <c r="N701"/>
      <c r="O701"/>
      <c r="P701"/>
    </row>
    <row r="702" spans="1:16">
      <c r="A702"/>
      <c r="B702"/>
      <c r="C702"/>
      <c r="D702"/>
      <c r="E702"/>
      <c r="F702"/>
      <c r="G702"/>
      <c r="H702"/>
      <c r="I702"/>
      <c r="J702"/>
      <c r="K702"/>
      <c r="L702"/>
      <c r="M702"/>
      <c r="N702"/>
      <c r="O702"/>
      <c r="P702"/>
    </row>
    <row r="703" spans="1:16">
      <c r="A703"/>
      <c r="B703"/>
      <c r="C703"/>
      <c r="D703"/>
      <c r="E703"/>
      <c r="F703"/>
      <c r="G703"/>
      <c r="H703"/>
      <c r="I703"/>
      <c r="J703"/>
      <c r="K703"/>
      <c r="L703"/>
      <c r="M703"/>
      <c r="N703"/>
      <c r="O703"/>
      <c r="P703"/>
    </row>
    <row r="704" spans="1:16">
      <c r="A704"/>
      <c r="B704"/>
      <c r="C704"/>
      <c r="D704"/>
      <c r="E704"/>
      <c r="F704"/>
      <c r="G704"/>
      <c r="H704"/>
      <c r="I704"/>
      <c r="J704"/>
      <c r="K704"/>
      <c r="L704"/>
      <c r="M704"/>
      <c r="N704"/>
      <c r="O704"/>
      <c r="P704"/>
    </row>
    <row r="705" spans="1:16">
      <c r="A705"/>
      <c r="B705"/>
      <c r="C705"/>
      <c r="D705"/>
      <c r="E705"/>
      <c r="F705"/>
      <c r="G705"/>
      <c r="H705"/>
      <c r="I705"/>
      <c r="J705"/>
      <c r="K705"/>
      <c r="L705"/>
      <c r="M705"/>
      <c r="N705"/>
      <c r="O705"/>
      <c r="P705"/>
    </row>
    <row r="706" spans="1:16">
      <c r="A706"/>
      <c r="B706"/>
      <c r="C706"/>
      <c r="D706"/>
      <c r="E706"/>
      <c r="F706"/>
      <c r="G706"/>
      <c r="H706"/>
      <c r="I706"/>
      <c r="J706"/>
      <c r="K706"/>
      <c r="L706"/>
      <c r="M706"/>
      <c r="N706"/>
      <c r="O706"/>
      <c r="P706"/>
    </row>
    <row r="707" spans="1:16">
      <c r="A707"/>
      <c r="B707"/>
      <c r="C707"/>
      <c r="D707"/>
      <c r="E707"/>
      <c r="F707"/>
      <c r="G707"/>
      <c r="H707"/>
      <c r="I707"/>
      <c r="J707"/>
      <c r="K707"/>
      <c r="L707"/>
      <c r="M707"/>
      <c r="N707"/>
      <c r="O707"/>
      <c r="P707"/>
    </row>
    <row r="708" spans="1:16">
      <c r="A708"/>
      <c r="B708"/>
      <c r="C708"/>
      <c r="D708"/>
      <c r="E708"/>
      <c r="F708"/>
      <c r="G708"/>
      <c r="H708"/>
      <c r="I708"/>
      <c r="J708"/>
      <c r="K708"/>
      <c r="L708"/>
      <c r="M708"/>
      <c r="N708"/>
      <c r="O708"/>
      <c r="P708"/>
    </row>
    <row r="709" spans="1:16">
      <c r="A709"/>
      <c r="B709"/>
      <c r="C709"/>
      <c r="D709"/>
      <c r="E709"/>
      <c r="F709"/>
      <c r="G709"/>
      <c r="H709"/>
      <c r="I709"/>
      <c r="J709"/>
      <c r="K709"/>
      <c r="L709"/>
      <c r="M709"/>
      <c r="N709"/>
      <c r="O709"/>
      <c r="P709"/>
    </row>
    <row r="710" spans="1:16">
      <c r="A710"/>
      <c r="B710"/>
      <c r="C710"/>
      <c r="D710"/>
      <c r="E710"/>
      <c r="F710"/>
      <c r="G710"/>
      <c r="H710"/>
      <c r="I710"/>
      <c r="J710"/>
      <c r="K710"/>
      <c r="L710"/>
      <c r="M710"/>
      <c r="N710"/>
      <c r="O710"/>
      <c r="P710"/>
    </row>
    <row r="711" spans="1:16">
      <c r="A711"/>
      <c r="B711"/>
      <c r="C711"/>
      <c r="D711"/>
      <c r="E711"/>
      <c r="F711"/>
      <c r="G711"/>
      <c r="H711"/>
      <c r="I711"/>
      <c r="J711"/>
      <c r="K711"/>
      <c r="L711"/>
      <c r="M711"/>
      <c r="N711"/>
      <c r="O711"/>
      <c r="P711"/>
    </row>
    <row r="712" spans="1:16">
      <c r="A712"/>
      <c r="B712"/>
      <c r="C712"/>
      <c r="D712"/>
      <c r="E712"/>
      <c r="F712"/>
      <c r="G712"/>
      <c r="H712"/>
      <c r="I712"/>
      <c r="J712"/>
      <c r="K712"/>
      <c r="L712"/>
      <c r="M712"/>
      <c r="N712"/>
      <c r="O712"/>
      <c r="P712"/>
    </row>
    <row r="713" spans="1:16">
      <c r="A713"/>
      <c r="B713"/>
      <c r="C713"/>
      <c r="D713"/>
      <c r="E713"/>
      <c r="F713"/>
      <c r="G713"/>
      <c r="H713"/>
      <c r="I713"/>
      <c r="J713"/>
      <c r="K713"/>
      <c r="L713"/>
      <c r="M713"/>
      <c r="N713"/>
      <c r="O713"/>
      <c r="P713"/>
    </row>
    <row r="714" spans="1:16">
      <c r="A714"/>
      <c r="B714"/>
      <c r="C714"/>
      <c r="D714"/>
      <c r="E714"/>
      <c r="F714"/>
      <c r="G714"/>
      <c r="H714"/>
      <c r="I714"/>
      <c r="J714"/>
      <c r="K714"/>
      <c r="L714"/>
      <c r="M714"/>
      <c r="N714"/>
      <c r="O714"/>
      <c r="P714"/>
    </row>
    <row r="715" spans="1:16">
      <c r="A715"/>
      <c r="B715"/>
      <c r="C715"/>
      <c r="D715"/>
      <c r="E715"/>
      <c r="F715"/>
      <c r="G715"/>
      <c r="H715"/>
      <c r="I715"/>
      <c r="J715"/>
      <c r="K715"/>
      <c r="L715"/>
      <c r="M715"/>
      <c r="N715"/>
      <c r="O715"/>
      <c r="P715"/>
    </row>
    <row r="716" spans="1:16">
      <c r="A716"/>
      <c r="B716"/>
      <c r="C716"/>
      <c r="D716"/>
      <c r="E716"/>
      <c r="F716"/>
      <c r="G716"/>
      <c r="H716"/>
      <c r="I716"/>
      <c r="J716"/>
      <c r="K716"/>
      <c r="L716"/>
      <c r="M716"/>
      <c r="N716"/>
      <c r="O716"/>
      <c r="P716"/>
    </row>
    <row r="717" spans="1:16">
      <c r="A717"/>
      <c r="B717"/>
      <c r="C717"/>
      <c r="D717"/>
      <c r="E717"/>
      <c r="F717"/>
      <c r="G717"/>
      <c r="H717"/>
      <c r="I717"/>
      <c r="J717"/>
      <c r="K717"/>
      <c r="L717"/>
      <c r="M717"/>
      <c r="N717"/>
      <c r="O717"/>
      <c r="P717"/>
    </row>
    <row r="718" spans="1:16">
      <c r="A718"/>
      <c r="B718"/>
      <c r="C718"/>
      <c r="D718"/>
      <c r="E718"/>
      <c r="F718"/>
      <c r="G718"/>
      <c r="H718"/>
      <c r="I718"/>
      <c r="J718"/>
      <c r="K718"/>
      <c r="L718"/>
      <c r="M718"/>
      <c r="N718"/>
      <c r="O718"/>
      <c r="P718"/>
    </row>
    <row r="719" spans="1:16">
      <c r="A719"/>
      <c r="B719"/>
      <c r="C719"/>
      <c r="D719"/>
      <c r="E719"/>
      <c r="F719"/>
      <c r="G719"/>
      <c r="H719"/>
      <c r="I719"/>
      <c r="J719"/>
      <c r="K719"/>
      <c r="L719"/>
      <c r="M719"/>
      <c r="N719"/>
      <c r="O719"/>
      <c r="P719"/>
    </row>
    <row r="720" spans="1:16">
      <c r="A720"/>
      <c r="B720"/>
      <c r="C720"/>
      <c r="D720"/>
      <c r="E720"/>
      <c r="F720"/>
      <c r="G720"/>
      <c r="H720"/>
      <c r="I720"/>
      <c r="J720"/>
      <c r="K720"/>
      <c r="L720"/>
      <c r="M720"/>
      <c r="N720"/>
      <c r="O720"/>
      <c r="P720"/>
    </row>
    <row r="721" spans="1:16">
      <c r="A721"/>
      <c r="B721"/>
      <c r="C721"/>
      <c r="D721"/>
      <c r="E721"/>
      <c r="F721"/>
      <c r="G721"/>
      <c r="H721"/>
      <c r="I721"/>
      <c r="J721"/>
      <c r="K721"/>
      <c r="L721"/>
      <c r="M721"/>
      <c r="N721"/>
      <c r="O721"/>
      <c r="P721"/>
    </row>
    <row r="722" spans="1:16">
      <c r="A722"/>
      <c r="B722"/>
      <c r="C722"/>
      <c r="D722"/>
      <c r="E722"/>
      <c r="F722"/>
      <c r="G722"/>
      <c r="H722"/>
      <c r="I722"/>
      <c r="J722"/>
      <c r="K722"/>
      <c r="L722"/>
      <c r="M722"/>
      <c r="N722"/>
      <c r="O722"/>
      <c r="P722"/>
    </row>
    <row r="723" spans="1:16">
      <c r="A723"/>
      <c r="B723"/>
      <c r="C723"/>
      <c r="D723"/>
      <c r="E723"/>
      <c r="F723"/>
      <c r="G723"/>
      <c r="H723"/>
      <c r="I723"/>
      <c r="J723"/>
      <c r="K723"/>
      <c r="L723"/>
      <c r="M723"/>
      <c r="N723"/>
      <c r="O723"/>
      <c r="P723"/>
    </row>
    <row r="724" spans="1:16">
      <c r="A724"/>
      <c r="B724"/>
      <c r="C724"/>
      <c r="D724"/>
      <c r="E724"/>
      <c r="F724"/>
      <c r="G724"/>
      <c r="H724"/>
      <c r="I724"/>
      <c r="J724"/>
      <c r="K724"/>
      <c r="L724"/>
      <c r="M724"/>
      <c r="N724"/>
      <c r="O724"/>
      <c r="P724"/>
    </row>
    <row r="725" spans="1:16">
      <c r="A725"/>
      <c r="B725"/>
      <c r="C725"/>
      <c r="D725"/>
      <c r="E725"/>
      <c r="F725"/>
      <c r="G725"/>
      <c r="H725"/>
      <c r="I725"/>
      <c r="J725"/>
      <c r="K725"/>
      <c r="L725"/>
      <c r="M725"/>
      <c r="N725"/>
      <c r="O725"/>
      <c r="P725"/>
    </row>
    <row r="726" spans="1:16">
      <c r="A726"/>
      <c r="B726"/>
      <c r="C726"/>
      <c r="D726"/>
      <c r="E726"/>
      <c r="F726"/>
      <c r="G726"/>
      <c r="H726"/>
      <c r="I726"/>
      <c r="J726"/>
      <c r="K726"/>
      <c r="L726"/>
      <c r="M726"/>
      <c r="N726"/>
      <c r="O726"/>
      <c r="P726"/>
    </row>
    <row r="727" spans="1:16">
      <c r="A727"/>
      <c r="B727"/>
      <c r="C727"/>
      <c r="D727"/>
      <c r="E727"/>
      <c r="F727"/>
      <c r="G727"/>
      <c r="H727"/>
      <c r="I727"/>
      <c r="J727"/>
      <c r="K727"/>
      <c r="L727"/>
      <c r="M727"/>
      <c r="N727"/>
      <c r="O727"/>
      <c r="P727"/>
    </row>
    <row r="728" spans="1:16">
      <c r="A728"/>
      <c r="B728"/>
      <c r="C728"/>
      <c r="D728"/>
      <c r="E728"/>
      <c r="F728"/>
      <c r="G728"/>
      <c r="H728"/>
      <c r="I728"/>
      <c r="J728"/>
      <c r="K728"/>
      <c r="L728"/>
      <c r="M728"/>
      <c r="N728"/>
      <c r="O728"/>
      <c r="P728"/>
    </row>
    <row r="729" spans="1:16">
      <c r="A729"/>
      <c r="B729"/>
      <c r="C729"/>
      <c r="D729"/>
      <c r="E729"/>
      <c r="F729"/>
      <c r="G729"/>
      <c r="H729"/>
      <c r="I729"/>
      <c r="J729"/>
      <c r="K729"/>
      <c r="L729"/>
      <c r="M729"/>
      <c r="N729"/>
      <c r="O729"/>
      <c r="P729"/>
    </row>
    <row r="730" spans="1:16">
      <c r="A730"/>
      <c r="B730"/>
      <c r="C730"/>
      <c r="D730"/>
      <c r="E730"/>
      <c r="F730"/>
      <c r="G730"/>
      <c r="H730"/>
      <c r="I730"/>
      <c r="J730"/>
      <c r="K730"/>
      <c r="L730"/>
      <c r="M730"/>
      <c r="N730"/>
      <c r="O730"/>
      <c r="P730"/>
    </row>
    <row r="731" spans="1:16">
      <c r="A731"/>
      <c r="B731"/>
      <c r="C731"/>
      <c r="D731"/>
      <c r="E731"/>
      <c r="F731"/>
      <c r="G731"/>
      <c r="H731"/>
      <c r="I731"/>
      <c r="J731"/>
      <c r="K731"/>
      <c r="L731"/>
      <c r="M731"/>
      <c r="N731"/>
      <c r="O731"/>
      <c r="P731"/>
    </row>
    <row r="732" spans="1:16">
      <c r="A732"/>
      <c r="B732"/>
      <c r="C732"/>
      <c r="D732"/>
      <c r="E732"/>
      <c r="F732"/>
      <c r="G732"/>
      <c r="H732"/>
      <c r="I732"/>
      <c r="J732"/>
      <c r="K732"/>
      <c r="L732"/>
      <c r="M732"/>
      <c r="N732"/>
      <c r="O732"/>
      <c r="P732"/>
    </row>
    <row r="733" spans="1:16">
      <c r="A733"/>
      <c r="B733"/>
      <c r="C733"/>
      <c r="D733"/>
      <c r="E733"/>
      <c r="F733"/>
      <c r="G733"/>
      <c r="H733"/>
      <c r="I733"/>
      <c r="J733"/>
      <c r="K733"/>
      <c r="L733"/>
      <c r="M733"/>
      <c r="N733"/>
      <c r="O733"/>
      <c r="P733"/>
    </row>
    <row r="734" spans="1:16">
      <c r="A734"/>
      <c r="B734"/>
      <c r="C734"/>
      <c r="D734"/>
      <c r="E734"/>
      <c r="F734"/>
      <c r="G734"/>
      <c r="H734"/>
      <c r="I734"/>
      <c r="J734"/>
      <c r="K734"/>
      <c r="L734"/>
      <c r="M734"/>
      <c r="N734"/>
      <c r="O734"/>
      <c r="P734"/>
    </row>
    <row r="735" spans="1:16">
      <c r="A735"/>
      <c r="B735"/>
      <c r="C735"/>
      <c r="D735"/>
      <c r="E735"/>
      <c r="F735"/>
      <c r="G735"/>
      <c r="H735"/>
      <c r="I735"/>
      <c r="J735"/>
      <c r="K735"/>
      <c r="L735"/>
      <c r="M735"/>
      <c r="N735"/>
      <c r="O735"/>
      <c r="P735"/>
    </row>
    <row r="736" spans="1:16">
      <c r="A736"/>
      <c r="B736"/>
      <c r="C736"/>
      <c r="D736"/>
      <c r="E736"/>
      <c r="F736"/>
      <c r="G736"/>
      <c r="H736"/>
      <c r="I736"/>
      <c r="J736"/>
      <c r="K736"/>
      <c r="L736"/>
      <c r="M736"/>
      <c r="N736"/>
      <c r="O736"/>
      <c r="P736"/>
    </row>
    <row r="737" spans="1:16">
      <c r="A737"/>
      <c r="B737"/>
      <c r="C737"/>
      <c r="D737"/>
      <c r="E737"/>
      <c r="F737"/>
      <c r="G737"/>
      <c r="H737"/>
      <c r="I737"/>
      <c r="J737"/>
      <c r="K737"/>
      <c r="L737"/>
      <c r="M737"/>
      <c r="N737"/>
      <c r="O737"/>
      <c r="P737"/>
    </row>
    <row r="738" spans="1:16">
      <c r="A738"/>
      <c r="B738"/>
      <c r="C738"/>
      <c r="D738"/>
      <c r="E738"/>
      <c r="F738"/>
      <c r="G738"/>
      <c r="H738"/>
      <c r="I738"/>
      <c r="J738"/>
      <c r="K738"/>
      <c r="L738"/>
      <c r="M738"/>
      <c r="N738"/>
      <c r="O738"/>
      <c r="P738"/>
    </row>
    <row r="739" spans="1:16">
      <c r="A739"/>
      <c r="B739"/>
      <c r="C739"/>
      <c r="D739"/>
      <c r="E739"/>
      <c r="F739"/>
      <c r="G739"/>
      <c r="H739"/>
      <c r="I739"/>
      <c r="J739"/>
      <c r="K739"/>
      <c r="L739"/>
      <c r="M739"/>
      <c r="N739"/>
      <c r="O739"/>
      <c r="P739"/>
    </row>
    <row r="740" spans="1:16">
      <c r="A740"/>
      <c r="B740"/>
      <c r="C740"/>
      <c r="D740"/>
      <c r="E740"/>
      <c r="F740"/>
      <c r="G740"/>
      <c r="H740"/>
      <c r="I740"/>
      <c r="J740"/>
      <c r="K740"/>
      <c r="L740"/>
      <c r="M740"/>
      <c r="N740"/>
      <c r="O740"/>
      <c r="P740"/>
    </row>
    <row r="741" spans="1:16">
      <c r="A741"/>
      <c r="B741"/>
      <c r="C741"/>
      <c r="D741"/>
      <c r="E741"/>
      <c r="F741"/>
      <c r="G741"/>
      <c r="H741"/>
      <c r="I741"/>
      <c r="J741"/>
      <c r="K741"/>
      <c r="L741"/>
      <c r="M741"/>
      <c r="N741"/>
      <c r="O741"/>
      <c r="P741"/>
    </row>
    <row r="742" spans="1:16">
      <c r="A742"/>
      <c r="B742"/>
      <c r="C742"/>
      <c r="D742"/>
      <c r="E742"/>
      <c r="F742"/>
      <c r="G742"/>
      <c r="H742"/>
      <c r="I742"/>
      <c r="J742"/>
      <c r="K742"/>
      <c r="L742"/>
      <c r="M742"/>
      <c r="N742"/>
      <c r="O742"/>
      <c r="P742"/>
    </row>
    <row r="743" spans="1:16">
      <c r="A743"/>
      <c r="B743"/>
      <c r="C743"/>
      <c r="D743"/>
      <c r="E743"/>
      <c r="F743"/>
      <c r="G743"/>
      <c r="H743"/>
      <c r="I743"/>
      <c r="J743"/>
      <c r="K743"/>
      <c r="L743"/>
      <c r="M743"/>
      <c r="N743"/>
      <c r="O743"/>
      <c r="P743"/>
    </row>
    <row r="744" spans="1:16">
      <c r="A744"/>
      <c r="B744"/>
      <c r="C744"/>
      <c r="D744"/>
      <c r="E744"/>
      <c r="F744"/>
      <c r="G744"/>
      <c r="H744"/>
      <c r="I744"/>
      <c r="J744"/>
      <c r="K744"/>
      <c r="L744"/>
      <c r="M744"/>
      <c r="N744"/>
      <c r="O744"/>
      <c r="P744"/>
    </row>
    <row r="745" spans="1:16">
      <c r="A745"/>
      <c r="B745"/>
      <c r="C745"/>
      <c r="D745"/>
      <c r="E745"/>
      <c r="F745"/>
      <c r="G745"/>
      <c r="H745"/>
      <c r="I745"/>
      <c r="J745"/>
      <c r="K745"/>
      <c r="L745"/>
      <c r="M745"/>
      <c r="N745"/>
      <c r="O745"/>
      <c r="P745"/>
    </row>
    <row r="746" spans="1:16">
      <c r="A746"/>
      <c r="B746"/>
      <c r="C746"/>
      <c r="D746"/>
      <c r="E746"/>
      <c r="F746"/>
      <c r="G746"/>
      <c r="H746"/>
      <c r="I746"/>
      <c r="J746"/>
      <c r="K746"/>
      <c r="L746"/>
      <c r="M746"/>
      <c r="N746"/>
      <c r="O746"/>
      <c r="P746"/>
    </row>
    <row r="747" spans="1:16">
      <c r="A747"/>
      <c r="B747"/>
      <c r="C747"/>
      <c r="D747"/>
      <c r="E747"/>
      <c r="F747"/>
      <c r="G747"/>
      <c r="H747"/>
      <c r="I747"/>
      <c r="J747"/>
      <c r="K747"/>
      <c r="L747"/>
      <c r="M747"/>
      <c r="N747"/>
      <c r="O747"/>
      <c r="P747"/>
    </row>
    <row r="748" spans="1:16">
      <c r="A748"/>
      <c r="B748"/>
      <c r="C748"/>
      <c r="D748"/>
      <c r="E748"/>
      <c r="F748"/>
      <c r="G748"/>
      <c r="H748"/>
      <c r="I748"/>
      <c r="J748"/>
      <c r="K748"/>
      <c r="L748"/>
      <c r="M748"/>
      <c r="N748"/>
      <c r="O748"/>
      <c r="P748"/>
    </row>
    <row r="749" spans="1:16">
      <c r="A749"/>
      <c r="B749"/>
      <c r="C749"/>
      <c r="D749"/>
      <c r="E749"/>
      <c r="F749"/>
      <c r="G749"/>
      <c r="H749"/>
      <c r="I749"/>
      <c r="J749"/>
      <c r="K749"/>
      <c r="L749"/>
      <c r="M749"/>
      <c r="N749"/>
      <c r="O749"/>
      <c r="P749"/>
    </row>
    <row r="750" spans="1:16">
      <c r="A750"/>
      <c r="B750"/>
      <c r="C750"/>
      <c r="D750"/>
      <c r="E750"/>
      <c r="F750"/>
      <c r="G750"/>
      <c r="H750"/>
      <c r="I750"/>
      <c r="J750"/>
      <c r="K750"/>
      <c r="L750"/>
      <c r="M750"/>
      <c r="N750"/>
      <c r="O750"/>
      <c r="P750"/>
    </row>
    <row r="751" spans="1:16">
      <c r="A751"/>
      <c r="B751"/>
      <c r="C751"/>
      <c r="D751"/>
      <c r="E751"/>
      <c r="F751"/>
      <c r="G751"/>
      <c r="H751"/>
      <c r="I751"/>
      <c r="J751"/>
      <c r="K751"/>
      <c r="L751"/>
      <c r="M751"/>
      <c r="N751"/>
      <c r="O751"/>
      <c r="P751"/>
    </row>
    <row r="752" spans="1:16">
      <c r="A752"/>
      <c r="B752"/>
      <c r="C752"/>
      <c r="D752"/>
      <c r="E752"/>
      <c r="F752"/>
      <c r="G752"/>
      <c r="H752"/>
      <c r="I752"/>
      <c r="J752"/>
      <c r="K752"/>
      <c r="L752"/>
      <c r="M752"/>
      <c r="N752"/>
      <c r="O752"/>
      <c r="P752"/>
    </row>
    <row r="753" spans="1:16">
      <c r="A753"/>
      <c r="B753"/>
      <c r="C753"/>
      <c r="D753"/>
      <c r="E753"/>
      <c r="F753"/>
      <c r="G753"/>
      <c r="H753"/>
      <c r="I753"/>
      <c r="J753"/>
      <c r="K753"/>
      <c r="L753"/>
      <c r="M753"/>
      <c r="N753"/>
      <c r="O753"/>
      <c r="P753"/>
    </row>
    <row r="754" spans="1:16">
      <c r="A754"/>
      <c r="B754"/>
      <c r="C754"/>
      <c r="D754"/>
      <c r="E754"/>
      <c r="F754"/>
      <c r="G754"/>
      <c r="H754"/>
      <c r="I754"/>
      <c r="J754"/>
      <c r="K754"/>
      <c r="L754"/>
      <c r="M754"/>
      <c r="N754"/>
      <c r="O754"/>
      <c r="P754"/>
    </row>
    <row r="755" spans="1:16">
      <c r="A755"/>
      <c r="B755"/>
      <c r="C755"/>
      <c r="D755"/>
      <c r="E755"/>
      <c r="F755"/>
      <c r="G755"/>
      <c r="H755"/>
      <c r="I755"/>
      <c r="J755"/>
      <c r="K755"/>
      <c r="L755"/>
      <c r="M755"/>
      <c r="N755"/>
      <c r="O755"/>
      <c r="P755"/>
    </row>
    <row r="756" spans="1:16">
      <c r="A756"/>
      <c r="B756"/>
      <c r="C756"/>
      <c r="D756"/>
      <c r="E756"/>
      <c r="F756"/>
      <c r="G756"/>
      <c r="H756"/>
      <c r="I756"/>
      <c r="J756"/>
      <c r="K756"/>
      <c r="L756"/>
      <c r="M756"/>
      <c r="N756"/>
      <c r="O756"/>
      <c r="P756"/>
    </row>
    <row r="757" spans="1:16">
      <c r="A757"/>
      <c r="B757"/>
      <c r="C757"/>
      <c r="D757"/>
      <c r="E757"/>
      <c r="F757"/>
      <c r="G757"/>
      <c r="H757"/>
      <c r="I757"/>
      <c r="J757"/>
      <c r="K757"/>
      <c r="L757"/>
      <c r="M757"/>
      <c r="N757"/>
      <c r="O757"/>
      <c r="P757"/>
    </row>
    <row r="758" spans="1:16">
      <c r="A758"/>
      <c r="B758"/>
      <c r="C758"/>
      <c r="D758"/>
      <c r="E758"/>
      <c r="F758"/>
      <c r="G758"/>
      <c r="H758"/>
      <c r="I758"/>
      <c r="J758"/>
      <c r="K758"/>
      <c r="L758"/>
      <c r="M758"/>
      <c r="N758"/>
      <c r="O758"/>
      <c r="P758"/>
    </row>
    <row r="759" spans="1:16">
      <c r="A759"/>
      <c r="B759"/>
      <c r="C759"/>
      <c r="D759"/>
      <c r="E759"/>
      <c r="F759"/>
      <c r="G759"/>
      <c r="H759"/>
      <c r="I759"/>
      <c r="J759"/>
      <c r="K759"/>
      <c r="L759"/>
      <c r="M759"/>
      <c r="N759"/>
      <c r="O759"/>
      <c r="P759"/>
    </row>
    <row r="760" spans="1:16">
      <c r="A760"/>
      <c r="B760"/>
      <c r="C760"/>
      <c r="D760"/>
      <c r="E760"/>
      <c r="F760"/>
      <c r="G760"/>
      <c r="H760"/>
      <c r="I760"/>
      <c r="J760"/>
      <c r="K760"/>
      <c r="L760"/>
      <c r="M760"/>
      <c r="N760"/>
      <c r="O760"/>
      <c r="P760"/>
    </row>
    <row r="761" spans="1:16">
      <c r="A761"/>
      <c r="B761"/>
      <c r="C761"/>
      <c r="D761"/>
      <c r="E761"/>
      <c r="F761"/>
      <c r="G761"/>
      <c r="H761"/>
      <c r="I761"/>
      <c r="J761"/>
      <c r="K761"/>
      <c r="L761"/>
      <c r="M761"/>
      <c r="N761"/>
      <c r="O761"/>
      <c r="P761"/>
    </row>
    <row r="762" spans="1:16">
      <c r="A762"/>
      <c r="B762"/>
      <c r="C762"/>
      <c r="D762"/>
      <c r="E762"/>
      <c r="F762"/>
      <c r="G762"/>
      <c r="H762"/>
      <c r="I762"/>
      <c r="J762"/>
      <c r="K762"/>
      <c r="L762"/>
      <c r="M762"/>
      <c r="N762"/>
      <c r="O762"/>
      <c r="P762"/>
    </row>
    <row r="763" spans="1:16">
      <c r="A763"/>
      <c r="B763"/>
      <c r="C763"/>
      <c r="D763"/>
      <c r="E763"/>
      <c r="F763"/>
      <c r="G763"/>
      <c r="H763"/>
      <c r="I763"/>
      <c r="J763"/>
      <c r="K763"/>
      <c r="L763"/>
      <c r="M763"/>
      <c r="N763"/>
      <c r="O763"/>
      <c r="P763"/>
    </row>
    <row r="764" spans="1:16">
      <c r="A764"/>
      <c r="B764"/>
      <c r="C764"/>
      <c r="D764"/>
      <c r="E764"/>
      <c r="F764"/>
      <c r="G764"/>
      <c r="H764"/>
      <c r="I764"/>
      <c r="J764"/>
      <c r="K764"/>
      <c r="L764"/>
      <c r="M764"/>
      <c r="N764"/>
      <c r="O764"/>
      <c r="P764"/>
    </row>
    <row r="765" spans="1:16">
      <c r="A765"/>
      <c r="B765"/>
      <c r="C765"/>
      <c r="D765"/>
      <c r="E765"/>
      <c r="F765"/>
      <c r="G765"/>
      <c r="H765"/>
      <c r="I765"/>
      <c r="J765"/>
      <c r="K765"/>
      <c r="L765"/>
      <c r="M765"/>
      <c r="N765"/>
      <c r="O765"/>
      <c r="P765"/>
    </row>
    <row r="766" spans="1:16">
      <c r="A766"/>
      <c r="B766"/>
      <c r="C766"/>
      <c r="D766"/>
      <c r="E766"/>
      <c r="F766"/>
      <c r="G766"/>
      <c r="H766"/>
      <c r="I766"/>
      <c r="J766"/>
      <c r="K766"/>
      <c r="L766"/>
      <c r="M766"/>
      <c r="N766"/>
      <c r="O766"/>
      <c r="P766"/>
    </row>
    <row r="767" spans="1:16">
      <c r="A767"/>
      <c r="B767"/>
      <c r="C767"/>
      <c r="D767"/>
      <c r="E767"/>
      <c r="F767"/>
      <c r="G767"/>
      <c r="H767"/>
      <c r="I767"/>
      <c r="J767"/>
      <c r="K767"/>
      <c r="L767"/>
      <c r="M767"/>
      <c r="N767"/>
      <c r="O767"/>
      <c r="P767"/>
    </row>
    <row r="768" spans="1:16">
      <c r="A768"/>
      <c r="B768"/>
      <c r="C768"/>
      <c r="D768"/>
      <c r="E768"/>
      <c r="F768"/>
      <c r="G768"/>
      <c r="H768"/>
      <c r="I768"/>
      <c r="J768"/>
      <c r="K768"/>
      <c r="L768"/>
      <c r="M768"/>
      <c r="N768"/>
      <c r="O768"/>
      <c r="P768"/>
    </row>
    <row r="769" spans="1:16">
      <c r="A769"/>
      <c r="B769"/>
      <c r="C769"/>
      <c r="D769"/>
      <c r="E769"/>
      <c r="F769"/>
      <c r="G769"/>
      <c r="H769"/>
      <c r="I769"/>
      <c r="J769"/>
      <c r="K769"/>
      <c r="L769"/>
      <c r="M769"/>
      <c r="N769"/>
      <c r="O769"/>
      <c r="P769"/>
    </row>
    <row r="770" spans="1:16">
      <c r="A770"/>
      <c r="B770"/>
      <c r="C770"/>
      <c r="D770"/>
      <c r="E770"/>
      <c r="F770"/>
      <c r="G770"/>
      <c r="H770"/>
      <c r="I770"/>
      <c r="J770"/>
      <c r="K770"/>
      <c r="L770"/>
      <c r="M770"/>
      <c r="N770"/>
      <c r="O770"/>
      <c r="P770"/>
    </row>
    <row r="771" spans="1:16">
      <c r="A771"/>
      <c r="B771"/>
      <c r="C771"/>
      <c r="D771"/>
      <c r="E771"/>
      <c r="F771"/>
      <c r="G771"/>
      <c r="H771"/>
      <c r="I771"/>
      <c r="J771"/>
      <c r="K771"/>
      <c r="L771"/>
      <c r="M771"/>
      <c r="N771"/>
      <c r="O771"/>
      <c r="P771"/>
    </row>
    <row r="772" spans="1:16">
      <c r="A772"/>
      <c r="B772"/>
      <c r="C772"/>
      <c r="D772"/>
      <c r="E772"/>
      <c r="F772"/>
      <c r="G772"/>
      <c r="H772"/>
      <c r="I772"/>
      <c r="J772"/>
      <c r="K772"/>
      <c r="L772"/>
      <c r="M772"/>
      <c r="N772"/>
      <c r="O772"/>
      <c r="P772"/>
    </row>
    <row r="773" spans="1:16">
      <c r="A773"/>
      <c r="B773"/>
      <c r="C773"/>
      <c r="D773"/>
      <c r="E773"/>
      <c r="F773"/>
      <c r="G773"/>
      <c r="H773"/>
      <c r="I773"/>
      <c r="J773"/>
      <c r="K773"/>
      <c r="L773"/>
      <c r="M773"/>
      <c r="N773"/>
      <c r="O773"/>
      <c r="P773"/>
    </row>
    <row r="774" spans="1:16">
      <c r="A774"/>
      <c r="B774"/>
      <c r="C774"/>
      <c r="D774"/>
      <c r="E774"/>
      <c r="F774"/>
      <c r="G774"/>
      <c r="H774"/>
      <c r="I774"/>
      <c r="J774"/>
      <c r="K774"/>
      <c r="L774"/>
      <c r="M774"/>
      <c r="N774"/>
      <c r="O774"/>
      <c r="P774"/>
    </row>
    <row r="775" spans="1:16">
      <c r="A775"/>
      <c r="B775"/>
      <c r="C775"/>
      <c r="D775"/>
      <c r="E775"/>
      <c r="F775"/>
      <c r="G775"/>
      <c r="H775"/>
      <c r="I775"/>
      <c r="J775"/>
      <c r="K775"/>
      <c r="L775"/>
      <c r="M775"/>
      <c r="N775"/>
      <c r="O775"/>
      <c r="P775"/>
    </row>
    <row r="776" spans="1:16">
      <c r="A776"/>
      <c r="B776"/>
      <c r="C776"/>
      <c r="D776"/>
      <c r="E776"/>
      <c r="F776"/>
      <c r="G776"/>
      <c r="H776"/>
      <c r="I776"/>
      <c r="J776"/>
      <c r="K776"/>
      <c r="L776"/>
      <c r="M776"/>
      <c r="N776"/>
      <c r="O776"/>
      <c r="P776"/>
    </row>
    <row r="777" spans="1:16">
      <c r="A777"/>
      <c r="B777"/>
      <c r="C777"/>
      <c r="D777"/>
      <c r="E777"/>
      <c r="F777"/>
      <c r="G777"/>
      <c r="H777"/>
      <c r="I777"/>
      <c r="J777"/>
      <c r="K777"/>
      <c r="L777"/>
      <c r="M777"/>
      <c r="N777"/>
      <c r="O777"/>
      <c r="P777"/>
    </row>
    <row r="778" spans="1:16">
      <c r="A778"/>
      <c r="B778"/>
      <c r="C778"/>
      <c r="D778"/>
      <c r="E778"/>
      <c r="F778"/>
      <c r="G778"/>
      <c r="H778"/>
      <c r="I778"/>
      <c r="J778"/>
      <c r="K778"/>
      <c r="L778"/>
      <c r="M778"/>
      <c r="N778"/>
      <c r="O778"/>
      <c r="P778"/>
    </row>
    <row r="779" spans="1:16">
      <c r="A779"/>
      <c r="B779"/>
      <c r="C779"/>
      <c r="D779"/>
      <c r="E779"/>
      <c r="F779"/>
      <c r="G779"/>
      <c r="H779"/>
      <c r="I779"/>
      <c r="J779"/>
      <c r="K779"/>
      <c r="L779"/>
      <c r="M779"/>
      <c r="N779"/>
      <c r="O779"/>
      <c r="P779"/>
    </row>
    <row r="780" spans="1:16">
      <c r="A780"/>
      <c r="B780"/>
      <c r="C780"/>
      <c r="D780"/>
      <c r="E780"/>
      <c r="F780"/>
      <c r="G780"/>
      <c r="H780"/>
      <c r="I780"/>
      <c r="J780"/>
      <c r="K780"/>
      <c r="L780"/>
      <c r="M780"/>
      <c r="N780"/>
      <c r="O780"/>
      <c r="P780"/>
    </row>
    <row r="781" spans="1:16">
      <c r="A781"/>
      <c r="B781"/>
      <c r="C781"/>
      <c r="D781"/>
      <c r="E781"/>
      <c r="F781"/>
      <c r="G781"/>
      <c r="H781"/>
      <c r="I781"/>
      <c r="J781"/>
      <c r="K781"/>
      <c r="L781"/>
      <c r="M781"/>
      <c r="N781"/>
      <c r="O781"/>
      <c r="P781"/>
    </row>
    <row r="782" spans="1:16">
      <c r="A782"/>
      <c r="B782"/>
      <c r="C782"/>
      <c r="D782"/>
      <c r="E782"/>
      <c r="F782"/>
      <c r="G782"/>
      <c r="H782"/>
      <c r="I782"/>
      <c r="J782"/>
      <c r="K782"/>
      <c r="L782"/>
      <c r="M782"/>
      <c r="N782"/>
      <c r="O782"/>
      <c r="P782"/>
    </row>
    <row r="783" spans="1:16">
      <c r="A783"/>
      <c r="B783"/>
      <c r="C783"/>
      <c r="D783"/>
      <c r="E783"/>
      <c r="F783"/>
      <c r="G783"/>
      <c r="H783"/>
      <c r="I783"/>
      <c r="J783"/>
      <c r="K783"/>
      <c r="L783"/>
      <c r="M783"/>
      <c r="N783"/>
      <c r="O783"/>
      <c r="P783"/>
    </row>
    <row r="784" spans="1:16">
      <c r="A784"/>
      <c r="B784"/>
      <c r="C784"/>
      <c r="D784"/>
      <c r="E784"/>
      <c r="F784"/>
      <c r="G784"/>
      <c r="H784"/>
      <c r="I784"/>
      <c r="J784"/>
      <c r="K784"/>
      <c r="L784"/>
      <c r="M784"/>
      <c r="N784"/>
      <c r="O784"/>
      <c r="P784"/>
    </row>
    <row r="785" spans="1:16">
      <c r="A785"/>
      <c r="B785"/>
      <c r="C785"/>
      <c r="D785"/>
      <c r="E785"/>
      <c r="F785"/>
      <c r="G785"/>
      <c r="H785"/>
      <c r="I785"/>
      <c r="J785"/>
      <c r="K785"/>
      <c r="L785"/>
      <c r="M785"/>
      <c r="N785"/>
      <c r="O785"/>
      <c r="P785"/>
    </row>
    <row r="786" spans="1:16">
      <c r="A786"/>
      <c r="B786"/>
      <c r="C786"/>
      <c r="D786"/>
      <c r="E786"/>
      <c r="F786"/>
      <c r="G786"/>
      <c r="H786"/>
      <c r="I786"/>
      <c r="J786"/>
      <c r="K786"/>
      <c r="L786"/>
      <c r="M786"/>
      <c r="N786"/>
      <c r="O786"/>
      <c r="P786"/>
    </row>
    <row r="787" spans="1:16">
      <c r="A787"/>
      <c r="B787"/>
      <c r="C787"/>
      <c r="D787"/>
      <c r="E787"/>
      <c r="F787"/>
      <c r="G787"/>
      <c r="H787"/>
      <c r="I787"/>
      <c r="J787"/>
      <c r="K787"/>
      <c r="L787"/>
      <c r="M787"/>
      <c r="N787"/>
      <c r="O787"/>
      <c r="P787"/>
    </row>
    <row r="788" spans="1:16">
      <c r="A788"/>
      <c r="B788"/>
      <c r="C788"/>
      <c r="D788"/>
      <c r="E788"/>
      <c r="F788"/>
      <c r="G788"/>
      <c r="H788"/>
      <c r="I788"/>
      <c r="J788"/>
      <c r="K788"/>
      <c r="L788"/>
      <c r="M788"/>
      <c r="N788"/>
      <c r="O788"/>
      <c r="P788"/>
    </row>
    <row r="789" spans="1:16">
      <c r="A789"/>
      <c r="B789"/>
      <c r="C789"/>
      <c r="D789"/>
      <c r="E789"/>
      <c r="F789"/>
      <c r="G789"/>
      <c r="H789"/>
      <c r="I789"/>
      <c r="J789"/>
      <c r="K789"/>
      <c r="L789"/>
      <c r="M789"/>
      <c r="N789"/>
      <c r="O789"/>
      <c r="P789"/>
    </row>
    <row r="790" spans="1:16">
      <c r="A790"/>
      <c r="B790"/>
      <c r="C790"/>
      <c r="D790"/>
      <c r="E790"/>
      <c r="F790"/>
      <c r="G790"/>
      <c r="H790"/>
      <c r="I790"/>
      <c r="J790"/>
      <c r="K790"/>
      <c r="L790"/>
      <c r="M790"/>
      <c r="N790"/>
      <c r="O790"/>
      <c r="P790"/>
    </row>
    <row r="791" spans="1:16">
      <c r="A791"/>
      <c r="B791"/>
      <c r="C791"/>
      <c r="D791"/>
      <c r="E791"/>
      <c r="F791"/>
      <c r="G791"/>
      <c r="H791"/>
      <c r="I791"/>
      <c r="J791"/>
      <c r="K791"/>
      <c r="L791"/>
      <c r="M791"/>
      <c r="N791"/>
      <c r="O791"/>
      <c r="P791"/>
    </row>
    <row r="792" spans="1:16">
      <c r="A792"/>
      <c r="B792"/>
      <c r="C792"/>
      <c r="D792"/>
      <c r="E792"/>
      <c r="F792"/>
      <c r="G792"/>
      <c r="H792"/>
      <c r="I792"/>
      <c r="J792"/>
      <c r="K792"/>
      <c r="L792"/>
      <c r="M792"/>
      <c r="N792"/>
      <c r="O792"/>
      <c r="P792"/>
    </row>
    <row r="793" spans="1:16">
      <c r="A793"/>
      <c r="B793"/>
      <c r="C793"/>
      <c r="D793"/>
      <c r="E793"/>
      <c r="F793"/>
      <c r="G793"/>
      <c r="H793"/>
      <c r="I793"/>
      <c r="J793"/>
      <c r="K793"/>
      <c r="L793"/>
      <c r="M793"/>
      <c r="N793"/>
      <c r="O793"/>
      <c r="P793"/>
    </row>
    <row r="794" spans="1:16">
      <c r="A794"/>
      <c r="B794"/>
      <c r="C794"/>
      <c r="D794"/>
      <c r="E794"/>
      <c r="F794"/>
      <c r="G794"/>
      <c r="H794"/>
      <c r="I794"/>
      <c r="J794"/>
      <c r="K794"/>
      <c r="L794"/>
      <c r="M794"/>
      <c r="N794"/>
      <c r="O794"/>
      <c r="P794"/>
    </row>
    <row r="795" spans="1:16">
      <c r="A795"/>
      <c r="B795"/>
      <c r="C795"/>
      <c r="D795"/>
      <c r="E795"/>
      <c r="F795"/>
      <c r="G795"/>
      <c r="H795"/>
      <c r="I795"/>
      <c r="J795"/>
      <c r="K795"/>
      <c r="L795"/>
      <c r="M795"/>
      <c r="N795"/>
      <c r="O795"/>
      <c r="P795"/>
    </row>
    <row r="796" spans="1:16">
      <c r="A796"/>
      <c r="B796"/>
      <c r="C796"/>
      <c r="D796"/>
      <c r="E796"/>
      <c r="F796"/>
      <c r="G796"/>
      <c r="H796"/>
      <c r="I796"/>
      <c r="J796"/>
      <c r="K796"/>
      <c r="L796"/>
      <c r="M796"/>
      <c r="N796"/>
      <c r="O796"/>
      <c r="P796"/>
    </row>
    <row r="797" spans="1:16">
      <c r="A797"/>
      <c r="B797"/>
      <c r="C797"/>
      <c r="D797"/>
      <c r="E797"/>
      <c r="F797"/>
      <c r="G797"/>
      <c r="H797"/>
      <c r="I797"/>
      <c r="J797"/>
      <c r="K797"/>
      <c r="L797"/>
      <c r="M797"/>
      <c r="N797"/>
      <c r="O797"/>
      <c r="P797"/>
    </row>
    <row r="798" spans="1:16">
      <c r="A798"/>
      <c r="B798"/>
      <c r="C798"/>
      <c r="D798"/>
      <c r="E798"/>
      <c r="F798"/>
      <c r="G798"/>
      <c r="H798"/>
      <c r="I798"/>
      <c r="J798"/>
      <c r="K798"/>
      <c r="L798"/>
      <c r="M798"/>
      <c r="N798"/>
      <c r="O798"/>
      <c r="P798"/>
    </row>
    <row r="799" spans="1:16">
      <c r="A799"/>
      <c r="B799"/>
      <c r="C799"/>
      <c r="D799"/>
      <c r="E799"/>
      <c r="F799"/>
      <c r="G799"/>
      <c r="H799"/>
      <c r="I799"/>
      <c r="J799"/>
      <c r="K799"/>
      <c r="L799"/>
      <c r="M799"/>
      <c r="N799"/>
      <c r="O799"/>
      <c r="P799"/>
    </row>
    <row r="800" spans="1:16">
      <c r="A800"/>
      <c r="B800"/>
      <c r="C800"/>
      <c r="D800"/>
      <c r="E800"/>
      <c r="F800"/>
      <c r="G800"/>
      <c r="H800"/>
      <c r="I800"/>
      <c r="J800"/>
      <c r="K800"/>
      <c r="L800"/>
      <c r="M800"/>
      <c r="N800"/>
      <c r="O800"/>
      <c r="P800"/>
    </row>
    <row r="801" spans="1:16">
      <c r="A801"/>
      <c r="B801"/>
      <c r="C801"/>
      <c r="D801"/>
      <c r="E801"/>
      <c r="F801"/>
      <c r="G801"/>
      <c r="H801"/>
      <c r="I801"/>
      <c r="J801"/>
      <c r="K801"/>
      <c r="L801"/>
      <c r="M801"/>
      <c r="N801"/>
      <c r="O801"/>
      <c r="P801"/>
    </row>
    <row r="802" spans="1:16">
      <c r="A802"/>
      <c r="B802"/>
      <c r="C802"/>
      <c r="D802"/>
      <c r="E802"/>
      <c r="F802"/>
      <c r="G802"/>
      <c r="H802"/>
      <c r="I802"/>
      <c r="J802"/>
      <c r="K802"/>
      <c r="L802"/>
      <c r="M802"/>
      <c r="N802"/>
      <c r="O802"/>
      <c r="P802"/>
    </row>
    <row r="803" spans="1:16">
      <c r="A803"/>
      <c r="B803"/>
      <c r="C803"/>
      <c r="D803"/>
      <c r="E803"/>
      <c r="F803"/>
      <c r="G803"/>
      <c r="H803"/>
      <c r="I803"/>
      <c r="J803"/>
      <c r="K803"/>
      <c r="L803"/>
      <c r="M803"/>
      <c r="N803"/>
      <c r="O803"/>
      <c r="P803"/>
    </row>
    <row r="804" spans="1:16">
      <c r="A804"/>
      <c r="B804"/>
      <c r="C804"/>
      <c r="D804"/>
      <c r="E804"/>
      <c r="F804"/>
      <c r="G804"/>
      <c r="H804"/>
      <c r="I804"/>
      <c r="J804"/>
      <c r="K804"/>
      <c r="L804"/>
      <c r="M804"/>
      <c r="N804"/>
      <c r="O804"/>
      <c r="P804"/>
    </row>
    <row r="805" spans="1:16">
      <c r="A805"/>
      <c r="B805"/>
      <c r="C805"/>
      <c r="D805"/>
      <c r="E805"/>
      <c r="F805"/>
      <c r="G805"/>
      <c r="H805"/>
      <c r="I805"/>
      <c r="J805"/>
      <c r="K805"/>
      <c r="L805"/>
      <c r="M805"/>
      <c r="N805"/>
      <c r="O805"/>
      <c r="P805"/>
    </row>
    <row r="806" spans="1:16">
      <c r="A806"/>
      <c r="B806"/>
      <c r="C806"/>
      <c r="D806"/>
      <c r="E806"/>
      <c r="F806"/>
      <c r="G806"/>
      <c r="H806"/>
      <c r="I806"/>
      <c r="J806"/>
      <c r="K806"/>
      <c r="L806"/>
      <c r="M806"/>
      <c r="N806"/>
      <c r="O806"/>
      <c r="P806"/>
    </row>
    <row r="807" spans="1:16">
      <c r="A807"/>
      <c r="B807"/>
      <c r="C807"/>
      <c r="D807"/>
      <c r="E807"/>
      <c r="F807"/>
      <c r="G807"/>
      <c r="H807"/>
      <c r="I807"/>
      <c r="J807"/>
      <c r="K807"/>
      <c r="L807"/>
      <c r="M807"/>
      <c r="N807"/>
      <c r="O807"/>
      <c r="P807"/>
    </row>
    <row r="808" spans="1:16">
      <c r="A808"/>
      <c r="B808"/>
      <c r="C808"/>
      <c r="D808"/>
      <c r="E808"/>
      <c r="F808"/>
      <c r="G808"/>
      <c r="H808"/>
      <c r="I808"/>
      <c r="J808"/>
      <c r="K808"/>
      <c r="L808"/>
      <c r="M808"/>
      <c r="N808"/>
      <c r="O808"/>
      <c r="P808"/>
    </row>
    <row r="809" spans="1:16">
      <c r="A809"/>
      <c r="B809"/>
      <c r="C809"/>
      <c r="D809"/>
      <c r="E809"/>
      <c r="F809"/>
      <c r="G809"/>
      <c r="H809"/>
      <c r="I809"/>
      <c r="J809"/>
      <c r="K809"/>
      <c r="L809"/>
      <c r="M809"/>
      <c r="N809"/>
      <c r="O809"/>
      <c r="P809"/>
    </row>
    <row r="810" spans="1:16">
      <c r="A810"/>
      <c r="B810"/>
      <c r="C810"/>
      <c r="D810"/>
      <c r="E810"/>
      <c r="F810"/>
      <c r="G810"/>
      <c r="H810"/>
      <c r="I810"/>
      <c r="J810"/>
      <c r="K810"/>
      <c r="L810"/>
      <c r="M810"/>
      <c r="N810"/>
      <c r="O810"/>
      <c r="P810"/>
    </row>
    <row r="811" spans="1:16">
      <c r="A811"/>
      <c r="B811"/>
      <c r="C811"/>
      <c r="D811"/>
      <c r="E811"/>
      <c r="F811"/>
      <c r="G811"/>
      <c r="H811"/>
      <c r="I811"/>
      <c r="J811"/>
      <c r="K811"/>
      <c r="L811"/>
      <c r="M811"/>
      <c r="N811"/>
      <c r="O811"/>
      <c r="P811"/>
    </row>
    <row r="812" spans="1:16">
      <c r="A812"/>
      <c r="B812"/>
      <c r="C812"/>
      <c r="D812"/>
      <c r="E812"/>
      <c r="F812"/>
      <c r="G812"/>
      <c r="H812"/>
      <c r="I812"/>
      <c r="J812"/>
      <c r="K812"/>
      <c r="L812"/>
      <c r="M812"/>
      <c r="N812"/>
      <c r="O812"/>
      <c r="P812"/>
    </row>
    <row r="813" spans="1:16">
      <c r="A813"/>
      <c r="B813"/>
      <c r="C813"/>
      <c r="D813"/>
      <c r="E813"/>
      <c r="F813"/>
      <c r="G813"/>
      <c r="H813"/>
      <c r="I813"/>
      <c r="J813"/>
      <c r="K813"/>
      <c r="L813"/>
      <c r="M813"/>
      <c r="N813"/>
      <c r="O813"/>
      <c r="P813"/>
    </row>
    <row r="814" spans="1:16">
      <c r="A814"/>
      <c r="B814"/>
      <c r="C814"/>
      <c r="D814"/>
      <c r="E814"/>
      <c r="F814"/>
      <c r="G814"/>
      <c r="H814"/>
      <c r="I814"/>
      <c r="J814"/>
      <c r="K814"/>
      <c r="L814"/>
      <c r="M814"/>
      <c r="N814"/>
      <c r="O814"/>
      <c r="P814"/>
    </row>
    <row r="815" spans="1:16">
      <c r="A815"/>
      <c r="B815"/>
      <c r="C815"/>
      <c r="D815"/>
      <c r="E815"/>
      <c r="F815"/>
      <c r="G815"/>
      <c r="H815"/>
      <c r="I815"/>
      <c r="J815"/>
      <c r="K815"/>
      <c r="L815"/>
      <c r="M815"/>
      <c r="N815"/>
      <c r="O815"/>
      <c r="P815"/>
    </row>
    <row r="816" spans="1:16">
      <c r="A816"/>
      <c r="B816"/>
      <c r="C816"/>
      <c r="D816"/>
      <c r="E816"/>
      <c r="F816"/>
      <c r="G816"/>
      <c r="H816"/>
      <c r="I816"/>
      <c r="J816"/>
      <c r="K816"/>
      <c r="L816"/>
      <c r="M816"/>
      <c r="N816"/>
      <c r="O816"/>
      <c r="P816"/>
    </row>
    <row r="817" spans="1:16">
      <c r="A817"/>
      <c r="B817"/>
      <c r="C817"/>
      <c r="D817"/>
      <c r="E817"/>
      <c r="F817"/>
      <c r="G817"/>
      <c r="H817"/>
      <c r="I817"/>
      <c r="J817"/>
      <c r="K817"/>
      <c r="L817"/>
      <c r="M817"/>
      <c r="N817"/>
      <c r="O817"/>
      <c r="P817"/>
    </row>
    <row r="818" spans="1:16">
      <c r="A818"/>
      <c r="B818"/>
      <c r="C818"/>
      <c r="D818"/>
      <c r="E818"/>
      <c r="F818"/>
      <c r="G818"/>
      <c r="H818"/>
      <c r="I818"/>
      <c r="J818"/>
      <c r="K818"/>
      <c r="L818"/>
      <c r="M818"/>
      <c r="N818"/>
      <c r="O818"/>
      <c r="P818"/>
    </row>
    <row r="819" spans="1:16">
      <c r="A819"/>
      <c r="B819"/>
      <c r="C819"/>
      <c r="D819"/>
      <c r="E819"/>
      <c r="F819"/>
      <c r="G819"/>
      <c r="H819"/>
      <c r="I819"/>
      <c r="J819"/>
      <c r="K819"/>
      <c r="L819"/>
      <c r="M819"/>
      <c r="N819"/>
      <c r="O819"/>
      <c r="P819"/>
    </row>
    <row r="820" spans="1:16">
      <c r="A820"/>
      <c r="B820"/>
      <c r="C820"/>
      <c r="D820"/>
      <c r="E820"/>
      <c r="F820"/>
      <c r="G820"/>
      <c r="H820"/>
      <c r="I820"/>
      <c r="J820"/>
      <c r="K820"/>
      <c r="L820"/>
      <c r="M820"/>
      <c r="N820"/>
      <c r="O820"/>
      <c r="P820"/>
    </row>
    <row r="821" spans="1:16">
      <c r="A821"/>
      <c r="B821"/>
      <c r="C821"/>
      <c r="D821"/>
      <c r="E821"/>
      <c r="F821"/>
      <c r="G821"/>
      <c r="H821"/>
      <c r="I821"/>
      <c r="J821"/>
      <c r="K821"/>
      <c r="L821"/>
      <c r="M821"/>
      <c r="N821"/>
      <c r="O821"/>
      <c r="P821"/>
    </row>
    <row r="822" spans="1:16">
      <c r="A822"/>
      <c r="B822"/>
      <c r="C822"/>
      <c r="D822"/>
      <c r="E822"/>
      <c r="F822"/>
      <c r="G822"/>
      <c r="H822"/>
      <c r="I822"/>
      <c r="J822"/>
      <c r="K822"/>
      <c r="L822"/>
      <c r="M822"/>
      <c r="N822"/>
      <c r="O822"/>
      <c r="P822"/>
    </row>
    <row r="823" spans="1:16">
      <c r="A823"/>
      <c r="B823"/>
      <c r="C823"/>
      <c r="D823"/>
      <c r="E823"/>
      <c r="F823"/>
      <c r="G823"/>
      <c r="H823"/>
      <c r="I823"/>
      <c r="J823"/>
      <c r="K823"/>
      <c r="L823"/>
      <c r="M823"/>
      <c r="N823"/>
      <c r="O823"/>
      <c r="P823"/>
    </row>
    <row r="824" spans="1:16">
      <c r="A824"/>
      <c r="B824"/>
      <c r="C824"/>
      <c r="D824"/>
      <c r="E824"/>
      <c r="F824"/>
      <c r="G824"/>
      <c r="H824"/>
      <c r="I824"/>
      <c r="J824"/>
      <c r="K824"/>
      <c r="L824"/>
      <c r="M824"/>
      <c r="N824"/>
      <c r="O824"/>
      <c r="P824"/>
    </row>
    <row r="825" spans="1:16">
      <c r="A825"/>
      <c r="B825"/>
      <c r="C825"/>
      <c r="D825"/>
      <c r="E825"/>
      <c r="F825"/>
      <c r="G825"/>
      <c r="H825"/>
      <c r="I825"/>
      <c r="J825"/>
      <c r="K825"/>
      <c r="L825"/>
      <c r="M825"/>
      <c r="N825"/>
      <c r="O825"/>
      <c r="P825"/>
    </row>
    <row r="826" spans="1:16">
      <c r="A826"/>
      <c r="B826"/>
      <c r="C826"/>
      <c r="D826"/>
      <c r="E826"/>
      <c r="F826"/>
      <c r="G826"/>
      <c r="H826"/>
      <c r="I826"/>
      <c r="J826"/>
      <c r="K826"/>
      <c r="L826"/>
      <c r="M826"/>
      <c r="N826"/>
      <c r="O826"/>
      <c r="P826"/>
    </row>
    <row r="827" spans="1:16">
      <c r="A827"/>
      <c r="B827"/>
      <c r="C827"/>
      <c r="D827"/>
      <c r="E827"/>
      <c r="F827"/>
      <c r="G827"/>
      <c r="H827"/>
      <c r="I827"/>
      <c r="J827"/>
      <c r="K827"/>
      <c r="L827"/>
      <c r="M827"/>
      <c r="N827"/>
      <c r="O827"/>
      <c r="P827"/>
    </row>
    <row r="828" spans="1:16">
      <c r="A828"/>
      <c r="B828"/>
      <c r="C828"/>
      <c r="D828"/>
      <c r="E828"/>
      <c r="F828"/>
      <c r="G828"/>
      <c r="H828"/>
      <c r="I828"/>
      <c r="J828"/>
      <c r="K828"/>
      <c r="L828"/>
      <c r="M828"/>
      <c r="N828"/>
      <c r="O828"/>
      <c r="P828"/>
    </row>
    <row r="829" spans="1:16">
      <c r="A829"/>
      <c r="B829"/>
      <c r="C829"/>
      <c r="D829"/>
      <c r="E829"/>
      <c r="F829"/>
      <c r="G829"/>
      <c r="H829"/>
      <c r="I829"/>
      <c r="J829"/>
      <c r="K829"/>
      <c r="L829"/>
      <c r="M829"/>
      <c r="N829"/>
      <c r="O829"/>
      <c r="P829"/>
    </row>
    <row r="830" spans="1:16">
      <c r="A830"/>
      <c r="B830"/>
      <c r="C830"/>
      <c r="D830"/>
      <c r="E830"/>
      <c r="F830"/>
      <c r="G830"/>
      <c r="H830"/>
      <c r="I830"/>
      <c r="J830"/>
      <c r="K830"/>
      <c r="L830"/>
      <c r="M830"/>
      <c r="N830"/>
      <c r="O830"/>
      <c r="P830"/>
    </row>
    <row r="831" spans="1:16">
      <c r="A831"/>
      <c r="B831"/>
      <c r="C831"/>
      <c r="D831"/>
      <c r="E831"/>
      <c r="F831"/>
      <c r="G831"/>
      <c r="H831"/>
      <c r="I831"/>
      <c r="J831"/>
      <c r="K831"/>
      <c r="L831"/>
      <c r="M831"/>
      <c r="N831"/>
      <c r="O831"/>
      <c r="P831"/>
    </row>
    <row r="832" spans="1:16">
      <c r="A832"/>
      <c r="B832"/>
      <c r="C832"/>
      <c r="D832"/>
      <c r="E832"/>
      <c r="F832"/>
      <c r="G832"/>
      <c r="H832"/>
      <c r="I832"/>
      <c r="J832"/>
      <c r="K832"/>
      <c r="L832"/>
      <c r="M832"/>
      <c r="N832"/>
      <c r="O832"/>
      <c r="P832"/>
    </row>
    <row r="833" spans="1:16">
      <c r="A833"/>
      <c r="B833"/>
      <c r="C833"/>
      <c r="D833"/>
      <c r="E833"/>
      <c r="F833"/>
      <c r="G833"/>
      <c r="H833"/>
      <c r="I833"/>
      <c r="J833"/>
      <c r="K833"/>
      <c r="L833"/>
      <c r="M833"/>
      <c r="N833"/>
      <c r="O833"/>
      <c r="P833"/>
    </row>
    <row r="834" spans="1:16">
      <c r="A834"/>
      <c r="B834"/>
      <c r="C834"/>
      <c r="D834"/>
      <c r="E834"/>
      <c r="F834"/>
      <c r="G834"/>
      <c r="H834"/>
      <c r="I834"/>
      <c r="J834"/>
      <c r="K834"/>
      <c r="L834"/>
      <c r="M834"/>
      <c r="N834"/>
      <c r="O834"/>
      <c r="P834"/>
    </row>
    <row r="835" spans="1:16">
      <c r="A835"/>
      <c r="B835"/>
      <c r="C835"/>
      <c r="D835"/>
      <c r="E835"/>
      <c r="F835"/>
      <c r="G835"/>
      <c r="H835"/>
      <c r="I835"/>
      <c r="J835"/>
      <c r="K835"/>
      <c r="L835"/>
      <c r="M835"/>
      <c r="N835"/>
      <c r="O835"/>
      <c r="P835"/>
    </row>
    <row r="836" spans="1:16">
      <c r="A836"/>
      <c r="B836"/>
      <c r="C836"/>
      <c r="D836"/>
      <c r="E836"/>
      <c r="F836"/>
      <c r="G836"/>
      <c r="H836"/>
      <c r="I836"/>
      <c r="J836"/>
      <c r="K836"/>
      <c r="L836"/>
      <c r="M836"/>
      <c r="N836"/>
      <c r="O836"/>
      <c r="P836"/>
    </row>
    <row r="837" spans="1:16">
      <c r="A837"/>
      <c r="B837"/>
      <c r="C837"/>
      <c r="D837"/>
      <c r="E837"/>
      <c r="F837"/>
      <c r="G837"/>
      <c r="H837"/>
      <c r="I837"/>
      <c r="J837"/>
      <c r="K837"/>
      <c r="L837"/>
      <c r="M837"/>
      <c r="N837"/>
      <c r="O837"/>
      <c r="P837"/>
    </row>
    <row r="838" spans="1:16">
      <c r="A838"/>
      <c r="B838"/>
      <c r="C838"/>
      <c r="D838"/>
      <c r="E838"/>
      <c r="F838"/>
      <c r="G838"/>
      <c r="H838"/>
      <c r="I838"/>
      <c r="J838"/>
      <c r="K838"/>
      <c r="L838"/>
      <c r="M838"/>
      <c r="N838"/>
      <c r="O838"/>
      <c r="P838"/>
    </row>
    <row r="839" spans="1:16">
      <c r="A839"/>
      <c r="B839"/>
      <c r="C839"/>
      <c r="D839"/>
      <c r="E839"/>
      <c r="F839"/>
      <c r="G839"/>
      <c r="H839"/>
      <c r="I839"/>
      <c r="J839"/>
      <c r="K839"/>
      <c r="L839"/>
      <c r="M839"/>
      <c r="N839"/>
      <c r="O839"/>
      <c r="P839"/>
    </row>
    <row r="840" spans="1:16">
      <c r="A840"/>
      <c r="B840"/>
      <c r="C840"/>
      <c r="D840"/>
      <c r="E840"/>
      <c r="F840"/>
      <c r="G840"/>
      <c r="H840"/>
      <c r="I840"/>
      <c r="J840"/>
      <c r="K840"/>
      <c r="L840"/>
      <c r="M840"/>
      <c r="N840"/>
      <c r="O840"/>
      <c r="P840"/>
    </row>
    <row r="841" spans="1:16">
      <c r="A841"/>
      <c r="B841"/>
      <c r="C841"/>
      <c r="D841"/>
      <c r="E841"/>
      <c r="F841"/>
      <c r="G841"/>
      <c r="H841"/>
      <c r="I841"/>
      <c r="J841"/>
      <c r="K841"/>
      <c r="L841"/>
      <c r="M841"/>
      <c r="N841"/>
      <c r="O841"/>
      <c r="P841"/>
    </row>
    <row r="842" spans="1:16">
      <c r="A842"/>
      <c r="B842"/>
      <c r="C842"/>
      <c r="D842"/>
      <c r="E842"/>
      <c r="F842"/>
      <c r="G842"/>
      <c r="H842"/>
      <c r="I842"/>
      <c r="J842"/>
      <c r="K842"/>
      <c r="L842"/>
      <c r="M842"/>
      <c r="N842"/>
      <c r="O842"/>
      <c r="P842"/>
    </row>
    <row r="843" spans="1:16">
      <c r="A843"/>
      <c r="B843"/>
      <c r="C843"/>
      <c r="D843"/>
      <c r="E843"/>
      <c r="F843"/>
      <c r="G843"/>
      <c r="H843"/>
      <c r="I843"/>
      <c r="J843"/>
      <c r="K843"/>
      <c r="L843"/>
      <c r="M843"/>
      <c r="N843"/>
      <c r="O843"/>
      <c r="P843"/>
    </row>
    <row r="844" spans="1:16">
      <c r="A844"/>
      <c r="B844"/>
      <c r="C844"/>
      <c r="D844"/>
      <c r="E844"/>
      <c r="F844"/>
      <c r="G844"/>
      <c r="H844"/>
      <c r="I844"/>
      <c r="J844"/>
      <c r="K844"/>
      <c r="L844"/>
      <c r="M844"/>
      <c r="N844"/>
      <c r="O844"/>
      <c r="P844"/>
    </row>
    <row r="845" spans="1:16">
      <c r="A845"/>
      <c r="B845"/>
      <c r="C845"/>
      <c r="D845"/>
      <c r="E845"/>
      <c r="F845"/>
      <c r="G845"/>
      <c r="H845"/>
      <c r="I845"/>
      <c r="J845"/>
      <c r="K845"/>
      <c r="L845"/>
      <c r="M845"/>
      <c r="N845"/>
      <c r="O845"/>
      <c r="P845"/>
    </row>
    <row r="846" spans="1:16">
      <c r="A846"/>
      <c r="B846"/>
      <c r="C846"/>
      <c r="D846"/>
      <c r="E846"/>
      <c r="F846"/>
      <c r="G846"/>
      <c r="H846"/>
      <c r="I846"/>
      <c r="J846"/>
      <c r="K846"/>
      <c r="L846"/>
      <c r="M846"/>
      <c r="N846"/>
      <c r="O846"/>
      <c r="P846"/>
    </row>
    <row r="847" spans="1:16">
      <c r="A847"/>
      <c r="B847"/>
      <c r="C847"/>
      <c r="D847"/>
      <c r="E847"/>
      <c r="F847"/>
      <c r="G847"/>
      <c r="H847"/>
      <c r="I847"/>
      <c r="J847"/>
      <c r="K847"/>
      <c r="L847"/>
      <c r="M847"/>
      <c r="N847"/>
      <c r="O847"/>
      <c r="P847"/>
    </row>
    <row r="848" spans="1:16">
      <c r="A848"/>
      <c r="B848"/>
      <c r="C848"/>
      <c r="D848"/>
      <c r="E848"/>
      <c r="F848"/>
      <c r="G848"/>
      <c r="H848"/>
      <c r="I848"/>
      <c r="J848"/>
      <c r="K848"/>
      <c r="L848"/>
      <c r="M848"/>
      <c r="N848"/>
      <c r="O848"/>
      <c r="P848"/>
    </row>
    <row r="849" spans="1:16">
      <c r="A849"/>
      <c r="B849"/>
      <c r="C849"/>
      <c r="D849"/>
      <c r="E849"/>
      <c r="F849"/>
      <c r="G849"/>
      <c r="H849"/>
      <c r="I849"/>
      <c r="J849"/>
      <c r="K849"/>
      <c r="L849"/>
      <c r="M849"/>
      <c r="N849"/>
      <c r="O849"/>
      <c r="P849"/>
    </row>
    <row r="850" spans="1:16">
      <c r="A850"/>
      <c r="B850"/>
      <c r="C850"/>
      <c r="D850"/>
      <c r="E850"/>
      <c r="F850"/>
      <c r="G850"/>
      <c r="H850"/>
      <c r="I850"/>
      <c r="J850"/>
      <c r="K850"/>
      <c r="L850"/>
      <c r="M850"/>
      <c r="N850"/>
      <c r="O850"/>
      <c r="P850"/>
    </row>
    <row r="851" spans="1:16">
      <c r="A851"/>
      <c r="B851"/>
      <c r="C851"/>
      <c r="D851"/>
      <c r="E851"/>
      <c r="F851"/>
      <c r="G851"/>
      <c r="H851"/>
      <c r="I851"/>
      <c r="J851"/>
      <c r="K851"/>
      <c r="L851"/>
      <c r="M851"/>
      <c r="N851"/>
      <c r="O851"/>
      <c r="P851"/>
    </row>
    <row r="852" spans="1:16">
      <c r="A852"/>
      <c r="B852"/>
      <c r="C852"/>
      <c r="D852"/>
      <c r="E852"/>
      <c r="F852"/>
      <c r="G852"/>
      <c r="H852"/>
      <c r="I852"/>
      <c r="J852"/>
      <c r="K852"/>
      <c r="L852"/>
      <c r="M852"/>
      <c r="N852"/>
      <c r="O852"/>
      <c r="P852"/>
    </row>
    <row r="853" spans="1:16">
      <c r="A853"/>
      <c r="B853"/>
      <c r="C853"/>
      <c r="D853"/>
      <c r="E853"/>
      <c r="F853"/>
      <c r="G853"/>
      <c r="H853"/>
      <c r="I853"/>
      <c r="J853"/>
      <c r="K853"/>
      <c r="L853"/>
      <c r="M853"/>
      <c r="N853"/>
      <c r="O853"/>
      <c r="P853"/>
    </row>
    <row r="854" spans="1:16">
      <c r="A854"/>
      <c r="B854"/>
      <c r="C854"/>
      <c r="D854"/>
      <c r="E854"/>
      <c r="F854"/>
      <c r="G854"/>
      <c r="H854"/>
      <c r="I854"/>
      <c r="J854"/>
      <c r="K854"/>
      <c r="L854"/>
      <c r="M854"/>
      <c r="N854"/>
      <c r="O854"/>
      <c r="P854"/>
    </row>
    <row r="855" spans="1:16">
      <c r="A855"/>
      <c r="B855"/>
      <c r="C855"/>
      <c r="D855"/>
      <c r="E855"/>
      <c r="F855"/>
      <c r="G855"/>
      <c r="H855"/>
      <c r="I855"/>
      <c r="J855"/>
      <c r="K855"/>
      <c r="L855"/>
      <c r="M855"/>
      <c r="N855"/>
      <c r="O855"/>
      <c r="P855"/>
    </row>
    <row r="856" spans="1:16">
      <c r="A856"/>
      <c r="B856"/>
      <c r="C856"/>
      <c r="D856"/>
      <c r="E856"/>
      <c r="F856"/>
      <c r="G856"/>
      <c r="H856"/>
      <c r="I856"/>
      <c r="J856"/>
      <c r="K856"/>
      <c r="L856"/>
      <c r="M856"/>
      <c r="N856"/>
      <c r="O856"/>
      <c r="P856"/>
    </row>
    <row r="857" spans="1:16">
      <c r="A857"/>
      <c r="B857"/>
      <c r="C857"/>
      <c r="D857"/>
      <c r="E857"/>
      <c r="F857"/>
      <c r="G857"/>
      <c r="H857"/>
      <c r="I857"/>
      <c r="J857"/>
      <c r="K857"/>
      <c r="L857"/>
      <c r="M857"/>
      <c r="N857"/>
      <c r="O857"/>
      <c r="P857"/>
    </row>
    <row r="858" spans="1:16">
      <c r="A858"/>
      <c r="B858"/>
      <c r="C858"/>
      <c r="D858"/>
      <c r="E858"/>
      <c r="F858"/>
      <c r="G858"/>
      <c r="H858"/>
      <c r="I858"/>
      <c r="J858"/>
      <c r="K858"/>
      <c r="L858"/>
      <c r="M858"/>
      <c r="N858"/>
      <c r="O858"/>
      <c r="P858"/>
    </row>
    <row r="859" spans="1:16">
      <c r="A859"/>
      <c r="B859"/>
      <c r="C859"/>
      <c r="D859"/>
      <c r="E859"/>
      <c r="F859"/>
      <c r="G859"/>
      <c r="H859"/>
      <c r="I859"/>
      <c r="J859"/>
      <c r="K859"/>
      <c r="L859"/>
      <c r="M859"/>
      <c r="N859"/>
      <c r="O859"/>
      <c r="P859"/>
    </row>
    <row r="860" spans="1:16">
      <c r="A860"/>
      <c r="B860"/>
      <c r="C860"/>
      <c r="D860"/>
      <c r="E860"/>
      <c r="F860"/>
      <c r="G860"/>
      <c r="H860"/>
      <c r="I860"/>
      <c r="J860"/>
      <c r="K860"/>
      <c r="L860"/>
      <c r="M860"/>
      <c r="N860"/>
      <c r="O860"/>
      <c r="P860"/>
    </row>
    <row r="861" spans="1:16">
      <c r="A861"/>
      <c r="B861"/>
      <c r="C861"/>
      <c r="D861"/>
      <c r="E861"/>
      <c r="F861"/>
      <c r="G861"/>
      <c r="H861"/>
      <c r="I861"/>
      <c r="J861"/>
      <c r="K861"/>
      <c r="L861"/>
      <c r="M861"/>
      <c r="N861"/>
      <c r="O861"/>
      <c r="P861"/>
    </row>
    <row r="862" spans="1:16">
      <c r="A862"/>
      <c r="B862"/>
      <c r="C862"/>
      <c r="D862"/>
      <c r="E862"/>
      <c r="F862"/>
      <c r="G862"/>
      <c r="H862"/>
      <c r="I862"/>
      <c r="J862"/>
      <c r="K862"/>
      <c r="L862"/>
      <c r="M862"/>
      <c r="N862"/>
      <c r="O862"/>
      <c r="P862"/>
    </row>
    <row r="863" spans="1:16">
      <c r="A863"/>
      <c r="B863"/>
      <c r="C863"/>
      <c r="D863"/>
      <c r="E863"/>
      <c r="F863"/>
      <c r="G863"/>
      <c r="H863"/>
      <c r="I863"/>
      <c r="J863"/>
      <c r="K863"/>
      <c r="L863"/>
      <c r="M863"/>
      <c r="N863"/>
      <c r="O863"/>
      <c r="P863"/>
    </row>
    <row r="864" spans="1:16">
      <c r="A864"/>
      <c r="B864"/>
      <c r="C864"/>
      <c r="D864"/>
      <c r="E864"/>
      <c r="F864"/>
      <c r="G864"/>
      <c r="H864"/>
      <c r="I864"/>
      <c r="J864"/>
      <c r="K864"/>
      <c r="L864"/>
      <c r="M864"/>
      <c r="N864"/>
      <c r="O864"/>
      <c r="P864"/>
    </row>
    <row r="865" spans="1:16">
      <c r="A865"/>
      <c r="B865"/>
      <c r="C865"/>
      <c r="D865"/>
      <c r="E865"/>
      <c r="F865"/>
      <c r="G865"/>
      <c r="H865"/>
      <c r="I865"/>
      <c r="J865"/>
      <c r="K865"/>
      <c r="L865"/>
      <c r="M865"/>
      <c r="N865"/>
      <c r="O865"/>
      <c r="P865"/>
    </row>
    <row r="866" spans="1:16">
      <c r="A866"/>
      <c r="B866"/>
      <c r="C866"/>
      <c r="D866"/>
      <c r="E866"/>
      <c r="F866"/>
      <c r="G866"/>
      <c r="H866"/>
      <c r="I866"/>
      <c r="J866"/>
      <c r="K866"/>
      <c r="L866"/>
      <c r="M866"/>
      <c r="N866"/>
      <c r="O866"/>
      <c r="P866"/>
    </row>
    <row r="867" spans="1:16">
      <c r="A867"/>
      <c r="B867"/>
      <c r="C867"/>
      <c r="D867"/>
      <c r="E867"/>
      <c r="F867"/>
      <c r="G867"/>
      <c r="H867"/>
      <c r="I867"/>
      <c r="J867"/>
      <c r="K867"/>
      <c r="L867"/>
      <c r="M867"/>
      <c r="N867"/>
      <c r="O867"/>
      <c r="P867"/>
    </row>
    <row r="868" spans="1:16">
      <c r="A868"/>
      <c r="B868"/>
      <c r="C868"/>
      <c r="D868"/>
      <c r="E868"/>
      <c r="F868"/>
      <c r="G868"/>
      <c r="H868"/>
      <c r="I868"/>
      <c r="J868"/>
      <c r="K868"/>
      <c r="L868"/>
      <c r="M868"/>
      <c r="N868"/>
      <c r="O868"/>
      <c r="P868"/>
    </row>
    <row r="869" spans="1:16">
      <c r="A869"/>
      <c r="B869"/>
      <c r="C869"/>
      <c r="D869"/>
      <c r="E869"/>
      <c r="F869"/>
      <c r="G869"/>
      <c r="H869"/>
      <c r="I869"/>
      <c r="J869"/>
      <c r="K869"/>
      <c r="L869"/>
      <c r="M869"/>
      <c r="N869"/>
      <c r="O869"/>
      <c r="P869"/>
    </row>
    <row r="870" spans="1:16">
      <c r="A870"/>
      <c r="B870"/>
      <c r="C870"/>
      <c r="D870"/>
      <c r="E870"/>
      <c r="F870"/>
      <c r="G870"/>
      <c r="H870"/>
      <c r="I870"/>
      <c r="J870"/>
      <c r="K870"/>
      <c r="L870"/>
      <c r="M870"/>
      <c r="N870"/>
      <c r="O870"/>
      <c r="P870"/>
    </row>
    <row r="871" spans="1:16">
      <c r="A871"/>
      <c r="B871"/>
      <c r="C871"/>
      <c r="D871"/>
      <c r="E871"/>
      <c r="F871"/>
      <c r="G871"/>
      <c r="H871"/>
      <c r="I871"/>
      <c r="J871"/>
      <c r="K871"/>
      <c r="L871"/>
      <c r="M871"/>
      <c r="N871"/>
      <c r="O871"/>
      <c r="P871"/>
    </row>
    <row r="872" spans="1:16">
      <c r="A872"/>
      <c r="B872"/>
      <c r="C872"/>
      <c r="D872"/>
      <c r="E872"/>
      <c r="F872"/>
      <c r="G872"/>
      <c r="H872"/>
      <c r="I872"/>
      <c r="J872"/>
      <c r="K872"/>
      <c r="L872"/>
      <c r="M872"/>
      <c r="N872"/>
      <c r="O872"/>
      <c r="P872"/>
    </row>
    <row r="873" spans="1:16">
      <c r="A873"/>
      <c r="B873"/>
      <c r="C873"/>
      <c r="D873"/>
      <c r="E873"/>
      <c r="F873"/>
      <c r="G873"/>
      <c r="H873"/>
      <c r="I873"/>
      <c r="J873"/>
      <c r="K873"/>
      <c r="L873"/>
      <c r="M873"/>
      <c r="N873"/>
      <c r="O873"/>
      <c r="P873"/>
    </row>
    <row r="874" spans="1:16">
      <c r="A874"/>
      <c r="B874"/>
      <c r="C874"/>
      <c r="D874"/>
      <c r="E874"/>
      <c r="F874"/>
      <c r="G874"/>
      <c r="H874"/>
      <c r="I874"/>
      <c r="J874"/>
      <c r="K874"/>
      <c r="L874"/>
      <c r="M874"/>
      <c r="N874"/>
      <c r="O874"/>
      <c r="P874"/>
    </row>
    <row r="875" spans="1:16">
      <c r="A875"/>
      <c r="B875"/>
      <c r="C875"/>
      <c r="D875"/>
      <c r="E875"/>
      <c r="F875"/>
      <c r="G875"/>
      <c r="H875"/>
      <c r="I875"/>
      <c r="J875"/>
      <c r="K875"/>
      <c r="L875"/>
      <c r="M875"/>
      <c r="N875"/>
      <c r="O875"/>
      <c r="P875"/>
    </row>
    <row r="876" spans="1:16">
      <c r="A876"/>
      <c r="B876"/>
      <c r="C876"/>
      <c r="D876"/>
      <c r="E876"/>
      <c r="F876"/>
      <c r="G876"/>
      <c r="H876"/>
      <c r="I876"/>
      <c r="J876"/>
      <c r="K876"/>
      <c r="L876"/>
      <c r="M876"/>
      <c r="N876"/>
      <c r="O876"/>
      <c r="P876"/>
    </row>
    <row r="877" spans="1:16">
      <c r="A877"/>
      <c r="B877"/>
      <c r="C877"/>
      <c r="D877"/>
      <c r="E877"/>
      <c r="F877"/>
      <c r="G877"/>
      <c r="H877"/>
      <c r="I877"/>
      <c r="J877"/>
      <c r="K877"/>
      <c r="L877"/>
      <c r="M877"/>
      <c r="N877"/>
      <c r="O877"/>
      <c r="P877"/>
    </row>
    <row r="878" spans="1:16">
      <c r="A878"/>
      <c r="B878"/>
      <c r="C878"/>
      <c r="D878"/>
      <c r="E878"/>
      <c r="F878"/>
      <c r="G878"/>
      <c r="H878"/>
      <c r="I878"/>
      <c r="J878"/>
      <c r="K878"/>
      <c r="L878"/>
      <c r="M878"/>
      <c r="N878"/>
      <c r="O878"/>
      <c r="P878"/>
    </row>
    <row r="879" spans="1:16">
      <c r="A879"/>
      <c r="B879"/>
      <c r="C879"/>
      <c r="D879"/>
      <c r="E879"/>
      <c r="F879"/>
      <c r="G879"/>
      <c r="H879"/>
      <c r="I879"/>
      <c r="J879"/>
      <c r="K879"/>
      <c r="L879"/>
      <c r="M879"/>
      <c r="N879"/>
      <c r="O879"/>
      <c r="P879"/>
    </row>
    <row r="880" spans="1:16">
      <c r="A880"/>
      <c r="B880"/>
      <c r="C880"/>
      <c r="D880"/>
      <c r="E880"/>
      <c r="F880"/>
      <c r="G880"/>
      <c r="H880"/>
      <c r="I880"/>
      <c r="J880"/>
      <c r="K880"/>
      <c r="L880"/>
      <c r="M880"/>
      <c r="N880"/>
      <c r="O880"/>
      <c r="P880"/>
    </row>
    <row r="881" spans="1:16">
      <c r="A881"/>
      <c r="B881"/>
      <c r="C881"/>
      <c r="D881"/>
      <c r="E881"/>
      <c r="F881"/>
      <c r="G881"/>
      <c r="H881"/>
      <c r="I881"/>
      <c r="J881"/>
      <c r="K881"/>
      <c r="L881"/>
      <c r="M881"/>
      <c r="N881"/>
      <c r="O881"/>
      <c r="P881"/>
    </row>
    <row r="882" spans="1:16">
      <c r="A882"/>
      <c r="B882"/>
      <c r="C882"/>
      <c r="D882"/>
      <c r="E882"/>
      <c r="F882"/>
      <c r="G882"/>
      <c r="H882"/>
      <c r="I882"/>
      <c r="J882"/>
      <c r="K882"/>
      <c r="L882"/>
      <c r="M882"/>
      <c r="N882"/>
      <c r="O882"/>
      <c r="P882"/>
    </row>
    <row r="883" spans="1:16">
      <c r="A883"/>
      <c r="B883"/>
      <c r="C883"/>
      <c r="D883"/>
      <c r="E883"/>
      <c r="F883"/>
      <c r="G883"/>
      <c r="H883"/>
      <c r="I883"/>
      <c r="J883"/>
      <c r="K883"/>
      <c r="L883"/>
      <c r="M883"/>
      <c r="N883"/>
      <c r="O883"/>
      <c r="P883"/>
    </row>
    <row r="884" spans="1:16">
      <c r="A884"/>
      <c r="B884"/>
      <c r="C884"/>
      <c r="D884"/>
      <c r="E884"/>
      <c r="F884"/>
      <c r="G884"/>
      <c r="H884"/>
      <c r="I884"/>
      <c r="J884"/>
      <c r="K884"/>
      <c r="L884"/>
      <c r="M884"/>
      <c r="N884"/>
      <c r="O884"/>
      <c r="P884"/>
    </row>
    <row r="885" spans="1:16">
      <c r="A885"/>
      <c r="B885"/>
      <c r="C885"/>
      <c r="D885"/>
      <c r="E885"/>
      <c r="F885"/>
      <c r="G885"/>
      <c r="H885"/>
      <c r="I885"/>
      <c r="J885"/>
      <c r="K885"/>
      <c r="L885"/>
      <c r="M885"/>
      <c r="N885"/>
      <c r="O885"/>
      <c r="P885"/>
    </row>
    <row r="886" spans="1:16">
      <c r="A886"/>
      <c r="B886"/>
      <c r="C886"/>
      <c r="D886"/>
      <c r="E886"/>
      <c r="F886"/>
      <c r="G886"/>
      <c r="H886"/>
      <c r="I886"/>
      <c r="J886"/>
      <c r="K886"/>
      <c r="L886"/>
      <c r="M886"/>
      <c r="N886"/>
      <c r="O886"/>
      <c r="P886"/>
    </row>
    <row r="887" spans="1:16">
      <c r="A887"/>
      <c r="B887"/>
      <c r="C887"/>
      <c r="D887"/>
      <c r="E887"/>
      <c r="F887"/>
      <c r="G887"/>
      <c r="H887"/>
      <c r="I887"/>
      <c r="J887"/>
      <c r="K887"/>
      <c r="L887"/>
      <c r="M887"/>
      <c r="N887"/>
      <c r="O887"/>
      <c r="P887"/>
    </row>
    <row r="888" spans="1:16">
      <c r="A888"/>
      <c r="B888"/>
      <c r="C888"/>
      <c r="D888"/>
      <c r="E888"/>
      <c r="F888"/>
      <c r="G888"/>
      <c r="H888"/>
      <c r="I888"/>
      <c r="J888"/>
      <c r="K888"/>
      <c r="L888"/>
      <c r="M888"/>
      <c r="N888"/>
      <c r="O888"/>
      <c r="P888"/>
    </row>
    <row r="889" spans="1:16">
      <c r="A889"/>
      <c r="B889"/>
      <c r="C889"/>
      <c r="D889"/>
      <c r="E889"/>
      <c r="F889"/>
      <c r="G889"/>
      <c r="H889"/>
      <c r="I889"/>
      <c r="J889"/>
      <c r="K889"/>
      <c r="L889"/>
      <c r="M889"/>
      <c r="N889"/>
      <c r="O889"/>
      <c r="P889"/>
    </row>
    <row r="890" spans="1:16">
      <c r="A890"/>
      <c r="B890"/>
      <c r="C890"/>
      <c r="D890"/>
      <c r="E890"/>
      <c r="F890"/>
      <c r="G890"/>
      <c r="H890"/>
      <c r="I890"/>
      <c r="J890"/>
      <c r="K890"/>
      <c r="L890"/>
      <c r="M890"/>
      <c r="N890"/>
      <c r="O890"/>
      <c r="P890"/>
    </row>
    <row r="891" spans="1:16">
      <c r="A891"/>
      <c r="B891"/>
      <c r="C891"/>
      <c r="D891"/>
      <c r="E891"/>
      <c r="F891"/>
      <c r="G891"/>
      <c r="H891"/>
      <c r="I891"/>
      <c r="J891"/>
      <c r="K891"/>
      <c r="L891"/>
      <c r="M891"/>
      <c r="N891"/>
      <c r="O891"/>
      <c r="P891"/>
    </row>
    <row r="892" spans="1:16">
      <c r="A892"/>
      <c r="B892"/>
      <c r="C892"/>
      <c r="D892"/>
      <c r="E892"/>
      <c r="F892"/>
      <c r="G892"/>
      <c r="H892"/>
      <c r="I892"/>
      <c r="J892"/>
      <c r="K892"/>
      <c r="L892"/>
      <c r="M892"/>
      <c r="N892"/>
      <c r="O892"/>
      <c r="P892"/>
    </row>
    <row r="893" spans="1:16">
      <c r="A893"/>
      <c r="B893"/>
      <c r="C893"/>
      <c r="D893"/>
      <c r="E893"/>
      <c r="F893"/>
      <c r="G893"/>
      <c r="H893"/>
      <c r="I893"/>
      <c r="J893"/>
      <c r="K893"/>
      <c r="L893"/>
      <c r="M893"/>
      <c r="N893"/>
      <c r="O893"/>
      <c r="P893"/>
    </row>
    <row r="894" spans="1:16">
      <c r="A894"/>
      <c r="B894"/>
      <c r="C894"/>
      <c r="D894"/>
      <c r="E894"/>
      <c r="F894"/>
      <c r="G894"/>
      <c r="H894"/>
      <c r="I894"/>
      <c r="J894"/>
      <c r="K894"/>
      <c r="L894"/>
      <c r="M894"/>
      <c r="N894"/>
      <c r="O894"/>
      <c r="P894"/>
    </row>
    <row r="895" spans="1:16">
      <c r="A895"/>
      <c r="B895"/>
      <c r="C895"/>
      <c r="D895"/>
      <c r="E895"/>
      <c r="F895"/>
      <c r="G895"/>
      <c r="H895"/>
      <c r="I895"/>
      <c r="J895"/>
      <c r="K895"/>
      <c r="L895"/>
      <c r="M895"/>
      <c r="N895"/>
      <c r="O895"/>
      <c r="P895"/>
    </row>
    <row r="896" spans="1:16">
      <c r="A896"/>
      <c r="B896"/>
      <c r="C896"/>
      <c r="D896"/>
      <c r="E896"/>
      <c r="F896"/>
      <c r="G896"/>
      <c r="H896"/>
      <c r="I896"/>
      <c r="J896"/>
      <c r="K896"/>
      <c r="L896"/>
      <c r="M896"/>
      <c r="N896"/>
      <c r="O896"/>
      <c r="P896"/>
    </row>
    <row r="897" spans="1:16">
      <c r="A897"/>
      <c r="B897"/>
      <c r="C897"/>
      <c r="D897"/>
      <c r="E897"/>
      <c r="F897"/>
      <c r="G897"/>
      <c r="H897"/>
      <c r="I897"/>
      <c r="J897"/>
      <c r="K897"/>
      <c r="L897"/>
      <c r="M897"/>
      <c r="N897"/>
      <c r="O897"/>
      <c r="P897"/>
    </row>
    <row r="898" spans="1:16">
      <c r="A898"/>
      <c r="B898"/>
      <c r="C898"/>
      <c r="D898"/>
      <c r="E898"/>
      <c r="F898"/>
      <c r="G898"/>
      <c r="H898"/>
      <c r="I898"/>
      <c r="J898"/>
      <c r="K898"/>
      <c r="L898"/>
      <c r="M898"/>
      <c r="N898"/>
      <c r="O898"/>
      <c r="P898"/>
    </row>
    <row r="899" spans="1:16">
      <c r="A899"/>
      <c r="B899"/>
      <c r="C899"/>
      <c r="D899"/>
      <c r="E899"/>
      <c r="F899"/>
      <c r="G899"/>
      <c r="H899"/>
      <c r="I899"/>
      <c r="J899"/>
      <c r="K899"/>
      <c r="L899"/>
      <c r="M899"/>
      <c r="N899"/>
      <c r="O899"/>
      <c r="P899"/>
    </row>
    <row r="900" spans="1:16">
      <c r="A900"/>
      <c r="B900"/>
      <c r="C900"/>
      <c r="D900"/>
      <c r="E900"/>
      <c r="F900"/>
      <c r="G900"/>
      <c r="H900"/>
      <c r="I900"/>
      <c r="J900"/>
      <c r="K900"/>
      <c r="L900"/>
      <c r="M900"/>
      <c r="N900"/>
      <c r="O900"/>
      <c r="P900"/>
    </row>
    <row r="901" spans="1:16">
      <c r="A901"/>
      <c r="B901"/>
      <c r="C901"/>
      <c r="D901"/>
      <c r="E901"/>
      <c r="F901"/>
      <c r="G901"/>
      <c r="H901"/>
      <c r="I901"/>
      <c r="J901"/>
      <c r="K901"/>
      <c r="L901"/>
      <c r="M901"/>
      <c r="N901"/>
      <c r="O901"/>
      <c r="P901"/>
    </row>
    <row r="902" spans="1:16">
      <c r="A902"/>
      <c r="B902"/>
      <c r="C902"/>
      <c r="D902"/>
      <c r="E902"/>
      <c r="F902"/>
      <c r="G902"/>
      <c r="H902"/>
      <c r="I902"/>
      <c r="J902"/>
      <c r="K902"/>
      <c r="L902"/>
      <c r="M902"/>
      <c r="N902"/>
      <c r="O902"/>
      <c r="P902"/>
    </row>
    <row r="903" spans="1:16">
      <c r="A903"/>
      <c r="B903"/>
      <c r="C903"/>
      <c r="D903"/>
      <c r="E903"/>
      <c r="F903"/>
      <c r="G903"/>
      <c r="H903"/>
      <c r="I903"/>
      <c r="J903"/>
      <c r="K903"/>
      <c r="L903"/>
      <c r="M903"/>
      <c r="N903"/>
      <c r="O903"/>
      <c r="P903"/>
    </row>
    <row r="904" spans="1:16">
      <c r="A904"/>
      <c r="B904"/>
      <c r="C904"/>
      <c r="D904"/>
      <c r="E904"/>
      <c r="F904"/>
      <c r="G904"/>
      <c r="H904"/>
      <c r="I904"/>
      <c r="J904"/>
      <c r="K904"/>
      <c r="L904"/>
      <c r="M904"/>
      <c r="N904"/>
      <c r="O904"/>
      <c r="P904"/>
    </row>
    <row r="905" spans="1:16">
      <c r="A905"/>
      <c r="B905"/>
      <c r="C905"/>
      <c r="D905"/>
      <c r="E905"/>
      <c r="F905"/>
      <c r="G905"/>
      <c r="H905"/>
      <c r="I905"/>
      <c r="J905"/>
      <c r="K905"/>
      <c r="L905"/>
      <c r="M905"/>
      <c r="N905"/>
      <c r="O905"/>
      <c r="P905"/>
    </row>
    <row r="906" spans="1:16">
      <c r="A906"/>
      <c r="B906"/>
      <c r="C906"/>
      <c r="D906"/>
      <c r="E906"/>
      <c r="F906"/>
      <c r="G906"/>
      <c r="H906"/>
      <c r="I906"/>
      <c r="J906"/>
      <c r="K906"/>
      <c r="L906"/>
      <c r="M906"/>
      <c r="N906"/>
      <c r="O906"/>
      <c r="P906"/>
    </row>
    <row r="907" spans="1:16">
      <c r="A907"/>
      <c r="B907"/>
      <c r="C907"/>
      <c r="D907"/>
      <c r="E907"/>
      <c r="F907"/>
      <c r="G907"/>
      <c r="H907"/>
      <c r="I907"/>
      <c r="J907"/>
      <c r="K907"/>
      <c r="L907"/>
      <c r="M907"/>
      <c r="N907"/>
      <c r="O907"/>
      <c r="P907"/>
    </row>
    <row r="908" spans="1:16">
      <c r="A908"/>
      <c r="B908"/>
      <c r="C908"/>
      <c r="D908"/>
      <c r="E908"/>
      <c r="F908"/>
      <c r="G908"/>
      <c r="H908"/>
      <c r="I908"/>
      <c r="J908"/>
      <c r="K908"/>
      <c r="L908"/>
      <c r="M908"/>
      <c r="N908"/>
      <c r="O908"/>
      <c r="P908"/>
    </row>
    <row r="909" spans="1:16">
      <c r="A909"/>
      <c r="B909"/>
      <c r="C909"/>
      <c r="D909"/>
      <c r="E909"/>
      <c r="F909"/>
      <c r="G909"/>
      <c r="H909"/>
      <c r="I909"/>
      <c r="J909"/>
      <c r="K909"/>
      <c r="L909"/>
      <c r="M909"/>
      <c r="N909"/>
      <c r="O909"/>
      <c r="P909"/>
    </row>
    <row r="910" spans="1:16">
      <c r="A910"/>
      <c r="B910"/>
      <c r="C910"/>
      <c r="D910"/>
      <c r="E910"/>
      <c r="F910"/>
      <c r="G910"/>
      <c r="H910"/>
      <c r="I910"/>
      <c r="J910"/>
      <c r="K910"/>
      <c r="L910"/>
      <c r="M910"/>
      <c r="N910"/>
      <c r="O910"/>
      <c r="P910"/>
    </row>
    <row r="911" spans="1:16">
      <c r="A911"/>
      <c r="B911"/>
      <c r="C911"/>
      <c r="D911"/>
      <c r="E911"/>
      <c r="F911"/>
      <c r="G911"/>
      <c r="H911"/>
      <c r="I911"/>
      <c r="J911"/>
      <c r="K911"/>
      <c r="L911"/>
      <c r="M911"/>
      <c r="N911"/>
      <c r="O911"/>
      <c r="P911"/>
    </row>
    <row r="912" spans="1:16">
      <c r="A912"/>
      <c r="B912"/>
      <c r="C912"/>
      <c r="D912"/>
      <c r="E912"/>
      <c r="F912"/>
      <c r="G912"/>
      <c r="H912"/>
      <c r="I912"/>
      <c r="J912"/>
      <c r="K912"/>
      <c r="L912"/>
      <c r="M912"/>
      <c r="N912"/>
      <c r="O912"/>
      <c r="P912"/>
    </row>
    <row r="913" spans="1:16">
      <c r="A913"/>
      <c r="B913"/>
      <c r="C913"/>
      <c r="D913"/>
      <c r="E913"/>
      <c r="F913"/>
      <c r="G913"/>
      <c r="H913"/>
      <c r="I913"/>
      <c r="J913"/>
      <c r="K913"/>
      <c r="L913"/>
      <c r="M913"/>
      <c r="N913"/>
      <c r="O913"/>
      <c r="P913"/>
    </row>
    <row r="914" spans="1:16">
      <c r="A914"/>
      <c r="B914"/>
      <c r="C914"/>
      <c r="D914"/>
      <c r="E914"/>
      <c r="F914"/>
      <c r="G914"/>
      <c r="H914"/>
      <c r="I914"/>
      <c r="J914"/>
      <c r="K914"/>
      <c r="L914"/>
      <c r="M914"/>
      <c r="N914"/>
      <c r="O914"/>
      <c r="P914"/>
    </row>
    <row r="915" spans="1:16">
      <c r="A915"/>
      <c r="B915"/>
      <c r="C915"/>
      <c r="D915"/>
      <c r="E915"/>
      <c r="F915"/>
      <c r="G915"/>
      <c r="H915"/>
      <c r="I915"/>
      <c r="J915"/>
      <c r="K915"/>
      <c r="L915"/>
      <c r="M915"/>
      <c r="N915"/>
      <c r="O915"/>
      <c r="P915"/>
    </row>
    <row r="916" spans="1:16">
      <c r="A916"/>
      <c r="B916"/>
      <c r="C916"/>
      <c r="D916"/>
      <c r="E916"/>
      <c r="F916"/>
      <c r="G916"/>
      <c r="H916"/>
      <c r="I916"/>
      <c r="J916"/>
      <c r="K916"/>
      <c r="L916"/>
      <c r="M916"/>
      <c r="N916"/>
      <c r="O916"/>
      <c r="P916"/>
    </row>
    <row r="917" spans="1:16">
      <c r="A917"/>
      <c r="B917"/>
      <c r="C917"/>
      <c r="D917"/>
      <c r="E917"/>
      <c r="F917"/>
      <c r="G917"/>
      <c r="H917"/>
      <c r="I917"/>
      <c r="J917"/>
      <c r="K917"/>
      <c r="L917"/>
      <c r="M917"/>
      <c r="N917"/>
      <c r="O917"/>
      <c r="P917"/>
    </row>
    <row r="918" spans="1:16">
      <c r="A918"/>
      <c r="B918"/>
      <c r="C918"/>
      <c r="D918"/>
      <c r="E918"/>
      <c r="F918"/>
      <c r="G918"/>
      <c r="H918"/>
      <c r="I918"/>
      <c r="J918"/>
      <c r="K918"/>
      <c r="L918"/>
      <c r="M918"/>
      <c r="N918"/>
      <c r="O918"/>
      <c r="P918"/>
    </row>
    <row r="919" spans="1:16">
      <c r="A919"/>
      <c r="B919"/>
      <c r="C919"/>
      <c r="D919"/>
      <c r="E919"/>
      <c r="F919"/>
      <c r="G919"/>
      <c r="H919"/>
      <c r="I919"/>
      <c r="J919"/>
      <c r="K919"/>
      <c r="L919"/>
      <c r="M919"/>
      <c r="N919"/>
      <c r="O919"/>
      <c r="P919"/>
    </row>
    <row r="920" spans="1:16">
      <c r="A920"/>
      <c r="B920"/>
      <c r="C920"/>
      <c r="D920"/>
      <c r="E920"/>
      <c r="F920"/>
      <c r="G920"/>
      <c r="H920"/>
      <c r="I920"/>
      <c r="J920"/>
      <c r="K920"/>
      <c r="L920"/>
      <c r="M920"/>
      <c r="N920"/>
      <c r="O920"/>
      <c r="P920"/>
    </row>
    <row r="921" spans="1:16">
      <c r="A921"/>
      <c r="B921"/>
      <c r="C921"/>
      <c r="D921"/>
      <c r="E921"/>
      <c r="F921"/>
      <c r="G921"/>
      <c r="H921"/>
      <c r="I921"/>
      <c r="J921"/>
      <c r="K921"/>
      <c r="L921"/>
      <c r="M921"/>
      <c r="N921"/>
      <c r="O921"/>
      <c r="P921"/>
    </row>
    <row r="922" spans="1:16">
      <c r="A922"/>
      <c r="B922"/>
      <c r="C922"/>
      <c r="D922"/>
      <c r="E922"/>
      <c r="F922"/>
      <c r="G922"/>
      <c r="H922"/>
      <c r="I922"/>
      <c r="J922"/>
      <c r="K922"/>
      <c r="L922"/>
      <c r="M922"/>
      <c r="N922"/>
      <c r="O922"/>
      <c r="P922"/>
    </row>
    <row r="923" spans="1:16">
      <c r="A923"/>
      <c r="B923"/>
      <c r="C923"/>
      <c r="D923"/>
      <c r="E923"/>
      <c r="F923"/>
      <c r="G923"/>
      <c r="H923"/>
      <c r="I923"/>
      <c r="J923"/>
      <c r="K923"/>
      <c r="L923"/>
      <c r="M923"/>
      <c r="N923"/>
      <c r="O923"/>
      <c r="P923"/>
    </row>
    <row r="924" spans="1:16">
      <c r="A924"/>
      <c r="B924"/>
      <c r="C924"/>
      <c r="D924"/>
      <c r="E924"/>
      <c r="F924"/>
      <c r="G924"/>
      <c r="H924"/>
      <c r="I924"/>
      <c r="J924"/>
      <c r="K924"/>
      <c r="L924"/>
      <c r="M924"/>
      <c r="N924"/>
      <c r="O924"/>
      <c r="P924"/>
    </row>
    <row r="925" spans="1:16">
      <c r="A925"/>
      <c r="B925"/>
      <c r="C925"/>
      <c r="D925"/>
      <c r="E925"/>
      <c r="F925"/>
      <c r="G925"/>
      <c r="H925"/>
      <c r="I925"/>
      <c r="J925"/>
      <c r="K925"/>
      <c r="L925"/>
      <c r="M925"/>
      <c r="N925"/>
      <c r="O925"/>
      <c r="P925"/>
    </row>
    <row r="926" spans="1:16">
      <c r="A926"/>
      <c r="B926"/>
      <c r="C926"/>
      <c r="D926"/>
      <c r="E926"/>
      <c r="F926"/>
      <c r="G926"/>
      <c r="H926"/>
      <c r="I926"/>
      <c r="J926"/>
      <c r="K926"/>
      <c r="L926"/>
      <c r="M926"/>
      <c r="N926"/>
      <c r="O926"/>
      <c r="P926"/>
    </row>
    <row r="927" spans="1:16">
      <c r="A927"/>
      <c r="B927"/>
      <c r="C927"/>
      <c r="D927"/>
      <c r="E927"/>
      <c r="F927"/>
      <c r="G927"/>
      <c r="H927"/>
      <c r="I927"/>
      <c r="J927"/>
      <c r="K927"/>
      <c r="L927"/>
      <c r="M927"/>
      <c r="N927"/>
      <c r="O927"/>
      <c r="P927"/>
    </row>
    <row r="928" spans="1:16">
      <c r="A928"/>
      <c r="B928"/>
      <c r="C928"/>
      <c r="D928"/>
      <c r="E928"/>
      <c r="F928"/>
      <c r="G928"/>
      <c r="H928"/>
      <c r="I928"/>
      <c r="J928"/>
      <c r="K928"/>
      <c r="L928"/>
      <c r="M928"/>
      <c r="N928"/>
      <c r="O928"/>
      <c r="P928"/>
    </row>
    <row r="929" spans="1:16">
      <c r="A929"/>
      <c r="B929"/>
      <c r="C929"/>
      <c r="D929"/>
      <c r="E929"/>
      <c r="F929"/>
      <c r="G929"/>
      <c r="H929"/>
      <c r="I929"/>
      <c r="J929"/>
      <c r="K929"/>
      <c r="L929"/>
      <c r="M929"/>
      <c r="N929"/>
      <c r="O929"/>
      <c r="P929"/>
    </row>
    <row r="930" spans="1:16">
      <c r="A930"/>
      <c r="B930"/>
      <c r="C930"/>
      <c r="D930"/>
      <c r="E930"/>
      <c r="F930"/>
      <c r="G930"/>
      <c r="H930"/>
      <c r="I930"/>
      <c r="J930"/>
      <c r="K930"/>
      <c r="L930"/>
      <c r="M930"/>
      <c r="N930"/>
      <c r="O930"/>
      <c r="P930"/>
    </row>
    <row r="931" spans="1:16">
      <c r="A931"/>
      <c r="B931"/>
      <c r="C931"/>
      <c r="D931"/>
      <c r="E931"/>
      <c r="F931"/>
      <c r="G931"/>
      <c r="H931"/>
      <c r="I931"/>
      <c r="J931"/>
      <c r="K931"/>
      <c r="L931"/>
      <c r="M931"/>
      <c r="N931"/>
      <c r="O931"/>
      <c r="P931"/>
    </row>
    <row r="932" spans="1:16">
      <c r="A932"/>
      <c r="B932"/>
      <c r="C932"/>
      <c r="D932"/>
      <c r="E932"/>
      <c r="F932"/>
      <c r="G932"/>
      <c r="H932"/>
      <c r="I932"/>
      <c r="J932"/>
      <c r="K932"/>
      <c r="L932"/>
      <c r="M932"/>
      <c r="N932"/>
      <c r="O932"/>
      <c r="P932"/>
    </row>
    <row r="933" spans="1:16">
      <c r="A933"/>
      <c r="B933"/>
      <c r="C933"/>
      <c r="D933"/>
      <c r="E933"/>
      <c r="F933"/>
      <c r="G933"/>
      <c r="H933"/>
      <c r="I933"/>
      <c r="J933"/>
      <c r="K933"/>
      <c r="L933"/>
      <c r="M933"/>
      <c r="N933"/>
      <c r="O933"/>
      <c r="P933"/>
    </row>
    <row r="934" spans="1:16">
      <c r="A934"/>
      <c r="B934"/>
      <c r="C934"/>
      <c r="D934"/>
      <c r="E934"/>
      <c r="F934"/>
      <c r="G934"/>
      <c r="H934"/>
      <c r="I934"/>
      <c r="J934"/>
      <c r="K934"/>
      <c r="L934"/>
      <c r="M934"/>
      <c r="N934"/>
      <c r="O934"/>
      <c r="P934"/>
    </row>
    <row r="935" spans="1:16">
      <c r="A935"/>
      <c r="B935"/>
      <c r="C935"/>
      <c r="D935"/>
      <c r="E935"/>
      <c r="F935"/>
      <c r="G935"/>
      <c r="H935"/>
      <c r="I935"/>
      <c r="J935"/>
      <c r="K935"/>
      <c r="L935"/>
      <c r="M935"/>
      <c r="N935"/>
      <c r="O935"/>
      <c r="P935"/>
    </row>
    <row r="936" spans="1:16">
      <c r="A936"/>
      <c r="B936"/>
      <c r="C936"/>
      <c r="D936"/>
      <c r="E936"/>
      <c r="F936"/>
      <c r="G936"/>
      <c r="H936"/>
      <c r="I936"/>
      <c r="J936"/>
      <c r="K936"/>
      <c r="L936"/>
      <c r="M936"/>
      <c r="N936"/>
      <c r="O936"/>
      <c r="P936"/>
    </row>
    <row r="937" spans="1:16">
      <c r="A937"/>
      <c r="B937"/>
      <c r="C937"/>
      <c r="D937"/>
      <c r="E937"/>
      <c r="F937"/>
      <c r="G937"/>
      <c r="H937"/>
      <c r="I937"/>
      <c r="J937"/>
      <c r="K937"/>
      <c r="L937"/>
      <c r="M937"/>
      <c r="N937"/>
      <c r="O937"/>
      <c r="P937"/>
    </row>
    <row r="938" spans="1:16">
      <c r="A938"/>
      <c r="B938"/>
      <c r="C938"/>
      <c r="D938"/>
      <c r="E938"/>
      <c r="F938"/>
      <c r="G938"/>
      <c r="H938"/>
      <c r="I938"/>
      <c r="J938"/>
      <c r="K938"/>
      <c r="L938"/>
      <c r="M938"/>
      <c r="N938"/>
      <c r="O938"/>
      <c r="P938"/>
    </row>
    <row r="939" spans="1:16">
      <c r="A939"/>
      <c r="B939"/>
      <c r="C939"/>
      <c r="D939"/>
      <c r="E939"/>
      <c r="F939"/>
      <c r="G939"/>
      <c r="H939"/>
      <c r="I939"/>
      <c r="J939"/>
      <c r="K939"/>
      <c r="L939"/>
      <c r="M939"/>
      <c r="N939"/>
      <c r="O939"/>
      <c r="P939"/>
    </row>
    <row r="940" spans="1:16">
      <c r="A940"/>
      <c r="B940"/>
      <c r="C940"/>
      <c r="D940"/>
      <c r="E940"/>
      <c r="F940"/>
      <c r="G940"/>
      <c r="H940"/>
      <c r="I940"/>
      <c r="J940"/>
      <c r="K940"/>
      <c r="L940"/>
      <c r="M940"/>
      <c r="N940"/>
      <c r="O940"/>
      <c r="P940"/>
    </row>
    <row r="941" spans="1:16">
      <c r="A941"/>
      <c r="B941"/>
      <c r="C941"/>
      <c r="D941"/>
      <c r="E941"/>
      <c r="F941"/>
      <c r="G941"/>
      <c r="H941"/>
      <c r="I941"/>
      <c r="J941"/>
      <c r="K941"/>
      <c r="L941"/>
      <c r="M941"/>
      <c r="N941"/>
      <c r="O941"/>
      <c r="P941"/>
    </row>
    <row r="942" spans="1:16">
      <c r="A942"/>
      <c r="B942"/>
      <c r="C942"/>
      <c r="D942"/>
      <c r="E942"/>
      <c r="F942"/>
      <c r="G942"/>
      <c r="H942"/>
      <c r="I942"/>
      <c r="J942"/>
      <c r="K942"/>
      <c r="L942"/>
      <c r="M942"/>
      <c r="N942"/>
      <c r="O942"/>
      <c r="P942"/>
    </row>
    <row r="943" spans="1:16">
      <c r="A943"/>
      <c r="B943"/>
      <c r="C943"/>
      <c r="D943"/>
      <c r="E943"/>
      <c r="F943"/>
      <c r="G943"/>
      <c r="H943"/>
      <c r="I943"/>
      <c r="J943"/>
      <c r="K943"/>
      <c r="L943"/>
      <c r="M943"/>
      <c r="N943"/>
      <c r="O943"/>
      <c r="P943"/>
    </row>
    <row r="944" spans="1:16">
      <c r="A944"/>
      <c r="B944"/>
      <c r="C944"/>
      <c r="D944"/>
      <c r="E944"/>
      <c r="F944"/>
      <c r="G944"/>
      <c r="H944"/>
      <c r="I944"/>
      <c r="J944"/>
      <c r="K944"/>
      <c r="L944"/>
      <c r="M944"/>
      <c r="N944"/>
      <c r="O944"/>
      <c r="P944"/>
    </row>
    <row r="945" spans="1:16">
      <c r="A945"/>
      <c r="B945"/>
      <c r="C945"/>
      <c r="D945"/>
      <c r="E945"/>
      <c r="F945"/>
      <c r="G945"/>
      <c r="H945"/>
      <c r="I945"/>
      <c r="J945"/>
      <c r="K945"/>
      <c r="L945"/>
      <c r="M945"/>
      <c r="N945"/>
      <c r="O945"/>
      <c r="P945"/>
    </row>
    <row r="946" spans="1:16">
      <c r="A946"/>
      <c r="B946"/>
      <c r="C946"/>
      <c r="D946"/>
      <c r="E946"/>
      <c r="F946"/>
      <c r="G946"/>
      <c r="H946"/>
      <c r="I946"/>
      <c r="J946"/>
      <c r="K946"/>
      <c r="L946"/>
      <c r="M946"/>
      <c r="N946"/>
      <c r="O946"/>
      <c r="P946"/>
    </row>
    <row r="947" spans="1:16">
      <c r="A947"/>
      <c r="B947"/>
      <c r="C947"/>
      <c r="D947"/>
      <c r="E947"/>
      <c r="F947"/>
      <c r="G947"/>
      <c r="H947"/>
      <c r="I947"/>
      <c r="J947"/>
      <c r="K947"/>
      <c r="L947"/>
      <c r="M947"/>
      <c r="N947"/>
      <c r="O947"/>
      <c r="P947"/>
    </row>
    <row r="948" spans="1:16">
      <c r="A948"/>
      <c r="B948"/>
      <c r="C948"/>
      <c r="D948"/>
      <c r="E948"/>
      <c r="F948"/>
      <c r="G948"/>
      <c r="H948"/>
      <c r="I948"/>
      <c r="J948"/>
      <c r="K948"/>
      <c r="L948"/>
      <c r="M948"/>
      <c r="N948"/>
      <c r="O948"/>
      <c r="P948"/>
    </row>
    <row r="949" spans="1:16">
      <c r="A949"/>
      <c r="B949"/>
      <c r="C949"/>
      <c r="D949"/>
      <c r="E949"/>
      <c r="F949"/>
      <c r="G949"/>
      <c r="H949"/>
      <c r="I949"/>
      <c r="J949"/>
      <c r="K949"/>
      <c r="L949"/>
      <c r="M949"/>
      <c r="N949"/>
      <c r="O949"/>
      <c r="P949"/>
    </row>
    <row r="950" spans="1:16">
      <c r="A950"/>
      <c r="B950"/>
      <c r="C950"/>
      <c r="D950"/>
      <c r="E950"/>
      <c r="F950"/>
      <c r="G950"/>
      <c r="H950"/>
      <c r="I950"/>
      <c r="J950"/>
      <c r="K950"/>
      <c r="L950"/>
      <c r="M950"/>
      <c r="N950"/>
      <c r="O950"/>
      <c r="P950"/>
    </row>
    <row r="951" spans="1:16">
      <c r="A951"/>
      <c r="B951"/>
      <c r="C951"/>
      <c r="D951"/>
      <c r="E951"/>
      <c r="F951"/>
      <c r="G951"/>
      <c r="H951"/>
      <c r="I951"/>
      <c r="J951"/>
      <c r="K951"/>
      <c r="L951"/>
      <c r="M951"/>
      <c r="N951"/>
      <c r="O951"/>
      <c r="P951"/>
    </row>
    <row r="952" spans="1:16">
      <c r="A952"/>
      <c r="B952"/>
      <c r="C952"/>
      <c r="D952"/>
      <c r="E952"/>
      <c r="F952"/>
      <c r="G952"/>
      <c r="H952"/>
      <c r="I952"/>
      <c r="J952"/>
      <c r="K952"/>
      <c r="L952"/>
      <c r="M952"/>
      <c r="N952"/>
      <c r="O952"/>
      <c r="P952"/>
    </row>
    <row r="953" spans="1:16">
      <c r="A953"/>
      <c r="B953"/>
      <c r="C953"/>
      <c r="D953"/>
      <c r="E953"/>
      <c r="F953"/>
      <c r="G953"/>
      <c r="H953"/>
      <c r="I953"/>
      <c r="J953"/>
      <c r="K953"/>
      <c r="L953"/>
      <c r="M953"/>
      <c r="N953"/>
      <c r="O953"/>
      <c r="P953"/>
    </row>
    <row r="954" spans="1:16">
      <c r="A954"/>
      <c r="B954"/>
      <c r="C954"/>
      <c r="D954"/>
      <c r="E954"/>
      <c r="F954"/>
      <c r="G954"/>
      <c r="H954"/>
      <c r="I954"/>
      <c r="J954"/>
      <c r="K954"/>
      <c r="L954"/>
      <c r="M954"/>
      <c r="N954"/>
      <c r="O954"/>
      <c r="P954"/>
    </row>
    <row r="955" spans="1:16">
      <c r="A955"/>
      <c r="B955"/>
      <c r="C955"/>
      <c r="D955"/>
      <c r="E955"/>
      <c r="F955"/>
      <c r="G955"/>
      <c r="H955"/>
      <c r="I955"/>
      <c r="J955"/>
      <c r="K955"/>
      <c r="L955"/>
      <c r="M955"/>
      <c r="N955"/>
      <c r="O955"/>
      <c r="P955"/>
    </row>
    <row r="956" spans="1:16">
      <c r="A956"/>
      <c r="B956"/>
      <c r="C956"/>
      <c r="D956"/>
      <c r="E956"/>
      <c r="F956"/>
      <c r="G956"/>
      <c r="H956"/>
      <c r="I956"/>
      <c r="J956"/>
      <c r="K956"/>
      <c r="L956"/>
      <c r="M956"/>
      <c r="N956"/>
      <c r="O956"/>
      <c r="P956"/>
    </row>
    <row r="957" spans="1:16">
      <c r="A957"/>
      <c r="B957"/>
      <c r="C957"/>
      <c r="D957"/>
      <c r="E957"/>
      <c r="F957"/>
      <c r="G957"/>
      <c r="H957"/>
      <c r="I957"/>
      <c r="J957"/>
      <c r="K957"/>
      <c r="L957"/>
      <c r="M957"/>
      <c r="N957"/>
      <c r="O957"/>
      <c r="P957"/>
    </row>
    <row r="958" spans="1:16">
      <c r="A958"/>
      <c r="B958"/>
      <c r="C958"/>
      <c r="D958"/>
      <c r="E958"/>
      <c r="F958"/>
      <c r="G958"/>
      <c r="H958"/>
      <c r="I958"/>
      <c r="J958"/>
      <c r="K958"/>
      <c r="L958"/>
      <c r="M958"/>
      <c r="N958"/>
      <c r="O958"/>
      <c r="P958"/>
    </row>
    <row r="959" spans="1:16">
      <c r="A959"/>
      <c r="B959"/>
      <c r="C959"/>
      <c r="D959"/>
      <c r="E959"/>
      <c r="F959"/>
      <c r="G959"/>
      <c r="H959"/>
      <c r="I959"/>
      <c r="J959"/>
      <c r="K959"/>
      <c r="L959"/>
      <c r="M959"/>
      <c r="N959"/>
      <c r="O959"/>
      <c r="P959"/>
    </row>
    <row r="960" spans="1:16">
      <c r="A960"/>
      <c r="B960"/>
      <c r="C960"/>
      <c r="D960"/>
      <c r="E960"/>
      <c r="F960"/>
      <c r="G960"/>
      <c r="H960"/>
      <c r="I960"/>
      <c r="J960"/>
      <c r="K960"/>
      <c r="L960"/>
      <c r="M960"/>
      <c r="N960"/>
      <c r="O960"/>
      <c r="P960"/>
    </row>
    <row r="961" spans="1:16">
      <c r="A961"/>
      <c r="B961"/>
      <c r="C961"/>
      <c r="D961"/>
      <c r="E961"/>
      <c r="F961"/>
      <c r="G961"/>
      <c r="H961"/>
      <c r="I961"/>
      <c r="J961"/>
      <c r="K961"/>
      <c r="L961"/>
      <c r="M961"/>
      <c r="N961"/>
      <c r="O961"/>
      <c r="P961"/>
    </row>
    <row r="962" spans="1:16">
      <c r="A962"/>
      <c r="B962"/>
      <c r="C962"/>
      <c r="D962"/>
      <c r="E962"/>
      <c r="F962"/>
      <c r="G962"/>
      <c r="H962"/>
      <c r="I962"/>
      <c r="J962"/>
      <c r="K962"/>
      <c r="L962"/>
      <c r="M962"/>
      <c r="N962"/>
      <c r="O962"/>
      <c r="P962"/>
    </row>
    <row r="963" spans="1:16">
      <c r="A963"/>
      <c r="B963"/>
      <c r="C963"/>
      <c r="D963"/>
      <c r="E963"/>
      <c r="F963"/>
      <c r="G963"/>
      <c r="H963"/>
      <c r="I963"/>
      <c r="J963"/>
      <c r="K963"/>
      <c r="L963"/>
      <c r="M963"/>
      <c r="N963"/>
      <c r="O963"/>
      <c r="P963"/>
    </row>
    <row r="964" spans="1:16">
      <c r="A964"/>
      <c r="B964"/>
      <c r="C964"/>
      <c r="D964"/>
      <c r="E964"/>
      <c r="F964"/>
      <c r="G964"/>
      <c r="H964"/>
      <c r="I964"/>
      <c r="J964"/>
      <c r="K964"/>
      <c r="L964"/>
      <c r="M964"/>
      <c r="N964"/>
      <c r="O964"/>
      <c r="P964"/>
    </row>
    <row r="965" spans="1:16">
      <c r="A965"/>
      <c r="B965"/>
      <c r="C965"/>
      <c r="D965"/>
      <c r="E965"/>
      <c r="F965"/>
      <c r="G965"/>
      <c r="H965"/>
      <c r="I965"/>
      <c r="J965"/>
      <c r="K965"/>
      <c r="L965"/>
      <c r="M965"/>
      <c r="N965"/>
      <c r="O965"/>
      <c r="P965"/>
    </row>
    <row r="966" spans="1:16">
      <c r="A966"/>
      <c r="B966"/>
      <c r="C966"/>
      <c r="D966"/>
      <c r="E966"/>
      <c r="F966"/>
      <c r="G966"/>
      <c r="H966"/>
      <c r="I966"/>
      <c r="J966"/>
      <c r="K966"/>
      <c r="L966"/>
      <c r="M966"/>
      <c r="N966"/>
      <c r="O966"/>
      <c r="P966"/>
    </row>
    <row r="967" spans="1:16">
      <c r="A967"/>
      <c r="B967"/>
      <c r="C967"/>
      <c r="D967"/>
      <c r="E967"/>
      <c r="F967"/>
      <c r="G967"/>
      <c r="H967"/>
      <c r="I967"/>
      <c r="J967"/>
      <c r="K967"/>
      <c r="L967"/>
      <c r="M967"/>
      <c r="N967"/>
      <c r="O967"/>
      <c r="P967"/>
    </row>
    <row r="968" spans="1:16">
      <c r="A968"/>
      <c r="B968"/>
      <c r="C968"/>
      <c r="D968"/>
      <c r="E968"/>
      <c r="F968"/>
      <c r="G968"/>
      <c r="H968"/>
      <c r="I968"/>
      <c r="J968"/>
      <c r="K968"/>
      <c r="L968"/>
      <c r="M968"/>
      <c r="N968"/>
      <c r="O968"/>
      <c r="P968"/>
    </row>
    <row r="969" spans="1:16">
      <c r="A969"/>
      <c r="B969"/>
      <c r="C969"/>
      <c r="D969"/>
      <c r="E969"/>
      <c r="F969"/>
      <c r="G969"/>
      <c r="H969"/>
      <c r="I969"/>
      <c r="J969"/>
      <c r="K969"/>
      <c r="L969"/>
      <c r="M969"/>
      <c r="N969"/>
      <c r="O969"/>
      <c r="P969"/>
    </row>
    <row r="970" spans="1:16">
      <c r="A970"/>
      <c r="B970"/>
      <c r="C970"/>
      <c r="D970"/>
      <c r="E970"/>
      <c r="F970"/>
      <c r="G970"/>
      <c r="H970"/>
      <c r="I970"/>
      <c r="J970"/>
      <c r="K970"/>
      <c r="L970"/>
      <c r="M970"/>
      <c r="N970"/>
      <c r="O970"/>
      <c r="P970"/>
    </row>
    <row r="971" spans="1:16">
      <c r="A971"/>
      <c r="B971"/>
      <c r="C971"/>
      <c r="D971"/>
      <c r="E971"/>
      <c r="F971"/>
      <c r="G971"/>
      <c r="H971"/>
      <c r="I971"/>
      <c r="J971"/>
      <c r="K971"/>
      <c r="L971"/>
      <c r="M971"/>
      <c r="N971"/>
      <c r="O971"/>
      <c r="P971"/>
    </row>
    <row r="972" spans="1:16">
      <c r="A972"/>
      <c r="B972"/>
      <c r="C972"/>
      <c r="D972"/>
      <c r="E972"/>
      <c r="F972"/>
      <c r="G972"/>
      <c r="H972"/>
      <c r="I972"/>
      <c r="J972"/>
      <c r="K972"/>
      <c r="L972"/>
      <c r="M972"/>
      <c r="N972"/>
      <c r="O972"/>
      <c r="P972"/>
    </row>
    <row r="973" spans="1:16">
      <c r="A973"/>
      <c r="B973"/>
      <c r="C973"/>
      <c r="D973"/>
      <c r="E973"/>
      <c r="F973"/>
      <c r="G973"/>
      <c r="H973"/>
      <c r="I973"/>
      <c r="J973"/>
      <c r="K973"/>
      <c r="L973"/>
      <c r="M973"/>
      <c r="N973"/>
      <c r="O973"/>
      <c r="P973"/>
    </row>
    <row r="974" spans="1:16">
      <c r="A974"/>
      <c r="B974"/>
      <c r="C974"/>
      <c r="D974"/>
      <c r="E974"/>
      <c r="F974"/>
      <c r="G974"/>
      <c r="H974"/>
      <c r="I974"/>
      <c r="J974"/>
      <c r="K974"/>
      <c r="L974"/>
      <c r="M974"/>
      <c r="N974"/>
      <c r="O974"/>
      <c r="P974"/>
    </row>
    <row r="975" spans="1:16">
      <c r="A975"/>
      <c r="B975"/>
      <c r="C975"/>
      <c r="D975"/>
      <c r="E975"/>
      <c r="F975"/>
      <c r="G975"/>
      <c r="H975"/>
      <c r="I975"/>
      <c r="J975"/>
      <c r="K975"/>
      <c r="L975"/>
      <c r="M975"/>
      <c r="N975"/>
      <c r="O975"/>
      <c r="P975"/>
    </row>
    <row r="976" spans="1:16">
      <c r="A976"/>
      <c r="B976"/>
      <c r="C976"/>
      <c r="D976"/>
      <c r="E976"/>
      <c r="F976"/>
      <c r="G976"/>
      <c r="H976"/>
      <c r="I976"/>
      <c r="J976"/>
      <c r="K976"/>
      <c r="L976"/>
      <c r="M976"/>
      <c r="N976"/>
      <c r="O976"/>
      <c r="P976"/>
    </row>
    <row r="977" spans="1:16">
      <c r="A977"/>
      <c r="B977"/>
      <c r="C977"/>
      <c r="D977"/>
      <c r="E977"/>
      <c r="F977"/>
      <c r="G977"/>
      <c r="H977"/>
      <c r="I977"/>
      <c r="J977"/>
      <c r="K977"/>
      <c r="L977"/>
      <c r="M977"/>
      <c r="N977"/>
      <c r="O977"/>
      <c r="P977"/>
    </row>
    <row r="978" spans="1:16">
      <c r="A978"/>
      <c r="B978"/>
      <c r="C978"/>
      <c r="D978"/>
      <c r="E978"/>
      <c r="F978"/>
      <c r="G978"/>
      <c r="H978"/>
      <c r="I978"/>
      <c r="J978"/>
      <c r="K978"/>
      <c r="L978"/>
      <c r="M978"/>
      <c r="N978"/>
      <c r="O978"/>
      <c r="P978"/>
    </row>
    <row r="979" spans="1:16">
      <c r="A979"/>
      <c r="B979"/>
      <c r="C979"/>
      <c r="D979"/>
      <c r="E979"/>
      <c r="F979"/>
      <c r="G979"/>
      <c r="H979"/>
      <c r="I979"/>
      <c r="J979"/>
      <c r="K979"/>
      <c r="L979"/>
      <c r="M979"/>
      <c r="N979"/>
      <c r="O979"/>
      <c r="P979"/>
    </row>
    <row r="980" spans="1:16">
      <c r="A980"/>
      <c r="B980"/>
      <c r="C980"/>
      <c r="D980"/>
      <c r="E980"/>
      <c r="F980"/>
      <c r="G980"/>
      <c r="H980"/>
      <c r="I980"/>
      <c r="J980"/>
      <c r="K980"/>
      <c r="L980"/>
      <c r="M980"/>
      <c r="N980"/>
      <c r="O980"/>
      <c r="P980"/>
    </row>
    <row r="981" spans="1:16">
      <c r="A981"/>
      <c r="B981"/>
      <c r="C981"/>
      <c r="D981"/>
      <c r="E981"/>
      <c r="F981"/>
      <c r="G981"/>
      <c r="H981"/>
      <c r="I981"/>
      <c r="J981"/>
      <c r="K981"/>
      <c r="L981"/>
      <c r="M981"/>
      <c r="N981"/>
      <c r="O981"/>
      <c r="P981"/>
    </row>
    <row r="982" spans="1:16">
      <c r="A982"/>
      <c r="B982"/>
      <c r="C982"/>
      <c r="D982"/>
      <c r="E982"/>
      <c r="F982"/>
      <c r="G982"/>
      <c r="H982"/>
      <c r="I982"/>
      <c r="J982"/>
      <c r="K982"/>
      <c r="L982"/>
      <c r="M982"/>
      <c r="N982"/>
      <c r="O982"/>
      <c r="P982"/>
    </row>
    <row r="983" spans="1:16">
      <c r="A983"/>
      <c r="B983"/>
      <c r="C983"/>
      <c r="D983"/>
      <c r="E983"/>
      <c r="F983"/>
      <c r="G983"/>
      <c r="H983"/>
      <c r="I983"/>
      <c r="J983"/>
      <c r="K983"/>
      <c r="L983"/>
      <c r="M983"/>
      <c r="N983"/>
      <c r="O983"/>
      <c r="P983"/>
    </row>
    <row r="984" spans="1:16">
      <c r="A984"/>
      <c r="B984"/>
      <c r="C984"/>
      <c r="D984"/>
      <c r="E984"/>
      <c r="F984"/>
      <c r="G984"/>
      <c r="H984"/>
      <c r="I984"/>
      <c r="J984"/>
      <c r="K984"/>
      <c r="L984"/>
      <c r="M984"/>
      <c r="N984"/>
      <c r="O984"/>
      <c r="P984"/>
    </row>
    <row r="985" spans="1:16">
      <c r="A985"/>
      <c r="B985"/>
      <c r="C985"/>
      <c r="D985"/>
      <c r="E985"/>
      <c r="F985"/>
      <c r="G985"/>
      <c r="H985"/>
      <c r="I985"/>
      <c r="J985"/>
      <c r="K985"/>
      <c r="L985"/>
      <c r="M985"/>
      <c r="N985"/>
      <c r="O985"/>
      <c r="P985"/>
    </row>
    <row r="986" spans="1:16">
      <c r="A986"/>
      <c r="B986"/>
      <c r="C986"/>
      <c r="D986"/>
      <c r="E986"/>
      <c r="F986"/>
      <c r="G986"/>
      <c r="H986"/>
      <c r="I986"/>
      <c r="J986"/>
      <c r="K986"/>
      <c r="L986"/>
      <c r="M986"/>
      <c r="N986"/>
      <c r="O986"/>
      <c r="P986"/>
    </row>
    <row r="987" spans="1:16">
      <c r="A987"/>
      <c r="B987"/>
      <c r="C987"/>
      <c r="D987"/>
      <c r="E987"/>
      <c r="F987"/>
      <c r="G987"/>
      <c r="H987"/>
      <c r="I987"/>
      <c r="J987"/>
      <c r="K987"/>
      <c r="L987"/>
      <c r="M987"/>
      <c r="N987"/>
      <c r="O987"/>
      <c r="P987"/>
    </row>
    <row r="988" spans="1:16">
      <c r="A988"/>
      <c r="B988"/>
      <c r="C988"/>
      <c r="D988"/>
      <c r="E988"/>
      <c r="F988"/>
      <c r="G988"/>
      <c r="H988"/>
      <c r="I988"/>
      <c r="J988"/>
      <c r="K988"/>
      <c r="L988"/>
      <c r="M988"/>
      <c r="N988"/>
      <c r="O988"/>
      <c r="P988"/>
    </row>
    <row r="989" spans="1:16">
      <c r="A989"/>
      <c r="B989"/>
      <c r="C989"/>
      <c r="D989"/>
      <c r="E989"/>
      <c r="F989"/>
      <c r="G989"/>
      <c r="H989"/>
      <c r="I989"/>
      <c r="J989"/>
      <c r="K989"/>
      <c r="L989"/>
      <c r="M989"/>
      <c r="N989"/>
      <c r="O989"/>
      <c r="P989"/>
    </row>
    <row r="990" spans="1:16">
      <c r="A990"/>
      <c r="B990"/>
      <c r="C990"/>
      <c r="D990"/>
      <c r="E990"/>
      <c r="F990"/>
      <c r="G990"/>
      <c r="H990"/>
      <c r="I990"/>
      <c r="J990"/>
      <c r="K990"/>
      <c r="L990"/>
      <c r="M990"/>
      <c r="N990"/>
      <c r="O990"/>
      <c r="P990"/>
    </row>
    <row r="991" spans="1:16">
      <c r="A991"/>
      <c r="B991"/>
      <c r="C991"/>
      <c r="D991"/>
      <c r="E991"/>
      <c r="F991"/>
      <c r="G991"/>
      <c r="H991"/>
      <c r="I991"/>
      <c r="J991"/>
      <c r="K991"/>
      <c r="L991"/>
      <c r="M991"/>
      <c r="N991"/>
      <c r="O991"/>
      <c r="P991"/>
    </row>
    <row r="992" spans="1:16">
      <c r="A992"/>
      <c r="B992"/>
      <c r="C992"/>
      <c r="D992"/>
      <c r="E992"/>
      <c r="F992"/>
      <c r="G992"/>
      <c r="H992"/>
      <c r="I992"/>
      <c r="J992"/>
      <c r="K992"/>
      <c r="L992"/>
      <c r="M992"/>
      <c r="N992"/>
      <c r="O992"/>
      <c r="P992"/>
    </row>
    <row r="993" spans="1:16">
      <c r="A993"/>
      <c r="B993"/>
      <c r="C993"/>
      <c r="D993"/>
      <c r="E993"/>
      <c r="F993"/>
      <c r="G993"/>
      <c r="H993"/>
      <c r="I993"/>
      <c r="J993"/>
      <c r="K993"/>
      <c r="L993"/>
      <c r="M993"/>
      <c r="N993"/>
      <c r="O993"/>
      <c r="P993"/>
    </row>
    <row r="994" spans="1:16">
      <c r="A994"/>
      <c r="B994"/>
      <c r="C994"/>
      <c r="D994"/>
      <c r="E994"/>
      <c r="F994"/>
      <c r="G994"/>
      <c r="H994"/>
      <c r="I994"/>
      <c r="J994"/>
      <c r="K994"/>
      <c r="L994"/>
      <c r="M994"/>
      <c r="N994"/>
      <c r="O994"/>
      <c r="P994"/>
    </row>
    <row r="995" spans="1:16">
      <c r="A995"/>
      <c r="B995"/>
      <c r="C995"/>
      <c r="D995"/>
      <c r="E995"/>
      <c r="F995"/>
      <c r="G995"/>
      <c r="H995"/>
      <c r="I995"/>
      <c r="J995"/>
      <c r="K995"/>
      <c r="L995"/>
      <c r="M995"/>
      <c r="N995"/>
      <c r="O995"/>
      <c r="P995"/>
    </row>
    <row r="996" spans="1:16">
      <c r="A996"/>
      <c r="B996"/>
      <c r="C996"/>
      <c r="D996"/>
      <c r="E996"/>
      <c r="F996"/>
      <c r="G996"/>
      <c r="H996"/>
      <c r="I996"/>
      <c r="J996"/>
      <c r="K996"/>
      <c r="L996"/>
      <c r="M996"/>
      <c r="N996"/>
      <c r="O996"/>
      <c r="P996"/>
    </row>
    <row r="997" spans="1:16">
      <c r="A997"/>
      <c r="B997"/>
      <c r="C997"/>
      <c r="D997"/>
      <c r="E997"/>
      <c r="F997"/>
      <c r="G997"/>
      <c r="H997"/>
      <c r="I997"/>
      <c r="J997"/>
      <c r="K997"/>
      <c r="L997"/>
      <c r="M997"/>
      <c r="N997"/>
      <c r="O997"/>
      <c r="P997"/>
    </row>
    <row r="998" spans="1:16">
      <c r="A998"/>
      <c r="B998"/>
      <c r="C998"/>
      <c r="D998"/>
      <c r="E998"/>
      <c r="F998"/>
      <c r="G998"/>
      <c r="H998"/>
      <c r="I998"/>
      <c r="J998"/>
      <c r="K998"/>
      <c r="L998"/>
      <c r="M998"/>
      <c r="N998"/>
      <c r="O998"/>
      <c r="P998"/>
    </row>
    <row r="999" spans="1:16">
      <c r="A999"/>
      <c r="B999"/>
      <c r="C999"/>
      <c r="D999"/>
      <c r="E999"/>
      <c r="F999"/>
      <c r="G999"/>
      <c r="H999"/>
      <c r="I999"/>
      <c r="J999"/>
      <c r="K999"/>
      <c r="L999"/>
      <c r="M999"/>
      <c r="N999"/>
      <c r="O999"/>
      <c r="P999"/>
    </row>
    <row r="1000" spans="1:16">
      <c r="A1000"/>
      <c r="B1000"/>
      <c r="C1000"/>
      <c r="D1000"/>
      <c r="E1000"/>
      <c r="F1000"/>
      <c r="G1000"/>
      <c r="H1000"/>
      <c r="I1000"/>
      <c r="J1000"/>
      <c r="K1000"/>
      <c r="L1000"/>
      <c r="M1000"/>
      <c r="N1000"/>
      <c r="O1000"/>
      <c r="P1000"/>
    </row>
    <row r="1001" spans="1:16">
      <c r="A1001"/>
      <c r="B1001"/>
      <c r="C1001"/>
      <c r="D1001"/>
      <c r="E1001"/>
      <c r="F1001"/>
      <c r="G1001"/>
      <c r="H1001"/>
      <c r="I1001"/>
      <c r="J1001"/>
      <c r="K1001"/>
      <c r="L1001"/>
      <c r="M1001"/>
      <c r="N1001"/>
      <c r="O1001"/>
      <c r="P1001"/>
    </row>
    <row r="1002" spans="1:16">
      <c r="A1002"/>
      <c r="B1002"/>
      <c r="C1002"/>
      <c r="D1002"/>
      <c r="E1002"/>
      <c r="F1002"/>
      <c r="G1002"/>
      <c r="H1002"/>
      <c r="I1002"/>
      <c r="J1002"/>
      <c r="K1002"/>
      <c r="L1002"/>
      <c r="M1002"/>
      <c r="N1002"/>
      <c r="O1002"/>
      <c r="P1002"/>
    </row>
    <row r="1003" spans="1:16">
      <c r="A1003"/>
      <c r="B1003"/>
      <c r="C1003"/>
      <c r="D1003"/>
      <c r="E1003"/>
      <c r="F1003"/>
      <c r="G1003"/>
      <c r="H1003"/>
      <c r="I1003"/>
      <c r="J1003"/>
      <c r="K1003"/>
      <c r="L1003"/>
      <c r="M1003"/>
      <c r="N1003"/>
      <c r="O1003"/>
      <c r="P1003"/>
    </row>
    <row r="1004" spans="1:16">
      <c r="A1004"/>
      <c r="B1004"/>
      <c r="C1004"/>
      <c r="D1004"/>
      <c r="E1004"/>
      <c r="F1004"/>
      <c r="G1004"/>
      <c r="H1004"/>
      <c r="I1004"/>
      <c r="J1004"/>
      <c r="K1004"/>
      <c r="L1004"/>
      <c r="M1004"/>
      <c r="N1004"/>
      <c r="O1004"/>
      <c r="P1004"/>
    </row>
    <row r="1005" spans="1:16">
      <c r="A1005"/>
      <c r="B1005"/>
      <c r="C1005"/>
      <c r="D1005"/>
      <c r="E1005"/>
      <c r="F1005"/>
      <c r="G1005"/>
      <c r="H1005"/>
      <c r="I1005"/>
      <c r="J1005"/>
      <c r="K1005"/>
      <c r="L1005"/>
      <c r="M1005"/>
      <c r="N1005"/>
      <c r="O1005"/>
      <c r="P1005"/>
    </row>
    <row r="1006" spans="1:16">
      <c r="A1006"/>
      <c r="B1006"/>
      <c r="C1006"/>
      <c r="D1006"/>
      <c r="E1006"/>
      <c r="F1006"/>
      <c r="G1006"/>
      <c r="H1006"/>
      <c r="I1006"/>
      <c r="J1006"/>
      <c r="K1006"/>
      <c r="L1006"/>
      <c r="M1006"/>
      <c r="N1006"/>
      <c r="O1006"/>
      <c r="P1006"/>
    </row>
    <row r="1007" spans="1:16">
      <c r="A1007"/>
      <c r="B1007"/>
      <c r="C1007"/>
      <c r="D1007"/>
      <c r="E1007"/>
      <c r="F1007"/>
      <c r="G1007"/>
      <c r="H1007"/>
      <c r="I1007"/>
      <c r="J1007"/>
      <c r="K1007"/>
      <c r="L1007"/>
      <c r="M1007"/>
      <c r="N1007"/>
      <c r="O1007"/>
      <c r="P1007"/>
    </row>
    <row r="1008" spans="1:16">
      <c r="A1008"/>
      <c r="B1008"/>
      <c r="C1008"/>
      <c r="D1008"/>
      <c r="E1008"/>
      <c r="F1008"/>
      <c r="G1008"/>
      <c r="H1008"/>
      <c r="I1008"/>
      <c r="J1008"/>
      <c r="K1008"/>
      <c r="L1008"/>
      <c r="M1008"/>
      <c r="N1008"/>
      <c r="O1008"/>
      <c r="P1008"/>
    </row>
    <row r="1009" spans="1:16">
      <c r="A1009"/>
      <c r="B1009"/>
      <c r="C1009"/>
      <c r="D1009"/>
      <c r="E1009"/>
      <c r="F1009"/>
      <c r="G1009"/>
      <c r="H1009"/>
      <c r="I1009"/>
      <c r="J1009"/>
      <c r="K1009"/>
      <c r="L1009"/>
      <c r="M1009"/>
      <c r="N1009"/>
      <c r="O1009"/>
      <c r="P1009"/>
    </row>
    <row r="1010" spans="1:16">
      <c r="A1010"/>
      <c r="B1010"/>
      <c r="C1010"/>
      <c r="D1010"/>
      <c r="E1010"/>
      <c r="F1010"/>
      <c r="G1010"/>
      <c r="H1010"/>
      <c r="I1010"/>
      <c r="J1010"/>
      <c r="K1010"/>
      <c r="L1010"/>
      <c r="M1010"/>
      <c r="N1010"/>
      <c r="O1010"/>
      <c r="P1010"/>
    </row>
    <row r="1011" spans="1:16">
      <c r="A1011"/>
      <c r="B1011"/>
      <c r="C1011"/>
      <c r="D1011"/>
      <c r="E1011"/>
      <c r="F1011"/>
      <c r="G1011"/>
      <c r="H1011"/>
      <c r="I1011"/>
      <c r="J1011"/>
      <c r="K1011"/>
      <c r="L1011"/>
      <c r="M1011"/>
      <c r="N1011"/>
      <c r="O1011"/>
      <c r="P1011"/>
    </row>
    <row r="1012" spans="1:16">
      <c r="A1012"/>
      <c r="B1012"/>
      <c r="C1012"/>
      <c r="D1012"/>
      <c r="E1012"/>
      <c r="F1012"/>
      <c r="G1012"/>
      <c r="H1012"/>
      <c r="I1012"/>
      <c r="J1012"/>
      <c r="K1012"/>
      <c r="L1012"/>
      <c r="M1012"/>
      <c r="N1012"/>
      <c r="O1012"/>
      <c r="P1012"/>
    </row>
    <row r="1013" spans="1:16">
      <c r="A1013"/>
      <c r="B1013"/>
      <c r="C1013"/>
      <c r="D1013"/>
      <c r="E1013"/>
      <c r="F1013"/>
      <c r="G1013"/>
      <c r="H1013"/>
      <c r="I1013"/>
      <c r="J1013"/>
      <c r="K1013"/>
      <c r="L1013"/>
      <c r="M1013"/>
      <c r="N1013"/>
      <c r="O1013"/>
      <c r="P1013"/>
    </row>
    <row r="1014" spans="1:16">
      <c r="A1014"/>
      <c r="B1014"/>
      <c r="C1014"/>
      <c r="D1014"/>
      <c r="E1014"/>
      <c r="F1014"/>
      <c r="G1014"/>
      <c r="H1014"/>
      <c r="I1014"/>
      <c r="J1014"/>
      <c r="K1014"/>
      <c r="L1014"/>
      <c r="M1014"/>
      <c r="N1014"/>
      <c r="O1014"/>
      <c r="P1014"/>
    </row>
    <row r="1015" spans="1:16">
      <c r="A1015"/>
      <c r="B1015"/>
      <c r="C1015"/>
      <c r="D1015"/>
      <c r="E1015"/>
      <c r="F1015"/>
      <c r="G1015"/>
      <c r="H1015"/>
      <c r="I1015"/>
      <c r="J1015"/>
      <c r="K1015"/>
      <c r="L1015"/>
      <c r="M1015"/>
      <c r="N1015"/>
      <c r="O1015"/>
      <c r="P1015"/>
    </row>
    <row r="1016" spans="1:16">
      <c r="A1016"/>
      <c r="B1016"/>
      <c r="C1016"/>
      <c r="D1016"/>
      <c r="E1016"/>
      <c r="F1016"/>
      <c r="G1016"/>
      <c r="H1016"/>
      <c r="I1016"/>
      <c r="J1016"/>
      <c r="K1016"/>
      <c r="L1016"/>
      <c r="M1016"/>
      <c r="N1016"/>
      <c r="O1016"/>
      <c r="P1016"/>
    </row>
  </sheetData>
  <phoneticPr fontId="61"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87393" r:id="rId4" name="Button 1">
              <controlPr defaultSize="0" print="0" autoFill="0" autoPict="0" macro="[0]!ListStaff">
                <anchor moveWithCells="1" sizeWithCells="1">
                  <from>
                    <xdr:col>1</xdr:col>
                    <xdr:colOff>15240</xdr:colOff>
                    <xdr:row>11</xdr:row>
                    <xdr:rowOff>68580</xdr:rowOff>
                  </from>
                  <to>
                    <xdr:col>1</xdr:col>
                    <xdr:colOff>967740</xdr:colOff>
                    <xdr:row>13</xdr:row>
                    <xdr:rowOff>152400</xdr:rowOff>
                  </to>
                </anchor>
              </controlPr>
            </control>
          </mc:Choice>
        </mc:AlternateContent>
        <mc:AlternateContent xmlns:mc="http://schemas.openxmlformats.org/markup-compatibility/2006">
          <mc:Choice Requires="x14">
            <control shapeId="187395" r:id="rId5" name="Button 3">
              <controlPr defaultSize="0" print="0" autoFill="0" autoPict="0" macro="[0]!ProcessStaffUpdates">
                <anchor moveWithCells="1" sizeWithCells="1">
                  <from>
                    <xdr:col>2</xdr:col>
                    <xdr:colOff>45720</xdr:colOff>
                    <xdr:row>11</xdr:row>
                    <xdr:rowOff>76200</xdr:rowOff>
                  </from>
                  <to>
                    <xdr:col>2</xdr:col>
                    <xdr:colOff>998220</xdr:colOff>
                    <xdr:row>13</xdr:row>
                    <xdr:rowOff>144780</xdr:rowOff>
                  </to>
                </anchor>
              </controlPr>
            </control>
          </mc:Choice>
        </mc:AlternateContent>
        <mc:AlternateContent xmlns:mc="http://schemas.openxmlformats.org/markup-compatibility/2006">
          <mc:Choice Requires="x14">
            <control shapeId="187396" r:id="rId6" name="Button 4">
              <controlPr defaultSize="0" print="0" autoFill="0" autoPict="0" macro="[0]!ListStaffRole">
                <anchor moveWithCells="1" sizeWithCells="1">
                  <from>
                    <xdr:col>5</xdr:col>
                    <xdr:colOff>30480</xdr:colOff>
                    <xdr:row>11</xdr:row>
                    <xdr:rowOff>68580</xdr:rowOff>
                  </from>
                  <to>
                    <xdr:col>5</xdr:col>
                    <xdr:colOff>982980</xdr:colOff>
                    <xdr:row>13</xdr:row>
                    <xdr:rowOff>137160</xdr:rowOff>
                  </to>
                </anchor>
              </controlPr>
            </control>
          </mc:Choice>
        </mc:AlternateContent>
        <mc:AlternateContent xmlns:mc="http://schemas.openxmlformats.org/markup-compatibility/2006">
          <mc:Choice Requires="x14">
            <control shapeId="187397" r:id="rId7" name="Button 5">
              <controlPr defaultSize="0" print="0" autoFill="0" autoPict="0" macro="[0]!ProcessStaffRoleUpdates">
                <anchor moveWithCells="1" sizeWithCells="1">
                  <from>
                    <xdr:col>6</xdr:col>
                    <xdr:colOff>53340</xdr:colOff>
                    <xdr:row>11</xdr:row>
                    <xdr:rowOff>83820</xdr:rowOff>
                  </from>
                  <to>
                    <xdr:col>7</xdr:col>
                    <xdr:colOff>0</xdr:colOff>
                    <xdr:row>13</xdr:row>
                    <xdr:rowOff>152400</xdr:rowOff>
                  </to>
                </anchor>
              </controlPr>
            </control>
          </mc:Choice>
        </mc:AlternateContent>
        <mc:AlternateContent xmlns:mc="http://schemas.openxmlformats.org/markup-compatibility/2006">
          <mc:Choice Requires="x14">
            <control shapeId="187398" r:id="rId8" name="Button 6">
              <controlPr defaultSize="0" print="0" autoFill="0" autoPict="0" macro="[0]!ListWorkTaskCode">
                <anchor moveWithCells="1" sizeWithCells="1">
                  <from>
                    <xdr:col>9</xdr:col>
                    <xdr:colOff>38100</xdr:colOff>
                    <xdr:row>11</xdr:row>
                    <xdr:rowOff>38100</xdr:rowOff>
                  </from>
                  <to>
                    <xdr:col>9</xdr:col>
                    <xdr:colOff>990600</xdr:colOff>
                    <xdr:row>13</xdr:row>
                    <xdr:rowOff>106680</xdr:rowOff>
                  </to>
                </anchor>
              </controlPr>
            </control>
          </mc:Choice>
        </mc:AlternateContent>
        <mc:AlternateContent xmlns:mc="http://schemas.openxmlformats.org/markup-compatibility/2006">
          <mc:Choice Requires="x14">
            <control shapeId="187399" r:id="rId9" name="Button 7">
              <controlPr defaultSize="0" print="0" autoFill="0" autoPict="0" macro="[0]!ProcessWorkTaskCodeUpdates">
                <anchor moveWithCells="1" sizeWithCells="1">
                  <from>
                    <xdr:col>10</xdr:col>
                    <xdr:colOff>38100</xdr:colOff>
                    <xdr:row>11</xdr:row>
                    <xdr:rowOff>38100</xdr:rowOff>
                  </from>
                  <to>
                    <xdr:col>10</xdr:col>
                    <xdr:colOff>990600</xdr:colOff>
                    <xdr:row>13</xdr:row>
                    <xdr:rowOff>106680</xdr:rowOff>
                  </to>
                </anchor>
              </controlPr>
            </control>
          </mc:Choice>
        </mc:AlternateContent>
        <mc:AlternateContent xmlns:mc="http://schemas.openxmlformats.org/markup-compatibility/2006">
          <mc:Choice Requires="x14">
            <control shapeId="187400" r:id="rId10" name="Button 8">
              <controlPr defaultSize="0" print="0" autoFill="0" autoPict="0" macro="[0]!ListWorkTaskStatus">
                <anchor moveWithCells="1" sizeWithCells="1">
                  <from>
                    <xdr:col>13</xdr:col>
                    <xdr:colOff>22860</xdr:colOff>
                    <xdr:row>11</xdr:row>
                    <xdr:rowOff>15240</xdr:rowOff>
                  </from>
                  <to>
                    <xdr:col>13</xdr:col>
                    <xdr:colOff>975360</xdr:colOff>
                    <xdr:row>13</xdr:row>
                    <xdr:rowOff>83820</xdr:rowOff>
                  </to>
                </anchor>
              </controlPr>
            </control>
          </mc:Choice>
        </mc:AlternateContent>
        <mc:AlternateContent xmlns:mc="http://schemas.openxmlformats.org/markup-compatibility/2006">
          <mc:Choice Requires="x14">
            <control shapeId="187401" r:id="rId11" name="Button 9">
              <controlPr defaultSize="0" print="0" autoFill="0" autoPict="0" macro="[0]!ProcessWorkTaskStatusUpdates">
                <anchor moveWithCells="1" sizeWithCells="1">
                  <from>
                    <xdr:col>14</xdr:col>
                    <xdr:colOff>45720</xdr:colOff>
                    <xdr:row>11</xdr:row>
                    <xdr:rowOff>7620</xdr:rowOff>
                  </from>
                  <to>
                    <xdr:col>14</xdr:col>
                    <xdr:colOff>998220</xdr:colOff>
                    <xdr:row>13</xdr:row>
                    <xdr:rowOff>76200</xdr:rowOff>
                  </to>
                </anchor>
              </controlPr>
            </control>
          </mc:Choice>
        </mc:AlternateContent>
        <mc:AlternateContent xmlns:mc="http://schemas.openxmlformats.org/markup-compatibility/2006">
          <mc:Choice Requires="x14">
            <control shapeId="187402" r:id="rId12" name="Button 10">
              <controlPr defaultSize="0" print="0" autoFill="0" autoPict="0" macro="[0]!SetupSheets">
                <anchor moveWithCells="1" sizeWithCells="1">
                  <from>
                    <xdr:col>17</xdr:col>
                    <xdr:colOff>99060</xdr:colOff>
                    <xdr:row>11</xdr:row>
                    <xdr:rowOff>68580</xdr:rowOff>
                  </from>
                  <to>
                    <xdr:col>17</xdr:col>
                    <xdr:colOff>876300</xdr:colOff>
                    <xdr:row>13</xdr:row>
                    <xdr:rowOff>83820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01730-E8B6-4C31-B302-B0CB4D9782B6}">
  <sheetPr codeName="Sheet62">
    <tabColor theme="4"/>
  </sheetPr>
  <dimension ref="A4:R1009"/>
  <sheetViews>
    <sheetView workbookViewId="0">
      <selection activeCell="C19" sqref="C19"/>
    </sheetView>
  </sheetViews>
  <sheetFormatPr defaultRowHeight="14.4"/>
  <cols>
    <col min="1" max="1" width="8.44140625" customWidth="1"/>
    <col min="2" max="2" width="13" customWidth="1"/>
    <col min="3" max="3" width="15.88671875" customWidth="1"/>
    <col min="4" max="4" width="34.77734375" customWidth="1"/>
    <col min="5" max="7" width="15.109375" customWidth="1"/>
    <col min="8" max="8" width="13.44140625" customWidth="1"/>
    <col min="9" max="9" width="13.44140625" style="304" customWidth="1"/>
    <col min="10" max="10" width="15.109375" style="304" customWidth="1"/>
    <col min="11" max="12" width="12" customWidth="1"/>
    <col min="13" max="18" width="9.21875" customWidth="1"/>
  </cols>
  <sheetData>
    <row r="4" spans="1:18" ht="15" thickBot="1"/>
    <row r="5" spans="1:18" ht="15" thickBot="1">
      <c r="F5" t="s">
        <v>1252</v>
      </c>
      <c r="H5" s="306"/>
      <c r="I5" s="306"/>
      <c r="J5" s="306"/>
    </row>
    <row r="6" spans="1:18" ht="15" thickBot="1">
      <c r="B6" s="305"/>
      <c r="C6" s="305" t="s">
        <v>1253</v>
      </c>
      <c r="E6" s="305" t="s">
        <v>1254</v>
      </c>
      <c r="F6" s="305" t="s">
        <v>1255</v>
      </c>
      <c r="G6" s="305" t="s">
        <v>1256</v>
      </c>
      <c r="H6" s="306"/>
      <c r="I6" s="306"/>
      <c r="J6" s="306"/>
    </row>
    <row r="7" spans="1:18" s="303" customFormat="1" ht="28.8">
      <c r="A7" s="303" t="s">
        <v>1257</v>
      </c>
      <c r="B7" s="303" t="s">
        <v>1258</v>
      </c>
      <c r="C7" s="312" t="s">
        <v>1259</v>
      </c>
      <c r="D7" s="303" t="s">
        <v>1260</v>
      </c>
      <c r="E7" s="303" t="s">
        <v>1261</v>
      </c>
      <c r="F7" s="303" t="s">
        <v>1262</v>
      </c>
      <c r="G7" s="303" t="s">
        <v>1263</v>
      </c>
      <c r="H7" t="s">
        <v>1264</v>
      </c>
      <c r="I7" s="303" t="s">
        <v>1265</v>
      </c>
      <c r="J7" s="303" t="s">
        <v>1266</v>
      </c>
      <c r="K7" s="312" t="s">
        <v>1267</v>
      </c>
      <c r="M7" s="303" t="s">
        <v>1268</v>
      </c>
      <c r="N7" s="303" t="s">
        <v>1269</v>
      </c>
      <c r="O7" s="303" t="s">
        <v>1270</v>
      </c>
      <c r="P7" s="303" t="s">
        <v>1271</v>
      </c>
      <c r="Q7" s="303" t="s">
        <v>1272</v>
      </c>
      <c r="R7" s="303" t="s">
        <v>1273</v>
      </c>
    </row>
    <row r="8" spans="1:18">
      <c r="A8">
        <v>1</v>
      </c>
      <c r="B8" t="s">
        <v>1274</v>
      </c>
      <c r="C8" t="str">
        <f>VLOOKUP(N8,tbl_TaskCodeX,4,FALSE)</f>
        <v>3. 50p</v>
      </c>
      <c r="D8" t="s">
        <v>1275</v>
      </c>
      <c r="E8" t="str">
        <f>VLOOKUP(O8,tbl_TaskStatusX,4,FALSE)</f>
        <v>3. WIP</v>
      </c>
      <c r="F8" t="str">
        <f>VLOOKUP(P8,tbl_StaffX,4,FALSE)</f>
        <v>3. Joan van Zyl</v>
      </c>
      <c r="G8" t="str">
        <f>VLOOKUP(Q8,tbl_StaffRoleX,4,FALSE)</f>
        <v>2. ATL</v>
      </c>
      <c r="H8" s="307">
        <v>44768</v>
      </c>
      <c r="I8" s="307">
        <v>44782</v>
      </c>
      <c r="J8" s="307">
        <v>44796</v>
      </c>
      <c r="N8">
        <v>3</v>
      </c>
      <c r="O8">
        <v>3</v>
      </c>
      <c r="P8">
        <v>3</v>
      </c>
      <c r="Q8">
        <v>2</v>
      </c>
    </row>
    <row r="9" spans="1:18">
      <c r="A9">
        <v>2</v>
      </c>
      <c r="B9" t="s">
        <v>1276</v>
      </c>
      <c r="C9" t="str">
        <f>VLOOKUP(N9,tbl_TaskCodeX,4,FALSE)</f>
        <v>2. 30p</v>
      </c>
      <c r="D9" t="s">
        <v>1277</v>
      </c>
      <c r="E9" t="str">
        <f>VLOOKUP(O9,tbl_TaskStatusX,4,FALSE)</f>
        <v>3. WIP</v>
      </c>
      <c r="F9" t="str">
        <f>VLOOKUP(P9,tbl_StaffX,4,FALSE)</f>
        <v>2. Pieter van Zyl</v>
      </c>
      <c r="G9" t="str">
        <f>VLOOKUP(Q9,tbl_StaffRoleX,4,FALSE)</f>
        <v>1. None</v>
      </c>
      <c r="H9" s="307">
        <v>44775</v>
      </c>
      <c r="I9" s="307">
        <v>44775</v>
      </c>
      <c r="J9" s="307">
        <v>44775</v>
      </c>
      <c r="N9">
        <v>2</v>
      </c>
      <c r="O9">
        <v>3</v>
      </c>
      <c r="P9">
        <v>2</v>
      </c>
      <c r="Q9">
        <v>1</v>
      </c>
    </row>
    <row r="10" spans="1:18">
      <c r="A10">
        <v>3</v>
      </c>
      <c r="B10" t="s">
        <v>1276</v>
      </c>
      <c r="C10" t="str">
        <f>VLOOKUP(N10,tbl_TaskCodeX,4,FALSE)</f>
        <v>2. 30p</v>
      </c>
      <c r="D10" t="s">
        <v>1278</v>
      </c>
      <c r="E10" t="str">
        <f>VLOOKUP(O10,tbl_TaskStatusX,4,FALSE)</f>
        <v>3. WIP</v>
      </c>
      <c r="F10" t="str">
        <f>VLOOKUP(P10,tbl_StaffX,4,FALSE)</f>
        <v>2. Pieter van Zyl</v>
      </c>
      <c r="G10" t="str">
        <f>VLOOKUP(Q10,tbl_StaffRoleX,4,FALSE)</f>
        <v>1. None</v>
      </c>
      <c r="H10" s="307">
        <v>44775</v>
      </c>
      <c r="I10" s="307">
        <v>44775</v>
      </c>
      <c r="J10"/>
      <c r="N10">
        <v>2</v>
      </c>
      <c r="O10">
        <v>3</v>
      </c>
      <c r="P10">
        <v>2</v>
      </c>
      <c r="Q10">
        <v>1</v>
      </c>
    </row>
    <row r="11" spans="1:18">
      <c r="A11">
        <v>4</v>
      </c>
      <c r="B11" t="s">
        <v>1279</v>
      </c>
      <c r="C11" t="str">
        <f>VLOOKUP(N11,tbl_TaskCodeX,4,FALSE)</f>
        <v>2. 30p</v>
      </c>
      <c r="D11" t="s">
        <v>1280</v>
      </c>
      <c r="E11" t="str">
        <f>VLOOKUP(O11,tbl_TaskStatusX,4,FALSE)</f>
        <v>2. Not started</v>
      </c>
      <c r="F11" t="str">
        <f>VLOOKUP(P11,tbl_StaffX,4,FALSE)</f>
        <v>2. Pieter van Zyl</v>
      </c>
      <c r="G11" t="str">
        <f>VLOOKUP(Q11,tbl_StaffRoleX,4,FALSE)</f>
        <v>2. ATL</v>
      </c>
      <c r="H11" s="307">
        <v>44775</v>
      </c>
      <c r="I11" s="307">
        <v>44782</v>
      </c>
      <c r="J11"/>
      <c r="N11">
        <v>2</v>
      </c>
      <c r="O11">
        <v>2</v>
      </c>
      <c r="P11">
        <v>2</v>
      </c>
      <c r="Q11">
        <v>2</v>
      </c>
    </row>
    <row r="12" spans="1:18">
      <c r="I12"/>
      <c r="J12"/>
    </row>
    <row r="13" spans="1:18">
      <c r="I13"/>
      <c r="J13"/>
    </row>
    <row r="14" spans="1:18">
      <c r="I14"/>
      <c r="J14"/>
    </row>
    <row r="15" spans="1:18">
      <c r="I15"/>
      <c r="J15"/>
    </row>
    <row r="16" spans="1:18">
      <c r="I16"/>
      <c r="J16"/>
    </row>
    <row r="17" spans="9:10">
      <c r="I17"/>
      <c r="J17"/>
    </row>
    <row r="18" spans="9:10">
      <c r="I18"/>
      <c r="J18"/>
    </row>
    <row r="19" spans="9:10">
      <c r="I19"/>
      <c r="J19"/>
    </row>
    <row r="20" spans="9:10">
      <c r="I20"/>
      <c r="J20"/>
    </row>
    <row r="21" spans="9:10">
      <c r="I21"/>
      <c r="J21"/>
    </row>
    <row r="22" spans="9:10">
      <c r="I22"/>
      <c r="J22"/>
    </row>
    <row r="23" spans="9:10">
      <c r="I23"/>
      <c r="J23"/>
    </row>
    <row r="24" spans="9:10">
      <c r="I24"/>
      <c r="J24"/>
    </row>
    <row r="25" spans="9:10">
      <c r="I25"/>
      <c r="J25"/>
    </row>
    <row r="26" spans="9:10">
      <c r="I26"/>
      <c r="J26"/>
    </row>
    <row r="27" spans="9:10">
      <c r="I27"/>
      <c r="J27"/>
    </row>
    <row r="28" spans="9:10">
      <c r="I28"/>
      <c r="J28"/>
    </row>
    <row r="29" spans="9:10">
      <c r="I29"/>
      <c r="J29"/>
    </row>
    <row r="30" spans="9:10">
      <c r="I30"/>
      <c r="J30"/>
    </row>
    <row r="31" spans="9:10">
      <c r="I31"/>
      <c r="J31"/>
    </row>
    <row r="32" spans="9:10">
      <c r="I32"/>
      <c r="J32"/>
    </row>
    <row r="33" spans="9:10">
      <c r="I33"/>
      <c r="J33"/>
    </row>
    <row r="34" spans="9:10">
      <c r="I34"/>
      <c r="J34"/>
    </row>
    <row r="35" spans="9:10">
      <c r="I35"/>
      <c r="J35"/>
    </row>
    <row r="36" spans="9:10">
      <c r="I36"/>
      <c r="J36"/>
    </row>
    <row r="37" spans="9:10">
      <c r="I37"/>
      <c r="J37"/>
    </row>
    <row r="38" spans="9:10">
      <c r="I38"/>
      <c r="J38"/>
    </row>
    <row r="39" spans="9:10">
      <c r="I39"/>
      <c r="J39"/>
    </row>
    <row r="40" spans="9:10">
      <c r="I40"/>
      <c r="J40"/>
    </row>
    <row r="41" spans="9:10">
      <c r="I41"/>
      <c r="J41"/>
    </row>
    <row r="42" spans="9:10">
      <c r="I42"/>
      <c r="J42"/>
    </row>
    <row r="43" spans="9:10">
      <c r="I43"/>
      <c r="J43"/>
    </row>
    <row r="44" spans="9:10">
      <c r="I44"/>
      <c r="J44"/>
    </row>
    <row r="45" spans="9:10">
      <c r="I45"/>
      <c r="J45"/>
    </row>
    <row r="46" spans="9:10">
      <c r="I46"/>
      <c r="J46"/>
    </row>
    <row r="47" spans="9:10">
      <c r="I47"/>
      <c r="J47"/>
    </row>
    <row r="48" spans="9:10">
      <c r="I48"/>
      <c r="J48"/>
    </row>
    <row r="49" spans="9:10">
      <c r="I49"/>
      <c r="J49"/>
    </row>
    <row r="50" spans="9:10">
      <c r="I50"/>
      <c r="J50"/>
    </row>
    <row r="51" spans="9:10">
      <c r="I51"/>
      <c r="J51"/>
    </row>
    <row r="52" spans="9:10">
      <c r="I52"/>
      <c r="J52"/>
    </row>
    <row r="53" spans="9:10">
      <c r="I53"/>
      <c r="J53"/>
    </row>
    <row r="54" spans="9:10">
      <c r="I54"/>
      <c r="J54"/>
    </row>
    <row r="55" spans="9:10">
      <c r="I55"/>
      <c r="J55"/>
    </row>
    <row r="56" spans="9:10">
      <c r="I56"/>
      <c r="J56"/>
    </row>
    <row r="57" spans="9:10">
      <c r="I57"/>
      <c r="J57"/>
    </row>
    <row r="58" spans="9:10">
      <c r="I58"/>
      <c r="J58"/>
    </row>
    <row r="59" spans="9:10">
      <c r="I59"/>
      <c r="J59"/>
    </row>
    <row r="60" spans="9:10">
      <c r="I60"/>
      <c r="J60"/>
    </row>
    <row r="61" spans="9:10">
      <c r="I61"/>
      <c r="J61"/>
    </row>
    <row r="62" spans="9:10">
      <c r="I62"/>
      <c r="J62"/>
    </row>
    <row r="63" spans="9:10">
      <c r="I63"/>
      <c r="J63"/>
    </row>
    <row r="64" spans="9:10">
      <c r="I64"/>
      <c r="J64"/>
    </row>
    <row r="65" spans="9:10">
      <c r="I65"/>
      <c r="J65"/>
    </row>
    <row r="66" spans="9:10">
      <c r="I66"/>
      <c r="J66"/>
    </row>
    <row r="67" spans="9:10">
      <c r="I67"/>
      <c r="J67"/>
    </row>
    <row r="68" spans="9:10">
      <c r="I68"/>
      <c r="J68"/>
    </row>
    <row r="69" spans="9:10">
      <c r="I69"/>
      <c r="J69"/>
    </row>
    <row r="70" spans="9:10">
      <c r="I70"/>
      <c r="J70"/>
    </row>
    <row r="71" spans="9:10">
      <c r="I71"/>
      <c r="J71"/>
    </row>
    <row r="72" spans="9:10">
      <c r="I72"/>
      <c r="J72"/>
    </row>
    <row r="73" spans="9:10">
      <c r="I73"/>
      <c r="J73"/>
    </row>
    <row r="74" spans="9:10">
      <c r="I74"/>
      <c r="J74"/>
    </row>
    <row r="75" spans="9:10">
      <c r="I75"/>
      <c r="J75"/>
    </row>
    <row r="76" spans="9:10">
      <c r="I76"/>
      <c r="J76"/>
    </row>
    <row r="77" spans="9:10">
      <c r="I77"/>
      <c r="J77"/>
    </row>
    <row r="78" spans="9:10">
      <c r="I78"/>
      <c r="J78"/>
    </row>
    <row r="79" spans="9:10">
      <c r="I79"/>
      <c r="J79"/>
    </row>
    <row r="80" spans="9:10">
      <c r="I80"/>
      <c r="J80"/>
    </row>
    <row r="81" spans="9:10">
      <c r="I81"/>
      <c r="J81"/>
    </row>
    <row r="82" spans="9:10">
      <c r="I82"/>
      <c r="J82"/>
    </row>
    <row r="83" spans="9:10">
      <c r="I83"/>
      <c r="J83"/>
    </row>
    <row r="84" spans="9:10">
      <c r="I84"/>
      <c r="J84"/>
    </row>
    <row r="85" spans="9:10">
      <c r="I85"/>
      <c r="J85"/>
    </row>
    <row r="86" spans="9:10">
      <c r="I86"/>
      <c r="J86"/>
    </row>
    <row r="87" spans="9:10">
      <c r="I87"/>
      <c r="J87"/>
    </row>
    <row r="88" spans="9:10">
      <c r="I88"/>
      <c r="J88"/>
    </row>
    <row r="89" spans="9:10">
      <c r="I89"/>
      <c r="J89"/>
    </row>
    <row r="90" spans="9:10">
      <c r="I90"/>
      <c r="J90"/>
    </row>
    <row r="91" spans="9:10">
      <c r="I91"/>
      <c r="J91"/>
    </row>
    <row r="92" spans="9:10">
      <c r="I92"/>
      <c r="J92"/>
    </row>
    <row r="93" spans="9:10">
      <c r="I93"/>
      <c r="J93"/>
    </row>
    <row r="94" spans="9:10">
      <c r="I94"/>
      <c r="J94"/>
    </row>
    <row r="95" spans="9:10">
      <c r="I95"/>
      <c r="J95"/>
    </row>
    <row r="96" spans="9:10">
      <c r="I96"/>
      <c r="J96"/>
    </row>
    <row r="97" spans="9:10">
      <c r="I97"/>
      <c r="J97"/>
    </row>
    <row r="98" spans="9:10">
      <c r="I98"/>
      <c r="J98"/>
    </row>
    <row r="99" spans="9:10">
      <c r="I99"/>
      <c r="J99"/>
    </row>
    <row r="100" spans="9:10">
      <c r="I100"/>
      <c r="J100"/>
    </row>
    <row r="101" spans="9:10">
      <c r="I101"/>
      <c r="J101"/>
    </row>
    <row r="102" spans="9:10">
      <c r="I102"/>
      <c r="J102"/>
    </row>
    <row r="103" spans="9:10">
      <c r="I103"/>
      <c r="J103"/>
    </row>
    <row r="104" spans="9:10">
      <c r="I104"/>
      <c r="J104"/>
    </row>
    <row r="105" spans="9:10">
      <c r="I105"/>
      <c r="J105"/>
    </row>
    <row r="106" spans="9:10">
      <c r="I106"/>
      <c r="J106"/>
    </row>
    <row r="107" spans="9:10">
      <c r="I107"/>
      <c r="J107"/>
    </row>
    <row r="108" spans="9:10">
      <c r="I108"/>
      <c r="J108"/>
    </row>
    <row r="109" spans="9:10">
      <c r="I109"/>
      <c r="J109"/>
    </row>
    <row r="110" spans="9:10">
      <c r="I110"/>
      <c r="J110"/>
    </row>
    <row r="111" spans="9:10">
      <c r="I111"/>
      <c r="J111"/>
    </row>
    <row r="112" spans="9:10">
      <c r="I112"/>
      <c r="J112"/>
    </row>
    <row r="113" spans="9:10">
      <c r="I113"/>
      <c r="J113"/>
    </row>
    <row r="114" spans="9:10">
      <c r="I114"/>
      <c r="J114"/>
    </row>
    <row r="115" spans="9:10">
      <c r="I115"/>
      <c r="J115"/>
    </row>
    <row r="116" spans="9:10">
      <c r="I116"/>
      <c r="J116"/>
    </row>
    <row r="117" spans="9:10">
      <c r="I117"/>
      <c r="J117"/>
    </row>
    <row r="118" spans="9:10">
      <c r="I118"/>
      <c r="J118"/>
    </row>
    <row r="119" spans="9:10">
      <c r="I119"/>
      <c r="J119"/>
    </row>
    <row r="120" spans="9:10">
      <c r="I120"/>
      <c r="J120"/>
    </row>
    <row r="121" spans="9:10">
      <c r="I121"/>
      <c r="J121"/>
    </row>
    <row r="122" spans="9:10">
      <c r="I122"/>
      <c r="J122"/>
    </row>
    <row r="123" spans="9:10">
      <c r="I123"/>
      <c r="J123"/>
    </row>
    <row r="124" spans="9:10">
      <c r="I124"/>
      <c r="J124"/>
    </row>
    <row r="125" spans="9:10">
      <c r="I125"/>
      <c r="J125"/>
    </row>
    <row r="126" spans="9:10">
      <c r="I126"/>
      <c r="J126"/>
    </row>
    <row r="127" spans="9:10">
      <c r="I127"/>
      <c r="J127"/>
    </row>
    <row r="128" spans="9:10">
      <c r="I128"/>
      <c r="J128"/>
    </row>
    <row r="129" spans="9:10">
      <c r="I129"/>
      <c r="J129"/>
    </row>
    <row r="130" spans="9:10">
      <c r="I130"/>
      <c r="J130"/>
    </row>
    <row r="131" spans="9:10">
      <c r="I131"/>
      <c r="J131"/>
    </row>
    <row r="132" spans="9:10">
      <c r="I132"/>
      <c r="J132"/>
    </row>
    <row r="133" spans="9:10">
      <c r="I133"/>
      <c r="J133"/>
    </row>
    <row r="134" spans="9:10">
      <c r="I134"/>
      <c r="J134"/>
    </row>
    <row r="135" spans="9:10">
      <c r="I135"/>
      <c r="J135"/>
    </row>
    <row r="136" spans="9:10">
      <c r="I136"/>
      <c r="J136"/>
    </row>
    <row r="137" spans="9:10">
      <c r="I137"/>
      <c r="J137"/>
    </row>
    <row r="138" spans="9:10">
      <c r="I138"/>
      <c r="J138"/>
    </row>
    <row r="139" spans="9:10">
      <c r="I139"/>
      <c r="J139"/>
    </row>
    <row r="140" spans="9:10">
      <c r="I140"/>
      <c r="J140"/>
    </row>
    <row r="141" spans="9:10">
      <c r="I141"/>
      <c r="J141"/>
    </row>
    <row r="142" spans="9:10">
      <c r="I142"/>
      <c r="J142"/>
    </row>
    <row r="143" spans="9:10">
      <c r="I143"/>
      <c r="J143"/>
    </row>
    <row r="144" spans="9:10">
      <c r="I144"/>
      <c r="J144"/>
    </row>
    <row r="145" spans="9:10">
      <c r="I145"/>
      <c r="J145"/>
    </row>
    <row r="146" spans="9:10">
      <c r="I146"/>
      <c r="J146"/>
    </row>
    <row r="147" spans="9:10">
      <c r="I147"/>
      <c r="J147"/>
    </row>
    <row r="148" spans="9:10">
      <c r="I148"/>
      <c r="J148"/>
    </row>
    <row r="149" spans="9:10">
      <c r="I149"/>
      <c r="J149"/>
    </row>
    <row r="150" spans="9:10">
      <c r="I150"/>
      <c r="J150"/>
    </row>
    <row r="151" spans="9:10">
      <c r="I151"/>
      <c r="J151"/>
    </row>
    <row r="152" spans="9:10">
      <c r="I152"/>
      <c r="J152"/>
    </row>
    <row r="153" spans="9:10">
      <c r="I153"/>
      <c r="J153"/>
    </row>
    <row r="154" spans="9:10">
      <c r="I154"/>
      <c r="J154"/>
    </row>
    <row r="155" spans="9:10">
      <c r="I155"/>
      <c r="J155"/>
    </row>
    <row r="156" spans="9:10">
      <c r="I156"/>
      <c r="J156"/>
    </row>
    <row r="157" spans="9:10">
      <c r="I157"/>
      <c r="J157"/>
    </row>
    <row r="158" spans="9:10">
      <c r="I158"/>
      <c r="J158"/>
    </row>
    <row r="159" spans="9:10">
      <c r="I159"/>
      <c r="J159"/>
    </row>
    <row r="160" spans="9:10">
      <c r="I160"/>
      <c r="J160"/>
    </row>
    <row r="161" spans="9:10">
      <c r="I161"/>
      <c r="J161"/>
    </row>
    <row r="162" spans="9:10">
      <c r="I162"/>
      <c r="J162"/>
    </row>
    <row r="163" spans="9:10">
      <c r="I163"/>
      <c r="J163"/>
    </row>
    <row r="164" spans="9:10">
      <c r="I164"/>
      <c r="J164"/>
    </row>
    <row r="165" spans="9:10">
      <c r="I165"/>
      <c r="J165"/>
    </row>
    <row r="166" spans="9:10">
      <c r="I166"/>
      <c r="J166"/>
    </row>
    <row r="167" spans="9:10">
      <c r="I167"/>
      <c r="J167"/>
    </row>
    <row r="168" spans="9:10">
      <c r="I168"/>
      <c r="J168"/>
    </row>
    <row r="169" spans="9:10">
      <c r="I169"/>
      <c r="J169"/>
    </row>
    <row r="170" spans="9:10">
      <c r="I170"/>
      <c r="J170"/>
    </row>
    <row r="171" spans="9:10">
      <c r="I171"/>
      <c r="J171"/>
    </row>
    <row r="172" spans="9:10">
      <c r="I172"/>
      <c r="J172"/>
    </row>
    <row r="173" spans="9:10">
      <c r="I173"/>
      <c r="J173"/>
    </row>
    <row r="174" spans="9:10">
      <c r="I174"/>
      <c r="J174"/>
    </row>
    <row r="175" spans="9:10">
      <c r="I175"/>
      <c r="J175"/>
    </row>
    <row r="176" spans="9:10">
      <c r="I176"/>
      <c r="J176"/>
    </row>
    <row r="177" spans="9:10">
      <c r="I177"/>
      <c r="J177"/>
    </row>
    <row r="178" spans="9:10">
      <c r="I178"/>
      <c r="J178"/>
    </row>
    <row r="179" spans="9:10">
      <c r="I179"/>
      <c r="J179"/>
    </row>
    <row r="180" spans="9:10">
      <c r="I180"/>
      <c r="J180"/>
    </row>
    <row r="181" spans="9:10">
      <c r="I181"/>
      <c r="J181"/>
    </row>
    <row r="182" spans="9:10">
      <c r="I182"/>
      <c r="J182"/>
    </row>
    <row r="183" spans="9:10">
      <c r="I183"/>
      <c r="J183"/>
    </row>
    <row r="184" spans="9:10">
      <c r="I184"/>
      <c r="J184"/>
    </row>
    <row r="185" spans="9:10">
      <c r="I185"/>
      <c r="J185"/>
    </row>
    <row r="186" spans="9:10">
      <c r="I186"/>
      <c r="J186"/>
    </row>
    <row r="187" spans="9:10">
      <c r="I187"/>
      <c r="J187"/>
    </row>
    <row r="188" spans="9:10">
      <c r="I188"/>
      <c r="J188"/>
    </row>
    <row r="189" spans="9:10">
      <c r="I189"/>
      <c r="J189"/>
    </row>
    <row r="190" spans="9:10">
      <c r="I190"/>
      <c r="J190"/>
    </row>
    <row r="191" spans="9:10">
      <c r="I191"/>
      <c r="J191"/>
    </row>
    <row r="192" spans="9:10">
      <c r="I192"/>
      <c r="J192"/>
    </row>
    <row r="193" spans="9:10">
      <c r="I193"/>
      <c r="J193"/>
    </row>
    <row r="194" spans="9:10">
      <c r="I194"/>
      <c r="J194"/>
    </row>
    <row r="195" spans="9:10">
      <c r="I195"/>
      <c r="J195"/>
    </row>
    <row r="196" spans="9:10">
      <c r="I196"/>
      <c r="J196"/>
    </row>
    <row r="197" spans="9:10">
      <c r="I197"/>
      <c r="J197"/>
    </row>
    <row r="198" spans="9:10">
      <c r="I198"/>
      <c r="J198"/>
    </row>
    <row r="199" spans="9:10">
      <c r="I199"/>
      <c r="J199"/>
    </row>
    <row r="200" spans="9:10">
      <c r="I200"/>
      <c r="J200"/>
    </row>
    <row r="201" spans="9:10">
      <c r="I201"/>
      <c r="J201"/>
    </row>
    <row r="202" spans="9:10">
      <c r="I202"/>
      <c r="J202"/>
    </row>
    <row r="203" spans="9:10">
      <c r="I203"/>
      <c r="J203"/>
    </row>
    <row r="204" spans="9:10">
      <c r="I204"/>
      <c r="J204"/>
    </row>
    <row r="205" spans="9:10">
      <c r="I205"/>
      <c r="J205"/>
    </row>
    <row r="206" spans="9:10">
      <c r="I206"/>
      <c r="J206"/>
    </row>
    <row r="207" spans="9:10">
      <c r="I207"/>
      <c r="J207"/>
    </row>
    <row r="208" spans="9:10">
      <c r="I208"/>
      <c r="J208"/>
    </row>
    <row r="209" spans="9:10">
      <c r="I209"/>
      <c r="J209"/>
    </row>
    <row r="210" spans="9:10">
      <c r="I210"/>
      <c r="J210"/>
    </row>
    <row r="211" spans="9:10">
      <c r="I211"/>
      <c r="J211"/>
    </row>
    <row r="212" spans="9:10">
      <c r="I212"/>
      <c r="J212"/>
    </row>
    <row r="213" spans="9:10">
      <c r="I213"/>
      <c r="J213"/>
    </row>
    <row r="214" spans="9:10">
      <c r="I214"/>
      <c r="J214"/>
    </row>
    <row r="215" spans="9:10">
      <c r="I215"/>
      <c r="J215"/>
    </row>
    <row r="216" spans="9:10">
      <c r="I216"/>
      <c r="J216"/>
    </row>
    <row r="217" spans="9:10">
      <c r="I217"/>
      <c r="J217"/>
    </row>
    <row r="218" spans="9:10">
      <c r="I218"/>
      <c r="J218"/>
    </row>
    <row r="219" spans="9:10">
      <c r="I219"/>
      <c r="J219"/>
    </row>
    <row r="220" spans="9:10">
      <c r="I220"/>
      <c r="J220"/>
    </row>
    <row r="221" spans="9:10">
      <c r="I221"/>
      <c r="J221"/>
    </row>
    <row r="222" spans="9:10">
      <c r="I222"/>
      <c r="J222"/>
    </row>
    <row r="223" spans="9:10">
      <c r="I223"/>
      <c r="J223"/>
    </row>
    <row r="224" spans="9:10">
      <c r="I224"/>
      <c r="J224"/>
    </row>
    <row r="225" spans="9:10">
      <c r="I225"/>
      <c r="J225"/>
    </row>
    <row r="226" spans="9:10">
      <c r="I226"/>
      <c r="J226"/>
    </row>
    <row r="227" spans="9:10">
      <c r="I227"/>
      <c r="J227"/>
    </row>
    <row r="228" spans="9:10">
      <c r="I228"/>
      <c r="J228"/>
    </row>
    <row r="229" spans="9:10">
      <c r="I229"/>
      <c r="J229"/>
    </row>
    <row r="230" spans="9:10">
      <c r="I230"/>
      <c r="J230"/>
    </row>
    <row r="231" spans="9:10">
      <c r="I231"/>
      <c r="J231"/>
    </row>
    <row r="232" spans="9:10">
      <c r="I232"/>
      <c r="J232"/>
    </row>
    <row r="233" spans="9:10">
      <c r="I233"/>
      <c r="J233"/>
    </row>
    <row r="234" spans="9:10">
      <c r="I234"/>
      <c r="J234"/>
    </row>
    <row r="235" spans="9:10">
      <c r="I235"/>
      <c r="J235"/>
    </row>
    <row r="236" spans="9:10">
      <c r="I236"/>
      <c r="J236"/>
    </row>
    <row r="237" spans="9:10">
      <c r="I237"/>
      <c r="J237"/>
    </row>
    <row r="238" spans="9:10">
      <c r="I238"/>
      <c r="J238"/>
    </row>
    <row r="239" spans="9:10">
      <c r="I239"/>
      <c r="J239"/>
    </row>
    <row r="240" spans="9:10">
      <c r="I240"/>
      <c r="J240"/>
    </row>
    <row r="241" spans="9:10">
      <c r="I241"/>
      <c r="J241"/>
    </row>
    <row r="242" spans="9:10">
      <c r="I242"/>
      <c r="J242"/>
    </row>
    <row r="243" spans="9:10">
      <c r="I243"/>
      <c r="J243"/>
    </row>
    <row r="244" spans="9:10">
      <c r="I244"/>
      <c r="J244"/>
    </row>
    <row r="245" spans="9:10">
      <c r="I245"/>
      <c r="J245"/>
    </row>
    <row r="246" spans="9:10">
      <c r="I246"/>
      <c r="J246"/>
    </row>
    <row r="247" spans="9:10">
      <c r="I247"/>
      <c r="J247"/>
    </row>
    <row r="248" spans="9:10">
      <c r="I248"/>
      <c r="J248"/>
    </row>
    <row r="249" spans="9:10">
      <c r="I249"/>
      <c r="J249"/>
    </row>
    <row r="250" spans="9:10">
      <c r="I250"/>
      <c r="J250"/>
    </row>
    <row r="251" spans="9:10">
      <c r="I251"/>
      <c r="J251"/>
    </row>
    <row r="252" spans="9:10">
      <c r="I252"/>
      <c r="J252"/>
    </row>
    <row r="253" spans="9:10">
      <c r="I253"/>
      <c r="J253"/>
    </row>
    <row r="254" spans="9:10">
      <c r="I254"/>
      <c r="J254"/>
    </row>
    <row r="255" spans="9:10">
      <c r="I255"/>
      <c r="J255"/>
    </row>
    <row r="256" spans="9:10">
      <c r="I256"/>
      <c r="J256"/>
    </row>
    <row r="257" spans="9:10">
      <c r="I257"/>
      <c r="J257"/>
    </row>
    <row r="258" spans="9:10">
      <c r="I258"/>
      <c r="J258"/>
    </row>
    <row r="259" spans="9:10">
      <c r="I259"/>
      <c r="J259"/>
    </row>
    <row r="260" spans="9:10">
      <c r="I260"/>
      <c r="J260"/>
    </row>
    <row r="261" spans="9:10">
      <c r="I261"/>
      <c r="J261"/>
    </row>
    <row r="262" spans="9:10">
      <c r="I262"/>
      <c r="J262"/>
    </row>
    <row r="263" spans="9:10">
      <c r="I263"/>
      <c r="J263"/>
    </row>
    <row r="264" spans="9:10">
      <c r="I264"/>
      <c r="J264"/>
    </row>
    <row r="265" spans="9:10">
      <c r="I265"/>
      <c r="J265"/>
    </row>
    <row r="266" spans="9:10">
      <c r="I266"/>
      <c r="J266"/>
    </row>
    <row r="267" spans="9:10">
      <c r="I267"/>
      <c r="J267"/>
    </row>
    <row r="268" spans="9:10">
      <c r="I268"/>
      <c r="J268"/>
    </row>
    <row r="269" spans="9:10">
      <c r="I269"/>
      <c r="J269"/>
    </row>
    <row r="270" spans="9:10">
      <c r="I270"/>
      <c r="J270"/>
    </row>
    <row r="271" spans="9:10">
      <c r="I271"/>
      <c r="J271"/>
    </row>
    <row r="272" spans="9:10">
      <c r="I272"/>
      <c r="J272"/>
    </row>
    <row r="273" spans="9:10">
      <c r="I273"/>
      <c r="J273"/>
    </row>
    <row r="274" spans="9:10">
      <c r="I274"/>
      <c r="J274"/>
    </row>
    <row r="275" spans="9:10">
      <c r="I275"/>
      <c r="J275"/>
    </row>
    <row r="276" spans="9:10">
      <c r="I276"/>
      <c r="J276"/>
    </row>
    <row r="277" spans="9:10">
      <c r="I277"/>
      <c r="J277"/>
    </row>
    <row r="278" spans="9:10">
      <c r="I278"/>
      <c r="J278"/>
    </row>
    <row r="279" spans="9:10">
      <c r="I279"/>
      <c r="J279"/>
    </row>
    <row r="280" spans="9:10">
      <c r="I280"/>
      <c r="J280"/>
    </row>
    <row r="281" spans="9:10">
      <c r="I281"/>
      <c r="J281"/>
    </row>
    <row r="282" spans="9:10">
      <c r="I282"/>
      <c r="J282"/>
    </row>
    <row r="283" spans="9:10">
      <c r="I283"/>
      <c r="J283"/>
    </row>
    <row r="284" spans="9:10">
      <c r="I284"/>
      <c r="J284"/>
    </row>
    <row r="285" spans="9:10">
      <c r="I285"/>
      <c r="J285"/>
    </row>
    <row r="286" spans="9:10">
      <c r="I286"/>
      <c r="J286"/>
    </row>
    <row r="287" spans="9:10">
      <c r="I287"/>
      <c r="J287"/>
    </row>
    <row r="288" spans="9:10">
      <c r="I288"/>
      <c r="J288"/>
    </row>
    <row r="289" spans="9:10">
      <c r="I289"/>
      <c r="J289"/>
    </row>
    <row r="290" spans="9:10">
      <c r="I290"/>
      <c r="J290"/>
    </row>
    <row r="291" spans="9:10">
      <c r="I291"/>
      <c r="J291"/>
    </row>
    <row r="292" spans="9:10">
      <c r="I292"/>
      <c r="J292"/>
    </row>
    <row r="293" spans="9:10">
      <c r="I293"/>
      <c r="J293"/>
    </row>
    <row r="294" spans="9:10">
      <c r="I294"/>
      <c r="J294"/>
    </row>
    <row r="295" spans="9:10">
      <c r="I295"/>
      <c r="J295"/>
    </row>
    <row r="296" spans="9:10">
      <c r="I296"/>
      <c r="J296"/>
    </row>
    <row r="297" spans="9:10">
      <c r="I297"/>
      <c r="J297"/>
    </row>
    <row r="298" spans="9:10">
      <c r="I298"/>
      <c r="J298"/>
    </row>
    <row r="299" spans="9:10">
      <c r="I299"/>
      <c r="J299"/>
    </row>
    <row r="300" spans="9:10">
      <c r="I300"/>
      <c r="J300"/>
    </row>
    <row r="301" spans="9:10">
      <c r="I301"/>
      <c r="J301"/>
    </row>
    <row r="302" spans="9:10">
      <c r="I302"/>
      <c r="J302"/>
    </row>
    <row r="303" spans="9:10">
      <c r="I303"/>
      <c r="J303"/>
    </row>
    <row r="304" spans="9:10">
      <c r="I304"/>
      <c r="J304"/>
    </row>
    <row r="305" spans="9:10">
      <c r="I305"/>
      <c r="J305"/>
    </row>
    <row r="306" spans="9:10">
      <c r="I306"/>
      <c r="J306"/>
    </row>
    <row r="307" spans="9:10">
      <c r="I307"/>
      <c r="J307"/>
    </row>
    <row r="308" spans="9:10">
      <c r="I308"/>
      <c r="J308"/>
    </row>
    <row r="309" spans="9:10">
      <c r="I309"/>
      <c r="J309"/>
    </row>
    <row r="310" spans="9:10">
      <c r="I310"/>
      <c r="J310"/>
    </row>
    <row r="311" spans="9:10">
      <c r="I311"/>
      <c r="J311"/>
    </row>
    <row r="312" spans="9:10">
      <c r="I312"/>
      <c r="J312"/>
    </row>
    <row r="313" spans="9:10">
      <c r="I313"/>
      <c r="J313"/>
    </row>
    <row r="314" spans="9:10">
      <c r="I314"/>
      <c r="J314"/>
    </row>
    <row r="315" spans="9:10">
      <c r="I315"/>
      <c r="J315"/>
    </row>
    <row r="316" spans="9:10">
      <c r="I316"/>
      <c r="J316"/>
    </row>
    <row r="317" spans="9:10">
      <c r="I317"/>
      <c r="J317"/>
    </row>
    <row r="318" spans="9:10">
      <c r="I318"/>
      <c r="J318"/>
    </row>
    <row r="319" spans="9:10">
      <c r="I319"/>
      <c r="J319"/>
    </row>
    <row r="320" spans="9:10">
      <c r="I320"/>
      <c r="J320"/>
    </row>
    <row r="321" spans="9:10">
      <c r="I321"/>
      <c r="J321"/>
    </row>
    <row r="322" spans="9:10">
      <c r="I322"/>
      <c r="J322"/>
    </row>
    <row r="323" spans="9:10">
      <c r="I323"/>
      <c r="J323"/>
    </row>
    <row r="324" spans="9:10">
      <c r="I324"/>
      <c r="J324"/>
    </row>
    <row r="325" spans="9:10">
      <c r="I325"/>
      <c r="J325"/>
    </row>
    <row r="326" spans="9:10">
      <c r="I326"/>
      <c r="J326"/>
    </row>
    <row r="327" spans="9:10">
      <c r="I327"/>
      <c r="J327"/>
    </row>
    <row r="328" spans="9:10">
      <c r="I328"/>
      <c r="J328"/>
    </row>
    <row r="329" spans="9:10">
      <c r="I329"/>
      <c r="J329"/>
    </row>
    <row r="330" spans="9:10">
      <c r="I330"/>
      <c r="J330"/>
    </row>
    <row r="331" spans="9:10">
      <c r="I331"/>
      <c r="J331"/>
    </row>
    <row r="332" spans="9:10">
      <c r="I332"/>
      <c r="J332"/>
    </row>
    <row r="333" spans="9:10">
      <c r="I333"/>
      <c r="J333"/>
    </row>
    <row r="334" spans="9:10">
      <c r="I334"/>
      <c r="J334"/>
    </row>
    <row r="335" spans="9:10">
      <c r="I335"/>
      <c r="J335"/>
    </row>
    <row r="336" spans="9:10">
      <c r="I336"/>
      <c r="J336"/>
    </row>
    <row r="337" spans="9:10">
      <c r="I337"/>
      <c r="J337"/>
    </row>
    <row r="338" spans="9:10">
      <c r="I338"/>
      <c r="J338"/>
    </row>
    <row r="339" spans="9:10">
      <c r="I339"/>
      <c r="J339"/>
    </row>
    <row r="340" spans="9:10">
      <c r="I340"/>
      <c r="J340"/>
    </row>
    <row r="341" spans="9:10">
      <c r="I341"/>
      <c r="J341"/>
    </row>
    <row r="342" spans="9:10">
      <c r="I342"/>
      <c r="J342"/>
    </row>
    <row r="343" spans="9:10">
      <c r="I343"/>
      <c r="J343"/>
    </row>
    <row r="344" spans="9:10">
      <c r="I344"/>
      <c r="J344"/>
    </row>
    <row r="345" spans="9:10">
      <c r="I345"/>
      <c r="J345"/>
    </row>
    <row r="346" spans="9:10">
      <c r="I346"/>
      <c r="J346"/>
    </row>
    <row r="347" spans="9:10">
      <c r="I347"/>
      <c r="J347"/>
    </row>
    <row r="348" spans="9:10">
      <c r="I348"/>
      <c r="J348"/>
    </row>
    <row r="349" spans="9:10">
      <c r="I349"/>
      <c r="J349"/>
    </row>
    <row r="350" spans="9:10">
      <c r="I350"/>
      <c r="J350"/>
    </row>
    <row r="351" spans="9:10">
      <c r="I351"/>
      <c r="J351"/>
    </row>
    <row r="352" spans="9:10">
      <c r="I352"/>
      <c r="J352"/>
    </row>
    <row r="353" spans="9:10">
      <c r="I353"/>
      <c r="J353"/>
    </row>
    <row r="354" spans="9:10">
      <c r="I354"/>
      <c r="J354"/>
    </row>
    <row r="355" spans="9:10">
      <c r="I355"/>
      <c r="J355"/>
    </row>
    <row r="356" spans="9:10">
      <c r="I356"/>
      <c r="J356"/>
    </row>
    <row r="357" spans="9:10">
      <c r="I357"/>
      <c r="J357"/>
    </row>
    <row r="358" spans="9:10">
      <c r="I358"/>
      <c r="J358"/>
    </row>
    <row r="359" spans="9:10">
      <c r="I359"/>
      <c r="J359"/>
    </row>
    <row r="360" spans="9:10">
      <c r="I360"/>
      <c r="J360"/>
    </row>
    <row r="361" spans="9:10">
      <c r="I361"/>
      <c r="J361"/>
    </row>
    <row r="362" spans="9:10">
      <c r="I362"/>
      <c r="J362"/>
    </row>
    <row r="363" spans="9:10">
      <c r="I363"/>
      <c r="J363"/>
    </row>
    <row r="364" spans="9:10">
      <c r="I364"/>
      <c r="J364"/>
    </row>
    <row r="365" spans="9:10">
      <c r="I365"/>
      <c r="J365"/>
    </row>
    <row r="366" spans="9:10">
      <c r="I366"/>
      <c r="J366"/>
    </row>
    <row r="367" spans="9:10">
      <c r="I367"/>
      <c r="J367"/>
    </row>
    <row r="368" spans="9:10">
      <c r="I368"/>
      <c r="J368"/>
    </row>
    <row r="369" spans="9:10">
      <c r="I369"/>
      <c r="J369"/>
    </row>
    <row r="370" spans="9:10">
      <c r="I370"/>
      <c r="J370"/>
    </row>
    <row r="371" spans="9:10">
      <c r="I371"/>
      <c r="J371"/>
    </row>
    <row r="372" spans="9:10">
      <c r="I372"/>
      <c r="J372"/>
    </row>
    <row r="373" spans="9:10">
      <c r="I373"/>
      <c r="J373"/>
    </row>
    <row r="374" spans="9:10">
      <c r="I374"/>
      <c r="J374"/>
    </row>
    <row r="375" spans="9:10">
      <c r="I375"/>
      <c r="J375"/>
    </row>
    <row r="376" spans="9:10">
      <c r="I376"/>
      <c r="J376"/>
    </row>
    <row r="377" spans="9:10">
      <c r="I377"/>
      <c r="J377"/>
    </row>
    <row r="378" spans="9:10">
      <c r="I378"/>
      <c r="J378"/>
    </row>
    <row r="379" spans="9:10">
      <c r="I379"/>
      <c r="J379"/>
    </row>
    <row r="380" spans="9:10">
      <c r="I380"/>
      <c r="J380"/>
    </row>
    <row r="381" spans="9:10">
      <c r="I381"/>
      <c r="J381"/>
    </row>
    <row r="382" spans="9:10">
      <c r="I382"/>
      <c r="J382"/>
    </row>
    <row r="383" spans="9:10">
      <c r="I383"/>
      <c r="J383"/>
    </row>
    <row r="384" spans="9:10">
      <c r="I384"/>
      <c r="J384"/>
    </row>
    <row r="385" spans="9:10">
      <c r="I385"/>
      <c r="J385"/>
    </row>
    <row r="386" spans="9:10">
      <c r="I386"/>
      <c r="J386"/>
    </row>
    <row r="387" spans="9:10">
      <c r="I387"/>
      <c r="J387"/>
    </row>
    <row r="388" spans="9:10">
      <c r="I388"/>
      <c r="J388"/>
    </row>
    <row r="389" spans="9:10">
      <c r="I389"/>
      <c r="J389"/>
    </row>
    <row r="390" spans="9:10">
      <c r="I390"/>
      <c r="J390"/>
    </row>
    <row r="391" spans="9:10">
      <c r="I391"/>
      <c r="J391"/>
    </row>
    <row r="392" spans="9:10">
      <c r="I392"/>
      <c r="J392"/>
    </row>
    <row r="393" spans="9:10">
      <c r="I393"/>
      <c r="J393"/>
    </row>
    <row r="394" spans="9:10">
      <c r="I394"/>
      <c r="J394"/>
    </row>
    <row r="395" spans="9:10">
      <c r="I395"/>
      <c r="J395"/>
    </row>
    <row r="396" spans="9:10">
      <c r="I396"/>
      <c r="J396"/>
    </row>
    <row r="397" spans="9:10">
      <c r="I397"/>
      <c r="J397"/>
    </row>
    <row r="398" spans="9:10">
      <c r="I398"/>
      <c r="J398"/>
    </row>
    <row r="399" spans="9:10">
      <c r="I399"/>
      <c r="J399"/>
    </row>
    <row r="400" spans="9:10">
      <c r="I400"/>
      <c r="J400"/>
    </row>
    <row r="401" spans="9:10">
      <c r="I401"/>
      <c r="J401"/>
    </row>
    <row r="402" spans="9:10">
      <c r="I402"/>
      <c r="J402"/>
    </row>
    <row r="403" spans="9:10">
      <c r="I403"/>
      <c r="J403"/>
    </row>
    <row r="404" spans="9:10">
      <c r="I404"/>
      <c r="J404"/>
    </row>
    <row r="405" spans="9:10">
      <c r="I405"/>
      <c r="J405"/>
    </row>
    <row r="406" spans="9:10">
      <c r="I406"/>
      <c r="J406"/>
    </row>
    <row r="407" spans="9:10">
      <c r="I407"/>
      <c r="J407"/>
    </row>
    <row r="408" spans="9:10">
      <c r="I408"/>
      <c r="J408"/>
    </row>
    <row r="409" spans="9:10">
      <c r="I409"/>
      <c r="J409"/>
    </row>
    <row r="410" spans="9:10">
      <c r="I410"/>
      <c r="J410"/>
    </row>
    <row r="411" spans="9:10">
      <c r="I411"/>
      <c r="J411"/>
    </row>
    <row r="412" spans="9:10">
      <c r="I412"/>
      <c r="J412"/>
    </row>
    <row r="413" spans="9:10">
      <c r="I413"/>
      <c r="J413"/>
    </row>
    <row r="414" spans="9:10">
      <c r="I414"/>
      <c r="J414"/>
    </row>
    <row r="415" spans="9:10">
      <c r="I415"/>
      <c r="J415"/>
    </row>
    <row r="416" spans="9:10">
      <c r="I416"/>
      <c r="J416"/>
    </row>
    <row r="417" spans="9:10">
      <c r="I417"/>
      <c r="J417"/>
    </row>
    <row r="418" spans="9:10">
      <c r="I418"/>
      <c r="J418"/>
    </row>
    <row r="419" spans="9:10">
      <c r="I419"/>
      <c r="J419"/>
    </row>
    <row r="420" spans="9:10">
      <c r="I420"/>
      <c r="J420"/>
    </row>
    <row r="421" spans="9:10">
      <c r="I421"/>
      <c r="J421"/>
    </row>
    <row r="422" spans="9:10">
      <c r="I422"/>
      <c r="J422"/>
    </row>
    <row r="423" spans="9:10">
      <c r="I423"/>
      <c r="J423"/>
    </row>
    <row r="424" spans="9:10">
      <c r="I424"/>
      <c r="J424"/>
    </row>
    <row r="425" spans="9:10">
      <c r="I425"/>
      <c r="J425"/>
    </row>
    <row r="426" spans="9:10">
      <c r="I426"/>
      <c r="J426"/>
    </row>
    <row r="427" spans="9:10">
      <c r="I427"/>
      <c r="J427"/>
    </row>
    <row r="428" spans="9:10">
      <c r="I428"/>
      <c r="J428"/>
    </row>
    <row r="429" spans="9:10">
      <c r="I429"/>
      <c r="J429"/>
    </row>
    <row r="430" spans="9:10">
      <c r="I430"/>
      <c r="J430"/>
    </row>
    <row r="431" spans="9:10">
      <c r="I431"/>
      <c r="J431"/>
    </row>
    <row r="432" spans="9:10">
      <c r="I432"/>
      <c r="J432"/>
    </row>
    <row r="433" spans="9:10">
      <c r="I433"/>
      <c r="J433"/>
    </row>
    <row r="434" spans="9:10">
      <c r="I434"/>
      <c r="J434"/>
    </row>
    <row r="435" spans="9:10">
      <c r="I435"/>
      <c r="J435"/>
    </row>
    <row r="436" spans="9:10">
      <c r="I436"/>
      <c r="J436"/>
    </row>
    <row r="437" spans="9:10">
      <c r="I437"/>
      <c r="J437"/>
    </row>
    <row r="438" spans="9:10">
      <c r="I438"/>
      <c r="J438"/>
    </row>
    <row r="439" spans="9:10">
      <c r="I439"/>
      <c r="J439"/>
    </row>
    <row r="440" spans="9:10">
      <c r="I440"/>
      <c r="J440"/>
    </row>
    <row r="441" spans="9:10">
      <c r="I441"/>
      <c r="J441"/>
    </row>
    <row r="442" spans="9:10">
      <c r="I442"/>
      <c r="J442"/>
    </row>
    <row r="443" spans="9:10">
      <c r="I443"/>
      <c r="J443"/>
    </row>
    <row r="444" spans="9:10">
      <c r="I444"/>
      <c r="J444"/>
    </row>
    <row r="445" spans="9:10">
      <c r="I445"/>
      <c r="J445"/>
    </row>
    <row r="446" spans="9:10">
      <c r="I446"/>
      <c r="J446"/>
    </row>
    <row r="447" spans="9:10">
      <c r="I447"/>
      <c r="J447"/>
    </row>
    <row r="448" spans="9:10">
      <c r="I448"/>
      <c r="J448"/>
    </row>
    <row r="449" spans="9:10">
      <c r="I449"/>
      <c r="J449"/>
    </row>
    <row r="450" spans="9:10">
      <c r="I450"/>
      <c r="J450"/>
    </row>
    <row r="451" spans="9:10">
      <c r="I451"/>
      <c r="J451"/>
    </row>
    <row r="452" spans="9:10">
      <c r="I452"/>
      <c r="J452"/>
    </row>
    <row r="453" spans="9:10">
      <c r="I453"/>
      <c r="J453"/>
    </row>
    <row r="454" spans="9:10">
      <c r="I454"/>
      <c r="J454"/>
    </row>
    <row r="455" spans="9:10">
      <c r="I455"/>
      <c r="J455"/>
    </row>
    <row r="456" spans="9:10">
      <c r="I456"/>
      <c r="J456"/>
    </row>
    <row r="457" spans="9:10">
      <c r="I457"/>
      <c r="J457"/>
    </row>
    <row r="458" spans="9:10">
      <c r="I458"/>
      <c r="J458"/>
    </row>
    <row r="459" spans="9:10">
      <c r="I459"/>
      <c r="J459"/>
    </row>
    <row r="460" spans="9:10">
      <c r="I460"/>
      <c r="J460"/>
    </row>
    <row r="461" spans="9:10">
      <c r="I461"/>
      <c r="J461"/>
    </row>
    <row r="462" spans="9:10">
      <c r="I462"/>
      <c r="J462"/>
    </row>
    <row r="463" spans="9:10">
      <c r="I463"/>
      <c r="J463"/>
    </row>
    <row r="464" spans="9:10">
      <c r="I464"/>
      <c r="J464"/>
    </row>
    <row r="465" spans="9:10">
      <c r="I465"/>
      <c r="J465"/>
    </row>
    <row r="466" spans="9:10">
      <c r="I466"/>
      <c r="J466"/>
    </row>
    <row r="467" spans="9:10">
      <c r="I467"/>
      <c r="J467"/>
    </row>
    <row r="468" spans="9:10">
      <c r="I468"/>
      <c r="J468"/>
    </row>
    <row r="469" spans="9:10">
      <c r="I469"/>
      <c r="J469"/>
    </row>
    <row r="470" spans="9:10">
      <c r="I470"/>
      <c r="J470"/>
    </row>
    <row r="471" spans="9:10">
      <c r="I471"/>
      <c r="J471"/>
    </row>
    <row r="472" spans="9:10">
      <c r="I472"/>
      <c r="J472"/>
    </row>
    <row r="473" spans="9:10">
      <c r="I473"/>
      <c r="J473"/>
    </row>
    <row r="474" spans="9:10">
      <c r="I474"/>
      <c r="J474"/>
    </row>
    <row r="475" spans="9:10">
      <c r="I475"/>
      <c r="J475"/>
    </row>
    <row r="476" spans="9:10">
      <c r="I476"/>
      <c r="J476"/>
    </row>
    <row r="477" spans="9:10">
      <c r="I477"/>
      <c r="J477"/>
    </row>
    <row r="478" spans="9:10">
      <c r="I478"/>
      <c r="J478"/>
    </row>
    <row r="479" spans="9:10">
      <c r="I479"/>
      <c r="J479"/>
    </row>
    <row r="480" spans="9:10">
      <c r="I480"/>
      <c r="J480"/>
    </row>
    <row r="481" spans="9:10">
      <c r="I481"/>
      <c r="J481"/>
    </row>
    <row r="482" spans="9:10">
      <c r="I482"/>
      <c r="J482"/>
    </row>
    <row r="483" spans="9:10">
      <c r="I483"/>
      <c r="J483"/>
    </row>
    <row r="484" spans="9:10">
      <c r="I484"/>
      <c r="J484"/>
    </row>
    <row r="485" spans="9:10">
      <c r="I485"/>
      <c r="J485"/>
    </row>
    <row r="486" spans="9:10">
      <c r="I486"/>
      <c r="J486"/>
    </row>
    <row r="487" spans="9:10">
      <c r="I487"/>
      <c r="J487"/>
    </row>
    <row r="488" spans="9:10">
      <c r="I488"/>
      <c r="J488"/>
    </row>
    <row r="489" spans="9:10">
      <c r="I489"/>
      <c r="J489"/>
    </row>
    <row r="490" spans="9:10">
      <c r="I490"/>
      <c r="J490"/>
    </row>
    <row r="491" spans="9:10">
      <c r="I491"/>
      <c r="J491"/>
    </row>
    <row r="492" spans="9:10">
      <c r="I492"/>
      <c r="J492"/>
    </row>
    <row r="493" spans="9:10">
      <c r="I493"/>
      <c r="J493"/>
    </row>
    <row r="494" spans="9:10">
      <c r="I494"/>
      <c r="J494"/>
    </row>
    <row r="495" spans="9:10">
      <c r="I495"/>
      <c r="J495"/>
    </row>
    <row r="496" spans="9:10">
      <c r="I496"/>
      <c r="J496"/>
    </row>
    <row r="497" spans="9:10">
      <c r="I497"/>
      <c r="J497"/>
    </row>
    <row r="498" spans="9:10">
      <c r="I498"/>
      <c r="J498"/>
    </row>
    <row r="499" spans="9:10">
      <c r="I499"/>
      <c r="J499"/>
    </row>
    <row r="500" spans="9:10">
      <c r="I500"/>
      <c r="J500"/>
    </row>
    <row r="501" spans="9:10">
      <c r="I501"/>
      <c r="J501"/>
    </row>
    <row r="502" spans="9:10">
      <c r="I502"/>
      <c r="J502"/>
    </row>
    <row r="503" spans="9:10">
      <c r="I503"/>
      <c r="J503"/>
    </row>
    <row r="504" spans="9:10">
      <c r="I504"/>
      <c r="J504"/>
    </row>
    <row r="505" spans="9:10">
      <c r="I505"/>
      <c r="J505"/>
    </row>
    <row r="506" spans="9:10">
      <c r="I506"/>
      <c r="J506"/>
    </row>
    <row r="507" spans="9:10">
      <c r="I507"/>
      <c r="J507"/>
    </row>
    <row r="508" spans="9:10">
      <c r="I508"/>
      <c r="J508"/>
    </row>
    <row r="509" spans="9:10">
      <c r="I509"/>
      <c r="J509"/>
    </row>
    <row r="510" spans="9:10">
      <c r="I510"/>
      <c r="J510"/>
    </row>
    <row r="511" spans="9:10">
      <c r="I511"/>
      <c r="J511"/>
    </row>
    <row r="512" spans="9:10">
      <c r="I512"/>
      <c r="J512"/>
    </row>
    <row r="513" spans="9:10">
      <c r="I513"/>
      <c r="J513"/>
    </row>
    <row r="514" spans="9:10">
      <c r="I514"/>
      <c r="J514"/>
    </row>
    <row r="515" spans="9:10">
      <c r="I515"/>
      <c r="J515"/>
    </row>
    <row r="516" spans="9:10">
      <c r="I516"/>
      <c r="J516"/>
    </row>
    <row r="517" spans="9:10">
      <c r="I517"/>
      <c r="J517"/>
    </row>
    <row r="518" spans="9:10">
      <c r="I518"/>
      <c r="J518"/>
    </row>
    <row r="519" spans="9:10">
      <c r="I519"/>
      <c r="J519"/>
    </row>
    <row r="520" spans="9:10">
      <c r="I520"/>
      <c r="J520"/>
    </row>
    <row r="521" spans="9:10">
      <c r="I521"/>
      <c r="J521"/>
    </row>
    <row r="522" spans="9:10">
      <c r="I522"/>
      <c r="J522"/>
    </row>
    <row r="523" spans="9:10">
      <c r="I523"/>
      <c r="J523"/>
    </row>
    <row r="524" spans="9:10">
      <c r="I524"/>
      <c r="J524"/>
    </row>
    <row r="525" spans="9:10">
      <c r="I525"/>
      <c r="J525"/>
    </row>
    <row r="526" spans="9:10">
      <c r="I526"/>
      <c r="J526"/>
    </row>
    <row r="527" spans="9:10">
      <c r="I527"/>
      <c r="J527"/>
    </row>
    <row r="528" spans="9:10">
      <c r="I528"/>
      <c r="J528"/>
    </row>
    <row r="529" spans="9:10">
      <c r="I529"/>
      <c r="J529"/>
    </row>
    <row r="530" spans="9:10">
      <c r="I530"/>
      <c r="J530"/>
    </row>
    <row r="531" spans="9:10">
      <c r="I531"/>
      <c r="J531"/>
    </row>
    <row r="532" spans="9:10">
      <c r="I532"/>
      <c r="J532"/>
    </row>
    <row r="533" spans="9:10">
      <c r="I533"/>
      <c r="J533"/>
    </row>
    <row r="534" spans="9:10">
      <c r="I534"/>
      <c r="J534"/>
    </row>
    <row r="535" spans="9:10">
      <c r="I535"/>
      <c r="J535"/>
    </row>
    <row r="536" spans="9:10">
      <c r="I536"/>
      <c r="J536"/>
    </row>
    <row r="537" spans="9:10">
      <c r="I537"/>
      <c r="J537"/>
    </row>
    <row r="538" spans="9:10">
      <c r="I538"/>
      <c r="J538"/>
    </row>
    <row r="539" spans="9:10">
      <c r="I539"/>
      <c r="J539"/>
    </row>
    <row r="540" spans="9:10">
      <c r="I540"/>
      <c r="J540"/>
    </row>
    <row r="541" spans="9:10">
      <c r="I541"/>
      <c r="J541"/>
    </row>
    <row r="542" spans="9:10">
      <c r="I542"/>
      <c r="J542"/>
    </row>
    <row r="543" spans="9:10">
      <c r="I543"/>
      <c r="J543"/>
    </row>
    <row r="544" spans="9:10">
      <c r="I544"/>
      <c r="J544"/>
    </row>
    <row r="545" spans="9:10">
      <c r="I545"/>
      <c r="J545"/>
    </row>
    <row r="546" spans="9:10">
      <c r="I546"/>
      <c r="J546"/>
    </row>
    <row r="547" spans="9:10">
      <c r="I547"/>
      <c r="J547"/>
    </row>
    <row r="548" spans="9:10">
      <c r="I548"/>
      <c r="J548"/>
    </row>
    <row r="549" spans="9:10">
      <c r="I549"/>
      <c r="J549"/>
    </row>
    <row r="550" spans="9:10">
      <c r="I550"/>
      <c r="J550"/>
    </row>
    <row r="551" spans="9:10">
      <c r="I551"/>
      <c r="J551"/>
    </row>
    <row r="552" spans="9:10">
      <c r="I552"/>
      <c r="J552"/>
    </row>
    <row r="553" spans="9:10">
      <c r="I553"/>
      <c r="J553"/>
    </row>
    <row r="554" spans="9:10">
      <c r="I554"/>
      <c r="J554"/>
    </row>
    <row r="555" spans="9:10">
      <c r="I555"/>
      <c r="J555"/>
    </row>
    <row r="556" spans="9:10">
      <c r="I556"/>
      <c r="J556"/>
    </row>
    <row r="557" spans="9:10">
      <c r="I557"/>
      <c r="J557"/>
    </row>
    <row r="558" spans="9:10">
      <c r="I558"/>
      <c r="J558"/>
    </row>
    <row r="559" spans="9:10">
      <c r="I559"/>
      <c r="J559"/>
    </row>
    <row r="560" spans="9:10">
      <c r="I560"/>
      <c r="J560"/>
    </row>
    <row r="561" spans="9:10">
      <c r="I561"/>
      <c r="J561"/>
    </row>
    <row r="562" spans="9:10">
      <c r="I562"/>
      <c r="J562"/>
    </row>
    <row r="563" spans="9:10">
      <c r="I563"/>
      <c r="J563"/>
    </row>
    <row r="564" spans="9:10">
      <c r="I564"/>
      <c r="J564"/>
    </row>
    <row r="565" spans="9:10">
      <c r="I565"/>
      <c r="J565"/>
    </row>
    <row r="566" spans="9:10">
      <c r="I566"/>
      <c r="J566"/>
    </row>
    <row r="567" spans="9:10">
      <c r="I567"/>
      <c r="J567"/>
    </row>
    <row r="568" spans="9:10">
      <c r="I568"/>
      <c r="J568"/>
    </row>
    <row r="569" spans="9:10">
      <c r="I569"/>
      <c r="J569"/>
    </row>
    <row r="570" spans="9:10">
      <c r="I570"/>
      <c r="J570"/>
    </row>
    <row r="571" spans="9:10">
      <c r="I571"/>
      <c r="J571"/>
    </row>
    <row r="572" spans="9:10">
      <c r="I572"/>
      <c r="J572"/>
    </row>
    <row r="573" spans="9:10">
      <c r="I573"/>
      <c r="J573"/>
    </row>
    <row r="574" spans="9:10">
      <c r="I574"/>
      <c r="J574"/>
    </row>
    <row r="575" spans="9:10">
      <c r="I575"/>
      <c r="J575"/>
    </row>
    <row r="576" spans="9:10">
      <c r="I576"/>
      <c r="J576"/>
    </row>
    <row r="577" spans="9:10">
      <c r="I577"/>
      <c r="J577"/>
    </row>
    <row r="578" spans="9:10">
      <c r="I578"/>
      <c r="J578"/>
    </row>
    <row r="579" spans="9:10">
      <c r="I579"/>
      <c r="J579"/>
    </row>
    <row r="580" spans="9:10">
      <c r="I580"/>
      <c r="J580"/>
    </row>
    <row r="581" spans="9:10">
      <c r="I581"/>
      <c r="J581"/>
    </row>
    <row r="582" spans="9:10">
      <c r="I582"/>
      <c r="J582"/>
    </row>
    <row r="583" spans="9:10">
      <c r="I583"/>
      <c r="J583"/>
    </row>
    <row r="584" spans="9:10">
      <c r="I584"/>
      <c r="J584"/>
    </row>
    <row r="585" spans="9:10">
      <c r="I585"/>
      <c r="J585"/>
    </row>
    <row r="586" spans="9:10">
      <c r="I586"/>
      <c r="J586"/>
    </row>
    <row r="587" spans="9:10">
      <c r="I587"/>
      <c r="J587"/>
    </row>
    <row r="588" spans="9:10">
      <c r="I588"/>
      <c r="J588"/>
    </row>
    <row r="589" spans="9:10">
      <c r="I589"/>
      <c r="J589"/>
    </row>
    <row r="590" spans="9:10">
      <c r="I590"/>
      <c r="J590"/>
    </row>
    <row r="591" spans="9:10">
      <c r="I591"/>
      <c r="J591"/>
    </row>
    <row r="592" spans="9:10">
      <c r="I592"/>
      <c r="J592"/>
    </row>
    <row r="593" spans="9:10">
      <c r="I593"/>
      <c r="J593"/>
    </row>
    <row r="594" spans="9:10">
      <c r="I594"/>
      <c r="J594"/>
    </row>
    <row r="595" spans="9:10">
      <c r="I595"/>
      <c r="J595"/>
    </row>
    <row r="596" spans="9:10">
      <c r="I596"/>
      <c r="J596"/>
    </row>
    <row r="597" spans="9:10">
      <c r="I597"/>
      <c r="J597"/>
    </row>
    <row r="598" spans="9:10">
      <c r="I598"/>
      <c r="J598"/>
    </row>
    <row r="599" spans="9:10">
      <c r="I599"/>
      <c r="J599"/>
    </row>
    <row r="600" spans="9:10">
      <c r="I600"/>
      <c r="J600"/>
    </row>
    <row r="601" spans="9:10">
      <c r="I601"/>
      <c r="J601"/>
    </row>
    <row r="602" spans="9:10">
      <c r="I602"/>
      <c r="J602"/>
    </row>
    <row r="603" spans="9:10">
      <c r="I603"/>
      <c r="J603"/>
    </row>
    <row r="604" spans="9:10">
      <c r="I604"/>
      <c r="J604"/>
    </row>
    <row r="605" spans="9:10">
      <c r="I605"/>
      <c r="J605"/>
    </row>
    <row r="606" spans="9:10">
      <c r="I606"/>
      <c r="J606"/>
    </row>
    <row r="607" spans="9:10">
      <c r="I607"/>
      <c r="J607"/>
    </row>
    <row r="608" spans="9:10">
      <c r="I608"/>
      <c r="J608"/>
    </row>
    <row r="609" spans="9:10">
      <c r="I609"/>
      <c r="J609"/>
    </row>
    <row r="610" spans="9:10">
      <c r="I610"/>
      <c r="J610"/>
    </row>
    <row r="611" spans="9:10">
      <c r="I611"/>
      <c r="J611"/>
    </row>
    <row r="612" spans="9:10">
      <c r="I612"/>
      <c r="J612"/>
    </row>
    <row r="613" spans="9:10">
      <c r="I613"/>
      <c r="J613"/>
    </row>
    <row r="614" spans="9:10">
      <c r="I614"/>
      <c r="J614"/>
    </row>
    <row r="615" spans="9:10">
      <c r="I615"/>
      <c r="J615"/>
    </row>
    <row r="616" spans="9:10">
      <c r="I616"/>
      <c r="J616"/>
    </row>
    <row r="617" spans="9:10">
      <c r="I617"/>
      <c r="J617"/>
    </row>
    <row r="618" spans="9:10">
      <c r="I618"/>
      <c r="J618"/>
    </row>
    <row r="619" spans="9:10">
      <c r="I619"/>
      <c r="J619"/>
    </row>
    <row r="620" spans="9:10">
      <c r="I620"/>
      <c r="J620"/>
    </row>
    <row r="621" spans="9:10">
      <c r="I621"/>
      <c r="J621"/>
    </row>
    <row r="622" spans="9:10">
      <c r="I622"/>
      <c r="J622"/>
    </row>
    <row r="623" spans="9:10">
      <c r="I623"/>
      <c r="J623"/>
    </row>
    <row r="624" spans="9:10">
      <c r="I624"/>
      <c r="J624"/>
    </row>
    <row r="625" spans="9:10">
      <c r="I625"/>
      <c r="J625"/>
    </row>
    <row r="626" spans="9:10">
      <c r="I626"/>
      <c r="J626"/>
    </row>
    <row r="627" spans="9:10">
      <c r="I627"/>
      <c r="J627"/>
    </row>
    <row r="628" spans="9:10">
      <c r="I628"/>
      <c r="J628"/>
    </row>
    <row r="629" spans="9:10">
      <c r="I629"/>
      <c r="J629"/>
    </row>
    <row r="630" spans="9:10">
      <c r="I630"/>
      <c r="J630"/>
    </row>
    <row r="631" spans="9:10">
      <c r="I631"/>
      <c r="J631"/>
    </row>
    <row r="632" spans="9:10">
      <c r="I632"/>
      <c r="J632"/>
    </row>
    <row r="633" spans="9:10">
      <c r="I633"/>
      <c r="J633"/>
    </row>
    <row r="634" spans="9:10">
      <c r="I634"/>
      <c r="J634"/>
    </row>
    <row r="635" spans="9:10">
      <c r="I635"/>
      <c r="J635"/>
    </row>
    <row r="636" spans="9:10">
      <c r="I636"/>
      <c r="J636"/>
    </row>
    <row r="637" spans="9:10">
      <c r="I637"/>
      <c r="J637"/>
    </row>
    <row r="638" spans="9:10">
      <c r="I638"/>
      <c r="J638"/>
    </row>
    <row r="639" spans="9:10">
      <c r="I639"/>
      <c r="J639"/>
    </row>
    <row r="640" spans="9:10">
      <c r="I640"/>
      <c r="J640"/>
    </row>
    <row r="641" spans="9:10">
      <c r="I641"/>
      <c r="J641"/>
    </row>
    <row r="642" spans="9:10">
      <c r="I642"/>
      <c r="J642"/>
    </row>
    <row r="643" spans="9:10">
      <c r="I643"/>
      <c r="J643"/>
    </row>
    <row r="644" spans="9:10">
      <c r="I644"/>
      <c r="J644"/>
    </row>
    <row r="645" spans="9:10">
      <c r="I645"/>
      <c r="J645"/>
    </row>
    <row r="646" spans="9:10">
      <c r="I646"/>
      <c r="J646"/>
    </row>
    <row r="647" spans="9:10">
      <c r="I647"/>
      <c r="J647"/>
    </row>
    <row r="648" spans="9:10">
      <c r="I648"/>
      <c r="J648"/>
    </row>
    <row r="649" spans="9:10">
      <c r="I649"/>
      <c r="J649"/>
    </row>
    <row r="650" spans="9:10">
      <c r="I650"/>
      <c r="J650"/>
    </row>
    <row r="651" spans="9:10">
      <c r="I651"/>
      <c r="J651"/>
    </row>
    <row r="652" spans="9:10">
      <c r="I652"/>
      <c r="J652"/>
    </row>
    <row r="653" spans="9:10">
      <c r="I653"/>
      <c r="J653"/>
    </row>
    <row r="654" spans="9:10">
      <c r="I654"/>
      <c r="J654"/>
    </row>
    <row r="655" spans="9:10">
      <c r="I655"/>
      <c r="J655"/>
    </row>
    <row r="656" spans="9:10">
      <c r="I656"/>
      <c r="J656"/>
    </row>
    <row r="657" spans="9:10">
      <c r="I657"/>
      <c r="J657"/>
    </row>
    <row r="658" spans="9:10">
      <c r="I658"/>
      <c r="J658"/>
    </row>
    <row r="659" spans="9:10">
      <c r="I659"/>
      <c r="J659"/>
    </row>
    <row r="660" spans="9:10">
      <c r="I660"/>
      <c r="J660"/>
    </row>
    <row r="661" spans="9:10">
      <c r="I661"/>
      <c r="J661"/>
    </row>
    <row r="662" spans="9:10">
      <c r="I662"/>
      <c r="J662"/>
    </row>
    <row r="663" spans="9:10">
      <c r="I663"/>
      <c r="J663"/>
    </row>
    <row r="664" spans="9:10">
      <c r="I664"/>
      <c r="J664"/>
    </row>
    <row r="665" spans="9:10">
      <c r="I665"/>
      <c r="J665"/>
    </row>
    <row r="666" spans="9:10">
      <c r="I666"/>
      <c r="J666"/>
    </row>
    <row r="667" spans="9:10">
      <c r="I667"/>
      <c r="J667"/>
    </row>
    <row r="668" spans="9:10">
      <c r="I668"/>
      <c r="J668"/>
    </row>
    <row r="669" spans="9:10">
      <c r="I669"/>
      <c r="J669"/>
    </row>
    <row r="670" spans="9:10">
      <c r="I670"/>
      <c r="J670"/>
    </row>
    <row r="671" spans="9:10">
      <c r="I671"/>
      <c r="J671"/>
    </row>
    <row r="672" spans="9:10">
      <c r="I672"/>
      <c r="J672"/>
    </row>
    <row r="673" spans="9:10">
      <c r="I673"/>
      <c r="J673"/>
    </row>
    <row r="674" spans="9:10">
      <c r="I674"/>
      <c r="J674"/>
    </row>
    <row r="675" spans="9:10">
      <c r="I675"/>
      <c r="J675"/>
    </row>
    <row r="676" spans="9:10">
      <c r="I676"/>
      <c r="J676"/>
    </row>
    <row r="677" spans="9:10">
      <c r="I677"/>
      <c r="J677"/>
    </row>
    <row r="678" spans="9:10">
      <c r="I678"/>
      <c r="J678"/>
    </row>
    <row r="679" spans="9:10">
      <c r="I679"/>
      <c r="J679"/>
    </row>
    <row r="680" spans="9:10">
      <c r="I680"/>
      <c r="J680"/>
    </row>
    <row r="681" spans="9:10">
      <c r="I681"/>
      <c r="J681"/>
    </row>
    <row r="682" spans="9:10">
      <c r="I682"/>
      <c r="J682"/>
    </row>
    <row r="683" spans="9:10">
      <c r="I683"/>
      <c r="J683"/>
    </row>
    <row r="684" spans="9:10">
      <c r="I684"/>
      <c r="J684"/>
    </row>
    <row r="685" spans="9:10">
      <c r="I685"/>
      <c r="J685"/>
    </row>
    <row r="686" spans="9:10">
      <c r="I686"/>
      <c r="J686"/>
    </row>
    <row r="687" spans="9:10">
      <c r="I687"/>
      <c r="J687"/>
    </row>
    <row r="688" spans="9:10">
      <c r="I688"/>
      <c r="J688"/>
    </row>
    <row r="689" spans="9:10">
      <c r="I689"/>
      <c r="J689"/>
    </row>
    <row r="690" spans="9:10">
      <c r="I690"/>
      <c r="J690"/>
    </row>
    <row r="691" spans="9:10">
      <c r="I691"/>
      <c r="J691"/>
    </row>
    <row r="692" spans="9:10">
      <c r="I692"/>
      <c r="J692"/>
    </row>
    <row r="693" spans="9:10">
      <c r="I693"/>
      <c r="J693"/>
    </row>
    <row r="694" spans="9:10">
      <c r="I694"/>
      <c r="J694"/>
    </row>
    <row r="695" spans="9:10">
      <c r="I695"/>
      <c r="J695"/>
    </row>
    <row r="696" spans="9:10">
      <c r="I696"/>
      <c r="J696"/>
    </row>
    <row r="697" spans="9:10">
      <c r="I697"/>
      <c r="J697"/>
    </row>
    <row r="698" spans="9:10">
      <c r="I698"/>
      <c r="J698"/>
    </row>
    <row r="699" spans="9:10">
      <c r="I699"/>
      <c r="J699"/>
    </row>
    <row r="700" spans="9:10">
      <c r="I700"/>
      <c r="J700"/>
    </row>
    <row r="701" spans="9:10">
      <c r="I701"/>
      <c r="J701"/>
    </row>
    <row r="702" spans="9:10">
      <c r="I702"/>
      <c r="J702"/>
    </row>
    <row r="703" spans="9:10">
      <c r="I703"/>
      <c r="J703"/>
    </row>
    <row r="704" spans="9:10">
      <c r="I704"/>
      <c r="J704"/>
    </row>
    <row r="705" spans="9:10">
      <c r="I705"/>
      <c r="J705"/>
    </row>
    <row r="706" spans="9:10">
      <c r="I706"/>
      <c r="J706"/>
    </row>
    <row r="707" spans="9:10">
      <c r="I707"/>
      <c r="J707"/>
    </row>
    <row r="708" spans="9:10">
      <c r="I708"/>
      <c r="J708"/>
    </row>
    <row r="709" spans="9:10">
      <c r="I709"/>
      <c r="J709"/>
    </row>
    <row r="710" spans="9:10">
      <c r="I710"/>
      <c r="J710"/>
    </row>
    <row r="711" spans="9:10">
      <c r="I711"/>
      <c r="J711"/>
    </row>
    <row r="712" spans="9:10">
      <c r="I712"/>
      <c r="J712"/>
    </row>
    <row r="713" spans="9:10">
      <c r="I713"/>
      <c r="J713"/>
    </row>
    <row r="714" spans="9:10">
      <c r="I714"/>
      <c r="J714"/>
    </row>
    <row r="715" spans="9:10">
      <c r="I715"/>
      <c r="J715"/>
    </row>
    <row r="716" spans="9:10">
      <c r="I716"/>
      <c r="J716"/>
    </row>
    <row r="717" spans="9:10">
      <c r="I717"/>
      <c r="J717"/>
    </row>
    <row r="718" spans="9:10">
      <c r="I718"/>
      <c r="J718"/>
    </row>
    <row r="719" spans="9:10">
      <c r="I719"/>
      <c r="J719"/>
    </row>
    <row r="720" spans="9:10">
      <c r="I720"/>
      <c r="J720"/>
    </row>
    <row r="721" spans="9:10">
      <c r="I721"/>
      <c r="J721"/>
    </row>
    <row r="722" spans="9:10">
      <c r="I722"/>
      <c r="J722"/>
    </row>
    <row r="723" spans="9:10">
      <c r="I723"/>
      <c r="J723"/>
    </row>
    <row r="724" spans="9:10">
      <c r="I724"/>
      <c r="J724"/>
    </row>
    <row r="725" spans="9:10">
      <c r="I725"/>
      <c r="J725"/>
    </row>
    <row r="726" spans="9:10">
      <c r="I726"/>
      <c r="J726"/>
    </row>
    <row r="727" spans="9:10">
      <c r="I727"/>
      <c r="J727"/>
    </row>
    <row r="728" spans="9:10">
      <c r="I728"/>
      <c r="J728"/>
    </row>
    <row r="729" spans="9:10">
      <c r="I729"/>
      <c r="J729"/>
    </row>
    <row r="730" spans="9:10">
      <c r="I730"/>
      <c r="J730"/>
    </row>
    <row r="731" spans="9:10">
      <c r="I731"/>
      <c r="J731"/>
    </row>
    <row r="732" spans="9:10">
      <c r="I732"/>
      <c r="J732"/>
    </row>
    <row r="733" spans="9:10">
      <c r="I733"/>
      <c r="J733"/>
    </row>
    <row r="734" spans="9:10">
      <c r="I734"/>
      <c r="J734"/>
    </row>
    <row r="735" spans="9:10">
      <c r="I735"/>
      <c r="J735"/>
    </row>
    <row r="736" spans="9:10">
      <c r="I736"/>
      <c r="J736"/>
    </row>
    <row r="737" spans="9:10">
      <c r="I737"/>
      <c r="J737"/>
    </row>
    <row r="738" spans="9:10">
      <c r="I738"/>
      <c r="J738"/>
    </row>
    <row r="739" spans="9:10">
      <c r="I739"/>
      <c r="J739"/>
    </row>
    <row r="740" spans="9:10">
      <c r="I740"/>
      <c r="J740"/>
    </row>
    <row r="741" spans="9:10">
      <c r="I741"/>
      <c r="J741"/>
    </row>
    <row r="742" spans="9:10">
      <c r="I742"/>
      <c r="J742"/>
    </row>
    <row r="743" spans="9:10">
      <c r="I743"/>
      <c r="J743"/>
    </row>
    <row r="744" spans="9:10">
      <c r="I744"/>
      <c r="J744"/>
    </row>
    <row r="745" spans="9:10">
      <c r="I745"/>
      <c r="J745"/>
    </row>
    <row r="746" spans="9:10">
      <c r="I746"/>
      <c r="J746"/>
    </row>
    <row r="747" spans="9:10">
      <c r="I747"/>
      <c r="J747"/>
    </row>
    <row r="748" spans="9:10">
      <c r="I748"/>
      <c r="J748"/>
    </row>
    <row r="749" spans="9:10">
      <c r="I749"/>
      <c r="J749"/>
    </row>
    <row r="750" spans="9:10">
      <c r="I750"/>
      <c r="J750"/>
    </row>
    <row r="751" spans="9:10">
      <c r="I751"/>
      <c r="J751"/>
    </row>
    <row r="752" spans="9:10">
      <c r="I752"/>
      <c r="J752"/>
    </row>
    <row r="753" spans="9:10">
      <c r="I753"/>
      <c r="J753"/>
    </row>
    <row r="754" spans="9:10">
      <c r="I754"/>
      <c r="J754"/>
    </row>
    <row r="755" spans="9:10">
      <c r="I755"/>
      <c r="J755"/>
    </row>
    <row r="756" spans="9:10">
      <c r="I756"/>
      <c r="J756"/>
    </row>
    <row r="757" spans="9:10">
      <c r="I757"/>
      <c r="J757"/>
    </row>
    <row r="758" spans="9:10">
      <c r="I758"/>
      <c r="J758"/>
    </row>
    <row r="759" spans="9:10">
      <c r="I759"/>
      <c r="J759"/>
    </row>
    <row r="760" spans="9:10">
      <c r="I760"/>
      <c r="J760"/>
    </row>
    <row r="761" spans="9:10">
      <c r="I761"/>
      <c r="J761"/>
    </row>
    <row r="762" spans="9:10">
      <c r="I762"/>
      <c r="J762"/>
    </row>
    <row r="763" spans="9:10">
      <c r="I763"/>
      <c r="J763"/>
    </row>
    <row r="764" spans="9:10">
      <c r="I764"/>
      <c r="J764"/>
    </row>
    <row r="765" spans="9:10">
      <c r="I765"/>
      <c r="J765"/>
    </row>
    <row r="766" spans="9:10">
      <c r="I766"/>
      <c r="J766"/>
    </row>
    <row r="767" spans="9:10">
      <c r="I767"/>
      <c r="J767"/>
    </row>
    <row r="768" spans="9:10">
      <c r="I768"/>
      <c r="J768"/>
    </row>
    <row r="769" spans="9:10">
      <c r="I769"/>
      <c r="J769"/>
    </row>
    <row r="770" spans="9:10">
      <c r="I770"/>
      <c r="J770"/>
    </row>
    <row r="771" spans="9:10">
      <c r="I771"/>
      <c r="J771"/>
    </row>
    <row r="772" spans="9:10">
      <c r="I772"/>
      <c r="J772"/>
    </row>
    <row r="773" spans="9:10">
      <c r="I773"/>
      <c r="J773"/>
    </row>
    <row r="774" spans="9:10">
      <c r="I774"/>
      <c r="J774"/>
    </row>
    <row r="775" spans="9:10">
      <c r="I775"/>
      <c r="J775"/>
    </row>
    <row r="776" spans="9:10">
      <c r="I776"/>
      <c r="J776"/>
    </row>
    <row r="777" spans="9:10">
      <c r="I777"/>
      <c r="J777"/>
    </row>
    <row r="778" spans="9:10">
      <c r="I778"/>
      <c r="J778"/>
    </row>
    <row r="779" spans="9:10">
      <c r="I779"/>
      <c r="J779"/>
    </row>
    <row r="780" spans="9:10">
      <c r="I780"/>
      <c r="J780"/>
    </row>
    <row r="781" spans="9:10">
      <c r="I781"/>
      <c r="J781"/>
    </row>
    <row r="782" spans="9:10">
      <c r="I782"/>
      <c r="J782"/>
    </row>
    <row r="783" spans="9:10">
      <c r="I783"/>
      <c r="J783"/>
    </row>
    <row r="784" spans="9:10">
      <c r="I784"/>
      <c r="J784"/>
    </row>
    <row r="785" spans="9:10">
      <c r="I785"/>
      <c r="J785"/>
    </row>
    <row r="786" spans="9:10">
      <c r="I786"/>
      <c r="J786"/>
    </row>
    <row r="787" spans="9:10">
      <c r="I787"/>
      <c r="J787"/>
    </row>
    <row r="788" spans="9:10">
      <c r="I788"/>
      <c r="J788"/>
    </row>
    <row r="789" spans="9:10">
      <c r="I789"/>
      <c r="J789"/>
    </row>
    <row r="790" spans="9:10">
      <c r="I790"/>
      <c r="J790"/>
    </row>
    <row r="791" spans="9:10">
      <c r="I791"/>
      <c r="J791"/>
    </row>
    <row r="792" spans="9:10">
      <c r="I792"/>
      <c r="J792"/>
    </row>
    <row r="793" spans="9:10">
      <c r="I793"/>
      <c r="J793"/>
    </row>
    <row r="794" spans="9:10">
      <c r="I794"/>
      <c r="J794"/>
    </row>
    <row r="795" spans="9:10">
      <c r="I795"/>
      <c r="J795"/>
    </row>
    <row r="796" spans="9:10">
      <c r="I796"/>
      <c r="J796"/>
    </row>
    <row r="797" spans="9:10">
      <c r="I797"/>
      <c r="J797"/>
    </row>
    <row r="798" spans="9:10">
      <c r="I798"/>
      <c r="J798"/>
    </row>
    <row r="799" spans="9:10">
      <c r="I799"/>
      <c r="J799"/>
    </row>
    <row r="800" spans="9:10">
      <c r="I800"/>
      <c r="J800"/>
    </row>
    <row r="801" spans="9:10">
      <c r="I801"/>
      <c r="J801"/>
    </row>
    <row r="802" spans="9:10">
      <c r="I802"/>
      <c r="J802"/>
    </row>
    <row r="803" spans="9:10">
      <c r="I803"/>
      <c r="J803"/>
    </row>
    <row r="804" spans="9:10">
      <c r="I804"/>
      <c r="J804"/>
    </row>
    <row r="805" spans="9:10">
      <c r="I805"/>
      <c r="J805"/>
    </row>
    <row r="806" spans="9:10">
      <c r="I806"/>
      <c r="J806"/>
    </row>
    <row r="807" spans="9:10">
      <c r="I807"/>
      <c r="J807"/>
    </row>
    <row r="808" spans="9:10">
      <c r="I808"/>
      <c r="J808"/>
    </row>
    <row r="809" spans="9:10">
      <c r="I809"/>
      <c r="J809"/>
    </row>
    <row r="810" spans="9:10">
      <c r="I810"/>
      <c r="J810"/>
    </row>
    <row r="811" spans="9:10">
      <c r="I811"/>
      <c r="J811"/>
    </row>
    <row r="812" spans="9:10">
      <c r="I812"/>
      <c r="J812"/>
    </row>
    <row r="813" spans="9:10">
      <c r="I813"/>
      <c r="J813"/>
    </row>
    <row r="814" spans="9:10">
      <c r="I814"/>
      <c r="J814"/>
    </row>
    <row r="815" spans="9:10">
      <c r="I815"/>
      <c r="J815"/>
    </row>
    <row r="816" spans="9:10">
      <c r="I816"/>
      <c r="J816"/>
    </row>
    <row r="817" spans="9:10">
      <c r="I817"/>
      <c r="J817"/>
    </row>
    <row r="818" spans="9:10">
      <c r="I818"/>
      <c r="J818"/>
    </row>
    <row r="819" spans="9:10">
      <c r="I819"/>
      <c r="J819"/>
    </row>
    <row r="820" spans="9:10">
      <c r="I820"/>
      <c r="J820"/>
    </row>
    <row r="821" spans="9:10">
      <c r="I821"/>
      <c r="J821"/>
    </row>
    <row r="822" spans="9:10">
      <c r="I822"/>
      <c r="J822"/>
    </row>
    <row r="823" spans="9:10">
      <c r="I823"/>
      <c r="J823"/>
    </row>
    <row r="824" spans="9:10">
      <c r="I824"/>
      <c r="J824"/>
    </row>
    <row r="825" spans="9:10">
      <c r="I825"/>
      <c r="J825"/>
    </row>
    <row r="826" spans="9:10">
      <c r="I826"/>
      <c r="J826"/>
    </row>
    <row r="827" spans="9:10">
      <c r="I827"/>
      <c r="J827"/>
    </row>
    <row r="828" spans="9:10">
      <c r="I828"/>
      <c r="J828"/>
    </row>
    <row r="829" spans="9:10">
      <c r="I829"/>
      <c r="J829"/>
    </row>
    <row r="830" spans="9:10">
      <c r="I830"/>
      <c r="J830"/>
    </row>
    <row r="831" spans="9:10">
      <c r="I831"/>
      <c r="J831"/>
    </row>
    <row r="832" spans="9:10">
      <c r="I832"/>
      <c r="J832"/>
    </row>
    <row r="833" spans="9:10">
      <c r="I833"/>
      <c r="J833"/>
    </row>
    <row r="834" spans="9:10">
      <c r="I834"/>
      <c r="J834"/>
    </row>
    <row r="835" spans="9:10">
      <c r="I835"/>
      <c r="J835"/>
    </row>
    <row r="836" spans="9:10">
      <c r="I836"/>
      <c r="J836"/>
    </row>
    <row r="837" spans="9:10">
      <c r="I837"/>
      <c r="J837"/>
    </row>
    <row r="838" spans="9:10">
      <c r="I838"/>
      <c r="J838"/>
    </row>
    <row r="839" spans="9:10">
      <c r="I839"/>
      <c r="J839"/>
    </row>
    <row r="840" spans="9:10">
      <c r="I840"/>
      <c r="J840"/>
    </row>
    <row r="841" spans="9:10">
      <c r="I841"/>
      <c r="J841"/>
    </row>
    <row r="842" spans="9:10">
      <c r="I842"/>
      <c r="J842"/>
    </row>
    <row r="843" spans="9:10">
      <c r="I843"/>
      <c r="J843"/>
    </row>
    <row r="844" spans="9:10">
      <c r="I844"/>
      <c r="J844"/>
    </row>
    <row r="845" spans="9:10">
      <c r="I845"/>
      <c r="J845"/>
    </row>
    <row r="846" spans="9:10">
      <c r="I846"/>
      <c r="J846"/>
    </row>
    <row r="847" spans="9:10">
      <c r="I847"/>
      <c r="J847"/>
    </row>
    <row r="848" spans="9:10">
      <c r="I848"/>
      <c r="J848"/>
    </row>
    <row r="849" spans="9:10">
      <c r="I849"/>
      <c r="J849"/>
    </row>
    <row r="850" spans="9:10">
      <c r="I850"/>
      <c r="J850"/>
    </row>
    <row r="851" spans="9:10">
      <c r="I851"/>
      <c r="J851"/>
    </row>
    <row r="852" spans="9:10">
      <c r="I852"/>
      <c r="J852"/>
    </row>
    <row r="853" spans="9:10">
      <c r="I853"/>
      <c r="J853"/>
    </row>
    <row r="854" spans="9:10">
      <c r="I854"/>
      <c r="J854"/>
    </row>
    <row r="855" spans="9:10">
      <c r="I855"/>
      <c r="J855"/>
    </row>
    <row r="856" spans="9:10">
      <c r="I856"/>
      <c r="J856"/>
    </row>
    <row r="857" spans="9:10">
      <c r="I857"/>
      <c r="J857"/>
    </row>
    <row r="858" spans="9:10">
      <c r="I858"/>
      <c r="J858"/>
    </row>
    <row r="859" spans="9:10">
      <c r="I859"/>
      <c r="J859"/>
    </row>
    <row r="860" spans="9:10">
      <c r="I860"/>
      <c r="J860"/>
    </row>
    <row r="861" spans="9:10">
      <c r="I861"/>
      <c r="J861"/>
    </row>
    <row r="862" spans="9:10">
      <c r="I862"/>
      <c r="J862"/>
    </row>
    <row r="863" spans="9:10">
      <c r="I863"/>
      <c r="J863"/>
    </row>
    <row r="864" spans="9:10">
      <c r="I864"/>
      <c r="J864"/>
    </row>
    <row r="865" spans="9:10">
      <c r="I865"/>
      <c r="J865"/>
    </row>
    <row r="866" spans="9:10">
      <c r="I866"/>
      <c r="J866"/>
    </row>
    <row r="867" spans="9:10">
      <c r="I867"/>
      <c r="J867"/>
    </row>
    <row r="868" spans="9:10">
      <c r="I868"/>
      <c r="J868"/>
    </row>
    <row r="869" spans="9:10">
      <c r="I869"/>
      <c r="J869"/>
    </row>
    <row r="870" spans="9:10">
      <c r="I870"/>
      <c r="J870"/>
    </row>
    <row r="871" spans="9:10">
      <c r="I871"/>
      <c r="J871"/>
    </row>
    <row r="872" spans="9:10">
      <c r="I872"/>
      <c r="J872"/>
    </row>
    <row r="873" spans="9:10">
      <c r="I873"/>
      <c r="J873"/>
    </row>
    <row r="874" spans="9:10">
      <c r="I874"/>
      <c r="J874"/>
    </row>
    <row r="875" spans="9:10">
      <c r="I875"/>
      <c r="J875"/>
    </row>
    <row r="876" spans="9:10">
      <c r="I876"/>
      <c r="J876"/>
    </row>
    <row r="877" spans="9:10">
      <c r="I877"/>
      <c r="J877"/>
    </row>
    <row r="878" spans="9:10">
      <c r="I878"/>
      <c r="J878"/>
    </row>
    <row r="879" spans="9:10">
      <c r="I879"/>
      <c r="J879"/>
    </row>
    <row r="880" spans="9:10">
      <c r="I880"/>
      <c r="J880"/>
    </row>
    <row r="881" spans="9:10">
      <c r="I881"/>
      <c r="J881"/>
    </row>
    <row r="882" spans="9:10">
      <c r="I882"/>
      <c r="J882"/>
    </row>
    <row r="883" spans="9:10">
      <c r="I883"/>
      <c r="J883"/>
    </row>
    <row r="884" spans="9:10">
      <c r="I884"/>
      <c r="J884"/>
    </row>
    <row r="885" spans="9:10">
      <c r="I885"/>
      <c r="J885"/>
    </row>
    <row r="886" spans="9:10">
      <c r="I886"/>
      <c r="J886"/>
    </row>
    <row r="887" spans="9:10">
      <c r="I887"/>
      <c r="J887"/>
    </row>
    <row r="888" spans="9:10">
      <c r="I888"/>
      <c r="J888"/>
    </row>
    <row r="889" spans="9:10">
      <c r="I889"/>
      <c r="J889"/>
    </row>
    <row r="890" spans="9:10">
      <c r="I890"/>
      <c r="J890"/>
    </row>
    <row r="891" spans="9:10">
      <c r="I891"/>
      <c r="J891"/>
    </row>
    <row r="892" spans="9:10">
      <c r="I892"/>
      <c r="J892"/>
    </row>
    <row r="893" spans="9:10">
      <c r="I893"/>
      <c r="J893"/>
    </row>
    <row r="894" spans="9:10">
      <c r="I894"/>
      <c r="J894"/>
    </row>
    <row r="895" spans="9:10">
      <c r="I895"/>
      <c r="J895"/>
    </row>
    <row r="896" spans="9:10">
      <c r="I896"/>
      <c r="J896"/>
    </row>
    <row r="897" spans="9:10">
      <c r="I897"/>
      <c r="J897"/>
    </row>
    <row r="898" spans="9:10">
      <c r="I898"/>
      <c r="J898"/>
    </row>
    <row r="899" spans="9:10">
      <c r="I899"/>
      <c r="J899"/>
    </row>
    <row r="900" spans="9:10">
      <c r="I900"/>
      <c r="J900"/>
    </row>
    <row r="901" spans="9:10">
      <c r="I901"/>
      <c r="J901"/>
    </row>
    <row r="902" spans="9:10">
      <c r="I902"/>
      <c r="J902"/>
    </row>
    <row r="903" spans="9:10">
      <c r="I903"/>
      <c r="J903"/>
    </row>
    <row r="904" spans="9:10">
      <c r="I904"/>
      <c r="J904"/>
    </row>
    <row r="905" spans="9:10">
      <c r="I905"/>
      <c r="J905"/>
    </row>
    <row r="906" spans="9:10">
      <c r="I906"/>
      <c r="J906"/>
    </row>
    <row r="907" spans="9:10">
      <c r="I907"/>
      <c r="J907"/>
    </row>
    <row r="908" spans="9:10">
      <c r="I908"/>
      <c r="J908"/>
    </row>
    <row r="909" spans="9:10">
      <c r="I909"/>
      <c r="J909"/>
    </row>
    <row r="910" spans="9:10">
      <c r="I910"/>
      <c r="J910"/>
    </row>
    <row r="911" spans="9:10">
      <c r="I911"/>
      <c r="J911"/>
    </row>
    <row r="912" spans="9:10">
      <c r="I912"/>
      <c r="J912"/>
    </row>
    <row r="913" spans="9:10">
      <c r="I913"/>
      <c r="J913"/>
    </row>
    <row r="914" spans="9:10">
      <c r="I914"/>
      <c r="J914"/>
    </row>
    <row r="915" spans="9:10">
      <c r="I915"/>
      <c r="J915"/>
    </row>
    <row r="916" spans="9:10">
      <c r="I916"/>
      <c r="J916"/>
    </row>
    <row r="917" spans="9:10">
      <c r="I917"/>
      <c r="J917"/>
    </row>
    <row r="918" spans="9:10">
      <c r="I918"/>
      <c r="J918"/>
    </row>
    <row r="919" spans="9:10">
      <c r="I919"/>
      <c r="J919"/>
    </row>
    <row r="920" spans="9:10">
      <c r="I920"/>
      <c r="J920"/>
    </row>
    <row r="921" spans="9:10">
      <c r="I921"/>
      <c r="J921"/>
    </row>
    <row r="922" spans="9:10">
      <c r="I922"/>
      <c r="J922"/>
    </row>
    <row r="923" spans="9:10">
      <c r="I923"/>
      <c r="J923"/>
    </row>
    <row r="924" spans="9:10">
      <c r="I924"/>
      <c r="J924"/>
    </row>
    <row r="925" spans="9:10">
      <c r="I925"/>
      <c r="J925"/>
    </row>
    <row r="926" spans="9:10">
      <c r="I926"/>
      <c r="J926"/>
    </row>
    <row r="927" spans="9:10">
      <c r="I927"/>
      <c r="J927"/>
    </row>
    <row r="928" spans="9:10">
      <c r="I928"/>
      <c r="J928"/>
    </row>
    <row r="929" spans="9:10">
      <c r="I929"/>
      <c r="J929"/>
    </row>
    <row r="930" spans="9:10">
      <c r="I930"/>
      <c r="J930"/>
    </row>
    <row r="931" spans="9:10">
      <c r="I931"/>
      <c r="J931"/>
    </row>
    <row r="932" spans="9:10">
      <c r="I932"/>
      <c r="J932"/>
    </row>
    <row r="933" spans="9:10">
      <c r="I933"/>
      <c r="J933"/>
    </row>
    <row r="934" spans="9:10">
      <c r="I934"/>
      <c r="J934"/>
    </row>
    <row r="935" spans="9:10">
      <c r="I935"/>
      <c r="J935"/>
    </row>
    <row r="936" spans="9:10">
      <c r="I936"/>
      <c r="J936"/>
    </row>
    <row r="937" spans="9:10">
      <c r="I937"/>
      <c r="J937"/>
    </row>
    <row r="938" spans="9:10">
      <c r="I938"/>
      <c r="J938"/>
    </row>
    <row r="939" spans="9:10">
      <c r="I939"/>
      <c r="J939"/>
    </row>
    <row r="940" spans="9:10">
      <c r="I940"/>
      <c r="J940"/>
    </row>
    <row r="941" spans="9:10">
      <c r="I941"/>
      <c r="J941"/>
    </row>
    <row r="942" spans="9:10">
      <c r="I942"/>
      <c r="J942"/>
    </row>
    <row r="943" spans="9:10">
      <c r="I943"/>
      <c r="J943"/>
    </row>
    <row r="944" spans="9:10">
      <c r="I944"/>
      <c r="J944"/>
    </row>
    <row r="945" spans="9:10">
      <c r="I945"/>
      <c r="J945"/>
    </row>
    <row r="946" spans="9:10">
      <c r="I946"/>
      <c r="J946"/>
    </row>
    <row r="947" spans="9:10">
      <c r="I947"/>
      <c r="J947"/>
    </row>
    <row r="948" spans="9:10">
      <c r="I948"/>
      <c r="J948"/>
    </row>
    <row r="949" spans="9:10">
      <c r="I949"/>
      <c r="J949"/>
    </row>
    <row r="950" spans="9:10">
      <c r="I950"/>
      <c r="J950"/>
    </row>
    <row r="951" spans="9:10">
      <c r="I951"/>
      <c r="J951"/>
    </row>
    <row r="952" spans="9:10">
      <c r="I952"/>
      <c r="J952"/>
    </row>
    <row r="953" spans="9:10">
      <c r="I953"/>
      <c r="J953"/>
    </row>
    <row r="954" spans="9:10">
      <c r="I954"/>
      <c r="J954"/>
    </row>
    <row r="955" spans="9:10">
      <c r="I955"/>
      <c r="J955"/>
    </row>
    <row r="956" spans="9:10">
      <c r="I956"/>
      <c r="J956"/>
    </row>
    <row r="957" spans="9:10">
      <c r="I957"/>
      <c r="J957"/>
    </row>
    <row r="958" spans="9:10">
      <c r="I958"/>
      <c r="J958"/>
    </row>
    <row r="959" spans="9:10">
      <c r="I959"/>
      <c r="J959"/>
    </row>
    <row r="960" spans="9:10">
      <c r="I960"/>
      <c r="J960"/>
    </row>
    <row r="961" spans="9:10">
      <c r="I961"/>
      <c r="J961"/>
    </row>
    <row r="962" spans="9:10">
      <c r="I962"/>
      <c r="J962"/>
    </row>
    <row r="963" spans="9:10">
      <c r="I963"/>
      <c r="J963"/>
    </row>
    <row r="964" spans="9:10">
      <c r="I964"/>
      <c r="J964"/>
    </row>
    <row r="965" spans="9:10">
      <c r="I965"/>
      <c r="J965"/>
    </row>
    <row r="966" spans="9:10">
      <c r="I966"/>
      <c r="J966"/>
    </row>
    <row r="967" spans="9:10">
      <c r="I967"/>
      <c r="J967"/>
    </row>
    <row r="968" spans="9:10">
      <c r="I968"/>
      <c r="J968"/>
    </row>
    <row r="969" spans="9:10">
      <c r="I969"/>
      <c r="J969"/>
    </row>
    <row r="970" spans="9:10">
      <c r="I970"/>
      <c r="J970"/>
    </row>
    <row r="971" spans="9:10">
      <c r="I971"/>
      <c r="J971"/>
    </row>
    <row r="972" spans="9:10">
      <c r="I972"/>
      <c r="J972"/>
    </row>
    <row r="973" spans="9:10">
      <c r="I973"/>
      <c r="J973"/>
    </row>
    <row r="974" spans="9:10">
      <c r="I974"/>
      <c r="J974"/>
    </row>
    <row r="975" spans="9:10">
      <c r="I975"/>
      <c r="J975"/>
    </row>
    <row r="976" spans="9:10">
      <c r="I976"/>
      <c r="J976"/>
    </row>
    <row r="977" spans="9:10">
      <c r="I977"/>
      <c r="J977"/>
    </row>
    <row r="978" spans="9:10">
      <c r="I978"/>
      <c r="J978"/>
    </row>
    <row r="979" spans="9:10">
      <c r="I979"/>
      <c r="J979"/>
    </row>
    <row r="980" spans="9:10">
      <c r="I980"/>
      <c r="J980"/>
    </row>
    <row r="981" spans="9:10">
      <c r="I981"/>
      <c r="J981"/>
    </row>
    <row r="982" spans="9:10">
      <c r="I982"/>
      <c r="J982"/>
    </row>
    <row r="983" spans="9:10">
      <c r="I983"/>
      <c r="J983"/>
    </row>
    <row r="984" spans="9:10">
      <c r="I984"/>
      <c r="J984"/>
    </row>
    <row r="985" spans="9:10">
      <c r="I985"/>
      <c r="J985"/>
    </row>
    <row r="986" spans="9:10">
      <c r="I986"/>
      <c r="J986"/>
    </row>
    <row r="987" spans="9:10">
      <c r="I987"/>
      <c r="J987"/>
    </row>
    <row r="988" spans="9:10">
      <c r="I988"/>
      <c r="J988"/>
    </row>
    <row r="989" spans="9:10">
      <c r="I989"/>
      <c r="J989"/>
    </row>
    <row r="990" spans="9:10">
      <c r="I990"/>
      <c r="J990"/>
    </row>
    <row r="991" spans="9:10">
      <c r="I991"/>
      <c r="J991"/>
    </row>
    <row r="992" spans="9:10">
      <c r="I992"/>
      <c r="J992"/>
    </row>
    <row r="993" spans="9:10">
      <c r="I993"/>
      <c r="J993"/>
    </row>
    <row r="994" spans="9:10">
      <c r="I994"/>
      <c r="J994"/>
    </row>
    <row r="995" spans="9:10">
      <c r="I995"/>
      <c r="J995"/>
    </row>
    <row r="996" spans="9:10">
      <c r="I996"/>
      <c r="J996"/>
    </row>
    <row r="997" spans="9:10">
      <c r="I997"/>
      <c r="J997"/>
    </row>
    <row r="998" spans="9:10">
      <c r="I998"/>
      <c r="J998"/>
    </row>
    <row r="999" spans="9:10">
      <c r="I999"/>
      <c r="J999"/>
    </row>
    <row r="1000" spans="9:10">
      <c r="I1000"/>
      <c r="J1000"/>
    </row>
    <row r="1001" spans="9:10">
      <c r="I1001"/>
      <c r="J1001"/>
    </row>
    <row r="1002" spans="9:10">
      <c r="I1002"/>
      <c r="J1002"/>
    </row>
    <row r="1003" spans="9:10">
      <c r="I1003"/>
      <c r="J1003"/>
    </row>
    <row r="1004" spans="9:10">
      <c r="I1004"/>
      <c r="J1004"/>
    </row>
    <row r="1005" spans="9:10">
      <c r="I1005"/>
      <c r="J1005"/>
    </row>
    <row r="1006" spans="9:10">
      <c r="I1006"/>
      <c r="J1006"/>
    </row>
    <row r="1007" spans="9:10">
      <c r="I1007"/>
      <c r="J1007"/>
    </row>
    <row r="1008" spans="9:10">
      <c r="I1008"/>
      <c r="J1008"/>
    </row>
    <row r="1009" spans="9:10">
      <c r="I1009"/>
      <c r="J1009"/>
    </row>
  </sheetData>
  <dataValidations count="8">
    <dataValidation type="list" allowBlank="1" showInputMessage="1" showErrorMessage="1" sqref="F6" xr:uid="{E6537140-FCD6-444A-9E12-46625A3A1E7E}">
      <formula1>tbl_Staff</formula1>
    </dataValidation>
    <dataValidation type="list" allowBlank="1" showInputMessage="1" showErrorMessage="1" sqref="C6" xr:uid="{9B9BE81B-C902-4B2C-BF1E-A10EAE8A8413}">
      <formula1>tbl_WorkTaskCode</formula1>
    </dataValidation>
    <dataValidation type="list" allowBlank="1" showInputMessage="1" showErrorMessage="1" sqref="E6" xr:uid="{9E0CA214-143A-42F2-8164-0AC05C1736E8}">
      <formula1>tbl_WorkTaskStatus</formula1>
    </dataValidation>
    <dataValidation type="list" allowBlank="1" showInputMessage="1" showErrorMessage="1" sqref="G6" xr:uid="{D0F8BD99-1167-4634-833F-5C8353B49FF2}">
      <formula1>tbl_StaffRole</formula1>
    </dataValidation>
    <dataValidation type="list" allowBlank="1" showInputMessage="1" showErrorMessage="1" errorTitle="Error:" error="Please provide a valid input" sqref="C8:C1009" xr:uid="{B7464678-F6CF-49B3-9F38-96905F60E0AC}">
      <formula1>tbl_WorkTaskCode</formula1>
    </dataValidation>
    <dataValidation type="list" allowBlank="1" showInputMessage="1" showErrorMessage="1" errorTitle="Error:" error="Please provide a valid input" sqref="E8:E1009" xr:uid="{6F72EE84-164D-4CDF-9AD4-BF160E373B11}">
      <formula1>tbl_WorkTaskStatus</formula1>
    </dataValidation>
    <dataValidation type="list" allowBlank="1" showInputMessage="1" showErrorMessage="1" errorTitle="Error:" error="Please provide a valid input" sqref="F8:F1009" xr:uid="{7FB289E8-D8B2-4B1B-B719-9D7A05C4B163}">
      <formula1>tbl_Staff</formula1>
    </dataValidation>
    <dataValidation type="list" allowBlank="1" showInputMessage="1" showErrorMessage="1" errorTitle="Error:" error="Please provide a valid input" sqref="G8:G1009" xr:uid="{3F5DB99B-C070-45AB-9B50-2CA473A8ED4F}">
      <formula1>tbl_StaffRole</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0465" r:id="rId4" name="Button 1">
              <controlPr defaultSize="0" print="0" autoFill="0" autoPict="0" macro="[0]!ListWorkTask">
                <anchor moveWithCells="1" sizeWithCells="1">
                  <from>
                    <xdr:col>1</xdr:col>
                    <xdr:colOff>129540</xdr:colOff>
                    <xdr:row>1</xdr:row>
                    <xdr:rowOff>15240</xdr:rowOff>
                  </from>
                  <to>
                    <xdr:col>2</xdr:col>
                    <xdr:colOff>144780</xdr:colOff>
                    <xdr:row>3</xdr:row>
                    <xdr:rowOff>99060</xdr:rowOff>
                  </to>
                </anchor>
              </controlPr>
            </control>
          </mc:Choice>
        </mc:AlternateContent>
        <mc:AlternateContent xmlns:mc="http://schemas.openxmlformats.org/markup-compatibility/2006">
          <mc:Choice Requires="x14">
            <control shapeId="190466" r:id="rId5" name="Button 2">
              <controlPr defaultSize="0" print="0" autoFill="0" autoPict="0" macro="[0]!ProcessWorkTaskUpdates">
                <anchor moveWithCells="1" sizeWithCells="1">
                  <from>
                    <xdr:col>2</xdr:col>
                    <xdr:colOff>502920</xdr:colOff>
                    <xdr:row>1</xdr:row>
                    <xdr:rowOff>0</xdr:rowOff>
                  </from>
                  <to>
                    <xdr:col>3</xdr:col>
                    <xdr:colOff>236220</xdr:colOff>
                    <xdr:row>3</xdr:row>
                    <xdr:rowOff>68580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692-D842-4C28-989E-F405CE04BE98}">
  <sheetPr codeName="Sheet44">
    <tabColor rgb="FF0070C0"/>
  </sheetPr>
  <dimension ref="A2:G4"/>
  <sheetViews>
    <sheetView workbookViewId="0"/>
  </sheetViews>
  <sheetFormatPr defaultColWidth="8.88671875" defaultRowHeight="14.4"/>
  <cols>
    <col min="1" max="1" width="8.88671875" style="14"/>
    <col min="2" max="2" width="12.6640625" style="14" customWidth="1"/>
    <col min="3" max="3" width="20.44140625" style="14" customWidth="1"/>
    <col min="4" max="4" width="85.6640625" style="14" customWidth="1"/>
    <col min="5" max="5" width="57.6640625" style="14" customWidth="1"/>
    <col min="6" max="6" width="14.44140625" style="14" customWidth="1"/>
    <col min="7" max="7" width="18.44140625" style="14" customWidth="1"/>
    <col min="8" max="16384" width="8.88671875" style="16"/>
  </cols>
  <sheetData>
    <row r="2" spans="1:7">
      <c r="D2" s="66" t="s">
        <v>1281</v>
      </c>
      <c r="E2" s="67"/>
    </row>
    <row r="4" spans="1:7">
      <c r="A4" s="14" t="s">
        <v>1282</v>
      </c>
      <c r="B4" s="14" t="s">
        <v>1283</v>
      </c>
      <c r="C4" s="14" t="s">
        <v>1284</v>
      </c>
      <c r="D4" s="14" t="s">
        <v>1285</v>
      </c>
      <c r="E4" s="14" t="s">
        <v>1286</v>
      </c>
      <c r="F4" s="14" t="s">
        <v>1287</v>
      </c>
      <c r="G4" s="14" t="s">
        <v>1288</v>
      </c>
    </row>
  </sheetData>
  <autoFilter ref="A4:G1675" xr:uid="{40A19692-D842-4C28-989E-F405CE04BE98}"/>
  <sortState xmlns:xlrd2="http://schemas.microsoft.com/office/spreadsheetml/2017/richdata2" ref="A5:H2010">
    <sortCondition ref="D5:D2010"/>
  </sortState>
  <phoneticPr fontId="61"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4033" r:id="rId3" name="Button 1">
              <controlPr defaultSize="0" print="0" autoFill="0" autoPict="0" macro="[0]!Extract_Findings">
                <anchor moveWithCells="1" sizeWithCells="1">
                  <from>
                    <xdr:col>3</xdr:col>
                    <xdr:colOff>381000</xdr:colOff>
                    <xdr:row>0</xdr:row>
                    <xdr:rowOff>106680</xdr:rowOff>
                  </from>
                  <to>
                    <xdr:col>3</xdr:col>
                    <xdr:colOff>2552700</xdr:colOff>
                    <xdr:row>2</xdr:row>
                    <xdr:rowOff>45720</xdr:rowOff>
                  </to>
                </anchor>
              </controlPr>
            </control>
          </mc:Choice>
        </mc:AlternateContent>
        <mc:AlternateContent xmlns:mc="http://schemas.openxmlformats.org/markup-compatibility/2006">
          <mc:Choice Requires="x14">
            <control shapeId="44034" r:id="rId4" name="Button 2">
              <controlPr defaultSize="0" print="0" autoFill="0" autoPict="0" macro="[0]!Update_Findings">
                <anchor moveWithCells="1" sizeWithCells="1">
                  <from>
                    <xdr:col>0</xdr:col>
                    <xdr:colOff>182880</xdr:colOff>
                    <xdr:row>0</xdr:row>
                    <xdr:rowOff>144780</xdr:rowOff>
                  </from>
                  <to>
                    <xdr:col>2</xdr:col>
                    <xdr:colOff>876300</xdr:colOff>
                    <xdr:row>2</xdr:row>
                    <xdr:rowOff>38100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A7E70-79D5-4AF1-BEE4-5F8747C66CC6}">
  <sheetPr codeName="Sheet45">
    <tabColor rgb="FF0070C0"/>
  </sheetPr>
  <dimension ref="A2:I4"/>
  <sheetViews>
    <sheetView workbookViewId="0">
      <selection activeCell="F8" sqref="F8"/>
    </sheetView>
  </sheetViews>
  <sheetFormatPr defaultColWidth="8.88671875" defaultRowHeight="14.4"/>
  <cols>
    <col min="1" max="1" width="8.88671875" style="14"/>
    <col min="2" max="4" width="8.109375" style="14" customWidth="1"/>
    <col min="5" max="7" width="46" style="14" customWidth="1"/>
    <col min="8" max="8" width="14.88671875" style="14" customWidth="1"/>
    <col min="9" max="9" width="23.44140625" style="14" customWidth="1"/>
    <col min="10" max="16384" width="8.88671875" style="16"/>
  </cols>
  <sheetData>
    <row r="2" spans="1:9">
      <c r="F2" s="66" t="s">
        <v>1281</v>
      </c>
      <c r="G2" s="67"/>
    </row>
    <row r="4" spans="1:9" ht="28.8">
      <c r="A4" s="14" t="s">
        <v>1282</v>
      </c>
      <c r="B4" s="14" t="s">
        <v>1283</v>
      </c>
      <c r="C4" s="14" t="s">
        <v>1289</v>
      </c>
      <c r="D4" s="14" t="s">
        <v>1290</v>
      </c>
      <c r="E4" s="14" t="s">
        <v>1291</v>
      </c>
      <c r="F4" s="14" t="s">
        <v>1292</v>
      </c>
      <c r="G4" s="14" t="s">
        <v>1293</v>
      </c>
      <c r="H4" s="14" t="s">
        <v>1287</v>
      </c>
      <c r="I4" s="14" t="s">
        <v>1288</v>
      </c>
    </row>
  </sheetData>
  <autoFilter ref="A4:I10" xr:uid="{47DA7E70-79D5-4AF1-BEE4-5F8747C66CC6}"/>
  <phoneticPr fontId="61"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5777" r:id="rId3" name="Button 1">
              <controlPr defaultSize="0" print="0" autoFill="0" autoPict="0" macro="[0]!Extract_Questions">
                <anchor moveWithCells="1" sizeWithCells="1">
                  <from>
                    <xdr:col>4</xdr:col>
                    <xdr:colOff>2400300</xdr:colOff>
                    <xdr:row>0</xdr:row>
                    <xdr:rowOff>106680</xdr:rowOff>
                  </from>
                  <to>
                    <xdr:col>5</xdr:col>
                    <xdr:colOff>1417320</xdr:colOff>
                    <xdr:row>2</xdr:row>
                    <xdr:rowOff>45720</xdr:rowOff>
                  </to>
                </anchor>
              </controlPr>
            </control>
          </mc:Choice>
        </mc:AlternateContent>
        <mc:AlternateContent xmlns:mc="http://schemas.openxmlformats.org/markup-compatibility/2006">
          <mc:Choice Requires="x14">
            <control shapeId="75778" r:id="rId4" name="Button 2">
              <controlPr defaultSize="0" print="0" autoFill="0" autoPict="0" macro="[0]!Update_Questions">
                <anchor moveWithCells="1" sizeWithCells="1">
                  <from>
                    <xdr:col>2</xdr:col>
                    <xdr:colOff>144780</xdr:colOff>
                    <xdr:row>0</xdr:row>
                    <xdr:rowOff>121920</xdr:rowOff>
                  </from>
                  <to>
                    <xdr:col>4</xdr:col>
                    <xdr:colOff>571500</xdr:colOff>
                    <xdr:row>2</xdr:row>
                    <xdr:rowOff>30480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015AC-2729-4104-A4D2-DD4B97A8791B}">
  <sheetPr codeName="Sheet33">
    <tabColor rgb="FF0070C0"/>
  </sheetPr>
  <dimension ref="D50"/>
  <sheetViews>
    <sheetView workbookViewId="0"/>
  </sheetViews>
  <sheetFormatPr defaultRowHeight="14.4"/>
  <sheetData>
    <row r="50" spans="4:4">
      <c r="D50" s="294"/>
    </row>
  </sheetData>
  <sortState xmlns:xlrd2="http://schemas.microsoft.com/office/spreadsheetml/2017/richdata2" ref="C1:C19">
    <sortCondition ref="C1:C19"/>
  </sortState>
  <phoneticPr fontId="6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94B63-2F37-4C70-BE34-0BA1A4776085}">
  <sheetPr codeName="Sheet2"/>
  <dimension ref="B2:C27"/>
  <sheetViews>
    <sheetView workbookViewId="0">
      <selection activeCell="A26" sqref="A26:XFD26"/>
    </sheetView>
  </sheetViews>
  <sheetFormatPr defaultColWidth="8.6640625" defaultRowHeight="15.6"/>
  <cols>
    <col min="1" max="16384" width="8.6640625" style="21"/>
  </cols>
  <sheetData>
    <row r="2" spans="2:3">
      <c r="B2" s="21" t="s">
        <v>1294</v>
      </c>
    </row>
    <row r="3" spans="2:3">
      <c r="C3" s="21" t="s">
        <v>1295</v>
      </c>
    </row>
    <row r="4" spans="2:3">
      <c r="C4" s="21" t="s">
        <v>1296</v>
      </c>
    </row>
    <row r="5" spans="2:3">
      <c r="C5" s="21" t="s">
        <v>1297</v>
      </c>
    </row>
    <row r="6" spans="2:3">
      <c r="C6" s="21" t="s">
        <v>1298</v>
      </c>
    </row>
    <row r="7" spans="2:3">
      <c r="C7" s="21" t="s">
        <v>1299</v>
      </c>
    </row>
    <row r="8" spans="2:3">
      <c r="C8" s="21" t="s">
        <v>1300</v>
      </c>
    </row>
    <row r="9" spans="2:3">
      <c r="C9" s="21" t="s">
        <v>1301</v>
      </c>
    </row>
    <row r="10" spans="2:3">
      <c r="C10" s="21" t="s">
        <v>1302</v>
      </c>
    </row>
    <row r="11" spans="2:3">
      <c r="C11" s="21" t="s">
        <v>1303</v>
      </c>
    </row>
    <row r="13" spans="2:3">
      <c r="B13" s="21" t="s">
        <v>1304</v>
      </c>
    </row>
    <row r="14" spans="2:3">
      <c r="C14" s="21" t="s">
        <v>1305</v>
      </c>
    </row>
    <row r="15" spans="2:3">
      <c r="C15" s="22" t="s">
        <v>1306</v>
      </c>
    </row>
    <row r="16" spans="2:3">
      <c r="C16" s="22" t="s">
        <v>1307</v>
      </c>
    </row>
    <row r="17" spans="2:3">
      <c r="C17" s="21" t="s">
        <v>1308</v>
      </c>
    </row>
    <row r="18" spans="2:3">
      <c r="C18" s="22" t="s">
        <v>1309</v>
      </c>
    </row>
    <row r="19" spans="2:3">
      <c r="C19" s="22" t="s">
        <v>1310</v>
      </c>
    </row>
    <row r="20" spans="2:3">
      <c r="C20" s="21" t="s">
        <v>1311</v>
      </c>
    </row>
    <row r="21" spans="2:3">
      <c r="C21" s="21" t="s">
        <v>1312</v>
      </c>
    </row>
    <row r="22" spans="2:3">
      <c r="C22" s="21" t="s">
        <v>1313</v>
      </c>
    </row>
    <row r="25" spans="2:3">
      <c r="B25" s="21" t="s">
        <v>1314</v>
      </c>
    </row>
    <row r="26" spans="2:3">
      <c r="C26" s="23" t="s">
        <v>20</v>
      </c>
    </row>
    <row r="27" spans="2:3">
      <c r="C27" s="15" t="s">
        <v>19</v>
      </c>
    </row>
  </sheetData>
  <phoneticPr fontId="61" type="noConversion"/>
  <hyperlinks>
    <hyperlink ref="C26" r:id="rId1" xr:uid="{729DCEB6-AFEF-405D-BDC6-CFF7EB81D2BB}"/>
    <hyperlink ref="C27" r:id="rId2" xr:uid="{1A57ECCA-E2D0-4680-9401-59679FCD73F2}"/>
  </hyperlinks>
  <pageMargins left="0.7" right="0.7" top="0.75" bottom="0.75" header="0.3" footer="0.3"/>
  <pageSetup paperSize="9" orientation="portrait" horizontalDpi="1200" verticalDpi="1200"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FA3D0-785F-4676-ACF4-8370E7E0BFC8}">
  <sheetPr codeName="Sheet3"/>
  <dimension ref="A2:V34"/>
  <sheetViews>
    <sheetView topLeftCell="A2" workbookViewId="0">
      <selection activeCell="M18" sqref="M18:M20"/>
    </sheetView>
  </sheetViews>
  <sheetFormatPr defaultColWidth="8.6640625" defaultRowHeight="14.4"/>
  <cols>
    <col min="1" max="21" width="8.6640625" style="27"/>
    <col min="22" max="22" width="8.6640625" style="27" hidden="1" customWidth="1"/>
    <col min="23" max="16384" width="8.6640625" style="27"/>
  </cols>
  <sheetData>
    <row r="2" spans="1:22" ht="93.6">
      <c r="A2" s="321" t="s">
        <v>1315</v>
      </c>
      <c r="B2" s="321" t="s">
        <v>1316</v>
      </c>
      <c r="C2" s="319" t="s">
        <v>1317</v>
      </c>
      <c r="D2" s="319"/>
      <c r="E2" s="320" t="s">
        <v>1318</v>
      </c>
      <c r="F2" s="320"/>
      <c r="G2" s="319" t="s">
        <v>1319</v>
      </c>
      <c r="H2" s="319"/>
      <c r="I2" s="319"/>
      <c r="J2" s="319"/>
      <c r="K2" s="320" t="s">
        <v>1320</v>
      </c>
      <c r="L2" s="320"/>
      <c r="M2" s="320"/>
      <c r="N2" s="24" t="s">
        <v>1321</v>
      </c>
      <c r="O2" s="25" t="s">
        <v>1322</v>
      </c>
      <c r="P2" s="319" t="s">
        <v>1323</v>
      </c>
      <c r="Q2" s="319"/>
      <c r="R2" s="319"/>
      <c r="S2" s="320" t="s">
        <v>1324</v>
      </c>
      <c r="T2" s="320"/>
      <c r="U2" s="320"/>
      <c r="V2" s="26" t="s">
        <v>1325</v>
      </c>
    </row>
    <row r="3" spans="1:22" ht="15.6">
      <c r="A3" s="321"/>
      <c r="B3" s="321"/>
      <c r="C3" s="28" t="s">
        <v>1326</v>
      </c>
      <c r="D3" s="28" t="s">
        <v>1327</v>
      </c>
      <c r="E3" s="29" t="s">
        <v>1328</v>
      </c>
      <c r="F3" s="29" t="s">
        <v>1329</v>
      </c>
      <c r="G3" s="28" t="s">
        <v>1330</v>
      </c>
      <c r="H3" s="28" t="s">
        <v>1331</v>
      </c>
      <c r="I3" s="28" t="s">
        <v>1332</v>
      </c>
      <c r="J3" s="28" t="s">
        <v>1333</v>
      </c>
      <c r="K3" s="29" t="s">
        <v>1334</v>
      </c>
      <c r="L3" s="29" t="s">
        <v>1335</v>
      </c>
      <c r="M3" s="29" t="s">
        <v>1336</v>
      </c>
      <c r="N3" s="28" t="s">
        <v>1337</v>
      </c>
      <c r="O3" s="29" t="s">
        <v>1338</v>
      </c>
      <c r="P3" s="28" t="s">
        <v>1339</v>
      </c>
      <c r="Q3" s="28" t="s">
        <v>1340</v>
      </c>
      <c r="R3" s="28" t="s">
        <v>1341</v>
      </c>
      <c r="S3" s="29" t="s">
        <v>1342</v>
      </c>
      <c r="T3" s="29" t="s">
        <v>1343</v>
      </c>
      <c r="U3" s="29" t="s">
        <v>1344</v>
      </c>
      <c r="V3" s="26" t="s">
        <v>1345</v>
      </c>
    </row>
    <row r="4" spans="1:22" ht="15.6">
      <c r="A4" s="318" t="s">
        <v>1346</v>
      </c>
      <c r="B4" s="30" t="s">
        <v>27</v>
      </c>
      <c r="C4" s="31" t="s">
        <v>1347</v>
      </c>
      <c r="D4" s="31" t="s">
        <v>1347</v>
      </c>
      <c r="E4" s="31" t="s">
        <v>1347</v>
      </c>
      <c r="F4" s="31" t="s">
        <v>1347</v>
      </c>
      <c r="G4" s="31" t="s">
        <v>1347</v>
      </c>
      <c r="H4" s="31" t="s">
        <v>1347</v>
      </c>
      <c r="I4" s="31" t="s">
        <v>1347</v>
      </c>
      <c r="J4" s="31" t="s">
        <v>1347</v>
      </c>
      <c r="K4" s="31" t="s">
        <v>1347</v>
      </c>
      <c r="L4" s="31" t="s">
        <v>1347</v>
      </c>
      <c r="M4" s="31" t="s">
        <v>1347</v>
      </c>
      <c r="N4" s="31" t="s">
        <v>1347</v>
      </c>
      <c r="O4" s="31" t="s">
        <v>1347</v>
      </c>
      <c r="P4" s="31" t="s">
        <v>1347</v>
      </c>
      <c r="Q4" s="31" t="s">
        <v>1347</v>
      </c>
      <c r="R4" s="31" t="s">
        <v>1347</v>
      </c>
      <c r="S4" s="31" t="s">
        <v>1347</v>
      </c>
      <c r="T4" s="31" t="s">
        <v>1347</v>
      </c>
      <c r="U4" s="31" t="s">
        <v>1347</v>
      </c>
      <c r="V4" s="32" t="s">
        <v>1348</v>
      </c>
    </row>
    <row r="5" spans="1:22" ht="15.6">
      <c r="A5" s="318"/>
      <c r="B5" s="29">
        <v>1.1000000000000001</v>
      </c>
      <c r="C5" s="33" t="s">
        <v>1349</v>
      </c>
      <c r="D5" s="33" t="s">
        <v>1349</v>
      </c>
      <c r="E5" s="33" t="s">
        <v>1349</v>
      </c>
      <c r="F5" s="33" t="s">
        <v>1349</v>
      </c>
      <c r="G5" s="33" t="s">
        <v>1349</v>
      </c>
      <c r="H5" s="33" t="s">
        <v>1349</v>
      </c>
      <c r="I5" s="33" t="s">
        <v>1349</v>
      </c>
      <c r="J5" s="33" t="s">
        <v>1349</v>
      </c>
      <c r="K5" s="33" t="s">
        <v>1349</v>
      </c>
      <c r="L5" s="33" t="s">
        <v>1349</v>
      </c>
      <c r="M5" s="33" t="s">
        <v>1349</v>
      </c>
      <c r="N5" s="33" t="s">
        <v>1349</v>
      </c>
      <c r="O5" s="33" t="s">
        <v>1349</v>
      </c>
      <c r="P5" s="33" t="s">
        <v>1349</v>
      </c>
      <c r="Q5" s="33" t="s">
        <v>1349</v>
      </c>
      <c r="R5" s="33" t="s">
        <v>1349</v>
      </c>
      <c r="S5" s="33" t="s">
        <v>1349</v>
      </c>
      <c r="T5" s="33" t="s">
        <v>1349</v>
      </c>
      <c r="U5" s="33" t="s">
        <v>1349</v>
      </c>
      <c r="V5" s="32" t="s">
        <v>1198</v>
      </c>
    </row>
    <row r="6" spans="1:22" ht="15.6">
      <c r="A6" s="318"/>
      <c r="B6" s="29">
        <v>1.2</v>
      </c>
      <c r="C6" s="33"/>
      <c r="D6" s="33"/>
      <c r="E6" s="33"/>
      <c r="F6" s="33"/>
      <c r="G6" s="33"/>
      <c r="H6" s="33" t="s">
        <v>1349</v>
      </c>
      <c r="I6" s="33"/>
      <c r="J6" s="33"/>
      <c r="K6" s="33" t="s">
        <v>1349</v>
      </c>
      <c r="L6" s="33"/>
      <c r="M6" s="33" t="s">
        <v>1349</v>
      </c>
      <c r="N6" s="33"/>
      <c r="O6" s="33"/>
      <c r="P6" s="33" t="s">
        <v>1349</v>
      </c>
      <c r="Q6" s="33" t="s">
        <v>1349</v>
      </c>
      <c r="R6" s="33"/>
      <c r="S6" s="33"/>
      <c r="T6" s="33" t="s">
        <v>1349</v>
      </c>
      <c r="U6" s="33"/>
      <c r="V6" s="32" t="s">
        <v>1195</v>
      </c>
    </row>
    <row r="7" spans="1:22" ht="15.6">
      <c r="A7" s="318"/>
      <c r="B7" s="29">
        <v>1.3</v>
      </c>
      <c r="C7" s="33"/>
      <c r="D7" s="33"/>
      <c r="E7" s="33"/>
      <c r="F7" s="33"/>
      <c r="G7" s="33"/>
      <c r="H7" s="33"/>
      <c r="I7" s="33"/>
      <c r="J7" s="33"/>
      <c r="K7" s="33" t="s">
        <v>1349</v>
      </c>
      <c r="L7" s="33"/>
      <c r="M7" s="33"/>
      <c r="N7" s="33"/>
      <c r="O7" s="33"/>
      <c r="P7" s="33"/>
      <c r="Q7" s="33"/>
      <c r="R7" s="33"/>
      <c r="S7" s="33"/>
      <c r="T7" s="33"/>
      <c r="U7" s="33"/>
      <c r="V7" s="32" t="s">
        <v>1192</v>
      </c>
    </row>
    <row r="8" spans="1:22" ht="15.6">
      <c r="A8" s="318" t="s">
        <v>28</v>
      </c>
      <c r="B8" s="30" t="s">
        <v>28</v>
      </c>
      <c r="C8" s="31" t="s">
        <v>1347</v>
      </c>
      <c r="D8" s="31" t="s">
        <v>1347</v>
      </c>
      <c r="E8" s="31" t="s">
        <v>1347</v>
      </c>
      <c r="F8" s="31" t="s">
        <v>1347</v>
      </c>
      <c r="G8" s="31" t="s">
        <v>1347</v>
      </c>
      <c r="H8" s="31" t="s">
        <v>1347</v>
      </c>
      <c r="I8" s="31" t="s">
        <v>1347</v>
      </c>
      <c r="J8" s="31" t="s">
        <v>1347</v>
      </c>
      <c r="K8" s="31" t="s">
        <v>1347</v>
      </c>
      <c r="L8" s="31" t="s">
        <v>1347</v>
      </c>
      <c r="M8" s="31" t="s">
        <v>1347</v>
      </c>
      <c r="N8" s="31" t="s">
        <v>1347</v>
      </c>
      <c r="O8" s="31" t="s">
        <v>1347</v>
      </c>
      <c r="P8" s="31" t="s">
        <v>1347</v>
      </c>
      <c r="Q8" s="31" t="s">
        <v>1347</v>
      </c>
      <c r="R8" s="31" t="s">
        <v>1347</v>
      </c>
      <c r="S8" s="31" t="s">
        <v>1347</v>
      </c>
      <c r="T8" s="31" t="s">
        <v>1347</v>
      </c>
      <c r="U8" s="31" t="s">
        <v>1347</v>
      </c>
      <c r="V8" s="32"/>
    </row>
    <row r="9" spans="1:22" ht="15.6">
      <c r="A9" s="318"/>
      <c r="B9" s="29">
        <v>2.1</v>
      </c>
      <c r="C9" s="33" t="s">
        <v>1349</v>
      </c>
      <c r="D9" s="33" t="s">
        <v>1349</v>
      </c>
      <c r="E9" s="33" t="s">
        <v>1349</v>
      </c>
      <c r="F9" s="33" t="s">
        <v>1349</v>
      </c>
      <c r="G9" s="33" t="s">
        <v>1349</v>
      </c>
      <c r="H9" s="33" t="s">
        <v>1349</v>
      </c>
      <c r="I9" s="33" t="s">
        <v>1349</v>
      </c>
      <c r="J9" s="33" t="s">
        <v>1349</v>
      </c>
      <c r="K9" s="33" t="s">
        <v>1349</v>
      </c>
      <c r="L9" s="33" t="s">
        <v>1349</v>
      </c>
      <c r="M9" s="33" t="s">
        <v>1349</v>
      </c>
      <c r="N9" s="33" t="s">
        <v>1349</v>
      </c>
      <c r="O9" s="33" t="s">
        <v>1349</v>
      </c>
      <c r="P9" s="33" t="s">
        <v>1349</v>
      </c>
      <c r="Q9" s="33" t="s">
        <v>1349</v>
      </c>
      <c r="R9" s="33" t="s">
        <v>1349</v>
      </c>
      <c r="S9" s="33" t="s">
        <v>1349</v>
      </c>
      <c r="T9" s="33" t="s">
        <v>1349</v>
      </c>
      <c r="U9" s="33" t="s">
        <v>1349</v>
      </c>
      <c r="V9" s="32" t="s">
        <v>1198</v>
      </c>
    </row>
    <row r="10" spans="1:22" ht="15.6">
      <c r="A10" s="318"/>
      <c r="B10" s="29">
        <v>2.2000000000000002</v>
      </c>
      <c r="C10" s="33" t="s">
        <v>1349</v>
      </c>
      <c r="D10" s="33" t="s">
        <v>1349</v>
      </c>
      <c r="E10" s="33" t="s">
        <v>1349</v>
      </c>
      <c r="F10" s="33" t="s">
        <v>1349</v>
      </c>
      <c r="G10" s="33" t="s">
        <v>1349</v>
      </c>
      <c r="H10" s="33" t="s">
        <v>1349</v>
      </c>
      <c r="I10" s="33" t="s">
        <v>1349</v>
      </c>
      <c r="J10" s="33" t="s">
        <v>1349</v>
      </c>
      <c r="K10" s="33" t="s">
        <v>1349</v>
      </c>
      <c r="L10" s="33" t="s">
        <v>1349</v>
      </c>
      <c r="M10" s="33" t="s">
        <v>1349</v>
      </c>
      <c r="N10" s="33" t="s">
        <v>1349</v>
      </c>
      <c r="O10" s="33" t="s">
        <v>1349</v>
      </c>
      <c r="P10" s="33" t="s">
        <v>1349</v>
      </c>
      <c r="Q10" s="33" t="s">
        <v>1349</v>
      </c>
      <c r="R10" s="33" t="s">
        <v>1349</v>
      </c>
      <c r="S10" s="33" t="s">
        <v>1349</v>
      </c>
      <c r="T10" s="33" t="s">
        <v>1349</v>
      </c>
      <c r="U10" s="33" t="s">
        <v>1349</v>
      </c>
      <c r="V10" s="32" t="s">
        <v>1198</v>
      </c>
    </row>
    <row r="11" spans="1:22" ht="15.6">
      <c r="A11" s="318"/>
      <c r="B11" s="29">
        <v>2.2999999999999998</v>
      </c>
      <c r="C11" s="33" t="s">
        <v>1349</v>
      </c>
      <c r="D11" s="33"/>
      <c r="E11" s="33" t="s">
        <v>1349</v>
      </c>
      <c r="F11" s="33" t="s">
        <v>1349</v>
      </c>
      <c r="G11" s="33" t="s">
        <v>1349</v>
      </c>
      <c r="H11" s="33" t="s">
        <v>1349</v>
      </c>
      <c r="I11" s="33" t="s">
        <v>1349</v>
      </c>
      <c r="J11" s="33" t="s">
        <v>1349</v>
      </c>
      <c r="K11" s="33"/>
      <c r="L11" s="33" t="s">
        <v>1349</v>
      </c>
      <c r="M11" s="33" t="s">
        <v>1349</v>
      </c>
      <c r="N11" s="33"/>
      <c r="O11" s="33"/>
      <c r="P11" s="33" t="s">
        <v>1349</v>
      </c>
      <c r="Q11" s="33" t="s">
        <v>1349</v>
      </c>
      <c r="R11" s="33" t="s">
        <v>1349</v>
      </c>
      <c r="S11" s="33"/>
      <c r="T11" s="33" t="s">
        <v>1349</v>
      </c>
      <c r="U11" s="33" t="s">
        <v>1349</v>
      </c>
      <c r="V11" s="32" t="s">
        <v>1189</v>
      </c>
    </row>
    <row r="12" spans="1:22" ht="15.6">
      <c r="A12" s="318"/>
      <c r="B12" s="29">
        <v>2.4</v>
      </c>
      <c r="C12" s="33" t="s">
        <v>1349</v>
      </c>
      <c r="D12" s="33"/>
      <c r="E12" s="33"/>
      <c r="F12" s="33" t="s">
        <v>1349</v>
      </c>
      <c r="G12" s="33" t="s">
        <v>1349</v>
      </c>
      <c r="H12" s="33"/>
      <c r="I12" s="33" t="s">
        <v>1349</v>
      </c>
      <c r="J12" s="33" t="s">
        <v>1349</v>
      </c>
      <c r="K12" s="33"/>
      <c r="L12" s="33"/>
      <c r="M12" s="33" t="s">
        <v>1349</v>
      </c>
      <c r="N12" s="33"/>
      <c r="O12" s="33"/>
      <c r="P12" s="33" t="s">
        <v>1349</v>
      </c>
      <c r="Q12" s="33" t="s">
        <v>1349</v>
      </c>
      <c r="R12" s="33"/>
      <c r="S12" s="33"/>
      <c r="T12" s="33" t="s">
        <v>1349</v>
      </c>
      <c r="U12" s="33" t="s">
        <v>1349</v>
      </c>
      <c r="V12" s="32" t="s">
        <v>1192</v>
      </c>
    </row>
    <row r="13" spans="1:22" ht="15.6">
      <c r="A13" s="318"/>
      <c r="B13" s="29">
        <v>2.5</v>
      </c>
      <c r="C13" s="33"/>
      <c r="D13" s="33"/>
      <c r="E13" s="33"/>
      <c r="F13" s="33" t="s">
        <v>1349</v>
      </c>
      <c r="G13" s="33"/>
      <c r="H13" s="33"/>
      <c r="I13" s="33"/>
      <c r="J13" s="33" t="s">
        <v>1349</v>
      </c>
      <c r="K13" s="33"/>
      <c r="L13" s="33"/>
      <c r="M13" s="33" t="s">
        <v>1349</v>
      </c>
      <c r="N13" s="33"/>
      <c r="O13" s="33"/>
      <c r="P13" s="33"/>
      <c r="Q13" s="33" t="s">
        <v>1349</v>
      </c>
      <c r="R13" s="33"/>
      <c r="S13" s="33"/>
      <c r="T13" s="33" t="s">
        <v>1349</v>
      </c>
      <c r="U13" s="33" t="s">
        <v>1349</v>
      </c>
      <c r="V13" s="32"/>
    </row>
    <row r="14" spans="1:22" ht="15.6">
      <c r="A14" s="318"/>
      <c r="B14" s="29">
        <v>2.6</v>
      </c>
      <c r="C14" s="33"/>
      <c r="D14" s="33"/>
      <c r="E14" s="33"/>
      <c r="F14" s="33" t="s">
        <v>1349</v>
      </c>
      <c r="G14" s="33"/>
      <c r="H14" s="33"/>
      <c r="I14" s="33"/>
      <c r="J14" s="33"/>
      <c r="K14" s="33"/>
      <c r="L14" s="33"/>
      <c r="M14" s="33" t="s">
        <v>1349</v>
      </c>
      <c r="N14" s="33"/>
      <c r="O14" s="33"/>
      <c r="P14" s="33"/>
      <c r="Q14" s="33" t="s">
        <v>1349</v>
      </c>
      <c r="R14" s="33"/>
      <c r="S14" s="33"/>
      <c r="T14" s="33"/>
      <c r="U14" s="33" t="s">
        <v>1349</v>
      </c>
      <c r="V14" s="32"/>
    </row>
    <row r="15" spans="1:22" ht="15.6">
      <c r="A15" s="318"/>
      <c r="B15" s="29">
        <v>2.7</v>
      </c>
      <c r="C15" s="33"/>
      <c r="D15" s="33"/>
      <c r="E15" s="33"/>
      <c r="F15" s="33"/>
      <c r="G15" s="33"/>
      <c r="H15" s="33"/>
      <c r="I15" s="33"/>
      <c r="J15" s="33"/>
      <c r="K15" s="33"/>
      <c r="L15" s="33"/>
      <c r="M15" s="33"/>
      <c r="N15" s="33"/>
      <c r="O15" s="33"/>
      <c r="P15" s="33"/>
      <c r="Q15" s="33" t="s">
        <v>1349</v>
      </c>
      <c r="R15" s="33"/>
      <c r="S15" s="33"/>
      <c r="T15" s="33"/>
      <c r="U15" s="33"/>
      <c r="V15" s="32"/>
    </row>
    <row r="16" spans="1:22" ht="15.6">
      <c r="A16" s="318"/>
      <c r="B16" s="29">
        <v>2.8</v>
      </c>
      <c r="C16" s="33"/>
      <c r="D16" s="33"/>
      <c r="E16" s="33"/>
      <c r="F16" s="33"/>
      <c r="G16" s="33"/>
      <c r="H16" s="33"/>
      <c r="I16" s="33"/>
      <c r="J16" s="33"/>
      <c r="K16" s="33"/>
      <c r="L16" s="33"/>
      <c r="M16" s="33"/>
      <c r="N16" s="33"/>
      <c r="O16" s="33"/>
      <c r="P16" s="33"/>
      <c r="Q16" s="33" t="s">
        <v>1349</v>
      </c>
      <c r="R16" s="33"/>
      <c r="S16" s="33"/>
      <c r="T16" s="33"/>
      <c r="U16" s="33"/>
      <c r="V16" s="32"/>
    </row>
    <row r="17" spans="1:22" ht="15.6">
      <c r="A17" s="318" t="s">
        <v>29</v>
      </c>
      <c r="B17" s="30" t="s">
        <v>29</v>
      </c>
      <c r="C17" s="31" t="s">
        <v>1347</v>
      </c>
      <c r="D17" s="31" t="s">
        <v>1347</v>
      </c>
      <c r="E17" s="31" t="s">
        <v>1347</v>
      </c>
      <c r="F17" s="31" t="s">
        <v>1347</v>
      </c>
      <c r="G17" s="31" t="s">
        <v>1347</v>
      </c>
      <c r="H17" s="31" t="s">
        <v>1347</v>
      </c>
      <c r="I17" s="31" t="s">
        <v>1347</v>
      </c>
      <c r="J17" s="31" t="s">
        <v>1347</v>
      </c>
      <c r="K17" s="31" t="s">
        <v>1347</v>
      </c>
      <c r="L17" s="31" t="s">
        <v>1347</v>
      </c>
      <c r="M17" s="31" t="s">
        <v>1347</v>
      </c>
      <c r="N17" s="31" t="s">
        <v>1347</v>
      </c>
      <c r="O17" s="31" t="s">
        <v>1347</v>
      </c>
      <c r="P17" s="31" t="s">
        <v>1347</v>
      </c>
      <c r="Q17" s="31" t="s">
        <v>1347</v>
      </c>
      <c r="R17" s="31" t="s">
        <v>1347</v>
      </c>
      <c r="S17" s="31" t="s">
        <v>1347</v>
      </c>
      <c r="T17" s="31" t="s">
        <v>1347</v>
      </c>
      <c r="U17" s="33"/>
      <c r="V17" s="32"/>
    </row>
    <row r="18" spans="1:22" ht="15.6">
      <c r="A18" s="318"/>
      <c r="B18" s="29">
        <v>3.1</v>
      </c>
      <c r="C18" s="33" t="s">
        <v>1349</v>
      </c>
      <c r="D18" s="33" t="s">
        <v>1349</v>
      </c>
      <c r="E18" s="33" t="s">
        <v>1349</v>
      </c>
      <c r="F18" s="33" t="s">
        <v>1349</v>
      </c>
      <c r="G18" s="33" t="s">
        <v>1349</v>
      </c>
      <c r="H18" s="33" t="s">
        <v>1349</v>
      </c>
      <c r="I18" s="33" t="s">
        <v>1349</v>
      </c>
      <c r="J18" s="33" t="s">
        <v>1349</v>
      </c>
      <c r="K18" s="33" t="s">
        <v>1349</v>
      </c>
      <c r="L18" s="33" t="s">
        <v>1349</v>
      </c>
      <c r="M18" s="33" t="s">
        <v>1349</v>
      </c>
      <c r="N18" s="33" t="s">
        <v>1349</v>
      </c>
      <c r="O18" s="33" t="s">
        <v>1349</v>
      </c>
      <c r="P18" s="33" t="s">
        <v>1349</v>
      </c>
      <c r="Q18" s="33" t="s">
        <v>1349</v>
      </c>
      <c r="R18" s="33" t="s">
        <v>1349</v>
      </c>
      <c r="S18" s="33" t="s">
        <v>1349</v>
      </c>
      <c r="T18" s="33" t="s">
        <v>1349</v>
      </c>
      <c r="U18" s="33"/>
      <c r="V18" s="32" t="s">
        <v>1198</v>
      </c>
    </row>
    <row r="19" spans="1:22" ht="15.6">
      <c r="A19" s="318"/>
      <c r="B19" s="29">
        <v>3.2</v>
      </c>
      <c r="C19" s="33" t="s">
        <v>1349</v>
      </c>
      <c r="D19" s="33" t="s">
        <v>1349</v>
      </c>
      <c r="E19" s="33" t="s">
        <v>1349</v>
      </c>
      <c r="F19" s="33" t="s">
        <v>1349</v>
      </c>
      <c r="G19" s="33"/>
      <c r="H19" s="33" t="s">
        <v>1349</v>
      </c>
      <c r="I19" s="33"/>
      <c r="J19" s="33" t="s">
        <v>1349</v>
      </c>
      <c r="K19" s="33" t="s">
        <v>1349</v>
      </c>
      <c r="L19" s="33" t="s">
        <v>1349</v>
      </c>
      <c r="M19" s="33" t="s">
        <v>1349</v>
      </c>
      <c r="N19" s="33" t="s">
        <v>1349</v>
      </c>
      <c r="O19" s="33" t="s">
        <v>1349</v>
      </c>
      <c r="P19" s="33" t="s">
        <v>1349</v>
      </c>
      <c r="Q19" s="33" t="s">
        <v>1349</v>
      </c>
      <c r="R19" s="33" t="s">
        <v>1349</v>
      </c>
      <c r="S19" s="33" t="s">
        <v>1349</v>
      </c>
      <c r="T19" s="33"/>
      <c r="U19" s="33"/>
      <c r="V19" s="32" t="s">
        <v>1198</v>
      </c>
    </row>
    <row r="20" spans="1:22" ht="15.6">
      <c r="A20" s="318"/>
      <c r="B20" s="29">
        <v>3.3</v>
      </c>
      <c r="C20" s="33"/>
      <c r="D20" s="33" t="s">
        <v>1349</v>
      </c>
      <c r="E20" s="33" t="s">
        <v>1349</v>
      </c>
      <c r="F20" s="33" t="s">
        <v>1349</v>
      </c>
      <c r="G20" s="33"/>
      <c r="H20" s="33"/>
      <c r="I20" s="33"/>
      <c r="J20" s="33" t="s">
        <v>1349</v>
      </c>
      <c r="K20" s="33" t="s">
        <v>1349</v>
      </c>
      <c r="L20" s="33" t="s">
        <v>1349</v>
      </c>
      <c r="M20" s="33" t="s">
        <v>1349</v>
      </c>
      <c r="N20" s="33" t="s">
        <v>1349</v>
      </c>
      <c r="O20" s="33" t="s">
        <v>1349</v>
      </c>
      <c r="P20" s="33" t="s">
        <v>1349</v>
      </c>
      <c r="Q20" s="33" t="s">
        <v>1349</v>
      </c>
      <c r="R20" s="33"/>
      <c r="S20" s="33" t="s">
        <v>1349</v>
      </c>
      <c r="T20" s="33"/>
      <c r="U20" s="33"/>
      <c r="V20" s="32"/>
    </row>
    <row r="21" spans="1:22" ht="15.6">
      <c r="A21" s="318"/>
      <c r="B21" s="29">
        <v>3.4</v>
      </c>
      <c r="C21" s="33"/>
      <c r="D21" s="33"/>
      <c r="E21" s="33" t="s">
        <v>1349</v>
      </c>
      <c r="F21" s="33"/>
      <c r="G21" s="33"/>
      <c r="H21" s="33"/>
      <c r="I21" s="33"/>
      <c r="J21" s="33" t="s">
        <v>1349</v>
      </c>
      <c r="K21" s="33" t="s">
        <v>1349</v>
      </c>
      <c r="L21" s="33" t="s">
        <v>1349</v>
      </c>
      <c r="M21" s="33" t="s">
        <v>1349</v>
      </c>
      <c r="N21" s="33" t="s">
        <v>1349</v>
      </c>
      <c r="O21" s="33" t="s">
        <v>1349</v>
      </c>
      <c r="P21" s="33" t="s">
        <v>1349</v>
      </c>
      <c r="Q21" s="33" t="s">
        <v>1349</v>
      </c>
      <c r="R21" s="33"/>
      <c r="S21" s="33" t="s">
        <v>1349</v>
      </c>
      <c r="T21" s="33"/>
      <c r="U21" s="33"/>
      <c r="V21" s="32"/>
    </row>
    <row r="22" spans="1:22" ht="15.6">
      <c r="A22" s="318"/>
      <c r="B22" s="29">
        <v>3.5</v>
      </c>
      <c r="C22" s="33"/>
      <c r="D22" s="33"/>
      <c r="E22" s="33" t="s">
        <v>1349</v>
      </c>
      <c r="F22" s="33"/>
      <c r="G22" s="33"/>
      <c r="H22" s="33"/>
      <c r="I22" s="33"/>
      <c r="J22" s="33" t="s">
        <v>1349</v>
      </c>
      <c r="K22" s="33" t="s">
        <v>1349</v>
      </c>
      <c r="L22" s="33" t="s">
        <v>1349</v>
      </c>
      <c r="M22" s="33" t="s">
        <v>1349</v>
      </c>
      <c r="N22" s="33" t="s">
        <v>1349</v>
      </c>
      <c r="O22" s="33" t="s">
        <v>1349</v>
      </c>
      <c r="P22" s="33"/>
      <c r="Q22" s="33"/>
      <c r="R22" s="33"/>
      <c r="S22" s="33" t="s">
        <v>1349</v>
      </c>
      <c r="T22" s="33"/>
      <c r="U22" s="33"/>
      <c r="V22" s="32"/>
    </row>
    <row r="23" spans="1:22" ht="15.6">
      <c r="A23" s="318"/>
      <c r="B23" s="29">
        <v>3.6</v>
      </c>
      <c r="C23" s="33"/>
      <c r="D23" s="33"/>
      <c r="E23" s="33" t="s">
        <v>1349</v>
      </c>
      <c r="F23" s="33"/>
      <c r="G23" s="33"/>
      <c r="H23" s="33"/>
      <c r="I23" s="33"/>
      <c r="J23" s="33" t="s">
        <v>1349</v>
      </c>
      <c r="K23" s="33" t="s">
        <v>1349</v>
      </c>
      <c r="L23" s="33" t="s">
        <v>1349</v>
      </c>
      <c r="M23" s="33" t="s">
        <v>1349</v>
      </c>
      <c r="N23" s="33"/>
      <c r="O23" s="33" t="s">
        <v>1349</v>
      </c>
      <c r="P23" s="33"/>
      <c r="Q23" s="33"/>
      <c r="R23" s="33"/>
      <c r="S23" s="33"/>
      <c r="T23" s="33"/>
      <c r="U23" s="33"/>
      <c r="V23" s="32"/>
    </row>
    <row r="24" spans="1:22" ht="15.6">
      <c r="A24" s="318"/>
      <c r="B24" s="29">
        <v>3.7</v>
      </c>
      <c r="C24" s="33"/>
      <c r="D24" s="33"/>
      <c r="E24" s="33"/>
      <c r="F24" s="33"/>
      <c r="G24" s="33"/>
      <c r="H24" s="33"/>
      <c r="I24" s="33"/>
      <c r="J24" s="33" t="s">
        <v>1349</v>
      </c>
      <c r="K24" s="33"/>
      <c r="L24" s="33"/>
      <c r="M24" s="33"/>
      <c r="N24" s="33"/>
      <c r="O24" s="33"/>
      <c r="P24" s="33"/>
      <c r="Q24" s="33"/>
      <c r="R24" s="33"/>
      <c r="S24" s="33"/>
      <c r="T24" s="33"/>
      <c r="U24" s="33"/>
      <c r="V24" s="32"/>
    </row>
    <row r="25" spans="1:22" ht="15.6">
      <c r="A25" s="318" t="s">
        <v>1350</v>
      </c>
      <c r="B25" s="30" t="s">
        <v>371</v>
      </c>
      <c r="C25" s="31" t="s">
        <v>1347</v>
      </c>
      <c r="D25" s="31" t="s">
        <v>1347</v>
      </c>
      <c r="E25" s="33"/>
      <c r="F25" s="33"/>
      <c r="G25" s="33"/>
      <c r="H25" s="33"/>
      <c r="I25" s="33"/>
      <c r="J25" s="33"/>
      <c r="K25" s="31" t="s">
        <v>1347</v>
      </c>
      <c r="L25" s="33"/>
      <c r="M25" s="31" t="s">
        <v>1347</v>
      </c>
      <c r="N25" s="33"/>
      <c r="O25" s="33"/>
      <c r="P25" s="33"/>
      <c r="Q25" s="31" t="s">
        <v>1347</v>
      </c>
      <c r="R25" s="33"/>
      <c r="S25" s="31" t="s">
        <v>1347</v>
      </c>
      <c r="T25" s="33"/>
      <c r="U25" s="33"/>
      <c r="V25" s="32"/>
    </row>
    <row r="26" spans="1:22" ht="15.6">
      <c r="A26" s="318"/>
      <c r="B26" s="29">
        <v>4.0999999999999996</v>
      </c>
      <c r="C26" s="33" t="s">
        <v>1349</v>
      </c>
      <c r="D26" s="33" t="s">
        <v>1349</v>
      </c>
      <c r="E26" s="33"/>
      <c r="F26" s="33"/>
      <c r="G26" s="33"/>
      <c r="H26" s="33"/>
      <c r="I26" s="33"/>
      <c r="J26" s="33"/>
      <c r="K26" s="33" t="s">
        <v>1349</v>
      </c>
      <c r="L26" s="33"/>
      <c r="M26" s="33" t="s">
        <v>1349</v>
      </c>
      <c r="N26" s="33"/>
      <c r="O26" s="33"/>
      <c r="P26" s="33"/>
      <c r="Q26" s="33" t="s">
        <v>1349</v>
      </c>
      <c r="R26" s="33"/>
      <c r="S26" s="33" t="s">
        <v>1349</v>
      </c>
      <c r="T26" s="33"/>
      <c r="U26" s="33"/>
      <c r="V26" s="32" t="s">
        <v>1198</v>
      </c>
    </row>
    <row r="27" spans="1:22" ht="15.6">
      <c r="A27" s="318"/>
      <c r="B27" s="29">
        <v>4.2</v>
      </c>
      <c r="C27" s="33"/>
      <c r="D27" s="33"/>
      <c r="E27" s="33"/>
      <c r="F27" s="33"/>
      <c r="G27" s="33"/>
      <c r="H27" s="33"/>
      <c r="I27" s="33"/>
      <c r="J27" s="33"/>
      <c r="K27" s="33"/>
      <c r="L27" s="33"/>
      <c r="M27" s="33" t="s">
        <v>1349</v>
      </c>
      <c r="N27" s="33"/>
      <c r="O27" s="33"/>
      <c r="P27" s="33"/>
      <c r="Q27" s="33"/>
      <c r="R27" s="33"/>
      <c r="S27" s="33" t="s">
        <v>1349</v>
      </c>
      <c r="T27" s="33"/>
      <c r="U27" s="33"/>
      <c r="V27" s="32"/>
    </row>
    <row r="28" spans="1:22" ht="15.6">
      <c r="A28" s="318"/>
      <c r="B28" s="29">
        <v>4.3</v>
      </c>
      <c r="C28" s="33"/>
      <c r="D28" s="33"/>
      <c r="E28" s="33"/>
      <c r="F28" s="33"/>
      <c r="G28" s="33"/>
      <c r="H28" s="33"/>
      <c r="I28" s="33"/>
      <c r="J28" s="33"/>
      <c r="K28" s="33"/>
      <c r="L28" s="33"/>
      <c r="M28" s="33" t="s">
        <v>1349</v>
      </c>
      <c r="N28" s="33"/>
      <c r="O28" s="33"/>
      <c r="P28" s="33"/>
      <c r="Q28" s="33"/>
      <c r="R28" s="33"/>
      <c r="S28" s="33"/>
      <c r="T28" s="33"/>
      <c r="U28" s="33"/>
      <c r="V28" s="32"/>
    </row>
    <row r="29" spans="1:22" ht="15.6">
      <c r="A29" s="318"/>
      <c r="B29" s="29">
        <v>4.4000000000000004</v>
      </c>
      <c r="C29" s="33"/>
      <c r="D29" s="33"/>
      <c r="E29" s="33"/>
      <c r="F29" s="33"/>
      <c r="G29" s="33"/>
      <c r="H29" s="33"/>
      <c r="I29" s="33"/>
      <c r="J29" s="33"/>
      <c r="K29" s="33"/>
      <c r="L29" s="33"/>
      <c r="M29" s="33" t="s">
        <v>1349</v>
      </c>
      <c r="N29" s="33"/>
      <c r="O29" s="33"/>
      <c r="P29" s="33"/>
      <c r="Q29" s="33"/>
      <c r="R29" s="33"/>
      <c r="S29" s="33"/>
      <c r="T29" s="33"/>
      <c r="U29" s="33"/>
      <c r="V29" s="32"/>
    </row>
    <row r="30" spans="1:22" ht="15.6">
      <c r="A30" s="318"/>
      <c r="B30" s="29">
        <v>4.5</v>
      </c>
      <c r="C30" s="33"/>
      <c r="D30" s="33"/>
      <c r="E30" s="33"/>
      <c r="F30" s="33"/>
      <c r="G30" s="33"/>
      <c r="H30" s="33"/>
      <c r="I30" s="33"/>
      <c r="J30" s="33"/>
      <c r="K30" s="33"/>
      <c r="L30" s="33"/>
      <c r="M30" s="33" t="s">
        <v>1349</v>
      </c>
      <c r="N30" s="33"/>
      <c r="O30" s="33"/>
      <c r="P30" s="33"/>
      <c r="Q30" s="33"/>
      <c r="R30" s="33"/>
      <c r="S30" s="33"/>
      <c r="T30" s="33"/>
      <c r="U30" s="33"/>
      <c r="V30" s="32"/>
    </row>
    <row r="31" spans="1:22" ht="15.6">
      <c r="A31" s="318" t="s">
        <v>511</v>
      </c>
      <c r="B31" s="30" t="s">
        <v>511</v>
      </c>
      <c r="C31" s="33"/>
      <c r="D31" s="33"/>
      <c r="E31" s="33"/>
      <c r="F31" s="33"/>
      <c r="G31" s="33"/>
      <c r="H31" s="33"/>
      <c r="I31" s="33"/>
      <c r="J31" s="33"/>
      <c r="K31" s="33"/>
      <c r="L31" s="33"/>
      <c r="M31" s="31" t="s">
        <v>1347</v>
      </c>
      <c r="N31" s="33"/>
      <c r="O31" s="33"/>
      <c r="P31" s="33"/>
      <c r="Q31" s="33"/>
      <c r="R31" s="33"/>
      <c r="S31" s="31" t="s">
        <v>1347</v>
      </c>
      <c r="T31" s="33"/>
      <c r="U31" s="33"/>
      <c r="V31" s="32"/>
    </row>
    <row r="32" spans="1:22" ht="15.6">
      <c r="A32" s="318"/>
      <c r="B32" s="29">
        <v>5.0999999999999996</v>
      </c>
      <c r="C32" s="33"/>
      <c r="D32" s="33"/>
      <c r="E32" s="33"/>
      <c r="F32" s="33"/>
      <c r="G32" s="33"/>
      <c r="H32" s="33"/>
      <c r="I32" s="33"/>
      <c r="J32" s="33"/>
      <c r="K32" s="33"/>
      <c r="L32" s="33"/>
      <c r="M32" s="33" t="s">
        <v>1349</v>
      </c>
      <c r="N32" s="33"/>
      <c r="O32" s="33"/>
      <c r="P32" s="33"/>
      <c r="Q32" s="33"/>
      <c r="R32" s="33"/>
      <c r="S32" s="33" t="s">
        <v>1349</v>
      </c>
      <c r="T32" s="33"/>
      <c r="U32" s="33"/>
      <c r="V32" s="32"/>
    </row>
    <row r="33" spans="1:22" ht="15.6">
      <c r="A33" s="318"/>
      <c r="B33" s="29">
        <v>5.2</v>
      </c>
      <c r="C33" s="33"/>
      <c r="D33" s="33"/>
      <c r="E33" s="33"/>
      <c r="F33" s="33"/>
      <c r="G33" s="33"/>
      <c r="H33" s="33"/>
      <c r="I33" s="33"/>
      <c r="J33" s="33"/>
      <c r="K33" s="33"/>
      <c r="L33" s="33"/>
      <c r="M33" s="33" t="s">
        <v>1349</v>
      </c>
      <c r="N33" s="33"/>
      <c r="O33" s="33"/>
      <c r="P33" s="33"/>
      <c r="Q33" s="33"/>
      <c r="R33" s="33"/>
      <c r="S33" s="33"/>
      <c r="T33" s="33"/>
      <c r="U33" s="33"/>
      <c r="V33" s="32"/>
    </row>
    <row r="34" spans="1:22" ht="15.6">
      <c r="A34" s="318"/>
      <c r="B34" s="29">
        <v>5.3</v>
      </c>
      <c r="C34" s="33"/>
      <c r="D34" s="33"/>
      <c r="E34" s="33"/>
      <c r="F34" s="33"/>
      <c r="G34" s="33"/>
      <c r="H34" s="33"/>
      <c r="I34" s="33"/>
      <c r="J34" s="33"/>
      <c r="K34" s="33"/>
      <c r="L34" s="33"/>
      <c r="M34" s="33" t="s">
        <v>1349</v>
      </c>
      <c r="N34" s="33"/>
      <c r="O34" s="33"/>
      <c r="P34" s="33"/>
      <c r="Q34" s="33"/>
      <c r="R34" s="33"/>
      <c r="S34" s="33"/>
      <c r="T34" s="33"/>
      <c r="U34" s="33"/>
      <c r="V34" s="32"/>
    </row>
  </sheetData>
  <mergeCells count="13">
    <mergeCell ref="A31:A34"/>
    <mergeCell ref="P2:R2"/>
    <mergeCell ref="S2:U2"/>
    <mergeCell ref="A4:A7"/>
    <mergeCell ref="A8:A16"/>
    <mergeCell ref="A17:A24"/>
    <mergeCell ref="A25:A30"/>
    <mergeCell ref="A2:A3"/>
    <mergeCell ref="B2:B3"/>
    <mergeCell ref="C2:D2"/>
    <mergeCell ref="E2:F2"/>
    <mergeCell ref="G2:J2"/>
    <mergeCell ref="K2:M2"/>
  </mergeCells>
  <phoneticPr fontId="61" type="noConversion"/>
  <conditionalFormatting sqref="C4:V34">
    <cfRule type="cellIs" dxfId="5840" priority="31" operator="equal">
      <formula>"S"</formula>
    </cfRule>
    <cfRule type="cellIs" dxfId="5839" priority="32" stopIfTrue="1" operator="equal">
      <formula>"FM"</formula>
    </cfRule>
    <cfRule type="cellIs" dxfId="5838" priority="33" stopIfTrue="1" operator="equal">
      <formula>"LM"</formula>
    </cfRule>
    <cfRule type="cellIs" dxfId="5837" priority="34" stopIfTrue="1" operator="equal">
      <formula>"PM"</formula>
    </cfRule>
    <cfRule type="cellIs" dxfId="5836" priority="35" stopIfTrue="1" operator="equal">
      <formula>"DM"</formula>
    </cfRule>
  </conditionalFormatting>
  <conditionalFormatting sqref="B4">
    <cfRule type="cellIs" dxfId="5835" priority="26" operator="equal">
      <formula>"S"</formula>
    </cfRule>
    <cfRule type="cellIs" dxfId="5834" priority="27" stopIfTrue="1" operator="equal">
      <formula>"FM"</formula>
    </cfRule>
    <cfRule type="cellIs" dxfId="5833" priority="28" stopIfTrue="1" operator="equal">
      <formula>"LM"</formula>
    </cfRule>
    <cfRule type="cellIs" dxfId="5832" priority="29" stopIfTrue="1" operator="equal">
      <formula>"PM"</formula>
    </cfRule>
    <cfRule type="cellIs" dxfId="5831" priority="30" stopIfTrue="1" operator="equal">
      <formula>"DM"</formula>
    </cfRule>
  </conditionalFormatting>
  <conditionalFormatting sqref="B8">
    <cfRule type="cellIs" dxfId="5830" priority="21" operator="equal">
      <formula>"S"</formula>
    </cfRule>
    <cfRule type="cellIs" dxfId="5829" priority="22" stopIfTrue="1" operator="equal">
      <formula>"FM"</formula>
    </cfRule>
    <cfRule type="cellIs" dxfId="5828" priority="23" stopIfTrue="1" operator="equal">
      <formula>"LM"</formula>
    </cfRule>
    <cfRule type="cellIs" dxfId="5827" priority="24" stopIfTrue="1" operator="equal">
      <formula>"PM"</formula>
    </cfRule>
    <cfRule type="cellIs" dxfId="5826" priority="25" stopIfTrue="1" operator="equal">
      <formula>"DM"</formula>
    </cfRule>
  </conditionalFormatting>
  <conditionalFormatting sqref="B17">
    <cfRule type="cellIs" dxfId="5825" priority="16" operator="equal">
      <formula>"S"</formula>
    </cfRule>
    <cfRule type="cellIs" dxfId="5824" priority="17" stopIfTrue="1" operator="equal">
      <formula>"FM"</formula>
    </cfRule>
    <cfRule type="cellIs" dxfId="5823" priority="18" stopIfTrue="1" operator="equal">
      <formula>"LM"</formula>
    </cfRule>
    <cfRule type="cellIs" dxfId="5822" priority="19" stopIfTrue="1" operator="equal">
      <formula>"PM"</formula>
    </cfRule>
    <cfRule type="cellIs" dxfId="5821" priority="20" stopIfTrue="1" operator="equal">
      <formula>"DM"</formula>
    </cfRule>
  </conditionalFormatting>
  <conditionalFormatting sqref="B25">
    <cfRule type="cellIs" dxfId="5820" priority="11" operator="equal">
      <formula>"S"</formula>
    </cfRule>
    <cfRule type="cellIs" dxfId="5819" priority="12" stopIfTrue="1" operator="equal">
      <formula>"FM"</formula>
    </cfRule>
    <cfRule type="cellIs" dxfId="5818" priority="13" stopIfTrue="1" operator="equal">
      <formula>"LM"</formula>
    </cfRule>
    <cfRule type="cellIs" dxfId="5817" priority="14" stopIfTrue="1" operator="equal">
      <formula>"PM"</formula>
    </cfRule>
    <cfRule type="cellIs" dxfId="5816" priority="15" stopIfTrue="1" operator="equal">
      <formula>"DM"</formula>
    </cfRule>
  </conditionalFormatting>
  <conditionalFormatting sqref="B31">
    <cfRule type="cellIs" dxfId="5815" priority="6" operator="equal">
      <formula>"S"</formula>
    </cfRule>
    <cfRule type="cellIs" dxfId="5814" priority="7" stopIfTrue="1" operator="equal">
      <formula>"FM"</formula>
    </cfRule>
    <cfRule type="cellIs" dxfId="5813" priority="8" stopIfTrue="1" operator="equal">
      <formula>"LM"</formula>
    </cfRule>
    <cfRule type="cellIs" dxfId="5812" priority="9" stopIfTrue="1" operator="equal">
      <formula>"PM"</formula>
    </cfRule>
    <cfRule type="cellIs" dxfId="5811" priority="10" stopIfTrue="1" operator="equal">
      <formula>"DM"</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E92F1-5891-41F7-97C4-B9C1A9D2F1B1}">
  <sheetPr codeName="Sheet4">
    <pageSetUpPr fitToPage="1"/>
  </sheetPr>
  <dimension ref="A1:V75"/>
  <sheetViews>
    <sheetView zoomScale="70" zoomScaleNormal="70" workbookViewId="0">
      <selection activeCell="E30" sqref="E30"/>
    </sheetView>
  </sheetViews>
  <sheetFormatPr defaultColWidth="8.6640625" defaultRowHeight="14.4"/>
  <cols>
    <col min="1" max="21" width="8.6640625" style="27"/>
    <col min="22" max="22" width="8.6640625" style="27" hidden="1" customWidth="1"/>
    <col min="23" max="16384" width="8.6640625" style="27"/>
  </cols>
  <sheetData>
    <row r="1" spans="1:22" s="34" customFormat="1" ht="18">
      <c r="A1" s="34" t="s">
        <v>1351</v>
      </c>
    </row>
    <row r="2" spans="1:22" ht="93.6">
      <c r="A2" s="321" t="s">
        <v>1315</v>
      </c>
      <c r="B2" s="321" t="s">
        <v>1316</v>
      </c>
      <c r="C2" s="319" t="s">
        <v>1317</v>
      </c>
      <c r="D2" s="319"/>
      <c r="E2" s="320" t="s">
        <v>1318</v>
      </c>
      <c r="F2" s="320"/>
      <c r="G2" s="319" t="s">
        <v>1319</v>
      </c>
      <c r="H2" s="319"/>
      <c r="I2" s="319"/>
      <c r="J2" s="319"/>
      <c r="K2" s="320" t="s">
        <v>1320</v>
      </c>
      <c r="L2" s="320"/>
      <c r="M2" s="320"/>
      <c r="N2" s="24" t="s">
        <v>1321</v>
      </c>
      <c r="O2" s="25" t="s">
        <v>1322</v>
      </c>
      <c r="P2" s="319" t="s">
        <v>1323</v>
      </c>
      <c r="Q2" s="319"/>
      <c r="R2" s="319"/>
      <c r="S2" s="320" t="s">
        <v>1324</v>
      </c>
      <c r="T2" s="320"/>
      <c r="U2" s="320"/>
      <c r="V2" s="26" t="s">
        <v>1325</v>
      </c>
    </row>
    <row r="3" spans="1:22" ht="15.6">
      <c r="A3" s="321"/>
      <c r="B3" s="321"/>
      <c r="C3" s="28" t="s">
        <v>1326</v>
      </c>
      <c r="D3" s="28" t="s">
        <v>1327</v>
      </c>
      <c r="E3" s="29" t="s">
        <v>1328</v>
      </c>
      <c r="F3" s="29" t="s">
        <v>1329</v>
      </c>
      <c r="G3" s="28" t="s">
        <v>1330</v>
      </c>
      <c r="H3" s="28" t="s">
        <v>1331</v>
      </c>
      <c r="I3" s="28" t="s">
        <v>1332</v>
      </c>
      <c r="J3" s="28" t="s">
        <v>1333</v>
      </c>
      <c r="K3" s="29" t="s">
        <v>1334</v>
      </c>
      <c r="L3" s="29" t="s">
        <v>1335</v>
      </c>
      <c r="M3" s="29" t="s">
        <v>1336</v>
      </c>
      <c r="N3" s="28" t="s">
        <v>1337</v>
      </c>
      <c r="O3" s="29" t="s">
        <v>1338</v>
      </c>
      <c r="P3" s="28" t="s">
        <v>1339</v>
      </c>
      <c r="Q3" s="28" t="s">
        <v>1340</v>
      </c>
      <c r="R3" s="28" t="s">
        <v>1341</v>
      </c>
      <c r="S3" s="29" t="s">
        <v>1342</v>
      </c>
      <c r="T3" s="29" t="s">
        <v>1343</v>
      </c>
      <c r="U3" s="29" t="s">
        <v>1344</v>
      </c>
      <c r="V3" s="26" t="s">
        <v>1345</v>
      </c>
    </row>
    <row r="4" spans="1:22" ht="15.6">
      <c r="A4" s="318" t="s">
        <v>1346</v>
      </c>
      <c r="B4" s="30" t="s">
        <v>27</v>
      </c>
      <c r="C4" s="31" t="str">
        <f>'ou-gov&amp;ii'!C4</f>
        <v>S</v>
      </c>
      <c r="D4" s="31" t="str">
        <f>'ou-gov&amp;ii'!K4</f>
        <v>S</v>
      </c>
      <c r="E4" s="31"/>
      <c r="F4" s="31"/>
      <c r="G4" s="31"/>
      <c r="H4" s="31"/>
      <c r="I4" s="31"/>
      <c r="J4" s="31"/>
      <c r="K4" s="31"/>
      <c r="L4" s="31"/>
      <c r="M4" s="31"/>
      <c r="N4" s="31"/>
      <c r="O4" s="31"/>
      <c r="P4" s="31"/>
      <c r="Q4" s="31"/>
      <c r="R4" s="31"/>
      <c r="S4" s="31"/>
      <c r="T4" s="31"/>
      <c r="U4" s="31"/>
      <c r="V4" s="32" t="s">
        <v>1348</v>
      </c>
    </row>
    <row r="5" spans="1:22" ht="15.6">
      <c r="A5" s="318"/>
      <c r="B5" s="29">
        <v>1.1000000000000001</v>
      </c>
      <c r="C5" s="31" t="str">
        <f>'ou-gov&amp;ii'!C5</f>
        <v>FM</v>
      </c>
      <c r="D5" s="31" t="str">
        <f>'ou-gov&amp;ii'!K5</f>
        <v>FM</v>
      </c>
      <c r="E5" s="33"/>
      <c r="F5" s="33"/>
      <c r="G5" s="33"/>
      <c r="H5" s="33"/>
      <c r="I5" s="33"/>
      <c r="J5" s="33"/>
      <c r="K5" s="33"/>
      <c r="L5" s="33"/>
      <c r="M5" s="33"/>
      <c r="N5" s="33"/>
      <c r="O5" s="33"/>
      <c r="P5" s="33"/>
      <c r="Q5" s="33"/>
      <c r="R5" s="33"/>
      <c r="S5" s="33"/>
      <c r="T5" s="33"/>
      <c r="U5" s="33"/>
      <c r="V5" s="32" t="s">
        <v>1198</v>
      </c>
    </row>
    <row r="6" spans="1:22" ht="15.6">
      <c r="A6" s="318"/>
      <c r="B6" s="29">
        <v>1.2</v>
      </c>
      <c r="C6" s="31"/>
      <c r="D6" s="31"/>
      <c r="E6" s="33"/>
      <c r="F6" s="33"/>
      <c r="G6" s="33"/>
      <c r="H6" s="33"/>
      <c r="I6" s="33"/>
      <c r="J6" s="33"/>
      <c r="K6" s="33"/>
      <c r="L6" s="33"/>
      <c r="M6" s="33"/>
      <c r="N6" s="33"/>
      <c r="O6" s="33"/>
      <c r="P6" s="33"/>
      <c r="Q6" s="33"/>
      <c r="R6" s="33"/>
      <c r="S6" s="33"/>
      <c r="T6" s="33"/>
      <c r="U6" s="33"/>
      <c r="V6" s="32" t="s">
        <v>1195</v>
      </c>
    </row>
    <row r="7" spans="1:22" ht="15.6">
      <c r="A7" s="318"/>
      <c r="B7" s="29">
        <v>1.3</v>
      </c>
      <c r="C7" s="31"/>
      <c r="D7" s="31"/>
      <c r="E7" s="33"/>
      <c r="F7" s="33"/>
      <c r="G7" s="33"/>
      <c r="H7" s="33"/>
      <c r="I7" s="33"/>
      <c r="J7" s="33"/>
      <c r="K7" s="33"/>
      <c r="L7" s="33"/>
      <c r="M7" s="33"/>
      <c r="N7" s="33"/>
      <c r="O7" s="33"/>
      <c r="P7" s="33"/>
      <c r="Q7" s="33"/>
      <c r="R7" s="33"/>
      <c r="S7" s="33"/>
      <c r="T7" s="33"/>
      <c r="U7" s="33"/>
      <c r="V7" s="32" t="s">
        <v>1192</v>
      </c>
    </row>
    <row r="8" spans="1:22" ht="15.6">
      <c r="A8" s="318" t="s">
        <v>28</v>
      </c>
      <c r="B8" s="30" t="s">
        <v>28</v>
      </c>
      <c r="C8" s="31" t="str">
        <f>'ou-gov&amp;ii'!C8</f>
        <v>S</v>
      </c>
      <c r="D8" s="31" t="str">
        <f>'ou-gov&amp;ii'!K8</f>
        <v>S</v>
      </c>
      <c r="E8" s="31"/>
      <c r="F8" s="31"/>
      <c r="G8" s="31"/>
      <c r="H8" s="31"/>
      <c r="I8" s="31"/>
      <c r="J8" s="31"/>
      <c r="K8" s="31"/>
      <c r="L8" s="31"/>
      <c r="M8" s="31"/>
      <c r="N8" s="31"/>
      <c r="O8" s="31"/>
      <c r="P8" s="31"/>
      <c r="Q8" s="31"/>
      <c r="R8" s="31"/>
      <c r="S8" s="31"/>
      <c r="T8" s="31"/>
      <c r="U8" s="31"/>
      <c r="V8" s="32"/>
    </row>
    <row r="9" spans="1:22" ht="15.6">
      <c r="A9" s="318"/>
      <c r="B9" s="29">
        <v>2.1</v>
      </c>
      <c r="C9" s="31" t="str">
        <f>'ou-gov&amp;ii'!C9</f>
        <v>FM</v>
      </c>
      <c r="D9" s="31" t="str">
        <f>'ou-gov&amp;ii'!K9</f>
        <v>FM</v>
      </c>
      <c r="E9" s="33"/>
      <c r="F9" s="33"/>
      <c r="G9" s="33"/>
      <c r="H9" s="33"/>
      <c r="I9" s="33"/>
      <c r="J9" s="33"/>
      <c r="K9" s="33"/>
      <c r="L9" s="33"/>
      <c r="M9" s="33"/>
      <c r="N9" s="33"/>
      <c r="O9" s="33"/>
      <c r="P9" s="33"/>
      <c r="Q9" s="33"/>
      <c r="R9" s="33"/>
      <c r="S9" s="33"/>
      <c r="T9" s="33"/>
      <c r="U9" s="33"/>
      <c r="V9" s="32" t="s">
        <v>1198</v>
      </c>
    </row>
    <row r="10" spans="1:22" ht="15.6">
      <c r="A10" s="318"/>
      <c r="B10" s="29">
        <v>2.2000000000000002</v>
      </c>
      <c r="C10" s="31" t="str">
        <f>'ou-gov&amp;ii'!C10</f>
        <v>FM</v>
      </c>
      <c r="D10" s="31" t="str">
        <f>'ou-gov&amp;ii'!K10</f>
        <v>FM</v>
      </c>
      <c r="E10" s="33"/>
      <c r="F10" s="33"/>
      <c r="G10" s="33"/>
      <c r="H10" s="33"/>
      <c r="I10" s="33"/>
      <c r="J10" s="33"/>
      <c r="K10" s="33"/>
      <c r="L10" s="33"/>
      <c r="M10" s="33"/>
      <c r="N10" s="33"/>
      <c r="O10" s="33"/>
      <c r="P10" s="33"/>
      <c r="Q10" s="33"/>
      <c r="R10" s="33"/>
      <c r="S10" s="33"/>
      <c r="T10" s="33"/>
      <c r="U10" s="33"/>
      <c r="V10" s="32" t="s">
        <v>1198</v>
      </c>
    </row>
    <row r="11" spans="1:22" ht="15.6">
      <c r="A11" s="318"/>
      <c r="B11" s="29">
        <v>2.2999999999999998</v>
      </c>
      <c r="C11" s="31" t="str">
        <f>'ou-gov&amp;ii'!C11</f>
        <v>FM</v>
      </c>
      <c r="D11" s="31"/>
      <c r="E11" s="33"/>
      <c r="F11" s="33"/>
      <c r="G11" s="33"/>
      <c r="H11" s="33"/>
      <c r="I11" s="33"/>
      <c r="J11" s="33"/>
      <c r="K11" s="33"/>
      <c r="L11" s="33"/>
      <c r="M11" s="33"/>
      <c r="N11" s="33"/>
      <c r="O11" s="33"/>
      <c r="P11" s="33"/>
      <c r="Q11" s="33"/>
      <c r="R11" s="33"/>
      <c r="S11" s="33"/>
      <c r="T11" s="33"/>
      <c r="U11" s="33"/>
      <c r="V11" s="32" t="s">
        <v>1189</v>
      </c>
    </row>
    <row r="12" spans="1:22" ht="15.6">
      <c r="A12" s="318"/>
      <c r="B12" s="29">
        <v>2.4</v>
      </c>
      <c r="C12" s="31" t="str">
        <f>'ou-gov&amp;ii'!C12</f>
        <v>FM</v>
      </c>
      <c r="D12" s="31"/>
      <c r="E12" s="33"/>
      <c r="F12" s="33"/>
      <c r="G12" s="33"/>
      <c r="H12" s="33"/>
      <c r="I12" s="33"/>
      <c r="J12" s="33"/>
      <c r="K12" s="33"/>
      <c r="L12" s="33"/>
      <c r="M12" s="33"/>
      <c r="N12" s="33"/>
      <c r="O12" s="33"/>
      <c r="P12" s="33"/>
      <c r="Q12" s="33"/>
      <c r="R12" s="33"/>
      <c r="S12" s="33"/>
      <c r="T12" s="33"/>
      <c r="U12" s="33"/>
      <c r="V12" s="32" t="s">
        <v>1192</v>
      </c>
    </row>
    <row r="13" spans="1:22" ht="15.6">
      <c r="A13" s="318"/>
      <c r="B13" s="29">
        <v>2.5</v>
      </c>
      <c r="C13" s="31"/>
      <c r="D13" s="31"/>
      <c r="E13" s="33"/>
      <c r="F13" s="33"/>
      <c r="G13" s="33"/>
      <c r="H13" s="33"/>
      <c r="I13" s="33"/>
      <c r="J13" s="33"/>
      <c r="K13" s="33"/>
      <c r="L13" s="33"/>
      <c r="M13" s="33"/>
      <c r="N13" s="33"/>
      <c r="O13" s="33"/>
      <c r="P13" s="33"/>
      <c r="Q13" s="33"/>
      <c r="R13" s="33"/>
      <c r="S13" s="33"/>
      <c r="T13" s="33"/>
      <c r="U13" s="33"/>
      <c r="V13" s="32"/>
    </row>
    <row r="14" spans="1:22" ht="15.6">
      <c r="A14" s="318"/>
      <c r="B14" s="29">
        <v>2.6</v>
      </c>
      <c r="C14" s="31"/>
      <c r="D14" s="31"/>
      <c r="E14" s="33"/>
      <c r="F14" s="33"/>
      <c r="G14" s="33"/>
      <c r="H14" s="33"/>
      <c r="I14" s="33"/>
      <c r="J14" s="33"/>
      <c r="K14" s="33"/>
      <c r="L14" s="33"/>
      <c r="M14" s="33"/>
      <c r="N14" s="33"/>
      <c r="O14" s="33"/>
      <c r="P14" s="33"/>
      <c r="Q14" s="33"/>
      <c r="R14" s="33"/>
      <c r="S14" s="33"/>
      <c r="T14" s="33"/>
      <c r="U14" s="33"/>
      <c r="V14" s="32"/>
    </row>
    <row r="15" spans="1:22" ht="15.6">
      <c r="A15" s="318"/>
      <c r="B15" s="29">
        <v>2.7</v>
      </c>
      <c r="C15" s="31"/>
      <c r="D15" s="31"/>
      <c r="E15" s="33"/>
      <c r="F15" s="33"/>
      <c r="G15" s="33"/>
      <c r="H15" s="33"/>
      <c r="I15" s="33"/>
      <c r="J15" s="33"/>
      <c r="K15" s="33"/>
      <c r="L15" s="33"/>
      <c r="M15" s="33"/>
      <c r="N15" s="33"/>
      <c r="O15" s="33"/>
      <c r="P15" s="33"/>
      <c r="Q15" s="33"/>
      <c r="R15" s="33"/>
      <c r="S15" s="33"/>
      <c r="T15" s="33"/>
      <c r="U15" s="33"/>
      <c r="V15" s="32"/>
    </row>
    <row r="16" spans="1:22" ht="15.6">
      <c r="A16" s="318"/>
      <c r="B16" s="29">
        <v>2.8</v>
      </c>
      <c r="C16" s="31"/>
      <c r="D16" s="31"/>
      <c r="E16" s="33"/>
      <c r="F16" s="33"/>
      <c r="G16" s="33"/>
      <c r="H16" s="33"/>
      <c r="I16" s="33"/>
      <c r="J16" s="33"/>
      <c r="K16" s="33"/>
      <c r="L16" s="33"/>
      <c r="M16" s="33"/>
      <c r="N16" s="33"/>
      <c r="O16" s="33"/>
      <c r="P16" s="33"/>
      <c r="Q16" s="33"/>
      <c r="R16" s="33"/>
      <c r="S16" s="33"/>
      <c r="T16" s="33"/>
      <c r="U16" s="33"/>
      <c r="V16" s="32"/>
    </row>
    <row r="17" spans="1:22" ht="15.6">
      <c r="A17" s="318" t="s">
        <v>29</v>
      </c>
      <c r="B17" s="30" t="s">
        <v>29</v>
      </c>
      <c r="C17" s="31" t="str">
        <f>'ou-gov&amp;ii'!C17</f>
        <v>S</v>
      </c>
      <c r="D17" s="31" t="str">
        <f>'ou-gov&amp;ii'!K17</f>
        <v>S</v>
      </c>
      <c r="E17" s="31"/>
      <c r="F17" s="31"/>
      <c r="G17" s="31"/>
      <c r="H17" s="31"/>
      <c r="I17" s="31"/>
      <c r="J17" s="31"/>
      <c r="K17" s="31"/>
      <c r="L17" s="31"/>
      <c r="M17" s="31"/>
      <c r="N17" s="31"/>
      <c r="O17" s="31"/>
      <c r="P17" s="31"/>
      <c r="Q17" s="31"/>
      <c r="R17" s="31"/>
      <c r="S17" s="31"/>
      <c r="T17" s="31"/>
      <c r="U17" s="33"/>
      <c r="V17" s="32"/>
    </row>
    <row r="18" spans="1:22" ht="15.6">
      <c r="A18" s="318"/>
      <c r="B18" s="29">
        <v>3.1</v>
      </c>
      <c r="C18" s="31" t="str">
        <f>'ou-gov&amp;ii'!C18</f>
        <v>FM</v>
      </c>
      <c r="D18" s="31" t="str">
        <f>'ou-gov&amp;ii'!K18</f>
        <v>FM</v>
      </c>
      <c r="E18" s="33"/>
      <c r="F18" s="33"/>
      <c r="G18" s="33"/>
      <c r="H18" s="33"/>
      <c r="I18" s="33"/>
      <c r="J18" s="33"/>
      <c r="K18" s="33"/>
      <c r="L18" s="33"/>
      <c r="M18" s="33"/>
      <c r="N18" s="33"/>
      <c r="O18" s="33"/>
      <c r="P18" s="33"/>
      <c r="Q18" s="33"/>
      <c r="R18" s="33"/>
      <c r="S18" s="33"/>
      <c r="T18" s="33"/>
      <c r="U18" s="33"/>
      <c r="V18" s="32" t="s">
        <v>1198</v>
      </c>
    </row>
    <row r="19" spans="1:22" ht="15.6">
      <c r="A19" s="318"/>
      <c r="B19" s="29">
        <v>3.2</v>
      </c>
      <c r="C19" s="31" t="str">
        <f>'ou-gov&amp;ii'!C19</f>
        <v>FM</v>
      </c>
      <c r="D19" s="31" t="str">
        <f>'ou-gov&amp;ii'!K19</f>
        <v>FM</v>
      </c>
      <c r="E19" s="33"/>
      <c r="F19" s="33"/>
      <c r="G19" s="33"/>
      <c r="H19" s="33"/>
      <c r="I19" s="33"/>
      <c r="J19" s="33"/>
      <c r="K19" s="33"/>
      <c r="L19" s="33"/>
      <c r="M19" s="33"/>
      <c r="N19" s="33"/>
      <c r="O19" s="33"/>
      <c r="P19" s="33"/>
      <c r="Q19" s="33"/>
      <c r="R19" s="33"/>
      <c r="S19" s="33"/>
      <c r="T19" s="33"/>
      <c r="U19" s="33"/>
      <c r="V19" s="32" t="s">
        <v>1198</v>
      </c>
    </row>
    <row r="20" spans="1:22" ht="15.6">
      <c r="A20" s="318"/>
      <c r="B20" s="29">
        <v>3.3</v>
      </c>
      <c r="C20" s="31"/>
      <c r="D20" s="31" t="str">
        <f>'ou-gov&amp;ii'!K20</f>
        <v>FM</v>
      </c>
      <c r="E20" s="33"/>
      <c r="F20" s="33"/>
      <c r="G20" s="33"/>
      <c r="H20" s="33"/>
      <c r="I20" s="33"/>
      <c r="J20" s="33"/>
      <c r="K20" s="33"/>
      <c r="L20" s="33"/>
      <c r="M20" s="33"/>
      <c r="N20" s="33"/>
      <c r="O20" s="33"/>
      <c r="P20" s="33"/>
      <c r="Q20" s="33"/>
      <c r="R20" s="33"/>
      <c r="S20" s="33"/>
      <c r="T20" s="33"/>
      <c r="U20" s="33"/>
      <c r="V20" s="32"/>
    </row>
    <row r="21" spans="1:22" ht="15.6">
      <c r="A21" s="318"/>
      <c r="B21" s="29">
        <v>3.4</v>
      </c>
      <c r="C21" s="31"/>
      <c r="D21" s="31"/>
      <c r="E21" s="33"/>
      <c r="F21" s="33"/>
      <c r="G21" s="33"/>
      <c r="H21" s="33"/>
      <c r="I21" s="33"/>
      <c r="J21" s="33"/>
      <c r="K21" s="33"/>
      <c r="L21" s="33"/>
      <c r="M21" s="33"/>
      <c r="N21" s="33"/>
      <c r="O21" s="33"/>
      <c r="P21" s="33"/>
      <c r="Q21" s="33"/>
      <c r="R21" s="33"/>
      <c r="S21" s="33"/>
      <c r="T21" s="33"/>
      <c r="U21" s="33"/>
      <c r="V21" s="32"/>
    </row>
    <row r="22" spans="1:22" ht="15.6">
      <c r="A22" s="318"/>
      <c r="B22" s="29">
        <v>3.5</v>
      </c>
      <c r="C22" s="31"/>
      <c r="D22" s="31"/>
      <c r="E22" s="33"/>
      <c r="F22" s="33"/>
      <c r="G22" s="33"/>
      <c r="H22" s="33"/>
      <c r="I22" s="33"/>
      <c r="J22" s="33"/>
      <c r="K22" s="33"/>
      <c r="L22" s="33"/>
      <c r="M22" s="33"/>
      <c r="N22" s="33"/>
      <c r="O22" s="33"/>
      <c r="P22" s="33"/>
      <c r="Q22" s="33"/>
      <c r="R22" s="33"/>
      <c r="S22" s="33"/>
      <c r="T22" s="33"/>
      <c r="U22" s="33"/>
      <c r="V22" s="32"/>
    </row>
    <row r="23" spans="1:22" ht="15.6">
      <c r="A23" s="318"/>
      <c r="B23" s="29">
        <v>3.6</v>
      </c>
      <c r="C23" s="31"/>
      <c r="D23" s="31"/>
      <c r="E23" s="33"/>
      <c r="F23" s="33"/>
      <c r="G23" s="33"/>
      <c r="H23" s="33"/>
      <c r="I23" s="33"/>
      <c r="J23" s="33"/>
      <c r="K23" s="33"/>
      <c r="L23" s="33"/>
      <c r="M23" s="33"/>
      <c r="N23" s="33"/>
      <c r="O23" s="33"/>
      <c r="P23" s="33"/>
      <c r="Q23" s="33"/>
      <c r="R23" s="33"/>
      <c r="S23" s="33"/>
      <c r="T23" s="33"/>
      <c r="U23" s="33"/>
      <c r="V23" s="32"/>
    </row>
    <row r="24" spans="1:22" ht="15.6">
      <c r="A24" s="318"/>
      <c r="B24" s="29">
        <v>3.7</v>
      </c>
      <c r="C24" s="31"/>
      <c r="D24" s="31"/>
      <c r="E24" s="33"/>
      <c r="F24" s="33"/>
      <c r="G24" s="33"/>
      <c r="H24" s="33"/>
      <c r="I24" s="33"/>
      <c r="J24" s="33"/>
      <c r="K24" s="33"/>
      <c r="L24" s="33"/>
      <c r="M24" s="33"/>
      <c r="N24" s="33"/>
      <c r="O24" s="33"/>
      <c r="P24" s="33"/>
      <c r="Q24" s="33"/>
      <c r="R24" s="33"/>
      <c r="S24" s="33"/>
      <c r="T24" s="33"/>
      <c r="U24" s="33"/>
      <c r="V24" s="32"/>
    </row>
    <row r="25" spans="1:22" ht="15.6">
      <c r="A25" s="318" t="s">
        <v>1350</v>
      </c>
      <c r="B25" s="30" t="s">
        <v>371</v>
      </c>
      <c r="C25" s="31" t="str">
        <f>'ou-gov&amp;ii'!C25</f>
        <v>S</v>
      </c>
      <c r="D25" s="31" t="str">
        <f>'ou-gov&amp;ii'!K25</f>
        <v>S</v>
      </c>
      <c r="E25" s="33"/>
      <c r="F25" s="33"/>
      <c r="G25" s="33"/>
      <c r="H25" s="33"/>
      <c r="I25" s="33"/>
      <c r="J25" s="33"/>
      <c r="K25" s="31"/>
      <c r="L25" s="33"/>
      <c r="M25" s="31"/>
      <c r="N25" s="33"/>
      <c r="O25" s="33"/>
      <c r="P25" s="33"/>
      <c r="Q25" s="31"/>
      <c r="R25" s="33"/>
      <c r="S25" s="31"/>
      <c r="T25" s="33"/>
      <c r="U25" s="33"/>
      <c r="V25" s="32"/>
    </row>
    <row r="26" spans="1:22" ht="15.6">
      <c r="A26" s="318"/>
      <c r="B26" s="29">
        <v>4.0999999999999996</v>
      </c>
      <c r="C26" s="31" t="str">
        <f>'ou-gov&amp;ii'!C26</f>
        <v>FM</v>
      </c>
      <c r="D26" s="31" t="str">
        <f>'ou-gov&amp;ii'!K26</f>
        <v>FM</v>
      </c>
      <c r="E26" s="33"/>
      <c r="F26" s="33"/>
      <c r="G26" s="33"/>
      <c r="H26" s="33"/>
      <c r="I26" s="33"/>
      <c r="J26" s="33"/>
      <c r="K26" s="33"/>
      <c r="L26" s="33"/>
      <c r="M26" s="33"/>
      <c r="N26" s="33"/>
      <c r="O26" s="33"/>
      <c r="P26" s="33"/>
      <c r="Q26" s="33"/>
      <c r="R26" s="33"/>
      <c r="S26" s="33"/>
      <c r="T26" s="33"/>
      <c r="U26" s="33"/>
      <c r="V26" s="32" t="s">
        <v>1198</v>
      </c>
    </row>
    <row r="27" spans="1:22" ht="15.6">
      <c r="A27" s="318"/>
      <c r="B27" s="29">
        <v>4.2</v>
      </c>
      <c r="C27" s="31"/>
      <c r="D27" s="31"/>
      <c r="E27" s="33"/>
      <c r="F27" s="33"/>
      <c r="G27" s="33"/>
      <c r="H27" s="33"/>
      <c r="I27" s="33"/>
      <c r="J27" s="33"/>
      <c r="K27" s="33"/>
      <c r="L27" s="33"/>
      <c r="M27" s="33"/>
      <c r="N27" s="33"/>
      <c r="O27" s="33"/>
      <c r="P27" s="33"/>
      <c r="Q27" s="33"/>
      <c r="R27" s="33"/>
      <c r="S27" s="33"/>
      <c r="T27" s="33"/>
      <c r="U27" s="33"/>
      <c r="V27" s="32"/>
    </row>
    <row r="28" spans="1:22" ht="15.6">
      <c r="A28" s="318"/>
      <c r="B28" s="29">
        <v>4.3</v>
      </c>
      <c r="C28" s="31"/>
      <c r="D28" s="31"/>
      <c r="E28" s="33"/>
      <c r="F28" s="33"/>
      <c r="G28" s="33"/>
      <c r="H28" s="33"/>
      <c r="I28" s="33"/>
      <c r="J28" s="33"/>
      <c r="K28" s="33"/>
      <c r="L28" s="33"/>
      <c r="M28" s="33"/>
      <c r="N28" s="33"/>
      <c r="O28" s="33"/>
      <c r="P28" s="33"/>
      <c r="Q28" s="33"/>
      <c r="R28" s="33"/>
      <c r="S28" s="33"/>
      <c r="T28" s="33"/>
      <c r="U28" s="33"/>
      <c r="V28" s="32"/>
    </row>
    <row r="29" spans="1:22" ht="15.6">
      <c r="A29" s="318"/>
      <c r="B29" s="29">
        <v>4.4000000000000004</v>
      </c>
      <c r="C29" s="31"/>
      <c r="D29" s="31"/>
      <c r="E29" s="33"/>
      <c r="F29" s="33"/>
      <c r="G29" s="33"/>
      <c r="H29" s="33"/>
      <c r="I29" s="33"/>
      <c r="J29" s="33"/>
      <c r="K29" s="33"/>
      <c r="L29" s="33"/>
      <c r="M29" s="33"/>
      <c r="N29" s="33"/>
      <c r="O29" s="33"/>
      <c r="P29" s="33"/>
      <c r="Q29" s="33"/>
      <c r="R29" s="33"/>
      <c r="S29" s="33"/>
      <c r="T29" s="33"/>
      <c r="U29" s="33"/>
      <c r="V29" s="32"/>
    </row>
    <row r="30" spans="1:22" ht="15.6">
      <c r="A30" s="318"/>
      <c r="B30" s="29">
        <v>4.5</v>
      </c>
      <c r="C30" s="31"/>
      <c r="D30" s="31"/>
      <c r="E30" s="33"/>
      <c r="F30" s="33"/>
      <c r="G30" s="33"/>
      <c r="H30" s="33"/>
      <c r="I30" s="33"/>
      <c r="J30" s="33"/>
      <c r="K30" s="33"/>
      <c r="L30" s="33"/>
      <c r="M30" s="33"/>
      <c r="N30" s="33"/>
      <c r="O30" s="33"/>
      <c r="P30" s="33"/>
      <c r="Q30" s="33"/>
      <c r="R30" s="33"/>
      <c r="S30" s="33"/>
      <c r="T30" s="33"/>
      <c r="U30" s="33"/>
      <c r="V30" s="32"/>
    </row>
    <row r="31" spans="1:22" ht="15.6">
      <c r="A31" s="318" t="s">
        <v>511</v>
      </c>
      <c r="B31" s="30" t="s">
        <v>511</v>
      </c>
      <c r="C31" s="31"/>
      <c r="D31" s="31"/>
      <c r="E31" s="33"/>
      <c r="F31" s="33"/>
      <c r="G31" s="33"/>
      <c r="H31" s="33"/>
      <c r="I31" s="33"/>
      <c r="J31" s="33"/>
      <c r="K31" s="33"/>
      <c r="L31" s="33"/>
      <c r="M31" s="31"/>
      <c r="N31" s="33"/>
      <c r="O31" s="33"/>
      <c r="P31" s="33"/>
      <c r="Q31" s="33"/>
      <c r="R31" s="33"/>
      <c r="S31" s="31"/>
      <c r="T31" s="33"/>
      <c r="U31" s="33"/>
      <c r="V31" s="32"/>
    </row>
    <row r="32" spans="1:22" ht="15.6">
      <c r="A32" s="318"/>
      <c r="B32" s="29">
        <v>5.0999999999999996</v>
      </c>
      <c r="C32" s="31"/>
      <c r="D32" s="31"/>
      <c r="E32" s="33"/>
      <c r="F32" s="33"/>
      <c r="G32" s="33"/>
      <c r="H32" s="33"/>
      <c r="I32" s="33"/>
      <c r="J32" s="33"/>
      <c r="K32" s="33"/>
      <c r="L32" s="33"/>
      <c r="M32" s="33"/>
      <c r="N32" s="33"/>
      <c r="O32" s="33"/>
      <c r="P32" s="33"/>
      <c r="Q32" s="33"/>
      <c r="R32" s="33"/>
      <c r="S32" s="33"/>
      <c r="T32" s="33"/>
      <c r="U32" s="33"/>
      <c r="V32" s="32"/>
    </row>
    <row r="33" spans="1:22" ht="15.6">
      <c r="A33" s="318"/>
      <c r="B33" s="29">
        <v>5.2</v>
      </c>
      <c r="C33" s="31"/>
      <c r="D33" s="31"/>
      <c r="E33" s="33"/>
      <c r="F33" s="33"/>
      <c r="G33" s="33"/>
      <c r="H33" s="33"/>
      <c r="I33" s="33"/>
      <c r="J33" s="33"/>
      <c r="K33" s="33"/>
      <c r="L33" s="33"/>
      <c r="M33" s="33"/>
      <c r="N33" s="33"/>
      <c r="O33" s="33"/>
      <c r="P33" s="33"/>
      <c r="Q33" s="33"/>
      <c r="R33" s="33"/>
      <c r="S33" s="33"/>
      <c r="T33" s="33"/>
      <c r="U33" s="33"/>
      <c r="V33" s="32"/>
    </row>
    <row r="34" spans="1:22" ht="15.6">
      <c r="A34" s="318"/>
      <c r="B34" s="29">
        <v>5.3</v>
      </c>
      <c r="C34" s="33"/>
      <c r="D34" s="33"/>
      <c r="E34" s="33"/>
      <c r="F34" s="33"/>
      <c r="G34" s="33"/>
      <c r="H34" s="33"/>
      <c r="I34" s="33"/>
      <c r="J34" s="33"/>
      <c r="K34" s="33"/>
      <c r="L34" s="33"/>
      <c r="M34" s="33"/>
      <c r="N34" s="33"/>
      <c r="O34" s="33"/>
      <c r="P34" s="33"/>
      <c r="Q34" s="33"/>
      <c r="R34" s="33"/>
      <c r="S34" s="33"/>
      <c r="T34" s="33"/>
      <c r="U34" s="33"/>
      <c r="V34" s="32"/>
    </row>
    <row r="36" spans="1:22" s="35" customFormat="1" ht="21">
      <c r="C36" s="36" t="s">
        <v>1326</v>
      </c>
      <c r="D36" s="36" t="s">
        <v>1327</v>
      </c>
      <c r="E36" s="37" t="s">
        <v>1328</v>
      </c>
      <c r="F36" s="37" t="s">
        <v>1329</v>
      </c>
      <c r="G36" s="36" t="s">
        <v>1330</v>
      </c>
      <c r="H36" s="36" t="s">
        <v>1331</v>
      </c>
      <c r="I36" s="36" t="s">
        <v>1332</v>
      </c>
      <c r="J36" s="36" t="s">
        <v>1333</v>
      </c>
      <c r="K36" s="37" t="s">
        <v>1334</v>
      </c>
      <c r="L36" s="37" t="s">
        <v>1335</v>
      </c>
      <c r="M36" s="37" t="s">
        <v>1336</v>
      </c>
      <c r="N36" s="36" t="s">
        <v>1337</v>
      </c>
      <c r="O36" s="37" t="s">
        <v>1338</v>
      </c>
      <c r="P36" s="36" t="s">
        <v>1339</v>
      </c>
      <c r="Q36" s="36" t="s">
        <v>1340</v>
      </c>
      <c r="R36" s="36" t="s">
        <v>1341</v>
      </c>
      <c r="S36" s="37" t="s">
        <v>1342</v>
      </c>
      <c r="T36" s="37" t="s">
        <v>1343</v>
      </c>
      <c r="U36" s="37" t="s">
        <v>1344</v>
      </c>
      <c r="V36" s="38" t="s">
        <v>1345</v>
      </c>
    </row>
    <row r="37" spans="1:22" s="39" customFormat="1" ht="23.4">
      <c r="A37" s="39" t="s">
        <v>1352</v>
      </c>
      <c r="C37" s="40">
        <v>4</v>
      </c>
      <c r="D37" s="40">
        <v>4</v>
      </c>
      <c r="E37" s="40">
        <v>3</v>
      </c>
      <c r="F37" s="40">
        <v>3</v>
      </c>
      <c r="G37" s="40">
        <v>3</v>
      </c>
      <c r="H37" s="40">
        <v>3</v>
      </c>
      <c r="I37" s="40">
        <v>3</v>
      </c>
      <c r="J37" s="40">
        <v>3</v>
      </c>
      <c r="K37" s="40">
        <v>4</v>
      </c>
      <c r="L37" s="40">
        <v>3</v>
      </c>
      <c r="M37" s="40">
        <v>5</v>
      </c>
      <c r="N37" s="40">
        <v>3</v>
      </c>
      <c r="O37" s="40">
        <v>3</v>
      </c>
      <c r="P37" s="40">
        <v>3</v>
      </c>
      <c r="Q37" s="40">
        <v>4</v>
      </c>
      <c r="R37" s="40">
        <v>3</v>
      </c>
      <c r="S37" s="40">
        <v>5</v>
      </c>
      <c r="T37" s="40">
        <v>3</v>
      </c>
      <c r="U37" s="40">
        <v>2</v>
      </c>
      <c r="V37" s="40">
        <v>4</v>
      </c>
    </row>
    <row r="42" spans="1:22" ht="18">
      <c r="A42" s="41" t="s">
        <v>1353</v>
      </c>
      <c r="C42" s="42"/>
      <c r="D42" s="42"/>
      <c r="E42" s="42"/>
      <c r="F42" s="42"/>
      <c r="G42" s="42"/>
      <c r="H42" s="42"/>
      <c r="I42" s="42"/>
      <c r="K42" s="42"/>
      <c r="L42" s="42"/>
      <c r="M42" s="42"/>
      <c r="N42" s="42"/>
      <c r="O42" s="42"/>
      <c r="P42" s="42"/>
      <c r="Q42" s="42"/>
      <c r="R42" s="42"/>
    </row>
    <row r="44" spans="1:22" ht="15.6">
      <c r="C44" s="43" t="s">
        <v>1342</v>
      </c>
      <c r="D44" s="43" t="s">
        <v>1344</v>
      </c>
      <c r="E44" s="44" t="s">
        <v>1343</v>
      </c>
      <c r="F44" s="44" t="s">
        <v>1341</v>
      </c>
      <c r="G44" s="43" t="s">
        <v>1326</v>
      </c>
      <c r="H44" s="43" t="s">
        <v>1327</v>
      </c>
      <c r="I44" s="43" t="s">
        <v>1339</v>
      </c>
      <c r="J44" s="43" t="s">
        <v>1336</v>
      </c>
      <c r="K44" s="44" t="s">
        <v>1338</v>
      </c>
      <c r="L44" s="44" t="s">
        <v>1335</v>
      </c>
      <c r="M44" s="44" t="s">
        <v>1334</v>
      </c>
      <c r="N44" s="43" t="s">
        <v>1329</v>
      </c>
      <c r="O44" s="44" t="s">
        <v>1340</v>
      </c>
      <c r="P44" s="43" t="s">
        <v>1332</v>
      </c>
      <c r="Q44" s="43" t="s">
        <v>1330</v>
      </c>
      <c r="R44" s="43" t="s">
        <v>1333</v>
      </c>
      <c r="S44" s="44" t="s">
        <v>1337</v>
      </c>
      <c r="T44" s="44" t="s">
        <v>1328</v>
      </c>
      <c r="U44" s="44" t="s">
        <v>1331</v>
      </c>
      <c r="V44" s="26" t="s">
        <v>1345</v>
      </c>
    </row>
    <row r="45" spans="1:22">
      <c r="A45" s="318" t="s">
        <v>1346</v>
      </c>
      <c r="B45" s="30" t="s">
        <v>27</v>
      </c>
      <c r="C45" s="31">
        <f>S4</f>
        <v>0</v>
      </c>
      <c r="D45" s="31">
        <f>U4</f>
        <v>0</v>
      </c>
      <c r="E45" s="31">
        <f>T4</f>
        <v>0</v>
      </c>
      <c r="F45" s="31">
        <f>R4</f>
        <v>0</v>
      </c>
      <c r="G45" s="31" t="str">
        <f>C4</f>
        <v>S</v>
      </c>
      <c r="H45" s="31" t="str">
        <f>D4</f>
        <v>S</v>
      </c>
      <c r="I45" s="31">
        <f>P4</f>
        <v>0</v>
      </c>
      <c r="J45" s="31">
        <f>M4</f>
        <v>0</v>
      </c>
      <c r="K45" s="31">
        <f>O4</f>
        <v>0</v>
      </c>
      <c r="L45" s="31">
        <f>L4</f>
        <v>0</v>
      </c>
      <c r="M45" s="31">
        <f>K4</f>
        <v>0</v>
      </c>
      <c r="N45" s="31">
        <f>F4</f>
        <v>0</v>
      </c>
      <c r="O45" s="31">
        <f>Q4</f>
        <v>0</v>
      </c>
      <c r="P45" s="31">
        <f>I4</f>
        <v>0</v>
      </c>
      <c r="Q45" s="31">
        <f>G4</f>
        <v>0</v>
      </c>
      <c r="R45" s="31">
        <f>J4</f>
        <v>0</v>
      </c>
      <c r="S45" s="31">
        <f>N4</f>
        <v>0</v>
      </c>
      <c r="T45" s="31">
        <f>E4</f>
        <v>0</v>
      </c>
      <c r="U45" s="31">
        <f>H4</f>
        <v>0</v>
      </c>
      <c r="V45" s="31" t="str">
        <f>V4</f>
        <v>U</v>
      </c>
    </row>
    <row r="46" spans="1:22">
      <c r="A46" s="318"/>
      <c r="B46" s="29">
        <v>1.1000000000000001</v>
      </c>
      <c r="C46" s="31">
        <f>S5</f>
        <v>0</v>
      </c>
      <c r="D46" s="31">
        <f>U5</f>
        <v>0</v>
      </c>
      <c r="E46" s="31">
        <f>T5</f>
        <v>0</v>
      </c>
      <c r="F46" s="31">
        <f>R5</f>
        <v>0</v>
      </c>
      <c r="G46" s="31" t="str">
        <f>C5</f>
        <v>FM</v>
      </c>
      <c r="H46" s="31" t="str">
        <f>D5</f>
        <v>FM</v>
      </c>
      <c r="I46" s="31">
        <f>P5</f>
        <v>0</v>
      </c>
      <c r="J46" s="31">
        <f>M5</f>
        <v>0</v>
      </c>
      <c r="K46" s="31">
        <f>O5</f>
        <v>0</v>
      </c>
      <c r="L46" s="31">
        <f>L5</f>
        <v>0</v>
      </c>
      <c r="M46" s="31">
        <f>K5</f>
        <v>0</v>
      </c>
      <c r="N46" s="31">
        <f>F5</f>
        <v>0</v>
      </c>
      <c r="O46" s="31">
        <f>Q5</f>
        <v>0</v>
      </c>
      <c r="P46" s="31">
        <f>I5</f>
        <v>0</v>
      </c>
      <c r="Q46" s="31">
        <f>G5</f>
        <v>0</v>
      </c>
      <c r="R46" s="31">
        <f>J5</f>
        <v>0</v>
      </c>
      <c r="S46" s="31">
        <f>N5</f>
        <v>0</v>
      </c>
      <c r="T46" s="31">
        <f>E5</f>
        <v>0</v>
      </c>
      <c r="U46" s="31">
        <f>H5</f>
        <v>0</v>
      </c>
      <c r="V46" s="31" t="str">
        <f>V5</f>
        <v>DM</v>
      </c>
    </row>
    <row r="47" spans="1:22">
      <c r="A47" s="318"/>
      <c r="B47" s="29">
        <v>1.2</v>
      </c>
      <c r="C47" s="31"/>
      <c r="D47" s="31"/>
      <c r="E47" s="31">
        <f>T6</f>
        <v>0</v>
      </c>
      <c r="F47" s="31"/>
      <c r="G47" s="31"/>
      <c r="H47" s="31"/>
      <c r="I47" s="31">
        <f>P6</f>
        <v>0</v>
      </c>
      <c r="J47" s="31">
        <f>M6</f>
        <v>0</v>
      </c>
      <c r="K47" s="31"/>
      <c r="L47" s="31"/>
      <c r="M47" s="31">
        <f>K6</f>
        <v>0</v>
      </c>
      <c r="N47" s="31"/>
      <c r="O47" s="31">
        <f>Q6</f>
        <v>0</v>
      </c>
      <c r="P47" s="31"/>
      <c r="Q47" s="31"/>
      <c r="R47" s="31"/>
      <c r="S47" s="31"/>
      <c r="T47" s="31"/>
      <c r="U47" s="31">
        <f>H6</f>
        <v>0</v>
      </c>
      <c r="V47" s="31" t="str">
        <f>V6</f>
        <v>PM</v>
      </c>
    </row>
    <row r="48" spans="1:22">
      <c r="A48" s="318"/>
      <c r="B48" s="29">
        <v>1.3</v>
      </c>
      <c r="C48" s="31"/>
      <c r="D48" s="31"/>
      <c r="E48" s="31"/>
      <c r="F48" s="31"/>
      <c r="G48" s="31"/>
      <c r="H48" s="31"/>
      <c r="I48" s="31"/>
      <c r="J48" s="31"/>
      <c r="K48" s="31"/>
      <c r="L48" s="31"/>
      <c r="M48" s="31">
        <f>K7</f>
        <v>0</v>
      </c>
      <c r="N48" s="31"/>
      <c r="O48" s="31"/>
      <c r="P48" s="31"/>
      <c r="Q48" s="31"/>
      <c r="R48" s="31"/>
      <c r="S48" s="31"/>
      <c r="T48" s="31"/>
      <c r="U48" s="31"/>
      <c r="V48" s="31" t="e">
        <f>#REF!</f>
        <v>#REF!</v>
      </c>
    </row>
    <row r="49" spans="1:22">
      <c r="A49" s="318" t="s">
        <v>28</v>
      </c>
      <c r="B49" s="30" t="s">
        <v>28</v>
      </c>
      <c r="C49" s="31">
        <f t="shared" ref="C49:C73" si="0">S8</f>
        <v>0</v>
      </c>
      <c r="D49" s="31">
        <f t="shared" ref="D49:D55" si="1">U8</f>
        <v>0</v>
      </c>
      <c r="E49" s="31">
        <f t="shared" ref="E49:E59" si="2">T8</f>
        <v>0</v>
      </c>
      <c r="F49" s="31">
        <f t="shared" ref="F49:F60" si="3">R8</f>
        <v>0</v>
      </c>
      <c r="G49" s="31" t="str">
        <f t="shared" ref="G49:H67" si="4">C8</f>
        <v>S</v>
      </c>
      <c r="H49" s="31" t="str">
        <f t="shared" si="4"/>
        <v>S</v>
      </c>
      <c r="I49" s="31">
        <f t="shared" ref="I49:I62" si="5">P8</f>
        <v>0</v>
      </c>
      <c r="J49" s="31">
        <f t="shared" ref="J49:J75" si="6">M8</f>
        <v>0</v>
      </c>
      <c r="K49" s="31">
        <f t="shared" ref="K49:K64" si="7">O8</f>
        <v>0</v>
      </c>
      <c r="L49" s="31">
        <f t="shared" ref="L49:L64" si="8">L8</f>
        <v>0</v>
      </c>
      <c r="M49" s="31">
        <f t="shared" ref="M49:M67" si="9">K8</f>
        <v>0</v>
      </c>
      <c r="N49" s="31">
        <f t="shared" ref="N49:N61" si="10">F8</f>
        <v>0</v>
      </c>
      <c r="O49" s="31">
        <f t="shared" ref="O49:O67" si="11">Q8</f>
        <v>0</v>
      </c>
      <c r="P49" s="31">
        <f t="shared" ref="P49:P59" si="12">I8</f>
        <v>0</v>
      </c>
      <c r="Q49" s="31">
        <f t="shared" ref="Q49:Q59" si="13">G8</f>
        <v>0</v>
      </c>
      <c r="R49" s="31">
        <f t="shared" ref="R49:R65" si="14">J8</f>
        <v>0</v>
      </c>
      <c r="S49" s="31">
        <f t="shared" ref="S49:S63" si="15">N8</f>
        <v>0</v>
      </c>
      <c r="T49" s="31">
        <f t="shared" ref="T49:T64" si="16">E8</f>
        <v>0</v>
      </c>
      <c r="U49" s="31">
        <f t="shared" ref="U49:U60" si="17">H8</f>
        <v>0</v>
      </c>
      <c r="V49" s="31"/>
    </row>
    <row r="50" spans="1:22">
      <c r="A50" s="318"/>
      <c r="B50" s="29">
        <v>2.1</v>
      </c>
      <c r="C50" s="31">
        <f t="shared" si="0"/>
        <v>0</v>
      </c>
      <c r="D50" s="31">
        <f t="shared" si="1"/>
        <v>0</v>
      </c>
      <c r="E50" s="31">
        <f t="shared" si="2"/>
        <v>0</v>
      </c>
      <c r="F50" s="31">
        <f t="shared" si="3"/>
        <v>0</v>
      </c>
      <c r="G50" s="31" t="str">
        <f t="shared" si="4"/>
        <v>FM</v>
      </c>
      <c r="H50" s="31" t="str">
        <f t="shared" si="4"/>
        <v>FM</v>
      </c>
      <c r="I50" s="31">
        <f t="shared" si="5"/>
        <v>0</v>
      </c>
      <c r="J50" s="31">
        <f t="shared" si="6"/>
        <v>0</v>
      </c>
      <c r="K50" s="31">
        <f t="shared" si="7"/>
        <v>0</v>
      </c>
      <c r="L50" s="31">
        <f t="shared" si="8"/>
        <v>0</v>
      </c>
      <c r="M50" s="31">
        <f t="shared" si="9"/>
        <v>0</v>
      </c>
      <c r="N50" s="31">
        <f t="shared" si="10"/>
        <v>0</v>
      </c>
      <c r="O50" s="31">
        <f t="shared" si="11"/>
        <v>0</v>
      </c>
      <c r="P50" s="31">
        <f t="shared" si="12"/>
        <v>0</v>
      </c>
      <c r="Q50" s="31">
        <f t="shared" si="13"/>
        <v>0</v>
      </c>
      <c r="R50" s="31">
        <f t="shared" si="14"/>
        <v>0</v>
      </c>
      <c r="S50" s="31">
        <f t="shared" si="15"/>
        <v>0</v>
      </c>
      <c r="T50" s="31">
        <f t="shared" si="16"/>
        <v>0</v>
      </c>
      <c r="U50" s="31">
        <f t="shared" si="17"/>
        <v>0</v>
      </c>
      <c r="V50" s="31" t="str">
        <f t="shared" ref="V50:V67" si="18">V9</f>
        <v>DM</v>
      </c>
    </row>
    <row r="51" spans="1:22">
      <c r="A51" s="318"/>
      <c r="B51" s="29">
        <v>2.2000000000000002</v>
      </c>
      <c r="C51" s="31">
        <f t="shared" si="0"/>
        <v>0</v>
      </c>
      <c r="D51" s="31">
        <f t="shared" si="1"/>
        <v>0</v>
      </c>
      <c r="E51" s="31">
        <f t="shared" si="2"/>
        <v>0</v>
      </c>
      <c r="F51" s="31">
        <f t="shared" si="3"/>
        <v>0</v>
      </c>
      <c r="G51" s="31" t="str">
        <f t="shared" si="4"/>
        <v>FM</v>
      </c>
      <c r="H51" s="31" t="str">
        <f t="shared" si="4"/>
        <v>FM</v>
      </c>
      <c r="I51" s="31">
        <f t="shared" si="5"/>
        <v>0</v>
      </c>
      <c r="J51" s="31">
        <f t="shared" si="6"/>
        <v>0</v>
      </c>
      <c r="K51" s="31">
        <f t="shared" si="7"/>
        <v>0</v>
      </c>
      <c r="L51" s="31">
        <f t="shared" si="8"/>
        <v>0</v>
      </c>
      <c r="M51" s="31">
        <f t="shared" si="9"/>
        <v>0</v>
      </c>
      <c r="N51" s="31">
        <f t="shared" si="10"/>
        <v>0</v>
      </c>
      <c r="O51" s="31">
        <f t="shared" si="11"/>
        <v>0</v>
      </c>
      <c r="P51" s="31">
        <f t="shared" si="12"/>
        <v>0</v>
      </c>
      <c r="Q51" s="31">
        <f t="shared" si="13"/>
        <v>0</v>
      </c>
      <c r="R51" s="31">
        <f t="shared" si="14"/>
        <v>0</v>
      </c>
      <c r="S51" s="31">
        <f t="shared" si="15"/>
        <v>0</v>
      </c>
      <c r="T51" s="31">
        <f t="shared" si="16"/>
        <v>0</v>
      </c>
      <c r="U51" s="31">
        <f t="shared" si="17"/>
        <v>0</v>
      </c>
      <c r="V51" s="31" t="str">
        <f t="shared" si="18"/>
        <v>DM</v>
      </c>
    </row>
    <row r="52" spans="1:22">
      <c r="A52" s="318"/>
      <c r="B52" s="29">
        <v>2.2999999999999998</v>
      </c>
      <c r="C52" s="31"/>
      <c r="D52" s="31">
        <f t="shared" si="1"/>
        <v>0</v>
      </c>
      <c r="E52" s="31">
        <f t="shared" si="2"/>
        <v>0</v>
      </c>
      <c r="F52" s="31">
        <f t="shared" si="3"/>
        <v>0</v>
      </c>
      <c r="G52" s="31" t="str">
        <f t="shared" si="4"/>
        <v>FM</v>
      </c>
      <c r="H52" s="31"/>
      <c r="I52" s="31">
        <f t="shared" si="5"/>
        <v>0</v>
      </c>
      <c r="J52" s="31">
        <f t="shared" si="6"/>
        <v>0</v>
      </c>
      <c r="K52" s="31"/>
      <c r="L52" s="31">
        <f t="shared" si="8"/>
        <v>0</v>
      </c>
      <c r="M52" s="31"/>
      <c r="N52" s="31">
        <f t="shared" si="10"/>
        <v>0</v>
      </c>
      <c r="O52" s="31">
        <f t="shared" si="11"/>
        <v>0</v>
      </c>
      <c r="P52" s="31">
        <f t="shared" si="12"/>
        <v>0</v>
      </c>
      <c r="Q52" s="31">
        <f t="shared" si="13"/>
        <v>0</v>
      </c>
      <c r="R52" s="31">
        <f t="shared" si="14"/>
        <v>0</v>
      </c>
      <c r="S52" s="31"/>
      <c r="T52" s="31">
        <f t="shared" si="16"/>
        <v>0</v>
      </c>
      <c r="U52" s="31">
        <f t="shared" si="17"/>
        <v>0</v>
      </c>
      <c r="V52" s="31" t="str">
        <f t="shared" si="18"/>
        <v>FM</v>
      </c>
    </row>
    <row r="53" spans="1:22">
      <c r="A53" s="318"/>
      <c r="B53" s="29">
        <v>2.4</v>
      </c>
      <c r="C53" s="31"/>
      <c r="D53" s="31">
        <f t="shared" si="1"/>
        <v>0</v>
      </c>
      <c r="E53" s="31">
        <f t="shared" si="2"/>
        <v>0</v>
      </c>
      <c r="F53" s="31"/>
      <c r="G53" s="31" t="str">
        <f t="shared" si="4"/>
        <v>FM</v>
      </c>
      <c r="H53" s="31"/>
      <c r="I53" s="31">
        <f t="shared" si="5"/>
        <v>0</v>
      </c>
      <c r="J53" s="31">
        <f t="shared" si="6"/>
        <v>0</v>
      </c>
      <c r="K53" s="31"/>
      <c r="L53" s="31"/>
      <c r="M53" s="31"/>
      <c r="N53" s="31">
        <f t="shared" si="10"/>
        <v>0</v>
      </c>
      <c r="O53" s="31">
        <f t="shared" si="11"/>
        <v>0</v>
      </c>
      <c r="P53" s="31">
        <f t="shared" si="12"/>
        <v>0</v>
      </c>
      <c r="Q53" s="31">
        <f t="shared" si="13"/>
        <v>0</v>
      </c>
      <c r="R53" s="31">
        <f t="shared" si="14"/>
        <v>0</v>
      </c>
      <c r="S53" s="31"/>
      <c r="T53" s="31"/>
      <c r="U53" s="31"/>
      <c r="V53" s="31" t="str">
        <f t="shared" si="18"/>
        <v>LM</v>
      </c>
    </row>
    <row r="54" spans="1:22">
      <c r="A54" s="318"/>
      <c r="B54" s="29">
        <v>2.5</v>
      </c>
      <c r="C54" s="31"/>
      <c r="D54" s="31">
        <f t="shared" si="1"/>
        <v>0</v>
      </c>
      <c r="E54" s="31">
        <f t="shared" si="2"/>
        <v>0</v>
      </c>
      <c r="F54" s="31"/>
      <c r="G54" s="31"/>
      <c r="H54" s="31"/>
      <c r="I54" s="31"/>
      <c r="J54" s="31">
        <f t="shared" si="6"/>
        <v>0</v>
      </c>
      <c r="K54" s="31"/>
      <c r="L54" s="31"/>
      <c r="M54" s="31"/>
      <c r="N54" s="31">
        <f t="shared" si="10"/>
        <v>0</v>
      </c>
      <c r="O54" s="31">
        <f t="shared" si="11"/>
        <v>0</v>
      </c>
      <c r="P54" s="31"/>
      <c r="Q54" s="31"/>
      <c r="R54" s="31">
        <f t="shared" si="14"/>
        <v>0</v>
      </c>
      <c r="S54" s="31"/>
      <c r="T54" s="31"/>
      <c r="U54" s="31"/>
      <c r="V54" s="31"/>
    </row>
    <row r="55" spans="1:22">
      <c r="A55" s="318"/>
      <c r="B55" s="29">
        <v>2.6</v>
      </c>
      <c r="C55" s="31"/>
      <c r="D55" s="31">
        <f t="shared" si="1"/>
        <v>0</v>
      </c>
      <c r="E55" s="31"/>
      <c r="F55" s="31"/>
      <c r="G55" s="31"/>
      <c r="H55" s="31"/>
      <c r="I55" s="31"/>
      <c r="J55" s="31">
        <f t="shared" si="6"/>
        <v>0</v>
      </c>
      <c r="K55" s="31"/>
      <c r="L55" s="31"/>
      <c r="M55" s="31"/>
      <c r="N55" s="31">
        <f t="shared" si="10"/>
        <v>0</v>
      </c>
      <c r="O55" s="31">
        <f t="shared" si="11"/>
        <v>0</v>
      </c>
      <c r="P55" s="31"/>
      <c r="Q55" s="31"/>
      <c r="R55" s="31">
        <f t="shared" si="14"/>
        <v>0</v>
      </c>
      <c r="S55" s="31"/>
      <c r="T55" s="31"/>
      <c r="U55" s="31"/>
      <c r="V55" s="31"/>
    </row>
    <row r="56" spans="1:22">
      <c r="A56" s="318"/>
      <c r="B56" s="29">
        <v>2.7</v>
      </c>
      <c r="C56" s="31"/>
      <c r="D56" s="31"/>
      <c r="E56" s="31"/>
      <c r="F56" s="31"/>
      <c r="G56" s="31"/>
      <c r="H56" s="31"/>
      <c r="I56" s="31"/>
      <c r="J56" s="31"/>
      <c r="K56" s="31"/>
      <c r="L56" s="31"/>
      <c r="M56" s="31"/>
      <c r="N56" s="31"/>
      <c r="O56" s="31">
        <f t="shared" si="11"/>
        <v>0</v>
      </c>
      <c r="P56" s="31"/>
      <c r="Q56" s="31"/>
      <c r="R56" s="31"/>
      <c r="S56" s="31"/>
      <c r="T56" s="31"/>
      <c r="U56" s="31"/>
      <c r="V56" s="31"/>
    </row>
    <row r="57" spans="1:22">
      <c r="A57" s="318"/>
      <c r="B57" s="29">
        <v>2.8</v>
      </c>
      <c r="C57" s="31"/>
      <c r="D57" s="31"/>
      <c r="E57" s="31"/>
      <c r="F57" s="31"/>
      <c r="G57" s="31"/>
      <c r="H57" s="31"/>
      <c r="I57" s="31"/>
      <c r="J57" s="31"/>
      <c r="K57" s="31"/>
      <c r="L57" s="31"/>
      <c r="M57" s="31"/>
      <c r="N57" s="31"/>
      <c r="O57" s="31">
        <f t="shared" si="11"/>
        <v>0</v>
      </c>
      <c r="P57" s="31"/>
      <c r="Q57" s="31"/>
      <c r="R57" s="31"/>
      <c r="S57" s="31"/>
      <c r="T57" s="31"/>
      <c r="U57" s="31"/>
      <c r="V57" s="31"/>
    </row>
    <row r="58" spans="1:22">
      <c r="A58" s="318" t="s">
        <v>29</v>
      </c>
      <c r="B58" s="30" t="s">
        <v>29</v>
      </c>
      <c r="C58" s="31">
        <f t="shared" si="0"/>
        <v>0</v>
      </c>
      <c r="D58" s="31"/>
      <c r="E58" s="31">
        <f t="shared" si="2"/>
        <v>0</v>
      </c>
      <c r="F58" s="31">
        <f t="shared" si="3"/>
        <v>0</v>
      </c>
      <c r="G58" s="31" t="str">
        <f t="shared" si="4"/>
        <v>S</v>
      </c>
      <c r="H58" s="31" t="str">
        <f t="shared" si="4"/>
        <v>S</v>
      </c>
      <c r="I58" s="31">
        <f t="shared" si="5"/>
        <v>0</v>
      </c>
      <c r="J58" s="31">
        <f t="shared" si="6"/>
        <v>0</v>
      </c>
      <c r="K58" s="31">
        <f t="shared" si="7"/>
        <v>0</v>
      </c>
      <c r="L58" s="31">
        <f t="shared" si="8"/>
        <v>0</v>
      </c>
      <c r="M58" s="31">
        <f t="shared" si="9"/>
        <v>0</v>
      </c>
      <c r="N58" s="31">
        <f t="shared" si="10"/>
        <v>0</v>
      </c>
      <c r="O58" s="31">
        <f t="shared" si="11"/>
        <v>0</v>
      </c>
      <c r="P58" s="31">
        <f t="shared" si="12"/>
        <v>0</v>
      </c>
      <c r="Q58" s="31">
        <f t="shared" si="13"/>
        <v>0</v>
      </c>
      <c r="R58" s="31">
        <f t="shared" si="14"/>
        <v>0</v>
      </c>
      <c r="S58" s="31">
        <f t="shared" si="15"/>
        <v>0</v>
      </c>
      <c r="T58" s="31">
        <f t="shared" si="16"/>
        <v>0</v>
      </c>
      <c r="U58" s="31">
        <f t="shared" si="17"/>
        <v>0</v>
      </c>
      <c r="V58" s="31">
        <f t="shared" si="18"/>
        <v>0</v>
      </c>
    </row>
    <row r="59" spans="1:22">
      <c r="A59" s="318"/>
      <c r="B59" s="29">
        <v>3.1</v>
      </c>
      <c r="C59" s="31">
        <f t="shared" si="0"/>
        <v>0</v>
      </c>
      <c r="D59" s="31"/>
      <c r="E59" s="31">
        <f t="shared" si="2"/>
        <v>0</v>
      </c>
      <c r="F59" s="31">
        <f t="shared" si="3"/>
        <v>0</v>
      </c>
      <c r="G59" s="31" t="str">
        <f t="shared" si="4"/>
        <v>FM</v>
      </c>
      <c r="H59" s="31" t="str">
        <f t="shared" si="4"/>
        <v>FM</v>
      </c>
      <c r="I59" s="31">
        <f t="shared" si="5"/>
        <v>0</v>
      </c>
      <c r="J59" s="31">
        <f t="shared" si="6"/>
        <v>0</v>
      </c>
      <c r="K59" s="31">
        <f t="shared" si="7"/>
        <v>0</v>
      </c>
      <c r="L59" s="31">
        <f t="shared" si="8"/>
        <v>0</v>
      </c>
      <c r="M59" s="31">
        <f t="shared" si="9"/>
        <v>0</v>
      </c>
      <c r="N59" s="31">
        <f t="shared" si="10"/>
        <v>0</v>
      </c>
      <c r="O59" s="31">
        <f t="shared" si="11"/>
        <v>0</v>
      </c>
      <c r="P59" s="31">
        <f t="shared" si="12"/>
        <v>0</v>
      </c>
      <c r="Q59" s="31">
        <f t="shared" si="13"/>
        <v>0</v>
      </c>
      <c r="R59" s="31">
        <f t="shared" si="14"/>
        <v>0</v>
      </c>
      <c r="S59" s="31">
        <f t="shared" si="15"/>
        <v>0</v>
      </c>
      <c r="T59" s="31">
        <f t="shared" si="16"/>
        <v>0</v>
      </c>
      <c r="U59" s="31">
        <f t="shared" si="17"/>
        <v>0</v>
      </c>
      <c r="V59" s="31" t="str">
        <f t="shared" si="18"/>
        <v>DM</v>
      </c>
    </row>
    <row r="60" spans="1:22">
      <c r="A60" s="318"/>
      <c r="B60" s="29">
        <v>3.2</v>
      </c>
      <c r="C60" s="31">
        <f t="shared" si="0"/>
        <v>0</v>
      </c>
      <c r="D60" s="31"/>
      <c r="E60" s="31"/>
      <c r="F60" s="31">
        <f t="shared" si="3"/>
        <v>0</v>
      </c>
      <c r="G60" s="31" t="str">
        <f t="shared" si="4"/>
        <v>FM</v>
      </c>
      <c r="H60" s="31" t="str">
        <f t="shared" si="4"/>
        <v>FM</v>
      </c>
      <c r="I60" s="31">
        <f t="shared" si="5"/>
        <v>0</v>
      </c>
      <c r="J60" s="31">
        <f t="shared" si="6"/>
        <v>0</v>
      </c>
      <c r="K60" s="31">
        <f t="shared" si="7"/>
        <v>0</v>
      </c>
      <c r="L60" s="31">
        <f t="shared" si="8"/>
        <v>0</v>
      </c>
      <c r="M60" s="31">
        <f t="shared" si="9"/>
        <v>0</v>
      </c>
      <c r="N60" s="31">
        <f t="shared" si="10"/>
        <v>0</v>
      </c>
      <c r="O60" s="31">
        <f t="shared" si="11"/>
        <v>0</v>
      </c>
      <c r="P60" s="31"/>
      <c r="Q60" s="31"/>
      <c r="R60" s="31">
        <f t="shared" si="14"/>
        <v>0</v>
      </c>
      <c r="S60" s="31">
        <f t="shared" si="15"/>
        <v>0</v>
      </c>
      <c r="T60" s="31">
        <f t="shared" si="16"/>
        <v>0</v>
      </c>
      <c r="U60" s="31">
        <f t="shared" si="17"/>
        <v>0</v>
      </c>
      <c r="V60" s="31" t="str">
        <f t="shared" si="18"/>
        <v>DM</v>
      </c>
    </row>
    <row r="61" spans="1:22">
      <c r="A61" s="318"/>
      <c r="B61" s="29">
        <v>3.3</v>
      </c>
      <c r="C61" s="31">
        <f t="shared" si="0"/>
        <v>0</v>
      </c>
      <c r="D61" s="31"/>
      <c r="E61" s="31"/>
      <c r="F61" s="31"/>
      <c r="G61" s="31"/>
      <c r="H61" s="31" t="str">
        <f t="shared" si="4"/>
        <v>FM</v>
      </c>
      <c r="I61" s="31">
        <f t="shared" si="5"/>
        <v>0</v>
      </c>
      <c r="J61" s="31">
        <f t="shared" si="6"/>
        <v>0</v>
      </c>
      <c r="K61" s="31">
        <f t="shared" si="7"/>
        <v>0</v>
      </c>
      <c r="L61" s="31">
        <f t="shared" si="8"/>
        <v>0</v>
      </c>
      <c r="M61" s="31">
        <f t="shared" si="9"/>
        <v>0</v>
      </c>
      <c r="N61" s="31">
        <f t="shared" si="10"/>
        <v>0</v>
      </c>
      <c r="O61" s="31">
        <f t="shared" si="11"/>
        <v>0</v>
      </c>
      <c r="P61" s="31"/>
      <c r="Q61" s="31"/>
      <c r="R61" s="31">
        <f t="shared" si="14"/>
        <v>0</v>
      </c>
      <c r="S61" s="31">
        <f t="shared" si="15"/>
        <v>0</v>
      </c>
      <c r="T61" s="31">
        <f t="shared" si="16"/>
        <v>0</v>
      </c>
      <c r="U61" s="31"/>
      <c r="V61" s="31"/>
    </row>
    <row r="62" spans="1:22">
      <c r="A62" s="318"/>
      <c r="B62" s="29">
        <v>3.4</v>
      </c>
      <c r="C62" s="31">
        <f t="shared" si="0"/>
        <v>0</v>
      </c>
      <c r="D62" s="31"/>
      <c r="E62" s="31"/>
      <c r="F62" s="31"/>
      <c r="G62" s="31"/>
      <c r="H62" s="31"/>
      <c r="I62" s="31">
        <f t="shared" si="5"/>
        <v>0</v>
      </c>
      <c r="J62" s="31">
        <f t="shared" si="6"/>
        <v>0</v>
      </c>
      <c r="K62" s="31">
        <f t="shared" si="7"/>
        <v>0</v>
      </c>
      <c r="L62" s="31">
        <f t="shared" si="8"/>
        <v>0</v>
      </c>
      <c r="M62" s="31">
        <f t="shared" si="9"/>
        <v>0</v>
      </c>
      <c r="N62" s="31"/>
      <c r="O62" s="31">
        <f t="shared" si="11"/>
        <v>0</v>
      </c>
      <c r="P62" s="31"/>
      <c r="Q62" s="31"/>
      <c r="R62" s="31">
        <f t="shared" si="14"/>
        <v>0</v>
      </c>
      <c r="S62" s="31">
        <f t="shared" si="15"/>
        <v>0</v>
      </c>
      <c r="T62" s="31">
        <f t="shared" si="16"/>
        <v>0</v>
      </c>
      <c r="U62" s="31"/>
      <c r="V62" s="31"/>
    </row>
    <row r="63" spans="1:22">
      <c r="A63" s="318"/>
      <c r="B63" s="29">
        <v>3.5</v>
      </c>
      <c r="C63" s="31">
        <f t="shared" si="0"/>
        <v>0</v>
      </c>
      <c r="D63" s="31"/>
      <c r="E63" s="31"/>
      <c r="F63" s="31"/>
      <c r="G63" s="31"/>
      <c r="H63" s="31"/>
      <c r="I63" s="31"/>
      <c r="J63" s="31">
        <f t="shared" si="6"/>
        <v>0</v>
      </c>
      <c r="K63" s="31">
        <f t="shared" si="7"/>
        <v>0</v>
      </c>
      <c r="L63" s="31">
        <f t="shared" si="8"/>
        <v>0</v>
      </c>
      <c r="M63" s="31">
        <f t="shared" si="9"/>
        <v>0</v>
      </c>
      <c r="N63" s="31"/>
      <c r="O63" s="31"/>
      <c r="P63" s="31"/>
      <c r="Q63" s="31"/>
      <c r="R63" s="31">
        <f t="shared" si="14"/>
        <v>0</v>
      </c>
      <c r="S63" s="31">
        <f t="shared" si="15"/>
        <v>0</v>
      </c>
      <c r="T63" s="31">
        <f t="shared" si="16"/>
        <v>0</v>
      </c>
      <c r="U63" s="31"/>
      <c r="V63" s="31"/>
    </row>
    <row r="64" spans="1:22">
      <c r="A64" s="318"/>
      <c r="B64" s="29">
        <v>3.6</v>
      </c>
      <c r="C64" s="31"/>
      <c r="D64" s="31"/>
      <c r="E64" s="31"/>
      <c r="F64" s="31"/>
      <c r="G64" s="31"/>
      <c r="H64" s="31"/>
      <c r="I64" s="31"/>
      <c r="J64" s="31">
        <f t="shared" si="6"/>
        <v>0</v>
      </c>
      <c r="K64" s="31">
        <f t="shared" si="7"/>
        <v>0</v>
      </c>
      <c r="L64" s="31">
        <f t="shared" si="8"/>
        <v>0</v>
      </c>
      <c r="M64" s="31">
        <f t="shared" si="9"/>
        <v>0</v>
      </c>
      <c r="N64" s="31"/>
      <c r="O64" s="31"/>
      <c r="P64" s="31"/>
      <c r="Q64" s="31"/>
      <c r="R64" s="31">
        <f t="shared" si="14"/>
        <v>0</v>
      </c>
      <c r="S64" s="31"/>
      <c r="T64" s="31">
        <f t="shared" si="16"/>
        <v>0</v>
      </c>
      <c r="U64" s="31"/>
      <c r="V64" s="31"/>
    </row>
    <row r="65" spans="1:22">
      <c r="A65" s="318"/>
      <c r="B65" s="29">
        <v>3.7</v>
      </c>
      <c r="C65" s="31"/>
      <c r="D65" s="31"/>
      <c r="E65" s="31"/>
      <c r="F65" s="31"/>
      <c r="G65" s="31"/>
      <c r="H65" s="31"/>
      <c r="I65" s="31"/>
      <c r="J65" s="31"/>
      <c r="K65" s="31"/>
      <c r="L65" s="31"/>
      <c r="M65" s="31"/>
      <c r="N65" s="31"/>
      <c r="O65" s="31"/>
      <c r="P65" s="31"/>
      <c r="Q65" s="31"/>
      <c r="R65" s="31">
        <f t="shared" si="14"/>
        <v>0</v>
      </c>
      <c r="S65" s="31"/>
      <c r="T65" s="31"/>
      <c r="U65" s="31"/>
      <c r="V65" s="31"/>
    </row>
    <row r="66" spans="1:22">
      <c r="A66" s="318" t="s">
        <v>1350</v>
      </c>
      <c r="B66" s="30" t="s">
        <v>371</v>
      </c>
      <c r="C66" s="31">
        <f t="shared" si="0"/>
        <v>0</v>
      </c>
      <c r="D66" s="31"/>
      <c r="E66" s="31"/>
      <c r="F66" s="31"/>
      <c r="G66" s="31" t="str">
        <f t="shared" si="4"/>
        <v>S</v>
      </c>
      <c r="H66" s="31" t="str">
        <f t="shared" si="4"/>
        <v>S</v>
      </c>
      <c r="I66" s="31"/>
      <c r="J66" s="31">
        <f t="shared" si="6"/>
        <v>0</v>
      </c>
      <c r="K66" s="31"/>
      <c r="L66" s="31"/>
      <c r="M66" s="31">
        <f t="shared" si="9"/>
        <v>0</v>
      </c>
      <c r="N66" s="31"/>
      <c r="O66" s="31">
        <f t="shared" si="11"/>
        <v>0</v>
      </c>
      <c r="P66" s="31"/>
      <c r="Q66" s="31"/>
      <c r="R66" s="31"/>
      <c r="S66" s="31"/>
      <c r="T66" s="31"/>
      <c r="U66" s="31"/>
      <c r="V66" s="31"/>
    </row>
    <row r="67" spans="1:22">
      <c r="A67" s="318"/>
      <c r="B67" s="29">
        <v>4.0999999999999996</v>
      </c>
      <c r="C67" s="31">
        <f t="shared" si="0"/>
        <v>0</v>
      </c>
      <c r="D67" s="31"/>
      <c r="E67" s="31"/>
      <c r="F67" s="31"/>
      <c r="G67" s="31" t="str">
        <f t="shared" si="4"/>
        <v>FM</v>
      </c>
      <c r="H67" s="31" t="str">
        <f t="shared" si="4"/>
        <v>FM</v>
      </c>
      <c r="I67" s="31"/>
      <c r="J67" s="31">
        <f t="shared" si="6"/>
        <v>0</v>
      </c>
      <c r="K67" s="31"/>
      <c r="L67" s="31"/>
      <c r="M67" s="31">
        <f t="shared" si="9"/>
        <v>0</v>
      </c>
      <c r="N67" s="31"/>
      <c r="O67" s="31">
        <f t="shared" si="11"/>
        <v>0</v>
      </c>
      <c r="P67" s="31"/>
      <c r="Q67" s="31"/>
      <c r="R67" s="31"/>
      <c r="S67" s="31"/>
      <c r="T67" s="31"/>
      <c r="U67" s="31"/>
      <c r="V67" s="31" t="str">
        <f t="shared" si="18"/>
        <v>DM</v>
      </c>
    </row>
    <row r="68" spans="1:22">
      <c r="A68" s="318"/>
      <c r="B68" s="29">
        <v>4.2</v>
      </c>
      <c r="C68" s="31">
        <f t="shared" si="0"/>
        <v>0</v>
      </c>
      <c r="D68" s="31"/>
      <c r="E68" s="31"/>
      <c r="F68" s="31"/>
      <c r="G68" s="31"/>
      <c r="H68" s="31"/>
      <c r="I68" s="31"/>
      <c r="J68" s="31">
        <f t="shared" si="6"/>
        <v>0</v>
      </c>
      <c r="K68" s="31"/>
      <c r="L68" s="31"/>
      <c r="M68" s="31"/>
      <c r="N68" s="31"/>
      <c r="O68" s="31"/>
      <c r="P68" s="31"/>
      <c r="Q68" s="31"/>
      <c r="R68" s="31"/>
      <c r="S68" s="31"/>
      <c r="T68" s="31"/>
      <c r="U68" s="31"/>
      <c r="V68" s="31"/>
    </row>
    <row r="69" spans="1:22">
      <c r="A69" s="318"/>
      <c r="B69" s="29">
        <v>4.3</v>
      </c>
      <c r="C69" s="31"/>
      <c r="D69" s="31"/>
      <c r="E69" s="31"/>
      <c r="F69" s="31"/>
      <c r="G69" s="31"/>
      <c r="H69" s="31"/>
      <c r="I69" s="31"/>
      <c r="J69" s="31">
        <f t="shared" si="6"/>
        <v>0</v>
      </c>
      <c r="K69" s="31"/>
      <c r="L69" s="31"/>
      <c r="M69" s="31"/>
      <c r="N69" s="31"/>
      <c r="O69" s="31"/>
      <c r="P69" s="31"/>
      <c r="Q69" s="31"/>
      <c r="R69" s="31"/>
      <c r="S69" s="31"/>
      <c r="T69" s="31"/>
      <c r="U69" s="31"/>
      <c r="V69" s="31"/>
    </row>
    <row r="70" spans="1:22">
      <c r="A70" s="318"/>
      <c r="B70" s="29">
        <v>4.4000000000000004</v>
      </c>
      <c r="C70" s="31"/>
      <c r="D70" s="31"/>
      <c r="E70" s="31"/>
      <c r="F70" s="31"/>
      <c r="G70" s="31"/>
      <c r="H70" s="31"/>
      <c r="I70" s="31"/>
      <c r="J70" s="31">
        <f t="shared" si="6"/>
        <v>0</v>
      </c>
      <c r="K70" s="31"/>
      <c r="L70" s="31"/>
      <c r="M70" s="31"/>
      <c r="N70" s="31"/>
      <c r="O70" s="31"/>
      <c r="P70" s="31"/>
      <c r="Q70" s="31"/>
      <c r="R70" s="31"/>
      <c r="S70" s="31"/>
      <c r="T70" s="31"/>
      <c r="U70" s="31"/>
      <c r="V70" s="31"/>
    </row>
    <row r="71" spans="1:22">
      <c r="A71" s="318"/>
      <c r="B71" s="29">
        <v>4.5</v>
      </c>
      <c r="C71" s="31"/>
      <c r="D71" s="31"/>
      <c r="E71" s="31"/>
      <c r="F71" s="31"/>
      <c r="G71" s="31"/>
      <c r="H71" s="31"/>
      <c r="I71" s="31"/>
      <c r="J71" s="31">
        <f t="shared" si="6"/>
        <v>0</v>
      </c>
      <c r="K71" s="31"/>
      <c r="L71" s="31"/>
      <c r="M71" s="31"/>
      <c r="N71" s="31"/>
      <c r="O71" s="31"/>
      <c r="P71" s="31"/>
      <c r="Q71" s="31"/>
      <c r="R71" s="31"/>
      <c r="S71" s="31"/>
      <c r="T71" s="31"/>
      <c r="U71" s="31"/>
      <c r="V71" s="31"/>
    </row>
    <row r="72" spans="1:22">
      <c r="A72" s="318" t="s">
        <v>511</v>
      </c>
      <c r="B72" s="30" t="s">
        <v>511</v>
      </c>
      <c r="C72" s="31">
        <f t="shared" si="0"/>
        <v>0</v>
      </c>
      <c r="D72" s="31"/>
      <c r="E72" s="31"/>
      <c r="F72" s="31"/>
      <c r="G72" s="31"/>
      <c r="H72" s="31"/>
      <c r="I72" s="31"/>
      <c r="J72" s="31">
        <f t="shared" si="6"/>
        <v>0</v>
      </c>
      <c r="K72" s="31"/>
      <c r="L72" s="31"/>
      <c r="M72" s="31"/>
      <c r="N72" s="31"/>
      <c r="O72" s="31"/>
      <c r="P72" s="31"/>
      <c r="Q72" s="31"/>
      <c r="R72" s="31"/>
      <c r="S72" s="31"/>
      <c r="T72" s="31"/>
      <c r="U72" s="31"/>
      <c r="V72" s="31"/>
    </row>
    <row r="73" spans="1:22">
      <c r="A73" s="318"/>
      <c r="B73" s="29">
        <v>5.0999999999999996</v>
      </c>
      <c r="C73" s="31">
        <f t="shared" si="0"/>
        <v>0</v>
      </c>
      <c r="D73" s="31"/>
      <c r="E73" s="31"/>
      <c r="F73" s="31"/>
      <c r="G73" s="31"/>
      <c r="H73" s="31"/>
      <c r="I73" s="31"/>
      <c r="J73" s="31">
        <f t="shared" si="6"/>
        <v>0</v>
      </c>
      <c r="K73" s="31"/>
      <c r="L73" s="31"/>
      <c r="M73" s="31"/>
      <c r="N73" s="31"/>
      <c r="O73" s="31"/>
      <c r="P73" s="31"/>
      <c r="Q73" s="31"/>
      <c r="R73" s="31"/>
      <c r="S73" s="31"/>
      <c r="T73" s="31"/>
      <c r="U73" s="31"/>
      <c r="V73" s="31"/>
    </row>
    <row r="74" spans="1:22">
      <c r="A74" s="318"/>
      <c r="B74" s="29">
        <v>5.2</v>
      </c>
      <c r="C74" s="31"/>
      <c r="D74" s="31"/>
      <c r="E74" s="31"/>
      <c r="F74" s="31"/>
      <c r="G74" s="31"/>
      <c r="H74" s="31"/>
      <c r="I74" s="31"/>
      <c r="J74" s="31">
        <f t="shared" si="6"/>
        <v>0</v>
      </c>
      <c r="K74" s="31"/>
      <c r="L74" s="31"/>
      <c r="M74" s="31"/>
      <c r="N74" s="31"/>
      <c r="O74" s="31"/>
      <c r="P74" s="31"/>
      <c r="Q74" s="31"/>
      <c r="R74" s="31"/>
      <c r="S74" s="31"/>
      <c r="T74" s="31"/>
      <c r="U74" s="31"/>
      <c r="V74" s="31"/>
    </row>
    <row r="75" spans="1:22">
      <c r="A75" s="318"/>
      <c r="B75" s="29">
        <v>5.3</v>
      </c>
      <c r="C75" s="31"/>
      <c r="D75" s="31"/>
      <c r="E75" s="31"/>
      <c r="F75" s="31"/>
      <c r="G75" s="31"/>
      <c r="H75" s="31"/>
      <c r="I75" s="31"/>
      <c r="J75" s="31">
        <f t="shared" si="6"/>
        <v>0</v>
      </c>
      <c r="K75" s="31"/>
      <c r="L75" s="31"/>
      <c r="M75" s="31"/>
      <c r="N75" s="31"/>
      <c r="O75" s="31"/>
      <c r="P75" s="31"/>
      <c r="Q75" s="31"/>
      <c r="R75" s="31"/>
      <c r="S75" s="31"/>
      <c r="T75" s="31"/>
      <c r="U75" s="31"/>
      <c r="V75" s="31"/>
    </row>
  </sheetData>
  <mergeCells count="18">
    <mergeCell ref="A45:A48"/>
    <mergeCell ref="A49:A57"/>
    <mergeCell ref="A58:A65"/>
    <mergeCell ref="A66:A71"/>
    <mergeCell ref="A72:A75"/>
    <mergeCell ref="E2:F2"/>
    <mergeCell ref="P2:R2"/>
    <mergeCell ref="S2:U2"/>
    <mergeCell ref="A4:A7"/>
    <mergeCell ref="A8:A16"/>
    <mergeCell ref="G2:J2"/>
    <mergeCell ref="K2:M2"/>
    <mergeCell ref="A31:A34"/>
    <mergeCell ref="A25:A30"/>
    <mergeCell ref="A2:A3"/>
    <mergeCell ref="B2:B3"/>
    <mergeCell ref="C2:D2"/>
    <mergeCell ref="A17:A24"/>
  </mergeCells>
  <phoneticPr fontId="61" type="noConversion"/>
  <conditionalFormatting sqref="C4:V34">
    <cfRule type="cellIs" dxfId="5810" priority="151" operator="equal">
      <formula>"S"</formula>
    </cfRule>
    <cfRule type="cellIs" dxfId="5809" priority="152" stopIfTrue="1" operator="equal">
      <formula>"FM"</formula>
    </cfRule>
    <cfRule type="cellIs" dxfId="5808" priority="153" stopIfTrue="1" operator="equal">
      <formula>"LM"</formula>
    </cfRule>
    <cfRule type="cellIs" dxfId="5807" priority="154" stopIfTrue="1" operator="equal">
      <formula>"PM"</formula>
    </cfRule>
    <cfRule type="cellIs" dxfId="5806" priority="155" stopIfTrue="1" operator="equal">
      <formula>"DM"</formula>
    </cfRule>
  </conditionalFormatting>
  <conditionalFormatting sqref="B4">
    <cfRule type="cellIs" dxfId="5805" priority="146" operator="equal">
      <formula>"S"</formula>
    </cfRule>
    <cfRule type="cellIs" dxfId="5804" priority="147" stopIfTrue="1" operator="equal">
      <formula>"FM"</formula>
    </cfRule>
    <cfRule type="cellIs" dxfId="5803" priority="148" stopIfTrue="1" operator="equal">
      <formula>"LM"</formula>
    </cfRule>
    <cfRule type="cellIs" dxfId="5802" priority="149" stopIfTrue="1" operator="equal">
      <formula>"PM"</formula>
    </cfRule>
    <cfRule type="cellIs" dxfId="5801" priority="150" stopIfTrue="1" operator="equal">
      <formula>"DM"</formula>
    </cfRule>
  </conditionalFormatting>
  <conditionalFormatting sqref="B8">
    <cfRule type="cellIs" dxfId="5800" priority="141" operator="equal">
      <formula>"S"</formula>
    </cfRule>
    <cfRule type="cellIs" dxfId="5799" priority="142" stopIfTrue="1" operator="equal">
      <formula>"FM"</formula>
    </cfRule>
    <cfRule type="cellIs" dxfId="5798" priority="143" stopIfTrue="1" operator="equal">
      <formula>"LM"</formula>
    </cfRule>
    <cfRule type="cellIs" dxfId="5797" priority="144" stopIfTrue="1" operator="equal">
      <formula>"PM"</formula>
    </cfRule>
    <cfRule type="cellIs" dxfId="5796" priority="145" stopIfTrue="1" operator="equal">
      <formula>"DM"</formula>
    </cfRule>
  </conditionalFormatting>
  <conditionalFormatting sqref="B17">
    <cfRule type="cellIs" dxfId="5795" priority="136" operator="equal">
      <formula>"S"</formula>
    </cfRule>
    <cfRule type="cellIs" dxfId="5794" priority="137" stopIfTrue="1" operator="equal">
      <formula>"FM"</formula>
    </cfRule>
    <cfRule type="cellIs" dxfId="5793" priority="138" stopIfTrue="1" operator="equal">
      <formula>"LM"</formula>
    </cfRule>
    <cfRule type="cellIs" dxfId="5792" priority="139" stopIfTrue="1" operator="equal">
      <formula>"PM"</formula>
    </cfRule>
    <cfRule type="cellIs" dxfId="5791" priority="140" stopIfTrue="1" operator="equal">
      <formula>"DM"</formula>
    </cfRule>
  </conditionalFormatting>
  <conditionalFormatting sqref="B25">
    <cfRule type="cellIs" dxfId="5790" priority="131" operator="equal">
      <formula>"S"</formula>
    </cfRule>
    <cfRule type="cellIs" dxfId="5789" priority="132" stopIfTrue="1" operator="equal">
      <formula>"FM"</formula>
    </cfRule>
    <cfRule type="cellIs" dxfId="5788" priority="133" stopIfTrue="1" operator="equal">
      <formula>"LM"</formula>
    </cfRule>
    <cfRule type="cellIs" dxfId="5787" priority="134" stopIfTrue="1" operator="equal">
      <formula>"PM"</formula>
    </cfRule>
    <cfRule type="cellIs" dxfId="5786" priority="135" stopIfTrue="1" operator="equal">
      <formula>"DM"</formula>
    </cfRule>
  </conditionalFormatting>
  <conditionalFormatting sqref="B31">
    <cfRule type="cellIs" dxfId="5785" priority="126" operator="equal">
      <formula>"S"</formula>
    </cfRule>
    <cfRule type="cellIs" dxfId="5784" priority="127" stopIfTrue="1" operator="equal">
      <formula>"FM"</formula>
    </cfRule>
    <cfRule type="cellIs" dxfId="5783" priority="128" stopIfTrue="1" operator="equal">
      <formula>"LM"</formula>
    </cfRule>
    <cfRule type="cellIs" dxfId="5782" priority="129" stopIfTrue="1" operator="equal">
      <formula>"PM"</formula>
    </cfRule>
    <cfRule type="cellIs" dxfId="5781" priority="130" stopIfTrue="1" operator="equal">
      <formula>"DM"</formula>
    </cfRule>
  </conditionalFormatting>
  <conditionalFormatting sqref="C45:C75">
    <cfRule type="cellIs" dxfId="5780" priority="121" operator="equal">
      <formula>"S"</formula>
    </cfRule>
    <cfRule type="cellIs" dxfId="5779" priority="122" stopIfTrue="1" operator="equal">
      <formula>"FM"</formula>
    </cfRule>
    <cfRule type="cellIs" dxfId="5778" priority="123" stopIfTrue="1" operator="equal">
      <formula>"LM"</formula>
    </cfRule>
    <cfRule type="cellIs" dxfId="5777" priority="124" stopIfTrue="1" operator="equal">
      <formula>"PM"</formula>
    </cfRule>
    <cfRule type="cellIs" dxfId="5776" priority="125" stopIfTrue="1" operator="equal">
      <formula>"DM"</formula>
    </cfRule>
  </conditionalFormatting>
  <conditionalFormatting sqref="B45">
    <cfRule type="cellIs" dxfId="5775" priority="116" operator="equal">
      <formula>"S"</formula>
    </cfRule>
    <cfRule type="cellIs" dxfId="5774" priority="117" stopIfTrue="1" operator="equal">
      <formula>"FM"</formula>
    </cfRule>
    <cfRule type="cellIs" dxfId="5773" priority="118" stopIfTrue="1" operator="equal">
      <formula>"LM"</formula>
    </cfRule>
    <cfRule type="cellIs" dxfId="5772" priority="119" stopIfTrue="1" operator="equal">
      <formula>"PM"</formula>
    </cfRule>
    <cfRule type="cellIs" dxfId="5771" priority="120" stopIfTrue="1" operator="equal">
      <formula>"DM"</formula>
    </cfRule>
  </conditionalFormatting>
  <conditionalFormatting sqref="B49">
    <cfRule type="cellIs" dxfId="5770" priority="111" operator="equal">
      <formula>"S"</formula>
    </cfRule>
    <cfRule type="cellIs" dxfId="5769" priority="112" stopIfTrue="1" operator="equal">
      <formula>"FM"</formula>
    </cfRule>
    <cfRule type="cellIs" dxfId="5768" priority="113" stopIfTrue="1" operator="equal">
      <formula>"LM"</formula>
    </cfRule>
    <cfRule type="cellIs" dxfId="5767" priority="114" stopIfTrue="1" operator="equal">
      <formula>"PM"</formula>
    </cfRule>
    <cfRule type="cellIs" dxfId="5766" priority="115" stopIfTrue="1" operator="equal">
      <formula>"DM"</formula>
    </cfRule>
  </conditionalFormatting>
  <conditionalFormatting sqref="B58">
    <cfRule type="cellIs" dxfId="5765" priority="106" operator="equal">
      <formula>"S"</formula>
    </cfRule>
    <cfRule type="cellIs" dxfId="5764" priority="107" stopIfTrue="1" operator="equal">
      <formula>"FM"</formula>
    </cfRule>
    <cfRule type="cellIs" dxfId="5763" priority="108" stopIfTrue="1" operator="equal">
      <formula>"LM"</formula>
    </cfRule>
    <cfRule type="cellIs" dxfId="5762" priority="109" stopIfTrue="1" operator="equal">
      <formula>"PM"</formula>
    </cfRule>
    <cfRule type="cellIs" dxfId="5761" priority="110" stopIfTrue="1" operator="equal">
      <formula>"DM"</formula>
    </cfRule>
  </conditionalFormatting>
  <conditionalFormatting sqref="B66">
    <cfRule type="cellIs" dxfId="5760" priority="101" operator="equal">
      <formula>"S"</formula>
    </cfRule>
    <cfRule type="cellIs" dxfId="5759" priority="102" stopIfTrue="1" operator="equal">
      <formula>"FM"</formula>
    </cfRule>
    <cfRule type="cellIs" dxfId="5758" priority="103" stopIfTrue="1" operator="equal">
      <formula>"LM"</formula>
    </cfRule>
    <cfRule type="cellIs" dxfId="5757" priority="104" stopIfTrue="1" operator="equal">
      <formula>"PM"</formula>
    </cfRule>
    <cfRule type="cellIs" dxfId="5756" priority="105" stopIfTrue="1" operator="equal">
      <formula>"DM"</formula>
    </cfRule>
  </conditionalFormatting>
  <conditionalFormatting sqref="B72">
    <cfRule type="cellIs" dxfId="5755" priority="96" operator="equal">
      <formula>"S"</formula>
    </cfRule>
    <cfRule type="cellIs" dxfId="5754" priority="97" stopIfTrue="1" operator="equal">
      <formula>"FM"</formula>
    </cfRule>
    <cfRule type="cellIs" dxfId="5753" priority="98" stopIfTrue="1" operator="equal">
      <formula>"LM"</formula>
    </cfRule>
    <cfRule type="cellIs" dxfId="5752" priority="99" stopIfTrue="1" operator="equal">
      <formula>"PM"</formula>
    </cfRule>
    <cfRule type="cellIs" dxfId="5751" priority="100" stopIfTrue="1" operator="equal">
      <formula>"DM"</formula>
    </cfRule>
  </conditionalFormatting>
  <conditionalFormatting sqref="D45:D75">
    <cfRule type="cellIs" dxfId="5750" priority="91" operator="equal">
      <formula>"S"</formula>
    </cfRule>
    <cfRule type="cellIs" dxfId="5749" priority="92" stopIfTrue="1" operator="equal">
      <formula>"FM"</formula>
    </cfRule>
    <cfRule type="cellIs" dxfId="5748" priority="93" stopIfTrue="1" operator="equal">
      <formula>"LM"</formula>
    </cfRule>
    <cfRule type="cellIs" dxfId="5747" priority="94" stopIfTrue="1" operator="equal">
      <formula>"PM"</formula>
    </cfRule>
    <cfRule type="cellIs" dxfId="5746" priority="95" stopIfTrue="1" operator="equal">
      <formula>"DM"</formula>
    </cfRule>
  </conditionalFormatting>
  <conditionalFormatting sqref="E45:E75">
    <cfRule type="cellIs" dxfId="5745" priority="86" operator="equal">
      <formula>"S"</formula>
    </cfRule>
    <cfRule type="cellIs" dxfId="5744" priority="87" stopIfTrue="1" operator="equal">
      <formula>"FM"</formula>
    </cfRule>
    <cfRule type="cellIs" dxfId="5743" priority="88" stopIfTrue="1" operator="equal">
      <formula>"LM"</formula>
    </cfRule>
    <cfRule type="cellIs" dxfId="5742" priority="89" stopIfTrue="1" operator="equal">
      <formula>"PM"</formula>
    </cfRule>
    <cfRule type="cellIs" dxfId="5741" priority="90" stopIfTrue="1" operator="equal">
      <formula>"DM"</formula>
    </cfRule>
  </conditionalFormatting>
  <conditionalFormatting sqref="F45:F75">
    <cfRule type="cellIs" dxfId="5740" priority="81" operator="equal">
      <formula>"S"</formula>
    </cfRule>
    <cfRule type="cellIs" dxfId="5739" priority="82" stopIfTrue="1" operator="equal">
      <formula>"FM"</formula>
    </cfRule>
    <cfRule type="cellIs" dxfId="5738" priority="83" stopIfTrue="1" operator="equal">
      <formula>"LM"</formula>
    </cfRule>
    <cfRule type="cellIs" dxfId="5737" priority="84" stopIfTrue="1" operator="equal">
      <formula>"PM"</formula>
    </cfRule>
    <cfRule type="cellIs" dxfId="5736" priority="85" stopIfTrue="1" operator="equal">
      <formula>"DM"</formula>
    </cfRule>
  </conditionalFormatting>
  <conditionalFormatting sqref="G45:G75">
    <cfRule type="cellIs" dxfId="5735" priority="76" operator="equal">
      <formula>"S"</formula>
    </cfRule>
    <cfRule type="cellIs" dxfId="5734" priority="77" stopIfTrue="1" operator="equal">
      <formula>"FM"</formula>
    </cfRule>
    <cfRule type="cellIs" dxfId="5733" priority="78" stopIfTrue="1" operator="equal">
      <formula>"LM"</formula>
    </cfRule>
    <cfRule type="cellIs" dxfId="5732" priority="79" stopIfTrue="1" operator="equal">
      <formula>"PM"</formula>
    </cfRule>
    <cfRule type="cellIs" dxfId="5731" priority="80" stopIfTrue="1" operator="equal">
      <formula>"DM"</formula>
    </cfRule>
  </conditionalFormatting>
  <conditionalFormatting sqref="H45:H75">
    <cfRule type="cellIs" dxfId="5730" priority="71" operator="equal">
      <formula>"S"</formula>
    </cfRule>
    <cfRule type="cellIs" dxfId="5729" priority="72" stopIfTrue="1" operator="equal">
      <formula>"FM"</formula>
    </cfRule>
    <cfRule type="cellIs" dxfId="5728" priority="73" stopIfTrue="1" operator="equal">
      <formula>"LM"</formula>
    </cfRule>
    <cfRule type="cellIs" dxfId="5727" priority="74" stopIfTrue="1" operator="equal">
      <formula>"PM"</formula>
    </cfRule>
    <cfRule type="cellIs" dxfId="5726" priority="75" stopIfTrue="1" operator="equal">
      <formula>"DM"</formula>
    </cfRule>
  </conditionalFormatting>
  <conditionalFormatting sqref="I45:I75">
    <cfRule type="cellIs" dxfId="5725" priority="66" operator="equal">
      <formula>"S"</formula>
    </cfRule>
    <cfRule type="cellIs" dxfId="5724" priority="67" stopIfTrue="1" operator="equal">
      <formula>"FM"</formula>
    </cfRule>
    <cfRule type="cellIs" dxfId="5723" priority="68" stopIfTrue="1" operator="equal">
      <formula>"LM"</formula>
    </cfRule>
    <cfRule type="cellIs" dxfId="5722" priority="69" stopIfTrue="1" operator="equal">
      <formula>"PM"</formula>
    </cfRule>
    <cfRule type="cellIs" dxfId="5721" priority="70" stopIfTrue="1" operator="equal">
      <formula>"DM"</formula>
    </cfRule>
  </conditionalFormatting>
  <conditionalFormatting sqref="J45:J75">
    <cfRule type="cellIs" dxfId="5720" priority="61" operator="equal">
      <formula>"S"</formula>
    </cfRule>
    <cfRule type="cellIs" dxfId="5719" priority="62" stopIfTrue="1" operator="equal">
      <formula>"FM"</formula>
    </cfRule>
    <cfRule type="cellIs" dxfId="5718" priority="63" stopIfTrue="1" operator="equal">
      <formula>"LM"</formula>
    </cfRule>
    <cfRule type="cellIs" dxfId="5717" priority="64" stopIfTrue="1" operator="equal">
      <formula>"PM"</formula>
    </cfRule>
    <cfRule type="cellIs" dxfId="5716" priority="65" stopIfTrue="1" operator="equal">
      <formula>"DM"</formula>
    </cfRule>
  </conditionalFormatting>
  <conditionalFormatting sqref="K45:K75">
    <cfRule type="cellIs" dxfId="5715" priority="56" operator="equal">
      <formula>"S"</formula>
    </cfRule>
    <cfRule type="cellIs" dxfId="5714" priority="57" stopIfTrue="1" operator="equal">
      <formula>"FM"</formula>
    </cfRule>
    <cfRule type="cellIs" dxfId="5713" priority="58" stopIfTrue="1" operator="equal">
      <formula>"LM"</formula>
    </cfRule>
    <cfRule type="cellIs" dxfId="5712" priority="59" stopIfTrue="1" operator="equal">
      <formula>"PM"</formula>
    </cfRule>
    <cfRule type="cellIs" dxfId="5711" priority="60" stopIfTrue="1" operator="equal">
      <formula>"DM"</formula>
    </cfRule>
  </conditionalFormatting>
  <conditionalFormatting sqref="L45:L75">
    <cfRule type="cellIs" dxfId="5710" priority="51" operator="equal">
      <formula>"S"</formula>
    </cfRule>
    <cfRule type="cellIs" dxfId="5709" priority="52" stopIfTrue="1" operator="equal">
      <formula>"FM"</formula>
    </cfRule>
    <cfRule type="cellIs" dxfId="5708" priority="53" stopIfTrue="1" operator="equal">
      <formula>"LM"</formula>
    </cfRule>
    <cfRule type="cellIs" dxfId="5707" priority="54" stopIfTrue="1" operator="equal">
      <formula>"PM"</formula>
    </cfRule>
    <cfRule type="cellIs" dxfId="5706" priority="55" stopIfTrue="1" operator="equal">
      <formula>"DM"</formula>
    </cfRule>
  </conditionalFormatting>
  <conditionalFormatting sqref="M45:M75">
    <cfRule type="cellIs" dxfId="5705" priority="46" operator="equal">
      <formula>"S"</formula>
    </cfRule>
    <cfRule type="cellIs" dxfId="5704" priority="47" stopIfTrue="1" operator="equal">
      <formula>"FM"</formula>
    </cfRule>
    <cfRule type="cellIs" dxfId="5703" priority="48" stopIfTrue="1" operator="equal">
      <formula>"LM"</formula>
    </cfRule>
    <cfRule type="cellIs" dxfId="5702" priority="49" stopIfTrue="1" operator="equal">
      <formula>"PM"</formula>
    </cfRule>
    <cfRule type="cellIs" dxfId="5701" priority="50" stopIfTrue="1" operator="equal">
      <formula>"DM"</formula>
    </cfRule>
  </conditionalFormatting>
  <conditionalFormatting sqref="N45:N75">
    <cfRule type="cellIs" dxfId="5700" priority="41" operator="equal">
      <formula>"S"</formula>
    </cfRule>
    <cfRule type="cellIs" dxfId="5699" priority="42" stopIfTrue="1" operator="equal">
      <formula>"FM"</formula>
    </cfRule>
    <cfRule type="cellIs" dxfId="5698" priority="43" stopIfTrue="1" operator="equal">
      <formula>"LM"</formula>
    </cfRule>
    <cfRule type="cellIs" dxfId="5697" priority="44" stopIfTrue="1" operator="equal">
      <formula>"PM"</formula>
    </cfRule>
    <cfRule type="cellIs" dxfId="5696" priority="45" stopIfTrue="1" operator="equal">
      <formula>"DM"</formula>
    </cfRule>
  </conditionalFormatting>
  <conditionalFormatting sqref="O45:O75">
    <cfRule type="cellIs" dxfId="5695" priority="36" operator="equal">
      <formula>"S"</formula>
    </cfRule>
    <cfRule type="cellIs" dxfId="5694" priority="37" stopIfTrue="1" operator="equal">
      <formula>"FM"</formula>
    </cfRule>
    <cfRule type="cellIs" dxfId="5693" priority="38" stopIfTrue="1" operator="equal">
      <formula>"LM"</formula>
    </cfRule>
    <cfRule type="cellIs" dxfId="5692" priority="39" stopIfTrue="1" operator="equal">
      <formula>"PM"</formula>
    </cfRule>
    <cfRule type="cellIs" dxfId="5691" priority="40" stopIfTrue="1" operator="equal">
      <formula>"DM"</formula>
    </cfRule>
  </conditionalFormatting>
  <conditionalFormatting sqref="P45:P75">
    <cfRule type="cellIs" dxfId="5690" priority="31" operator="equal">
      <formula>"S"</formula>
    </cfRule>
    <cfRule type="cellIs" dxfId="5689" priority="32" stopIfTrue="1" operator="equal">
      <formula>"FM"</formula>
    </cfRule>
    <cfRule type="cellIs" dxfId="5688" priority="33" stopIfTrue="1" operator="equal">
      <formula>"LM"</formula>
    </cfRule>
    <cfRule type="cellIs" dxfId="5687" priority="34" stopIfTrue="1" operator="equal">
      <formula>"PM"</formula>
    </cfRule>
    <cfRule type="cellIs" dxfId="5686" priority="35" stopIfTrue="1" operator="equal">
      <formula>"DM"</formula>
    </cfRule>
  </conditionalFormatting>
  <conditionalFormatting sqref="Q45:Q75">
    <cfRule type="cellIs" dxfId="5685" priority="26" operator="equal">
      <formula>"S"</formula>
    </cfRule>
    <cfRule type="cellIs" dxfId="5684" priority="27" stopIfTrue="1" operator="equal">
      <formula>"FM"</formula>
    </cfRule>
    <cfRule type="cellIs" dxfId="5683" priority="28" stopIfTrue="1" operator="equal">
      <formula>"LM"</formula>
    </cfRule>
    <cfRule type="cellIs" dxfId="5682" priority="29" stopIfTrue="1" operator="equal">
      <formula>"PM"</formula>
    </cfRule>
    <cfRule type="cellIs" dxfId="5681" priority="30" stopIfTrue="1" operator="equal">
      <formula>"DM"</formula>
    </cfRule>
  </conditionalFormatting>
  <conditionalFormatting sqref="R45:R75">
    <cfRule type="cellIs" dxfId="5680" priority="21" operator="equal">
      <formula>"S"</formula>
    </cfRule>
    <cfRule type="cellIs" dxfId="5679" priority="22" stopIfTrue="1" operator="equal">
      <formula>"FM"</formula>
    </cfRule>
    <cfRule type="cellIs" dxfId="5678" priority="23" stopIfTrue="1" operator="equal">
      <formula>"LM"</formula>
    </cfRule>
    <cfRule type="cellIs" dxfId="5677" priority="24" stopIfTrue="1" operator="equal">
      <formula>"PM"</formula>
    </cfRule>
    <cfRule type="cellIs" dxfId="5676" priority="25" stopIfTrue="1" operator="equal">
      <formula>"DM"</formula>
    </cfRule>
  </conditionalFormatting>
  <conditionalFormatting sqref="S45:S75">
    <cfRule type="cellIs" dxfId="5675" priority="16" operator="equal">
      <formula>"S"</formula>
    </cfRule>
    <cfRule type="cellIs" dxfId="5674" priority="17" stopIfTrue="1" operator="equal">
      <formula>"FM"</formula>
    </cfRule>
    <cfRule type="cellIs" dxfId="5673" priority="18" stopIfTrue="1" operator="equal">
      <formula>"LM"</formula>
    </cfRule>
    <cfRule type="cellIs" dxfId="5672" priority="19" stopIfTrue="1" operator="equal">
      <formula>"PM"</formula>
    </cfRule>
    <cfRule type="cellIs" dxfId="5671" priority="20" stopIfTrue="1" operator="equal">
      <formula>"DM"</formula>
    </cfRule>
  </conditionalFormatting>
  <conditionalFormatting sqref="T45:T75">
    <cfRule type="cellIs" dxfId="5670" priority="11" operator="equal">
      <formula>"S"</formula>
    </cfRule>
    <cfRule type="cellIs" dxfId="5669" priority="12" stopIfTrue="1" operator="equal">
      <formula>"FM"</formula>
    </cfRule>
    <cfRule type="cellIs" dxfId="5668" priority="13" stopIfTrue="1" operator="equal">
      <formula>"LM"</formula>
    </cfRule>
    <cfRule type="cellIs" dxfId="5667" priority="14" stopIfTrue="1" operator="equal">
      <formula>"PM"</formula>
    </cfRule>
    <cfRule type="cellIs" dxfId="5666" priority="15" stopIfTrue="1" operator="equal">
      <formula>"DM"</formula>
    </cfRule>
  </conditionalFormatting>
  <conditionalFormatting sqref="U45:U75">
    <cfRule type="cellIs" dxfId="5665" priority="6" operator="equal">
      <formula>"S"</formula>
    </cfRule>
    <cfRule type="cellIs" dxfId="5664" priority="7" stopIfTrue="1" operator="equal">
      <formula>"FM"</formula>
    </cfRule>
    <cfRule type="cellIs" dxfId="5663" priority="8" stopIfTrue="1" operator="equal">
      <formula>"LM"</formula>
    </cfRule>
    <cfRule type="cellIs" dxfId="5662" priority="9" stopIfTrue="1" operator="equal">
      <formula>"PM"</formula>
    </cfRule>
    <cfRule type="cellIs" dxfId="5661" priority="10" stopIfTrue="1" operator="equal">
      <formula>"DM"</formula>
    </cfRule>
  </conditionalFormatting>
  <conditionalFormatting sqref="V45:V75">
    <cfRule type="cellIs" dxfId="5660" priority="1" operator="equal">
      <formula>"S"</formula>
    </cfRule>
    <cfRule type="cellIs" dxfId="5659" priority="2" stopIfTrue="1" operator="equal">
      <formula>"FM"</formula>
    </cfRule>
    <cfRule type="cellIs" dxfId="5658" priority="3" stopIfTrue="1" operator="equal">
      <formula>"LM"</formula>
    </cfRule>
    <cfRule type="cellIs" dxfId="5657" priority="4" stopIfTrue="1" operator="equal">
      <formula>"PM"</formula>
    </cfRule>
    <cfRule type="cellIs" dxfId="5656" priority="5" stopIfTrue="1" operator="equal">
      <formula>"DM"</formula>
    </cfRule>
  </conditionalFormatting>
  <pageMargins left="0.7" right="0.7" top="0.75" bottom="0.75" header="0.3" footer="0.3"/>
  <pageSetup scale="63" fitToHeight="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CF856-325E-44CF-899E-E9AB74EE6DAD}">
  <sheetPr codeName="Sheet5">
    <pageSetUpPr fitToPage="1"/>
  </sheetPr>
  <dimension ref="A1:R39"/>
  <sheetViews>
    <sheetView topLeftCell="A3" workbookViewId="0">
      <selection activeCell="P12" sqref="P12"/>
    </sheetView>
  </sheetViews>
  <sheetFormatPr defaultColWidth="8.6640625" defaultRowHeight="14.4"/>
  <cols>
    <col min="1" max="2" width="8.6640625" style="27"/>
    <col min="3" max="9" width="7.6640625" style="42" customWidth="1"/>
    <col min="10" max="10" width="3.44140625" style="27" customWidth="1"/>
    <col min="11" max="18" width="7.6640625" style="42" customWidth="1"/>
    <col min="19" max="16384" width="8.6640625" style="27"/>
  </cols>
  <sheetData>
    <row r="1" spans="1:18" s="45" customFormat="1" ht="18">
      <c r="A1" s="45" t="s">
        <v>1354</v>
      </c>
      <c r="C1" s="46"/>
      <c r="D1" s="46"/>
      <c r="E1" s="46"/>
      <c r="F1" s="46"/>
      <c r="G1" s="46"/>
      <c r="H1" s="46"/>
      <c r="I1" s="46"/>
      <c r="K1" s="46"/>
      <c r="L1" s="46"/>
      <c r="M1" s="46"/>
      <c r="N1" s="46"/>
      <c r="O1" s="46"/>
      <c r="P1" s="46"/>
      <c r="Q1" s="46"/>
      <c r="R1" s="46"/>
    </row>
    <row r="2" spans="1:18" ht="68.099999999999994" customHeight="1">
      <c r="A2" s="321" t="s">
        <v>1315</v>
      </c>
      <c r="B2" s="321" t="s">
        <v>1316</v>
      </c>
      <c r="C2" s="28" t="s">
        <v>1355</v>
      </c>
      <c r="D2" s="47" t="s">
        <v>1356</v>
      </c>
      <c r="E2" s="47" t="s">
        <v>1357</v>
      </c>
      <c r="F2" s="47" t="s">
        <v>1358</v>
      </c>
      <c r="G2" s="47" t="s">
        <v>1359</v>
      </c>
      <c r="H2" s="47" t="s">
        <v>1360</v>
      </c>
      <c r="I2" s="47" t="s">
        <v>1361</v>
      </c>
      <c r="J2" s="29"/>
      <c r="K2" s="28" t="s">
        <v>1355</v>
      </c>
      <c r="L2" s="47" t="s">
        <v>1356</v>
      </c>
      <c r="M2" s="47" t="s">
        <v>1357</v>
      </c>
      <c r="N2" s="47" t="s">
        <v>1358</v>
      </c>
      <c r="O2" s="47" t="s">
        <v>1359</v>
      </c>
      <c r="P2" s="47" t="s">
        <v>1362</v>
      </c>
      <c r="Q2" s="47" t="s">
        <v>1360</v>
      </c>
      <c r="R2" s="47" t="s">
        <v>1361</v>
      </c>
    </row>
    <row r="3" spans="1:18">
      <c r="A3" s="321"/>
      <c r="B3" s="321"/>
      <c r="C3" s="28" t="s">
        <v>1326</v>
      </c>
      <c r="D3" s="28" t="s">
        <v>1326</v>
      </c>
      <c r="E3" s="28" t="s">
        <v>1326</v>
      </c>
      <c r="F3" s="28" t="s">
        <v>1326</v>
      </c>
      <c r="G3" s="28" t="s">
        <v>1326</v>
      </c>
      <c r="H3" s="28" t="s">
        <v>1326</v>
      </c>
      <c r="I3" s="28" t="s">
        <v>1326</v>
      </c>
      <c r="J3" s="29"/>
      <c r="K3" s="28" t="s">
        <v>1327</v>
      </c>
      <c r="L3" s="28" t="s">
        <v>1327</v>
      </c>
      <c r="M3" s="28" t="s">
        <v>1327</v>
      </c>
      <c r="N3" s="28" t="s">
        <v>1327</v>
      </c>
      <c r="O3" s="28" t="s">
        <v>1327</v>
      </c>
      <c r="P3" s="28" t="s">
        <v>1327</v>
      </c>
      <c r="Q3" s="28" t="s">
        <v>1327</v>
      </c>
      <c r="R3" s="28" t="s">
        <v>1327</v>
      </c>
    </row>
    <row r="4" spans="1:18">
      <c r="A4" s="318" t="s">
        <v>1346</v>
      </c>
      <c r="B4" s="30" t="s">
        <v>27</v>
      </c>
      <c r="C4" s="48" t="s">
        <v>1363</v>
      </c>
      <c r="D4" s="48"/>
      <c r="E4" s="48"/>
      <c r="F4" s="48"/>
      <c r="G4" s="48"/>
      <c r="H4" s="48"/>
      <c r="I4" s="48"/>
      <c r="J4" s="29"/>
      <c r="K4" s="48" t="s">
        <v>1363</v>
      </c>
      <c r="L4" s="48"/>
      <c r="M4" s="48"/>
      <c r="N4" s="48"/>
      <c r="O4" s="48"/>
      <c r="P4" s="48"/>
      <c r="Q4" s="48"/>
      <c r="R4" s="48"/>
    </row>
    <row r="5" spans="1:18">
      <c r="A5" s="318"/>
      <c r="B5" s="29">
        <v>1.1000000000000001</v>
      </c>
      <c r="C5" s="48" t="s">
        <v>1189</v>
      </c>
      <c r="D5" s="48" t="s">
        <v>1189</v>
      </c>
      <c r="E5" s="48" t="s">
        <v>1189</v>
      </c>
      <c r="F5" s="48" t="s">
        <v>1189</v>
      </c>
      <c r="G5" s="48" t="s">
        <v>1189</v>
      </c>
      <c r="H5" s="48" t="s">
        <v>1189</v>
      </c>
      <c r="I5" s="48" t="s">
        <v>1189</v>
      </c>
      <c r="J5" s="29"/>
      <c r="K5" s="48" t="s">
        <v>1189</v>
      </c>
      <c r="L5" s="48" t="s">
        <v>1189</v>
      </c>
      <c r="M5" s="48" t="s">
        <v>1189</v>
      </c>
      <c r="N5" s="48" t="s">
        <v>1189</v>
      </c>
      <c r="O5" s="48" t="s">
        <v>1189</v>
      </c>
      <c r="P5" s="48" t="s">
        <v>1189</v>
      </c>
      <c r="Q5" s="48" t="s">
        <v>1189</v>
      </c>
      <c r="R5" s="48" t="s">
        <v>1189</v>
      </c>
    </row>
    <row r="6" spans="1:18">
      <c r="A6" s="318"/>
      <c r="B6" s="29">
        <v>1.2</v>
      </c>
      <c r="C6" s="30"/>
      <c r="D6" s="30"/>
      <c r="E6" s="30"/>
      <c r="F6" s="30"/>
      <c r="G6" s="30"/>
      <c r="H6" s="30"/>
      <c r="I6" s="30"/>
      <c r="J6" s="29"/>
      <c r="K6" s="30"/>
      <c r="L6" s="30"/>
      <c r="M6" s="30"/>
      <c r="N6" s="30"/>
      <c r="O6" s="30"/>
      <c r="P6" s="30"/>
      <c r="Q6" s="30"/>
      <c r="R6" s="30"/>
    </row>
    <row r="7" spans="1:18">
      <c r="A7" s="318"/>
      <c r="B7" s="29">
        <v>1.3</v>
      </c>
      <c r="C7" s="30"/>
      <c r="D7" s="30"/>
      <c r="E7" s="30"/>
      <c r="F7" s="30"/>
      <c r="G7" s="30"/>
      <c r="H7" s="30"/>
      <c r="I7" s="30"/>
      <c r="J7" s="29"/>
      <c r="K7" s="30"/>
      <c r="L7" s="30"/>
      <c r="M7" s="30"/>
      <c r="N7" s="30"/>
      <c r="O7" s="30"/>
      <c r="P7" s="30"/>
      <c r="Q7" s="30"/>
      <c r="R7" s="30"/>
    </row>
    <row r="8" spans="1:18">
      <c r="A8" s="318" t="s">
        <v>28</v>
      </c>
      <c r="B8" s="30" t="s">
        <v>28</v>
      </c>
      <c r="C8" s="48" t="s">
        <v>1363</v>
      </c>
      <c r="D8" s="48"/>
      <c r="E8" s="48"/>
      <c r="F8" s="48"/>
      <c r="G8" s="48"/>
      <c r="H8" s="48"/>
      <c r="I8" s="48"/>
      <c r="J8" s="29"/>
      <c r="K8" s="48" t="s">
        <v>1363</v>
      </c>
      <c r="L8" s="48"/>
      <c r="M8" s="48"/>
      <c r="N8" s="48"/>
      <c r="O8" s="48"/>
      <c r="P8" s="48"/>
      <c r="Q8" s="48"/>
      <c r="R8" s="48"/>
    </row>
    <row r="9" spans="1:18">
      <c r="A9" s="318"/>
      <c r="B9" s="29">
        <v>2.1</v>
      </c>
      <c r="C9" s="48" t="s">
        <v>1189</v>
      </c>
      <c r="D9" s="48" t="s">
        <v>1189</v>
      </c>
      <c r="E9" s="48" t="s">
        <v>1189</v>
      </c>
      <c r="F9" s="48" t="s">
        <v>1189</v>
      </c>
      <c r="G9" s="48" t="s">
        <v>1189</v>
      </c>
      <c r="H9" s="48" t="s">
        <v>1189</v>
      </c>
      <c r="I9" s="48" t="s">
        <v>1189</v>
      </c>
      <c r="J9" s="29"/>
      <c r="K9" s="48" t="s">
        <v>1189</v>
      </c>
      <c r="L9" s="48" t="s">
        <v>1189</v>
      </c>
      <c r="M9" s="48" t="s">
        <v>1189</v>
      </c>
      <c r="N9" s="48" t="s">
        <v>1189</v>
      </c>
      <c r="O9" s="48" t="s">
        <v>1189</v>
      </c>
      <c r="P9" s="48" t="s">
        <v>1189</v>
      </c>
      <c r="Q9" s="48" t="s">
        <v>1189</v>
      </c>
      <c r="R9" s="48" t="s">
        <v>1189</v>
      </c>
    </row>
    <row r="10" spans="1:18">
      <c r="A10" s="318"/>
      <c r="B10" s="29">
        <v>2.2000000000000002</v>
      </c>
      <c r="C10" s="48" t="s">
        <v>1189</v>
      </c>
      <c r="D10" s="48" t="s">
        <v>1189</v>
      </c>
      <c r="E10" s="48" t="s">
        <v>1189</v>
      </c>
      <c r="F10" s="48" t="s">
        <v>1189</v>
      </c>
      <c r="G10" s="48" t="s">
        <v>1189</v>
      </c>
      <c r="H10" s="48" t="s">
        <v>1189</v>
      </c>
      <c r="I10" s="48" t="s">
        <v>1189</v>
      </c>
      <c r="J10" s="29"/>
      <c r="K10" s="48" t="s">
        <v>1189</v>
      </c>
      <c r="L10" s="48" t="s">
        <v>1189</v>
      </c>
      <c r="M10" s="48" t="s">
        <v>1189</v>
      </c>
      <c r="N10" s="48" t="s">
        <v>1189</v>
      </c>
      <c r="O10" s="48" t="s">
        <v>1189</v>
      </c>
      <c r="P10" s="48" t="s">
        <v>1189</v>
      </c>
      <c r="Q10" s="48" t="s">
        <v>1189</v>
      </c>
      <c r="R10" s="48" t="s">
        <v>1189</v>
      </c>
    </row>
    <row r="11" spans="1:18">
      <c r="A11" s="318"/>
      <c r="B11" s="29">
        <v>2.2999999999999998</v>
      </c>
      <c r="C11" s="48" t="s">
        <v>1189</v>
      </c>
      <c r="D11" s="48" t="s">
        <v>1189</v>
      </c>
      <c r="E11" s="48" t="s">
        <v>1189</v>
      </c>
      <c r="F11" s="48" t="s">
        <v>1189</v>
      </c>
      <c r="G11" s="48" t="s">
        <v>1189</v>
      </c>
      <c r="H11" s="48" t="s">
        <v>1189</v>
      </c>
      <c r="I11" s="48" t="s">
        <v>1189</v>
      </c>
      <c r="J11" s="29"/>
      <c r="K11" s="30"/>
      <c r="L11" s="30"/>
      <c r="M11" s="30"/>
      <c r="N11" s="30"/>
      <c r="O11" s="30"/>
      <c r="P11" s="30"/>
      <c r="Q11" s="30"/>
      <c r="R11" s="30"/>
    </row>
    <row r="12" spans="1:18">
      <c r="A12" s="318"/>
      <c r="B12" s="29">
        <v>2.4</v>
      </c>
      <c r="C12" s="48" t="s">
        <v>1189</v>
      </c>
      <c r="D12" s="48" t="s">
        <v>1189</v>
      </c>
      <c r="E12" s="48" t="s">
        <v>1189</v>
      </c>
      <c r="F12" s="48" t="s">
        <v>1189</v>
      </c>
      <c r="G12" s="48" t="s">
        <v>1189</v>
      </c>
      <c r="H12" s="48" t="s">
        <v>1189</v>
      </c>
      <c r="I12" s="48" t="s">
        <v>1189</v>
      </c>
      <c r="J12" s="29"/>
      <c r="K12" s="30"/>
      <c r="L12" s="30"/>
      <c r="M12" s="30"/>
      <c r="N12" s="30"/>
      <c r="O12" s="30"/>
      <c r="P12" s="30"/>
      <c r="Q12" s="30"/>
      <c r="R12" s="30"/>
    </row>
    <row r="13" spans="1:18">
      <c r="A13" s="318"/>
      <c r="B13" s="29">
        <v>2.5</v>
      </c>
      <c r="C13" s="30"/>
      <c r="D13" s="30"/>
      <c r="E13" s="30"/>
      <c r="F13" s="30"/>
      <c r="G13" s="30"/>
      <c r="H13" s="30"/>
      <c r="I13" s="30"/>
      <c r="J13" s="29"/>
      <c r="K13" s="30"/>
      <c r="L13" s="30"/>
      <c r="M13" s="30"/>
      <c r="N13" s="30"/>
      <c r="O13" s="30"/>
      <c r="P13" s="30"/>
      <c r="Q13" s="30"/>
      <c r="R13" s="30"/>
    </row>
    <row r="14" spans="1:18">
      <c r="A14" s="318"/>
      <c r="B14" s="29">
        <v>2.6</v>
      </c>
      <c r="C14" s="30"/>
      <c r="D14" s="30"/>
      <c r="E14" s="30"/>
      <c r="F14" s="30"/>
      <c r="G14" s="30"/>
      <c r="H14" s="30"/>
      <c r="I14" s="30"/>
      <c r="J14" s="29"/>
      <c r="K14" s="30"/>
      <c r="L14" s="30"/>
      <c r="M14" s="30"/>
      <c r="N14" s="30"/>
      <c r="O14" s="30"/>
      <c r="P14" s="30"/>
      <c r="Q14" s="30"/>
      <c r="R14" s="30"/>
    </row>
    <row r="15" spans="1:18">
      <c r="A15" s="318"/>
      <c r="B15" s="29">
        <v>2.7</v>
      </c>
      <c r="C15" s="30"/>
      <c r="D15" s="30"/>
      <c r="E15" s="30"/>
      <c r="F15" s="30"/>
      <c r="G15" s="30"/>
      <c r="H15" s="30"/>
      <c r="I15" s="30"/>
      <c r="J15" s="29"/>
      <c r="K15" s="30"/>
      <c r="L15" s="30"/>
      <c r="M15" s="30"/>
      <c r="N15" s="30"/>
      <c r="O15" s="30"/>
      <c r="P15" s="30"/>
      <c r="Q15" s="30"/>
      <c r="R15" s="30"/>
    </row>
    <row r="16" spans="1:18">
      <c r="A16" s="318"/>
      <c r="B16" s="29">
        <v>2.8</v>
      </c>
      <c r="C16" s="30"/>
      <c r="D16" s="30"/>
      <c r="E16" s="30"/>
      <c r="F16" s="30"/>
      <c r="G16" s="30"/>
      <c r="H16" s="30"/>
      <c r="I16" s="30"/>
      <c r="J16" s="29"/>
      <c r="K16" s="30"/>
      <c r="L16" s="30"/>
      <c r="M16" s="30"/>
      <c r="N16" s="30"/>
      <c r="O16" s="30"/>
      <c r="P16" s="30"/>
      <c r="Q16" s="30"/>
      <c r="R16" s="30"/>
    </row>
    <row r="17" spans="1:18">
      <c r="A17" s="318" t="s">
        <v>29</v>
      </c>
      <c r="B17" s="30" t="s">
        <v>29</v>
      </c>
      <c r="C17" s="48" t="s">
        <v>1363</v>
      </c>
      <c r="D17" s="48"/>
      <c r="E17" s="48"/>
      <c r="F17" s="48"/>
      <c r="G17" s="48"/>
      <c r="H17" s="48"/>
      <c r="I17" s="48"/>
      <c r="J17" s="29"/>
      <c r="K17" s="48" t="s">
        <v>1363</v>
      </c>
      <c r="L17" s="48"/>
      <c r="M17" s="48"/>
      <c r="N17" s="48"/>
      <c r="O17" s="48"/>
      <c r="P17" s="48"/>
      <c r="Q17" s="48"/>
      <c r="R17" s="48"/>
    </row>
    <row r="18" spans="1:18">
      <c r="A18" s="318"/>
      <c r="B18" s="29">
        <v>3.1</v>
      </c>
      <c r="C18" s="48" t="s">
        <v>1189</v>
      </c>
      <c r="D18" s="48" t="s">
        <v>1189</v>
      </c>
      <c r="E18" s="48" t="s">
        <v>1189</v>
      </c>
      <c r="F18" s="48" t="s">
        <v>1189</v>
      </c>
      <c r="G18" s="48" t="s">
        <v>1189</v>
      </c>
      <c r="H18" s="48" t="s">
        <v>1189</v>
      </c>
      <c r="I18" s="48" t="s">
        <v>1189</v>
      </c>
      <c r="J18" s="29"/>
      <c r="K18" s="48" t="s">
        <v>1189</v>
      </c>
      <c r="L18" s="48" t="s">
        <v>1189</v>
      </c>
      <c r="M18" s="48" t="s">
        <v>1189</v>
      </c>
      <c r="N18" s="48" t="s">
        <v>1189</v>
      </c>
      <c r="O18" s="48" t="s">
        <v>1189</v>
      </c>
      <c r="P18" s="48" t="s">
        <v>1189</v>
      </c>
      <c r="Q18" s="48" t="s">
        <v>1189</v>
      </c>
      <c r="R18" s="48" t="s">
        <v>1189</v>
      </c>
    </row>
    <row r="19" spans="1:18">
      <c r="A19" s="318"/>
      <c r="B19" s="29">
        <v>3.2</v>
      </c>
      <c r="C19" s="48" t="s">
        <v>1189</v>
      </c>
      <c r="D19" s="48" t="s">
        <v>1189</v>
      </c>
      <c r="E19" s="48" t="s">
        <v>1189</v>
      </c>
      <c r="F19" s="48" t="s">
        <v>1189</v>
      </c>
      <c r="G19" s="48" t="s">
        <v>1189</v>
      </c>
      <c r="H19" s="48" t="s">
        <v>1189</v>
      </c>
      <c r="I19" s="48" t="s">
        <v>1189</v>
      </c>
      <c r="J19" s="29"/>
      <c r="K19" s="48" t="s">
        <v>1189</v>
      </c>
      <c r="L19" s="48" t="s">
        <v>1189</v>
      </c>
      <c r="M19" s="48" t="s">
        <v>1189</v>
      </c>
      <c r="N19" s="48" t="s">
        <v>1189</v>
      </c>
      <c r="O19" s="48" t="s">
        <v>1189</v>
      </c>
      <c r="P19" s="48" t="s">
        <v>1189</v>
      </c>
      <c r="Q19" s="48" t="s">
        <v>1189</v>
      </c>
      <c r="R19" s="48" t="s">
        <v>1189</v>
      </c>
    </row>
    <row r="20" spans="1:18">
      <c r="A20" s="318"/>
      <c r="B20" s="29">
        <v>3.3</v>
      </c>
      <c r="C20" s="30"/>
      <c r="D20" s="30"/>
      <c r="E20" s="30"/>
      <c r="F20" s="30"/>
      <c r="G20" s="30"/>
      <c r="H20" s="30"/>
      <c r="I20" s="30"/>
      <c r="J20" s="29"/>
      <c r="K20" s="48" t="s">
        <v>1189</v>
      </c>
      <c r="L20" s="48" t="s">
        <v>1189</v>
      </c>
      <c r="M20" s="48" t="s">
        <v>1189</v>
      </c>
      <c r="N20" s="48" t="s">
        <v>1189</v>
      </c>
      <c r="O20" s="48" t="s">
        <v>1189</v>
      </c>
      <c r="P20" s="48" t="s">
        <v>1189</v>
      </c>
      <c r="Q20" s="48" t="s">
        <v>1189</v>
      </c>
      <c r="R20" s="48" t="s">
        <v>1189</v>
      </c>
    </row>
    <row r="21" spans="1:18">
      <c r="A21" s="318"/>
      <c r="B21" s="29">
        <v>3.4</v>
      </c>
      <c r="C21" s="30"/>
      <c r="D21" s="30"/>
      <c r="E21" s="30"/>
      <c r="F21" s="30"/>
      <c r="G21" s="30"/>
      <c r="H21" s="30"/>
      <c r="I21" s="30"/>
      <c r="J21" s="29"/>
      <c r="K21" s="30"/>
      <c r="L21" s="30"/>
      <c r="M21" s="30"/>
      <c r="N21" s="30"/>
      <c r="O21" s="30"/>
      <c r="P21" s="30"/>
      <c r="Q21" s="30"/>
      <c r="R21" s="30"/>
    </row>
    <row r="22" spans="1:18">
      <c r="A22" s="318"/>
      <c r="B22" s="29">
        <v>3.5</v>
      </c>
      <c r="C22" s="30"/>
      <c r="D22" s="30"/>
      <c r="E22" s="30"/>
      <c r="F22" s="30"/>
      <c r="G22" s="30"/>
      <c r="H22" s="30"/>
      <c r="I22" s="30"/>
      <c r="J22" s="29"/>
      <c r="K22" s="30"/>
      <c r="L22" s="30"/>
      <c r="M22" s="30"/>
      <c r="N22" s="30"/>
      <c r="O22" s="30"/>
      <c r="P22" s="30"/>
      <c r="Q22" s="30"/>
      <c r="R22" s="30"/>
    </row>
    <row r="23" spans="1:18">
      <c r="A23" s="318"/>
      <c r="B23" s="29">
        <v>3.6</v>
      </c>
      <c r="C23" s="30"/>
      <c r="D23" s="30"/>
      <c r="E23" s="30"/>
      <c r="F23" s="30"/>
      <c r="G23" s="30"/>
      <c r="H23" s="30"/>
      <c r="I23" s="30"/>
      <c r="J23" s="29"/>
      <c r="K23" s="30"/>
      <c r="L23" s="30"/>
      <c r="M23" s="30"/>
      <c r="N23" s="30"/>
      <c r="O23" s="30"/>
      <c r="P23" s="30"/>
      <c r="Q23" s="30"/>
      <c r="R23" s="30"/>
    </row>
    <row r="24" spans="1:18">
      <c r="A24" s="318"/>
      <c r="B24" s="29">
        <v>3.7</v>
      </c>
      <c r="C24" s="30"/>
      <c r="D24" s="30"/>
      <c r="E24" s="30"/>
      <c r="F24" s="30"/>
      <c r="G24" s="30"/>
      <c r="H24" s="30"/>
      <c r="I24" s="30"/>
      <c r="J24" s="29"/>
      <c r="K24" s="30"/>
      <c r="L24" s="30"/>
      <c r="M24" s="30"/>
      <c r="N24" s="30"/>
      <c r="O24" s="30"/>
      <c r="P24" s="30"/>
      <c r="Q24" s="30"/>
      <c r="R24" s="30"/>
    </row>
    <row r="25" spans="1:18">
      <c r="A25" s="318" t="s">
        <v>1350</v>
      </c>
      <c r="B25" s="30" t="s">
        <v>371</v>
      </c>
      <c r="C25" s="48" t="s">
        <v>1363</v>
      </c>
      <c r="D25" s="48"/>
      <c r="E25" s="48"/>
      <c r="F25" s="48"/>
      <c r="G25" s="48"/>
      <c r="H25" s="48"/>
      <c r="I25" s="48"/>
      <c r="J25" s="29"/>
      <c r="K25" s="48" t="s">
        <v>1363</v>
      </c>
      <c r="L25" s="48"/>
      <c r="M25" s="48"/>
      <c r="N25" s="48"/>
      <c r="O25" s="48"/>
      <c r="P25" s="48"/>
      <c r="Q25" s="48"/>
      <c r="R25" s="48"/>
    </row>
    <row r="26" spans="1:18">
      <c r="A26" s="318"/>
      <c r="B26" s="29">
        <v>4.0999999999999996</v>
      </c>
      <c r="C26" s="48" t="s">
        <v>1189</v>
      </c>
      <c r="D26" s="48" t="s">
        <v>1189</v>
      </c>
      <c r="E26" s="48" t="s">
        <v>1189</v>
      </c>
      <c r="F26" s="48" t="s">
        <v>1189</v>
      </c>
      <c r="G26" s="48" t="s">
        <v>1189</v>
      </c>
      <c r="H26" s="48" t="s">
        <v>1189</v>
      </c>
      <c r="I26" s="48" t="s">
        <v>1189</v>
      </c>
      <c r="J26" s="29"/>
      <c r="K26" s="30" t="s">
        <v>1189</v>
      </c>
      <c r="L26" s="30" t="s">
        <v>1189</v>
      </c>
      <c r="M26" s="30" t="s">
        <v>1189</v>
      </c>
      <c r="N26" s="30" t="s">
        <v>1189</v>
      </c>
      <c r="O26" s="30" t="s">
        <v>1189</v>
      </c>
      <c r="P26" s="30" t="s">
        <v>1189</v>
      </c>
      <c r="Q26" s="30" t="s">
        <v>1189</v>
      </c>
      <c r="R26" s="30" t="s">
        <v>1189</v>
      </c>
    </row>
    <row r="27" spans="1:18">
      <c r="A27" s="318"/>
      <c r="B27" s="29">
        <v>4.2</v>
      </c>
      <c r="C27" s="30"/>
      <c r="D27" s="30"/>
      <c r="E27" s="30"/>
      <c r="F27" s="30"/>
      <c r="G27" s="30"/>
      <c r="H27" s="30"/>
      <c r="I27" s="30"/>
      <c r="J27" s="29"/>
      <c r="K27" s="30"/>
      <c r="L27" s="30"/>
      <c r="M27" s="30"/>
      <c r="N27" s="30"/>
      <c r="O27" s="30"/>
      <c r="P27" s="30"/>
      <c r="Q27" s="30"/>
      <c r="R27" s="30"/>
    </row>
    <row r="28" spans="1:18">
      <c r="A28" s="318"/>
      <c r="B28" s="29">
        <v>4.3</v>
      </c>
      <c r="C28" s="30"/>
      <c r="D28" s="30"/>
      <c r="E28" s="30"/>
      <c r="F28" s="30"/>
      <c r="G28" s="30"/>
      <c r="H28" s="30"/>
      <c r="I28" s="30"/>
      <c r="J28" s="29"/>
      <c r="K28" s="30"/>
      <c r="L28" s="30"/>
      <c r="M28" s="30"/>
      <c r="N28" s="30"/>
      <c r="O28" s="30"/>
      <c r="P28" s="30"/>
      <c r="Q28" s="30"/>
      <c r="R28" s="30"/>
    </row>
    <row r="29" spans="1:18">
      <c r="A29" s="318"/>
      <c r="B29" s="29">
        <v>4.4000000000000004</v>
      </c>
      <c r="C29" s="30"/>
      <c r="D29" s="30"/>
      <c r="E29" s="30"/>
      <c r="F29" s="30"/>
      <c r="G29" s="30"/>
      <c r="H29" s="30"/>
      <c r="I29" s="30"/>
      <c r="J29" s="29"/>
      <c r="K29" s="30"/>
      <c r="L29" s="30"/>
      <c r="M29" s="30"/>
      <c r="N29" s="30"/>
      <c r="O29" s="30"/>
      <c r="P29" s="30"/>
      <c r="Q29" s="30"/>
      <c r="R29" s="30"/>
    </row>
    <row r="30" spans="1:18">
      <c r="A30" s="318"/>
      <c r="B30" s="29">
        <v>4.5</v>
      </c>
      <c r="C30" s="30"/>
      <c r="D30" s="30"/>
      <c r="E30" s="30"/>
      <c r="F30" s="30"/>
      <c r="G30" s="30"/>
      <c r="H30" s="30"/>
      <c r="I30" s="30"/>
      <c r="J30" s="29"/>
      <c r="K30" s="30"/>
      <c r="L30" s="30"/>
      <c r="M30" s="30"/>
      <c r="N30" s="30"/>
      <c r="O30" s="30"/>
      <c r="P30" s="30"/>
      <c r="Q30" s="30"/>
      <c r="R30" s="30"/>
    </row>
    <row r="31" spans="1:18">
      <c r="A31" s="318" t="s">
        <v>511</v>
      </c>
      <c r="B31" s="30" t="s">
        <v>511</v>
      </c>
      <c r="C31" s="30"/>
      <c r="D31" s="30"/>
      <c r="E31" s="30"/>
      <c r="F31" s="30"/>
      <c r="G31" s="30"/>
      <c r="H31" s="30"/>
      <c r="I31" s="30"/>
      <c r="J31" s="29"/>
      <c r="K31" s="30"/>
      <c r="L31" s="30"/>
      <c r="M31" s="30"/>
      <c r="N31" s="30"/>
      <c r="O31" s="30"/>
      <c r="P31" s="30"/>
      <c r="Q31" s="30"/>
      <c r="R31" s="30"/>
    </row>
    <row r="32" spans="1:18">
      <c r="A32" s="318"/>
      <c r="B32" s="29">
        <v>5.0999999999999996</v>
      </c>
      <c r="C32" s="30"/>
      <c r="D32" s="30"/>
      <c r="E32" s="30"/>
      <c r="F32" s="30"/>
      <c r="G32" s="30"/>
      <c r="H32" s="30"/>
      <c r="I32" s="30"/>
      <c r="J32" s="29"/>
      <c r="K32" s="30"/>
      <c r="L32" s="30"/>
      <c r="M32" s="30"/>
      <c r="N32" s="30"/>
      <c r="O32" s="30"/>
      <c r="P32" s="30"/>
      <c r="Q32" s="30"/>
      <c r="R32" s="30"/>
    </row>
    <row r="33" spans="1:18">
      <c r="A33" s="318"/>
      <c r="B33" s="29">
        <v>5.2</v>
      </c>
      <c r="C33" s="30"/>
      <c r="D33" s="30"/>
      <c r="E33" s="30"/>
      <c r="F33" s="30"/>
      <c r="G33" s="30"/>
      <c r="H33" s="30"/>
      <c r="I33" s="30"/>
      <c r="J33" s="29"/>
      <c r="K33" s="30"/>
      <c r="L33" s="30"/>
      <c r="M33" s="30"/>
      <c r="N33" s="30"/>
      <c r="O33" s="30"/>
      <c r="P33" s="30"/>
      <c r="Q33" s="30"/>
      <c r="R33" s="30"/>
    </row>
    <row r="34" spans="1:18">
      <c r="A34" s="318"/>
      <c r="B34" s="29">
        <v>5.3</v>
      </c>
      <c r="C34" s="30"/>
      <c r="D34" s="30"/>
      <c r="E34" s="30"/>
      <c r="F34" s="30"/>
      <c r="G34" s="30"/>
      <c r="H34" s="30"/>
      <c r="I34" s="30"/>
      <c r="J34" s="29"/>
      <c r="K34" s="30"/>
      <c r="L34" s="30"/>
      <c r="M34" s="30"/>
      <c r="N34" s="30"/>
      <c r="O34" s="30"/>
      <c r="P34" s="30"/>
      <c r="Q34" s="30"/>
      <c r="R34" s="30"/>
    </row>
    <row r="38" spans="1:18" ht="15.6">
      <c r="A38" s="49" t="s">
        <v>1364</v>
      </c>
    </row>
    <row r="39" spans="1:18" ht="15.6">
      <c r="A39" s="49" t="s">
        <v>1365</v>
      </c>
    </row>
  </sheetData>
  <mergeCells count="7">
    <mergeCell ref="A31:A34"/>
    <mergeCell ref="A2:A3"/>
    <mergeCell ref="B2:B3"/>
    <mergeCell ref="A4:A7"/>
    <mergeCell ref="A8:A16"/>
    <mergeCell ref="A17:A24"/>
    <mergeCell ref="A25:A30"/>
  </mergeCells>
  <phoneticPr fontId="61" type="noConversion"/>
  <conditionalFormatting sqref="C4:D4 C27:D34 C13:I17 C20:D25 C26:I26 C5:I8 K6:R8">
    <cfRule type="cellIs" dxfId="5655" priority="86" operator="equal">
      <formula>"S"</formula>
    </cfRule>
    <cfRule type="cellIs" dxfId="5654" priority="87" stopIfTrue="1" operator="equal">
      <formula>"FM"</formula>
    </cfRule>
    <cfRule type="cellIs" dxfId="5653" priority="88" stopIfTrue="1" operator="equal">
      <formula>"LM"</formula>
    </cfRule>
    <cfRule type="cellIs" dxfId="5652" priority="89" stopIfTrue="1" operator="equal">
      <formula>"PM"</formula>
    </cfRule>
    <cfRule type="cellIs" dxfId="5651" priority="90" stopIfTrue="1" operator="equal">
      <formula>"DM"</formula>
    </cfRule>
  </conditionalFormatting>
  <conditionalFormatting sqref="B4">
    <cfRule type="cellIs" dxfId="5650" priority="81" operator="equal">
      <formula>"S"</formula>
    </cfRule>
    <cfRule type="cellIs" dxfId="5649" priority="82" stopIfTrue="1" operator="equal">
      <formula>"FM"</formula>
    </cfRule>
    <cfRule type="cellIs" dxfId="5648" priority="83" stopIfTrue="1" operator="equal">
      <formula>"LM"</formula>
    </cfRule>
    <cfRule type="cellIs" dxfId="5647" priority="84" stopIfTrue="1" operator="equal">
      <formula>"PM"</formula>
    </cfRule>
    <cfRule type="cellIs" dxfId="5646" priority="85" stopIfTrue="1" operator="equal">
      <formula>"DM"</formula>
    </cfRule>
  </conditionalFormatting>
  <conditionalFormatting sqref="B8">
    <cfRule type="cellIs" dxfId="5645" priority="76" operator="equal">
      <formula>"S"</formula>
    </cfRule>
    <cfRule type="cellIs" dxfId="5644" priority="77" stopIfTrue="1" operator="equal">
      <formula>"FM"</formula>
    </cfRule>
    <cfRule type="cellIs" dxfId="5643" priority="78" stopIfTrue="1" operator="equal">
      <formula>"LM"</formula>
    </cfRule>
    <cfRule type="cellIs" dxfId="5642" priority="79" stopIfTrue="1" operator="equal">
      <formula>"PM"</formula>
    </cfRule>
    <cfRule type="cellIs" dxfId="5641" priority="80" stopIfTrue="1" operator="equal">
      <formula>"DM"</formula>
    </cfRule>
  </conditionalFormatting>
  <conditionalFormatting sqref="B17">
    <cfRule type="cellIs" dxfId="5640" priority="71" operator="equal">
      <formula>"S"</formula>
    </cfRule>
    <cfRule type="cellIs" dxfId="5639" priority="72" stopIfTrue="1" operator="equal">
      <formula>"FM"</formula>
    </cfRule>
    <cfRule type="cellIs" dxfId="5638" priority="73" stopIfTrue="1" operator="equal">
      <formula>"LM"</formula>
    </cfRule>
    <cfRule type="cellIs" dxfId="5637" priority="74" stopIfTrue="1" operator="equal">
      <formula>"PM"</formula>
    </cfRule>
    <cfRule type="cellIs" dxfId="5636" priority="75" stopIfTrue="1" operator="equal">
      <formula>"DM"</formula>
    </cfRule>
  </conditionalFormatting>
  <conditionalFormatting sqref="B25">
    <cfRule type="cellIs" dxfId="5635" priority="66" operator="equal">
      <formula>"S"</formula>
    </cfRule>
    <cfRule type="cellIs" dxfId="5634" priority="67" stopIfTrue="1" operator="equal">
      <formula>"FM"</formula>
    </cfRule>
    <cfRule type="cellIs" dxfId="5633" priority="68" stopIfTrue="1" operator="equal">
      <formula>"LM"</formula>
    </cfRule>
    <cfRule type="cellIs" dxfId="5632" priority="69" stopIfTrue="1" operator="equal">
      <formula>"PM"</formula>
    </cfRule>
    <cfRule type="cellIs" dxfId="5631" priority="70" stopIfTrue="1" operator="equal">
      <formula>"DM"</formula>
    </cfRule>
  </conditionalFormatting>
  <conditionalFormatting sqref="B31">
    <cfRule type="cellIs" dxfId="5630" priority="61" operator="equal">
      <formula>"S"</formula>
    </cfRule>
    <cfRule type="cellIs" dxfId="5629" priority="62" stopIfTrue="1" operator="equal">
      <formula>"FM"</formula>
    </cfRule>
    <cfRule type="cellIs" dxfId="5628" priority="63" stopIfTrue="1" operator="equal">
      <formula>"LM"</formula>
    </cfRule>
    <cfRule type="cellIs" dxfId="5627" priority="64" stopIfTrue="1" operator="equal">
      <formula>"PM"</formula>
    </cfRule>
    <cfRule type="cellIs" dxfId="5626" priority="65" stopIfTrue="1" operator="equal">
      <formula>"DM"</formula>
    </cfRule>
  </conditionalFormatting>
  <conditionalFormatting sqref="E4:I4 E20:I25 E27:I34">
    <cfRule type="cellIs" dxfId="5625" priority="56" operator="equal">
      <formula>"S"</formula>
    </cfRule>
    <cfRule type="cellIs" dxfId="5624" priority="57" stopIfTrue="1" operator="equal">
      <formula>"FM"</formula>
    </cfRule>
    <cfRule type="cellIs" dxfId="5623" priority="58" stopIfTrue="1" operator="equal">
      <formula>"LM"</formula>
    </cfRule>
    <cfRule type="cellIs" dxfId="5622" priority="59" stopIfTrue="1" operator="equal">
      <formula>"PM"</formula>
    </cfRule>
    <cfRule type="cellIs" dxfId="5621" priority="60" stopIfTrue="1" operator="equal">
      <formula>"DM"</formula>
    </cfRule>
  </conditionalFormatting>
  <conditionalFormatting sqref="K4:L4 K11:L17 K21:L34">
    <cfRule type="cellIs" dxfId="5620" priority="51" operator="equal">
      <formula>"S"</formula>
    </cfRule>
    <cfRule type="cellIs" dxfId="5619" priority="52" stopIfTrue="1" operator="equal">
      <formula>"FM"</formula>
    </cfRule>
    <cfRule type="cellIs" dxfId="5618" priority="53" stopIfTrue="1" operator="equal">
      <formula>"LM"</formula>
    </cfRule>
    <cfRule type="cellIs" dxfId="5617" priority="54" stopIfTrue="1" operator="equal">
      <formula>"PM"</formula>
    </cfRule>
    <cfRule type="cellIs" dxfId="5616" priority="55" stopIfTrue="1" operator="equal">
      <formula>"DM"</formula>
    </cfRule>
  </conditionalFormatting>
  <conditionalFormatting sqref="M4:O4 M11:O17 M21:O34 Q21:R34 Q11:R17 Q4:R4">
    <cfRule type="cellIs" dxfId="5615" priority="46" operator="equal">
      <formula>"S"</formula>
    </cfRule>
    <cfRule type="cellIs" dxfId="5614" priority="47" stopIfTrue="1" operator="equal">
      <formula>"FM"</formula>
    </cfRule>
    <cfRule type="cellIs" dxfId="5613" priority="48" stopIfTrue="1" operator="equal">
      <formula>"LM"</formula>
    </cfRule>
    <cfRule type="cellIs" dxfId="5612" priority="49" stopIfTrue="1" operator="equal">
      <formula>"PM"</formula>
    </cfRule>
    <cfRule type="cellIs" dxfId="5611" priority="50" stopIfTrue="1" operator="equal">
      <formula>"DM"</formula>
    </cfRule>
  </conditionalFormatting>
  <conditionalFormatting sqref="C9:I12">
    <cfRule type="cellIs" dxfId="5610" priority="41" operator="equal">
      <formula>"S"</formula>
    </cfRule>
    <cfRule type="cellIs" dxfId="5609" priority="42" stopIfTrue="1" operator="equal">
      <formula>"FM"</formula>
    </cfRule>
    <cfRule type="cellIs" dxfId="5608" priority="43" stopIfTrue="1" operator="equal">
      <formula>"LM"</formula>
    </cfRule>
    <cfRule type="cellIs" dxfId="5607" priority="44" stopIfTrue="1" operator="equal">
      <formula>"PM"</formula>
    </cfRule>
    <cfRule type="cellIs" dxfId="5606" priority="45" stopIfTrue="1" operator="equal">
      <formula>"DM"</formula>
    </cfRule>
  </conditionalFormatting>
  <conditionalFormatting sqref="C18:I19">
    <cfRule type="cellIs" dxfId="5605" priority="36" operator="equal">
      <formula>"S"</formula>
    </cfRule>
    <cfRule type="cellIs" dxfId="5604" priority="37" stopIfTrue="1" operator="equal">
      <formula>"FM"</formula>
    </cfRule>
    <cfRule type="cellIs" dxfId="5603" priority="38" stopIfTrue="1" operator="equal">
      <formula>"LM"</formula>
    </cfRule>
    <cfRule type="cellIs" dxfId="5602" priority="39" stopIfTrue="1" operator="equal">
      <formula>"PM"</formula>
    </cfRule>
    <cfRule type="cellIs" dxfId="5601" priority="40" stopIfTrue="1" operator="equal">
      <formula>"DM"</formula>
    </cfRule>
  </conditionalFormatting>
  <conditionalFormatting sqref="K5:O5 Q5:R5">
    <cfRule type="cellIs" dxfId="5600" priority="31" operator="equal">
      <formula>"S"</formula>
    </cfRule>
    <cfRule type="cellIs" dxfId="5599" priority="32" stopIfTrue="1" operator="equal">
      <formula>"FM"</formula>
    </cfRule>
    <cfRule type="cellIs" dxfId="5598" priority="33" stopIfTrue="1" operator="equal">
      <formula>"LM"</formula>
    </cfRule>
    <cfRule type="cellIs" dxfId="5597" priority="34" stopIfTrue="1" operator="equal">
      <formula>"PM"</formula>
    </cfRule>
    <cfRule type="cellIs" dxfId="5596" priority="35" stopIfTrue="1" operator="equal">
      <formula>"DM"</formula>
    </cfRule>
  </conditionalFormatting>
  <conditionalFormatting sqref="Q9:R9 K9:O9 K10:R10">
    <cfRule type="cellIs" dxfId="5595" priority="26" operator="equal">
      <formula>"S"</formula>
    </cfRule>
    <cfRule type="cellIs" dxfId="5594" priority="27" stopIfTrue="1" operator="equal">
      <formula>"FM"</formula>
    </cfRule>
    <cfRule type="cellIs" dxfId="5593" priority="28" stopIfTrue="1" operator="equal">
      <formula>"LM"</formula>
    </cfRule>
    <cfRule type="cellIs" dxfId="5592" priority="29" stopIfTrue="1" operator="equal">
      <formula>"PM"</formula>
    </cfRule>
    <cfRule type="cellIs" dxfId="5591" priority="30" stopIfTrue="1" operator="equal">
      <formula>"DM"</formula>
    </cfRule>
  </conditionalFormatting>
  <conditionalFormatting sqref="K18:O20 Q18:R20">
    <cfRule type="cellIs" dxfId="5590" priority="21" operator="equal">
      <formula>"S"</formula>
    </cfRule>
    <cfRule type="cellIs" dxfId="5589" priority="22" stopIfTrue="1" operator="equal">
      <formula>"FM"</formula>
    </cfRule>
    <cfRule type="cellIs" dxfId="5588" priority="23" stopIfTrue="1" operator="equal">
      <formula>"LM"</formula>
    </cfRule>
    <cfRule type="cellIs" dxfId="5587" priority="24" stopIfTrue="1" operator="equal">
      <formula>"PM"</formula>
    </cfRule>
    <cfRule type="cellIs" dxfId="5586" priority="25" stopIfTrue="1" operator="equal">
      <formula>"DM"</formula>
    </cfRule>
  </conditionalFormatting>
  <conditionalFormatting sqref="P4 P11:P17 P21:P34">
    <cfRule type="cellIs" dxfId="5585" priority="16" operator="equal">
      <formula>"S"</formula>
    </cfRule>
    <cfRule type="cellIs" dxfId="5584" priority="17" stopIfTrue="1" operator="equal">
      <formula>"FM"</formula>
    </cfRule>
    <cfRule type="cellIs" dxfId="5583" priority="18" stopIfTrue="1" operator="equal">
      <formula>"LM"</formula>
    </cfRule>
    <cfRule type="cellIs" dxfId="5582" priority="19" stopIfTrue="1" operator="equal">
      <formula>"PM"</formula>
    </cfRule>
    <cfRule type="cellIs" dxfId="5581" priority="20" stopIfTrue="1" operator="equal">
      <formula>"DM"</formula>
    </cfRule>
  </conditionalFormatting>
  <conditionalFormatting sqref="P5">
    <cfRule type="cellIs" dxfId="5580" priority="11" operator="equal">
      <formula>"S"</formula>
    </cfRule>
    <cfRule type="cellIs" dxfId="5579" priority="12" stopIfTrue="1" operator="equal">
      <formula>"FM"</formula>
    </cfRule>
    <cfRule type="cellIs" dxfId="5578" priority="13" stopIfTrue="1" operator="equal">
      <formula>"LM"</formula>
    </cfRule>
    <cfRule type="cellIs" dxfId="5577" priority="14" stopIfTrue="1" operator="equal">
      <formula>"PM"</formula>
    </cfRule>
    <cfRule type="cellIs" dxfId="5576" priority="15" stopIfTrue="1" operator="equal">
      <formula>"DM"</formula>
    </cfRule>
  </conditionalFormatting>
  <conditionalFormatting sqref="P9">
    <cfRule type="cellIs" dxfId="5575" priority="6" operator="equal">
      <formula>"S"</formula>
    </cfRule>
    <cfRule type="cellIs" dxfId="5574" priority="7" stopIfTrue="1" operator="equal">
      <formula>"FM"</formula>
    </cfRule>
    <cfRule type="cellIs" dxfId="5573" priority="8" stopIfTrue="1" operator="equal">
      <formula>"LM"</formula>
    </cfRule>
    <cfRule type="cellIs" dxfId="5572" priority="9" stopIfTrue="1" operator="equal">
      <formula>"PM"</formula>
    </cfRule>
    <cfRule type="cellIs" dxfId="5571" priority="10" stopIfTrue="1" operator="equal">
      <formula>"DM"</formula>
    </cfRule>
  </conditionalFormatting>
  <conditionalFormatting sqref="P18:P20">
    <cfRule type="cellIs" dxfId="5570" priority="1" operator="equal">
      <formula>"S"</formula>
    </cfRule>
    <cfRule type="cellIs" dxfId="5569" priority="2" stopIfTrue="1" operator="equal">
      <formula>"FM"</formula>
    </cfRule>
    <cfRule type="cellIs" dxfId="5568" priority="3" stopIfTrue="1" operator="equal">
      <formula>"LM"</formula>
    </cfRule>
    <cfRule type="cellIs" dxfId="5567" priority="4" stopIfTrue="1" operator="equal">
      <formula>"PM"</formula>
    </cfRule>
    <cfRule type="cellIs" dxfId="5566" priority="5" stopIfTrue="1" operator="equal">
      <formula>"DM"</formula>
    </cfRule>
  </conditionalFormatting>
  <pageMargins left="0.7" right="0.7" top="0.75" bottom="0.75" header="0.3" footer="0.3"/>
  <pageSetup scale="78" fitToHeight="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EC6B5-E076-4518-A4F9-6D3FCBFC4686}">
  <sheetPr codeName="Sheet6"/>
  <dimension ref="A1:C26"/>
  <sheetViews>
    <sheetView workbookViewId="0">
      <selection activeCell="B11" sqref="B11"/>
    </sheetView>
  </sheetViews>
  <sheetFormatPr defaultColWidth="8.6640625" defaultRowHeight="14.4"/>
  <cols>
    <col min="2" max="2" width="16" customWidth="1"/>
    <col min="3" max="3" width="131.6640625" customWidth="1"/>
    <col min="4" max="16384" width="8.6640625" style="50"/>
  </cols>
  <sheetData>
    <row r="1" spans="1:3">
      <c r="A1" t="s">
        <v>1366</v>
      </c>
      <c r="B1" t="s">
        <v>1367</v>
      </c>
      <c r="C1" t="s">
        <v>1368</v>
      </c>
    </row>
    <row r="2" spans="1:3">
      <c r="C2" s="302"/>
    </row>
    <row r="3" spans="1:3">
      <c r="C3" s="302"/>
    </row>
    <row r="4" spans="1:3">
      <c r="C4" s="302"/>
    </row>
    <row r="5" spans="1:3">
      <c r="C5" s="302"/>
    </row>
    <row r="6" spans="1:3">
      <c r="C6" s="302"/>
    </row>
    <row r="9" spans="1:3">
      <c r="C9" s="302"/>
    </row>
    <row r="10" spans="1:3">
      <c r="C10" s="309"/>
    </row>
    <row r="12" spans="1:3">
      <c r="C12" s="302"/>
    </row>
    <row r="13" spans="1:3">
      <c r="C13" s="302"/>
    </row>
    <row r="14" spans="1:3">
      <c r="C14" s="309"/>
    </row>
    <row r="16" spans="1:3">
      <c r="C16" s="302"/>
    </row>
    <row r="18" spans="3:3">
      <c r="C18" s="302"/>
    </row>
    <row r="19" spans="3:3">
      <c r="C19" s="302"/>
    </row>
    <row r="20" spans="3:3">
      <c r="C20" s="302"/>
    </row>
    <row r="21" spans="3:3">
      <c r="C21" s="302"/>
    </row>
    <row r="24" spans="3:3">
      <c r="C24" s="302"/>
    </row>
    <row r="26" spans="3:3">
      <c r="C26" s="302"/>
    </row>
  </sheetData>
  <phoneticPr fontId="6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2151-59E2-4337-AED3-A158DA65010E}">
  <sheetPr codeName="Sheet7"/>
  <dimension ref="A2:Q19"/>
  <sheetViews>
    <sheetView workbookViewId="0"/>
  </sheetViews>
  <sheetFormatPr defaultColWidth="8.6640625" defaultRowHeight="14.4"/>
  <cols>
    <col min="1" max="1" width="12.44140625" style="27" customWidth="1"/>
    <col min="2" max="2" width="16.44140625" style="27" customWidth="1"/>
    <col min="3" max="3" width="28.33203125" style="27" customWidth="1"/>
    <col min="4" max="7" width="8.6640625" style="27"/>
    <col min="8" max="8" width="23.6640625" style="27" customWidth="1"/>
    <col min="9" max="10" width="19.88671875" style="27" customWidth="1"/>
    <col min="11" max="11" width="22.33203125" style="27" customWidth="1"/>
    <col min="12" max="14" width="18.44140625" style="27" customWidth="1"/>
    <col min="15" max="15" width="7.33203125" style="42" customWidth="1"/>
    <col min="16" max="16" width="24.6640625" style="27" customWidth="1"/>
    <col min="17" max="17" width="7.33203125" style="27" customWidth="1"/>
    <col min="18" max="16384" width="8.6640625" style="27"/>
  </cols>
  <sheetData>
    <row r="2" spans="1:17" ht="55.2">
      <c r="A2" s="1" t="s">
        <v>1369</v>
      </c>
      <c r="B2" s="51" t="s">
        <v>1370</v>
      </c>
      <c r="C2" s="51" t="s">
        <v>1371</v>
      </c>
      <c r="D2" s="52" t="s">
        <v>1372</v>
      </c>
      <c r="E2" s="52" t="s">
        <v>1373</v>
      </c>
      <c r="F2" s="52" t="s">
        <v>1374</v>
      </c>
      <c r="G2" s="52" t="s">
        <v>1375</v>
      </c>
      <c r="H2" s="2" t="s">
        <v>1376</v>
      </c>
      <c r="I2" s="51" t="s">
        <v>1377</v>
      </c>
      <c r="J2" s="51" t="s">
        <v>1378</v>
      </c>
      <c r="K2" s="2" t="s">
        <v>86</v>
      </c>
      <c r="L2" s="51" t="s">
        <v>1379</v>
      </c>
      <c r="M2" s="51" t="s">
        <v>1380</v>
      </c>
      <c r="N2" s="2" t="s">
        <v>1381</v>
      </c>
      <c r="O2" s="53" t="s">
        <v>1382</v>
      </c>
      <c r="P2" s="2" t="s">
        <v>1383</v>
      </c>
      <c r="Q2" s="13" t="s">
        <v>1384</v>
      </c>
    </row>
    <row r="3" spans="1:17" s="55" customFormat="1" ht="13.8">
      <c r="A3" s="54" t="s">
        <v>1385</v>
      </c>
      <c r="B3" s="17" t="s">
        <v>27</v>
      </c>
      <c r="C3" s="18"/>
      <c r="D3" s="18"/>
      <c r="E3" s="18"/>
      <c r="F3" s="18"/>
      <c r="G3" s="18"/>
      <c r="H3" s="18"/>
      <c r="I3" s="18"/>
      <c r="J3" s="18"/>
      <c r="K3" s="18"/>
      <c r="L3" s="8"/>
      <c r="M3" s="8"/>
      <c r="N3" s="8"/>
      <c r="O3" s="9"/>
      <c r="P3" s="10"/>
      <c r="Q3" s="9"/>
    </row>
    <row r="4" spans="1:17" s="57" customFormat="1" ht="51.6" customHeight="1">
      <c r="A4" s="56" t="s">
        <v>1386</v>
      </c>
      <c r="B4" s="3" t="s">
        <v>1141</v>
      </c>
      <c r="C4" s="322" t="s">
        <v>1387</v>
      </c>
      <c r="D4" s="322"/>
      <c r="E4" s="322"/>
      <c r="F4" s="322"/>
      <c r="G4" s="322"/>
      <c r="H4" s="322"/>
      <c r="I4" s="20" t="s">
        <v>1388</v>
      </c>
      <c r="J4" s="20" t="s">
        <v>65</v>
      </c>
      <c r="K4" s="11" t="s">
        <v>86</v>
      </c>
      <c r="L4" s="11"/>
      <c r="M4" s="11"/>
      <c r="N4" s="11"/>
      <c r="O4" s="9"/>
      <c r="P4" s="10"/>
      <c r="Q4" s="9"/>
    </row>
    <row r="5" spans="1:17" s="58" customFormat="1" ht="13.8">
      <c r="A5" s="54" t="s">
        <v>1389</v>
      </c>
      <c r="B5" s="20" t="s">
        <v>1141</v>
      </c>
      <c r="C5" s="323" t="s">
        <v>1390</v>
      </c>
      <c r="D5" s="324"/>
      <c r="E5" s="324"/>
      <c r="F5" s="324"/>
      <c r="G5" s="324"/>
      <c r="H5" s="324"/>
      <c r="I5" s="324"/>
      <c r="J5" s="324"/>
      <c r="K5" s="325"/>
      <c r="L5" s="9"/>
      <c r="M5" s="9"/>
      <c r="N5" s="9"/>
      <c r="O5" s="9"/>
      <c r="P5" s="9"/>
      <c r="Q5" s="9"/>
    </row>
    <row r="6" spans="1:17" s="58" customFormat="1" ht="13.8">
      <c r="A6" s="54" t="s">
        <v>1391</v>
      </c>
      <c r="B6" s="19" t="s">
        <v>1141</v>
      </c>
      <c r="C6" s="326" t="s">
        <v>1392</v>
      </c>
      <c r="D6" s="327"/>
      <c r="E6" s="327"/>
      <c r="F6" s="327"/>
      <c r="G6" s="328"/>
      <c r="H6" s="4" t="s">
        <v>1393</v>
      </c>
      <c r="I6" s="9"/>
      <c r="J6" s="9"/>
      <c r="K6" s="9"/>
      <c r="L6" s="9"/>
      <c r="M6" s="9"/>
      <c r="N6" s="9"/>
      <c r="O6" s="9"/>
      <c r="P6" s="9"/>
      <c r="Q6" s="9"/>
    </row>
    <row r="7" spans="1:17" s="58" customFormat="1" ht="13.8">
      <c r="A7" s="5" t="s">
        <v>1394</v>
      </c>
      <c r="B7" s="5" t="s">
        <v>1392</v>
      </c>
      <c r="C7" s="59" t="s">
        <v>1395</v>
      </c>
      <c r="D7" s="6" t="s">
        <v>97</v>
      </c>
      <c r="E7" s="6" t="s">
        <v>98</v>
      </c>
      <c r="F7" s="6" t="s">
        <v>1396</v>
      </c>
      <c r="G7" s="6" t="s">
        <v>1397</v>
      </c>
      <c r="H7" s="7"/>
      <c r="I7" s="9"/>
      <c r="J7" s="7"/>
      <c r="K7" s="12"/>
      <c r="L7" s="6"/>
      <c r="M7" s="6"/>
      <c r="N7" s="12"/>
      <c r="O7" s="7"/>
      <c r="P7" s="9"/>
      <c r="Q7" s="9"/>
    </row>
    <row r="8" spans="1:17" s="55" customFormat="1" ht="13.8">
      <c r="O8" s="58"/>
    </row>
    <row r="9" spans="1:17" s="55" customFormat="1" ht="13.8">
      <c r="O9" s="58"/>
    </row>
    <row r="19" spans="1:17" ht="54.6" customHeight="1">
      <c r="A19" s="56" t="s">
        <v>1398</v>
      </c>
      <c r="B19" s="3" t="s">
        <v>1141</v>
      </c>
      <c r="C19" s="322" t="s">
        <v>1387</v>
      </c>
      <c r="D19" s="322"/>
      <c r="E19" s="322"/>
      <c r="F19" s="322"/>
      <c r="G19" s="322"/>
      <c r="H19" s="322"/>
      <c r="I19" s="20" t="s">
        <v>1388</v>
      </c>
      <c r="J19" s="20" t="s">
        <v>65</v>
      </c>
      <c r="K19" s="11" t="s">
        <v>86</v>
      </c>
      <c r="L19" s="11"/>
      <c r="M19" s="11"/>
      <c r="N19" s="11"/>
      <c r="O19" s="329"/>
      <c r="P19" s="330"/>
      <c r="Q19" s="331"/>
    </row>
  </sheetData>
  <mergeCells count="5">
    <mergeCell ref="C4:H4"/>
    <mergeCell ref="C5:K5"/>
    <mergeCell ref="C6:G6"/>
    <mergeCell ref="C19:H19"/>
    <mergeCell ref="O19:Q19"/>
  </mergeCells>
  <phoneticPr fontId="61" type="noConversion"/>
  <conditionalFormatting sqref="O3">
    <cfRule type="cellIs" dxfId="5565" priority="14" operator="equal">
      <formula>"U"</formula>
    </cfRule>
    <cfRule type="cellIs" dxfId="5564" priority="15" operator="equal">
      <formula>"S"</formula>
    </cfRule>
  </conditionalFormatting>
  <conditionalFormatting sqref="O4">
    <cfRule type="cellIs" dxfId="5563" priority="9" operator="equal">
      <formula>"NY"</formula>
    </cfRule>
    <cfRule type="cellIs" dxfId="5562" priority="10" operator="equal">
      <formula>"DM"</formula>
    </cfRule>
    <cfRule type="cellIs" dxfId="5561" priority="11" operator="equal">
      <formula>"PM"</formula>
    </cfRule>
    <cfRule type="cellIs" dxfId="5560" priority="12" operator="equal">
      <formula>"LM"</formula>
    </cfRule>
    <cfRule type="cellIs" dxfId="5559" priority="13" operator="equal">
      <formula>"FM"</formula>
    </cfRule>
  </conditionalFormatting>
  <conditionalFormatting sqref="O5:O6">
    <cfRule type="cellIs" dxfId="5558" priority="4" operator="equal">
      <formula>"NY"</formula>
    </cfRule>
    <cfRule type="cellIs" dxfId="5557" priority="5" operator="equal">
      <formula>"DM"</formula>
    </cfRule>
    <cfRule type="cellIs" dxfId="5556" priority="6" operator="equal">
      <formula>"PM"</formula>
    </cfRule>
    <cfRule type="cellIs" dxfId="5555" priority="7" operator="equal">
      <formula>"LM"</formula>
    </cfRule>
    <cfRule type="cellIs" dxfId="5554" priority="8" operator="equal">
      <formula>"FM"</formula>
    </cfRule>
  </conditionalFormatting>
  <conditionalFormatting sqref="I6:I7 J6">
    <cfRule type="cellIs" dxfId="5553" priority="2" operator="equal">
      <formula>"No"</formula>
    </cfRule>
    <cfRule type="cellIs" dxfId="5552" priority="3" operator="equal">
      <formula>"Yes"</formula>
    </cfRule>
  </conditionalFormatting>
  <conditionalFormatting sqref="Q3:Q7">
    <cfRule type="cellIs" dxfId="5551" priority="1" operator="equal">
      <formula>"Y"</formula>
    </cfRule>
  </conditionalFormatting>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7225A-AFBD-456E-93BE-22985026736C}">
  <sheetPr codeName="Sheet54">
    <tabColor rgb="FF0070C0"/>
  </sheetPr>
  <dimension ref="A1"/>
  <sheetViews>
    <sheetView workbookViewId="0"/>
  </sheetViews>
  <sheetFormatPr defaultRowHeight="14.4"/>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E444B-FAD0-450A-90BB-5A04DC12F2D0}">
  <sheetPr codeName="Sheet8"/>
  <dimension ref="A1:Q8"/>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1136</v>
      </c>
    </row>
    <row r="2" spans="1:17" s="61" customFormat="1" ht="21">
      <c r="A2" s="60" t="s">
        <v>1443</v>
      </c>
    </row>
    <row r="3" spans="1:17">
      <c r="A3" s="62" t="s">
        <v>1707</v>
      </c>
      <c r="B3" s="63" t="s">
        <v>1708</v>
      </c>
    </row>
    <row r="4" spans="1:17">
      <c r="A4" s="63" t="s">
        <v>1401</v>
      </c>
      <c r="B4" s="63" t="s">
        <v>1445</v>
      </c>
    </row>
    <row r="5" spans="1:17">
      <c r="A5" s="62" t="s">
        <v>1709</v>
      </c>
      <c r="B5" s="63" t="s">
        <v>1710</v>
      </c>
    </row>
    <row r="6" spans="1:17">
      <c r="A6" s="63" t="s">
        <v>1402</v>
      </c>
      <c r="B6" s="63" t="s">
        <v>1447</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sheetData>
  <phoneticPr fontId="61" type="noConversion"/>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8BE9-89FE-4713-BCB6-BBB597088C51}">
  <sheetPr codeName="Sheet14">
    <tabColor theme="5" tint="0.59999389629810485"/>
  </sheetPr>
  <dimension ref="A1:X20"/>
  <sheetViews>
    <sheetView workbookViewId="0">
      <selection activeCell="N12" sqref="N12"/>
    </sheetView>
  </sheetViews>
  <sheetFormatPr defaultRowHeight="14.4"/>
  <cols>
    <col min="1" max="1" width="26.6640625" customWidth="1"/>
    <col min="2" max="2" width="19.33203125" customWidth="1"/>
    <col min="3" max="3" width="29.33203125" customWidth="1"/>
    <col min="4" max="4" width="4.44140625" style="295" customWidth="1"/>
    <col min="5" max="24" width="4.33203125" style="295" customWidth="1"/>
  </cols>
  <sheetData>
    <row r="1" spans="1:24" ht="31.8">
      <c r="A1" t="s">
        <v>1232</v>
      </c>
      <c r="C1" t="s">
        <v>1711</v>
      </c>
      <c r="E1" s="296" t="s">
        <v>1329</v>
      </c>
      <c r="F1" s="296" t="s">
        <v>1328</v>
      </c>
      <c r="G1" s="296" t="s">
        <v>1332</v>
      </c>
      <c r="H1" s="296" t="s">
        <v>1330</v>
      </c>
      <c r="I1" s="296" t="s">
        <v>1333</v>
      </c>
      <c r="J1" s="296" t="s">
        <v>1331</v>
      </c>
      <c r="K1" s="296" t="s">
        <v>1336</v>
      </c>
      <c r="L1" s="296" t="s">
        <v>1335</v>
      </c>
      <c r="M1" s="296" t="s">
        <v>1334</v>
      </c>
      <c r="N1" s="296" t="s">
        <v>1337</v>
      </c>
      <c r="O1" s="296" t="s">
        <v>1338</v>
      </c>
      <c r="P1" s="296" t="s">
        <v>1341</v>
      </c>
      <c r="Q1" s="296" t="s">
        <v>1339</v>
      </c>
      <c r="R1" s="296" t="s">
        <v>1340</v>
      </c>
      <c r="S1" s="296" t="s">
        <v>1342</v>
      </c>
      <c r="T1" s="296" t="s">
        <v>1344</v>
      </c>
      <c r="U1" s="296" t="s">
        <v>1343</v>
      </c>
      <c r="V1" s="296" t="s">
        <v>1345</v>
      </c>
      <c r="W1" s="296" t="s">
        <v>1326</v>
      </c>
      <c r="X1" s="296" t="s">
        <v>1327</v>
      </c>
    </row>
    <row r="2" spans="1:24">
      <c r="A2" t="s">
        <v>1712</v>
      </c>
      <c r="B2" s="297"/>
      <c r="C2" s="297"/>
    </row>
    <row r="3" spans="1:24">
      <c r="A3" t="s">
        <v>1713</v>
      </c>
      <c r="B3" s="297"/>
    </row>
    <row r="4" spans="1:24">
      <c r="A4" t="s">
        <v>1714</v>
      </c>
      <c r="B4" s="297"/>
    </row>
    <row r="5" spans="1:24">
      <c r="B5" s="297"/>
    </row>
    <row r="6" spans="1:24">
      <c r="A6" t="s">
        <v>1715</v>
      </c>
      <c r="B6" s="297"/>
      <c r="C6" s="297"/>
    </row>
    <row r="7" spans="1:24">
      <c r="B7" s="297"/>
    </row>
    <row r="8" spans="1:24">
      <c r="A8" t="s">
        <v>1716</v>
      </c>
      <c r="B8" s="297"/>
      <c r="D8" s="295">
        <f>COUNTIF(E8:Y8,"x")</f>
        <v>0</v>
      </c>
    </row>
    <row r="9" spans="1:24">
      <c r="A9" t="s">
        <v>1716</v>
      </c>
      <c r="B9" s="297"/>
      <c r="D9" s="295">
        <f t="shared" ref="D9:D14" si="0">COUNTIF(E9:Y9,"x")</f>
        <v>0</v>
      </c>
    </row>
    <row r="10" spans="1:24">
      <c r="A10" t="s">
        <v>1716</v>
      </c>
      <c r="B10" s="297"/>
      <c r="D10" s="295">
        <f t="shared" si="0"/>
        <v>0</v>
      </c>
    </row>
    <row r="11" spans="1:24">
      <c r="A11" t="s">
        <v>1716</v>
      </c>
      <c r="B11" s="297"/>
      <c r="D11" s="295">
        <f t="shared" si="0"/>
        <v>0</v>
      </c>
    </row>
    <row r="12" spans="1:24">
      <c r="A12" t="s">
        <v>1716</v>
      </c>
      <c r="B12" s="297"/>
      <c r="D12" s="295">
        <f t="shared" si="0"/>
        <v>0</v>
      </c>
    </row>
    <row r="13" spans="1:24">
      <c r="A13" t="s">
        <v>1716</v>
      </c>
      <c r="B13" s="297"/>
      <c r="D13" s="295">
        <f t="shared" si="0"/>
        <v>0</v>
      </c>
    </row>
    <row r="14" spans="1:24">
      <c r="A14" t="s">
        <v>1716</v>
      </c>
      <c r="B14" s="297"/>
      <c r="D14" s="295">
        <f t="shared" si="0"/>
        <v>0</v>
      </c>
    </row>
    <row r="15" spans="1:24">
      <c r="B15" s="297"/>
      <c r="E15" s="295">
        <f t="shared" ref="E15:X15" si="1">COUNTIF(E6:E14,"x")</f>
        <v>0</v>
      </c>
      <c r="F15" s="295">
        <f t="shared" si="1"/>
        <v>0</v>
      </c>
      <c r="G15" s="295">
        <f t="shared" si="1"/>
        <v>0</v>
      </c>
      <c r="H15" s="295">
        <f t="shared" si="1"/>
        <v>0</v>
      </c>
      <c r="I15" s="295">
        <f t="shared" si="1"/>
        <v>0</v>
      </c>
      <c r="J15" s="295">
        <f t="shared" si="1"/>
        <v>0</v>
      </c>
      <c r="K15" s="295">
        <f t="shared" si="1"/>
        <v>0</v>
      </c>
      <c r="L15" s="295">
        <f t="shared" si="1"/>
        <v>0</v>
      </c>
      <c r="M15" s="295">
        <f t="shared" si="1"/>
        <v>0</v>
      </c>
      <c r="N15" s="295">
        <f t="shared" si="1"/>
        <v>0</v>
      </c>
      <c r="O15" s="295">
        <f t="shared" si="1"/>
        <v>0</v>
      </c>
      <c r="P15" s="295">
        <f t="shared" si="1"/>
        <v>0</v>
      </c>
      <c r="Q15" s="295">
        <f t="shared" si="1"/>
        <v>0</v>
      </c>
      <c r="R15" s="295">
        <f t="shared" si="1"/>
        <v>0</v>
      </c>
      <c r="S15" s="295">
        <f t="shared" si="1"/>
        <v>0</v>
      </c>
      <c r="T15" s="295">
        <f t="shared" si="1"/>
        <v>0</v>
      </c>
      <c r="U15" s="295">
        <f t="shared" si="1"/>
        <v>0</v>
      </c>
      <c r="V15" s="295">
        <f t="shared" si="1"/>
        <v>0</v>
      </c>
      <c r="W15" s="295">
        <f t="shared" si="1"/>
        <v>0</v>
      </c>
      <c r="X15" s="295">
        <f t="shared" si="1"/>
        <v>0</v>
      </c>
    </row>
    <row r="17" spans="3:3">
      <c r="C17" s="298" t="s">
        <v>1717</v>
      </c>
    </row>
    <row r="18" spans="3:3">
      <c r="C18" s="299" t="s">
        <v>1718</v>
      </c>
    </row>
    <row r="19" spans="3:3">
      <c r="C19" s="300" t="s">
        <v>1719</v>
      </c>
    </row>
    <row r="20" spans="3:3">
      <c r="C20" s="301" t="s">
        <v>1720</v>
      </c>
    </row>
  </sheetData>
  <phoneticPr fontId="6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C6136-1A3E-41B5-BB6D-1AC33167DDF7}">
  <sheetPr codeName="Sheet52">
    <tabColor rgb="FF00CC00"/>
  </sheetPr>
  <dimension ref="A1"/>
  <sheetViews>
    <sheetView workbookViewId="0">
      <selection activeCell="K13" sqref="K13"/>
    </sheetView>
  </sheetViews>
  <sheetFormatPr defaultRowHeight="14.4"/>
  <sheetData/>
  <phoneticPr fontId="6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0E47-CAA9-4FFF-B2D3-6C333A9E11B5}">
  <sheetPr codeName="Sheet28"/>
  <dimension ref="A1:Q51"/>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1648</v>
      </c>
    </row>
    <row r="2" spans="1:17" s="61" customFormat="1" ht="21">
      <c r="A2" s="60" t="s">
        <v>1721</v>
      </c>
    </row>
    <row r="3" spans="1:17">
      <c r="A3" s="62" t="s">
        <v>1707</v>
      </c>
      <c r="B3" s="63" t="s">
        <v>1649</v>
      </c>
    </row>
    <row r="4" spans="1:17">
      <c r="A4" s="63" t="s">
        <v>1401</v>
      </c>
      <c r="B4" s="63" t="s">
        <v>1722</v>
      </c>
    </row>
    <row r="5" spans="1:17">
      <c r="A5" s="62" t="s">
        <v>1709</v>
      </c>
      <c r="B5" s="63" t="s">
        <v>104</v>
      </c>
    </row>
    <row r="6" spans="1:17">
      <c r="A6" s="63" t="s">
        <v>1402</v>
      </c>
      <c r="B6" s="63" t="s">
        <v>1723</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105</v>
      </c>
      <c r="C10" s="322" t="s">
        <v>1650</v>
      </c>
      <c r="D10" s="322"/>
      <c r="E10" s="322"/>
      <c r="F10" s="322"/>
      <c r="G10" s="322"/>
      <c r="H10" s="322"/>
      <c r="I10" s="20" t="s">
        <v>1724</v>
      </c>
      <c r="J10" s="20" t="s">
        <v>1725</v>
      </c>
      <c r="K10" s="11" t="s">
        <v>1726</v>
      </c>
      <c r="L10" s="11"/>
      <c r="M10" s="11"/>
      <c r="N10" s="11"/>
      <c r="O10" s="9"/>
      <c r="P10" s="10"/>
      <c r="Q10" s="9"/>
    </row>
    <row r="11" spans="1:17" s="58" customFormat="1" ht="13.8">
      <c r="A11" s="54" t="s">
        <v>1391</v>
      </c>
      <c r="B11" s="19" t="s">
        <v>105</v>
      </c>
      <c r="C11" s="326" t="s">
        <v>1727</v>
      </c>
      <c r="D11" s="327"/>
      <c r="E11" s="327"/>
      <c r="F11" s="327"/>
      <c r="G11" s="328"/>
      <c r="H11" s="4" t="s">
        <v>1728</v>
      </c>
      <c r="I11" s="9"/>
      <c r="J11" s="9"/>
      <c r="K11" s="9"/>
      <c r="L11" s="9"/>
      <c r="M11" s="9"/>
      <c r="N11" s="9"/>
      <c r="O11" s="9"/>
      <c r="P11" s="9"/>
      <c r="Q11" s="9"/>
    </row>
    <row r="12" spans="1:17" s="58" customFormat="1" ht="13.8">
      <c r="A12" s="5" t="s">
        <v>1394</v>
      </c>
      <c r="B12" s="5" t="s">
        <v>1727</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106</v>
      </c>
      <c r="C15" s="322" t="s">
        <v>1651</v>
      </c>
      <c r="D15" s="322"/>
      <c r="E15" s="322"/>
      <c r="F15" s="322"/>
      <c r="G15" s="322"/>
      <c r="H15" s="322"/>
      <c r="I15" s="20" t="s">
        <v>1729</v>
      </c>
      <c r="J15" s="20" t="s">
        <v>1730</v>
      </c>
      <c r="K15" s="11" t="s">
        <v>1731</v>
      </c>
      <c r="L15" s="11"/>
      <c r="M15" s="11"/>
      <c r="N15" s="11"/>
      <c r="O15" s="9"/>
      <c r="P15" s="10"/>
      <c r="Q15" s="9"/>
    </row>
    <row r="16" spans="1:17" s="58" customFormat="1" ht="13.8">
      <c r="A16" s="54" t="s">
        <v>1391</v>
      </c>
      <c r="B16" s="19" t="s">
        <v>106</v>
      </c>
      <c r="C16" s="326" t="s">
        <v>1727</v>
      </c>
      <c r="D16" s="327"/>
      <c r="E16" s="327"/>
      <c r="F16" s="327"/>
      <c r="G16" s="328"/>
      <c r="H16" s="4" t="s">
        <v>1728</v>
      </c>
      <c r="I16" s="9"/>
      <c r="J16" s="9"/>
      <c r="K16" s="9"/>
      <c r="L16" s="9"/>
      <c r="M16" s="9"/>
      <c r="N16" s="9"/>
      <c r="O16" s="9"/>
      <c r="P16" s="9"/>
      <c r="Q16" s="9"/>
    </row>
    <row r="17" spans="1:17" s="58" customFormat="1" ht="13.8">
      <c r="A17" s="5" t="s">
        <v>1394</v>
      </c>
      <c r="B17" s="5" t="s">
        <v>1727</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1727</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107</v>
      </c>
      <c r="C19" s="322" t="s">
        <v>1652</v>
      </c>
      <c r="D19" s="322"/>
      <c r="E19" s="322"/>
      <c r="F19" s="322"/>
      <c r="G19" s="322"/>
      <c r="H19" s="322"/>
      <c r="I19" s="20" t="s">
        <v>1732</v>
      </c>
      <c r="J19" s="20" t="s">
        <v>1733</v>
      </c>
      <c r="K19" s="11" t="s">
        <v>1734</v>
      </c>
      <c r="L19" s="11"/>
      <c r="M19" s="11"/>
      <c r="N19" s="11"/>
      <c r="O19" s="9"/>
      <c r="P19" s="10"/>
      <c r="Q19" s="9"/>
    </row>
    <row r="20" spans="1:17" s="58" customFormat="1" ht="13.8">
      <c r="A20" s="54" t="s">
        <v>1391</v>
      </c>
      <c r="B20" s="19" t="s">
        <v>107</v>
      </c>
      <c r="C20" s="326" t="s">
        <v>1727</v>
      </c>
      <c r="D20" s="327"/>
      <c r="E20" s="327"/>
      <c r="F20" s="327"/>
      <c r="G20" s="328"/>
      <c r="H20" s="4" t="s">
        <v>1728</v>
      </c>
      <c r="I20" s="9"/>
      <c r="J20" s="9"/>
      <c r="K20" s="9"/>
      <c r="L20" s="9"/>
      <c r="M20" s="9"/>
      <c r="N20" s="9"/>
      <c r="O20" s="9"/>
      <c r="P20" s="9"/>
      <c r="Q20" s="9"/>
    </row>
    <row r="21" spans="1:17" s="58" customFormat="1" ht="13.8">
      <c r="A21" s="5" t="s">
        <v>1394</v>
      </c>
      <c r="B21" s="5" t="s">
        <v>1727</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1727</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108</v>
      </c>
      <c r="C23" s="322" t="s">
        <v>1653</v>
      </c>
      <c r="D23" s="322"/>
      <c r="E23" s="322"/>
      <c r="F23" s="322"/>
      <c r="G23" s="322"/>
      <c r="H23" s="322"/>
      <c r="I23" s="20" t="s">
        <v>1735</v>
      </c>
      <c r="J23" s="20" t="s">
        <v>1736</v>
      </c>
      <c r="K23" s="11" t="s">
        <v>1737</v>
      </c>
      <c r="L23" s="11"/>
      <c r="M23" s="11"/>
      <c r="N23" s="11"/>
      <c r="O23" s="9"/>
      <c r="P23" s="10"/>
      <c r="Q23" s="9"/>
    </row>
    <row r="24" spans="1:17" s="58" customFormat="1" ht="13.8">
      <c r="A24" s="54" t="s">
        <v>1391</v>
      </c>
      <c r="B24" s="19" t="s">
        <v>108</v>
      </c>
      <c r="C24" s="326" t="s">
        <v>1727</v>
      </c>
      <c r="D24" s="327"/>
      <c r="E24" s="327"/>
      <c r="F24" s="327"/>
      <c r="G24" s="328"/>
      <c r="H24" s="4" t="s">
        <v>1728</v>
      </c>
      <c r="I24" s="9"/>
      <c r="J24" s="9"/>
      <c r="K24" s="9"/>
      <c r="L24" s="9"/>
      <c r="M24" s="9"/>
      <c r="N24" s="9"/>
      <c r="O24" s="9"/>
      <c r="P24" s="9"/>
      <c r="Q24" s="9"/>
    </row>
    <row r="25" spans="1:17" s="58" customFormat="1" ht="13.8">
      <c r="A25" s="5" t="s">
        <v>1394</v>
      </c>
      <c r="B25" s="5" t="s">
        <v>1727</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1727</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109</v>
      </c>
      <c r="C27" s="322" t="s">
        <v>1654</v>
      </c>
      <c r="D27" s="322"/>
      <c r="E27" s="322"/>
      <c r="F27" s="322"/>
      <c r="G27" s="322"/>
      <c r="H27" s="322"/>
      <c r="I27" s="20" t="s">
        <v>1738</v>
      </c>
      <c r="J27" s="20" t="s">
        <v>1739</v>
      </c>
      <c r="K27" s="11" t="s">
        <v>1740</v>
      </c>
      <c r="L27" s="11"/>
      <c r="M27" s="11"/>
      <c r="N27" s="11"/>
      <c r="O27" s="9"/>
      <c r="P27" s="10"/>
      <c r="Q27" s="9"/>
    </row>
    <row r="28" spans="1:17" s="58" customFormat="1" ht="13.8">
      <c r="A28" s="54" t="s">
        <v>1391</v>
      </c>
      <c r="B28" s="19" t="s">
        <v>109</v>
      </c>
      <c r="C28" s="326" t="s">
        <v>1727</v>
      </c>
      <c r="D28" s="327"/>
      <c r="E28" s="327"/>
      <c r="F28" s="327"/>
      <c r="G28" s="328"/>
      <c r="H28" s="4" t="s">
        <v>1728</v>
      </c>
      <c r="I28" s="9"/>
      <c r="J28" s="9"/>
      <c r="K28" s="9"/>
      <c r="L28" s="9"/>
      <c r="M28" s="9"/>
      <c r="N28" s="9"/>
      <c r="O28" s="9"/>
      <c r="P28" s="9"/>
      <c r="Q28" s="9"/>
    </row>
    <row r="29" spans="1:17" s="58" customFormat="1" ht="13.8">
      <c r="A29" s="5" t="s">
        <v>1394</v>
      </c>
      <c r="B29" s="5" t="s">
        <v>1727</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1727</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110</v>
      </c>
      <c r="C31" s="322" t="s">
        <v>1655</v>
      </c>
      <c r="D31" s="322"/>
      <c r="E31" s="322"/>
      <c r="F31" s="322"/>
      <c r="G31" s="322"/>
      <c r="H31" s="322"/>
      <c r="I31" s="20" t="s">
        <v>1741</v>
      </c>
      <c r="J31" s="20" t="s">
        <v>1742</v>
      </c>
      <c r="K31" s="11" t="s">
        <v>1743</v>
      </c>
      <c r="L31" s="11"/>
      <c r="M31" s="11"/>
      <c r="N31" s="11"/>
      <c r="O31" s="9"/>
      <c r="P31" s="10"/>
      <c r="Q31" s="9"/>
    </row>
    <row r="32" spans="1:17" s="58" customFormat="1" ht="13.8">
      <c r="A32" s="54" t="s">
        <v>1391</v>
      </c>
      <c r="B32" s="19" t="s">
        <v>110</v>
      </c>
      <c r="C32" s="326" t="s">
        <v>1727</v>
      </c>
      <c r="D32" s="327"/>
      <c r="E32" s="327"/>
      <c r="F32" s="327"/>
      <c r="G32" s="328"/>
      <c r="H32" s="4" t="s">
        <v>1728</v>
      </c>
      <c r="I32" s="9"/>
      <c r="J32" s="9"/>
      <c r="K32" s="9"/>
      <c r="L32" s="9"/>
      <c r="M32" s="9"/>
      <c r="N32" s="9"/>
      <c r="O32" s="9"/>
      <c r="P32" s="9"/>
      <c r="Q32" s="9"/>
    </row>
    <row r="33" spans="1:17" s="58" customFormat="1" ht="13.8">
      <c r="A33" s="5" t="s">
        <v>1394</v>
      </c>
      <c r="B33" s="5" t="s">
        <v>1727</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1727</v>
      </c>
      <c r="C34" s="59" t="s">
        <v>1395</v>
      </c>
      <c r="D34" s="6" t="s">
        <v>97</v>
      </c>
      <c r="E34" s="6" t="s">
        <v>98</v>
      </c>
      <c r="F34" s="6" t="s">
        <v>1396</v>
      </c>
      <c r="G34" s="6" t="s">
        <v>1397</v>
      </c>
      <c r="H34" s="7"/>
      <c r="I34" s="9"/>
      <c r="J34" s="7"/>
      <c r="K34" s="12"/>
      <c r="L34" s="6"/>
      <c r="M34" s="6"/>
      <c r="N34" s="12"/>
      <c r="O34" s="7"/>
      <c r="P34" s="9"/>
      <c r="Q34" s="9"/>
    </row>
    <row r="35" spans="1:17" s="57" customFormat="1" ht="51.6" customHeight="1">
      <c r="A35" s="56" t="s">
        <v>1386</v>
      </c>
      <c r="B35" s="3" t="s">
        <v>111</v>
      </c>
      <c r="C35" s="322" t="s">
        <v>1656</v>
      </c>
      <c r="D35" s="322"/>
      <c r="E35" s="322"/>
      <c r="F35" s="322"/>
      <c r="G35" s="322"/>
      <c r="H35" s="322"/>
      <c r="I35" s="20" t="s">
        <v>1744</v>
      </c>
      <c r="J35" s="20" t="s">
        <v>1745</v>
      </c>
      <c r="K35" s="11" t="s">
        <v>1746</v>
      </c>
      <c r="L35" s="11"/>
      <c r="M35" s="11"/>
      <c r="N35" s="11"/>
      <c r="O35" s="9"/>
      <c r="P35" s="10"/>
      <c r="Q35" s="9"/>
    </row>
    <row r="36" spans="1:17" s="58" customFormat="1" ht="13.8">
      <c r="A36" s="54" t="s">
        <v>1391</v>
      </c>
      <c r="B36" s="19" t="s">
        <v>111</v>
      </c>
      <c r="C36" s="326" t="s">
        <v>1727</v>
      </c>
      <c r="D36" s="327"/>
      <c r="E36" s="327"/>
      <c r="F36" s="327"/>
      <c r="G36" s="328"/>
      <c r="H36" s="4" t="s">
        <v>1728</v>
      </c>
      <c r="I36" s="9"/>
      <c r="J36" s="9"/>
      <c r="K36" s="9"/>
      <c r="L36" s="9"/>
      <c r="M36" s="9"/>
      <c r="N36" s="9"/>
      <c r="O36" s="9"/>
      <c r="P36" s="9"/>
      <c r="Q36" s="9"/>
    </row>
    <row r="37" spans="1:17" s="58" customFormat="1" ht="13.8">
      <c r="A37" s="5" t="s">
        <v>1394</v>
      </c>
      <c r="B37" s="5" t="s">
        <v>1727</v>
      </c>
      <c r="C37" s="59" t="s">
        <v>1395</v>
      </c>
      <c r="D37" s="6" t="s">
        <v>97</v>
      </c>
      <c r="E37" s="6" t="s">
        <v>98</v>
      </c>
      <c r="F37" s="6" t="s">
        <v>1396</v>
      </c>
      <c r="G37" s="6" t="s">
        <v>1397</v>
      </c>
      <c r="H37" s="7"/>
      <c r="I37" s="9"/>
      <c r="J37" s="7"/>
      <c r="K37" s="12"/>
      <c r="L37" s="6"/>
      <c r="M37" s="6"/>
      <c r="N37" s="12"/>
      <c r="O37" s="7"/>
      <c r="P37" s="9"/>
      <c r="Q37" s="9"/>
    </row>
    <row r="38" spans="1:17" s="58" customFormat="1" ht="13.8">
      <c r="A38" s="5" t="s">
        <v>1394</v>
      </c>
      <c r="B38" s="5" t="s">
        <v>1727</v>
      </c>
      <c r="C38" s="59" t="s">
        <v>1395</v>
      </c>
      <c r="D38" s="6" t="s">
        <v>97</v>
      </c>
      <c r="E38" s="6" t="s">
        <v>98</v>
      </c>
      <c r="F38" s="6" t="s">
        <v>1396</v>
      </c>
      <c r="G38" s="6" t="s">
        <v>1397</v>
      </c>
      <c r="H38" s="7"/>
      <c r="I38" s="9"/>
      <c r="J38" s="7"/>
      <c r="K38" s="12"/>
      <c r="L38" s="6"/>
      <c r="M38" s="6"/>
      <c r="N38" s="12"/>
      <c r="O38" s="7"/>
      <c r="P38" s="9"/>
      <c r="Q38" s="9"/>
    </row>
    <row r="39" spans="1:17" s="55" customFormat="1" ht="13.8">
      <c r="A39" s="54" t="s">
        <v>1385</v>
      </c>
      <c r="B39" s="17" t="s">
        <v>29</v>
      </c>
      <c r="C39" s="18"/>
      <c r="D39" s="18"/>
      <c r="E39" s="18"/>
      <c r="F39" s="18"/>
      <c r="G39" s="18"/>
      <c r="H39" s="18"/>
      <c r="I39" s="18"/>
      <c r="J39" s="18"/>
      <c r="K39" s="18"/>
      <c r="L39" s="8"/>
      <c r="M39" s="8"/>
      <c r="N39" s="8"/>
      <c r="O39" s="9"/>
      <c r="P39" s="10"/>
      <c r="Q39" s="9"/>
    </row>
    <row r="40" spans="1:17" s="57" customFormat="1" ht="51.6" customHeight="1">
      <c r="A40" s="56" t="s">
        <v>1386</v>
      </c>
      <c r="B40" s="3" t="s">
        <v>112</v>
      </c>
      <c r="C40" s="322" t="s">
        <v>1657</v>
      </c>
      <c r="D40" s="322"/>
      <c r="E40" s="322"/>
      <c r="F40" s="322"/>
      <c r="G40" s="322"/>
      <c r="H40" s="322"/>
      <c r="I40" s="20" t="s">
        <v>1747</v>
      </c>
      <c r="J40" s="20" t="s">
        <v>1748</v>
      </c>
      <c r="K40" s="11" t="s">
        <v>1749</v>
      </c>
      <c r="L40" s="11"/>
      <c r="M40" s="11"/>
      <c r="N40" s="11"/>
      <c r="O40" s="9"/>
      <c r="P40" s="10"/>
      <c r="Q40" s="9"/>
    </row>
    <row r="41" spans="1:17" s="58" customFormat="1" ht="13.8">
      <c r="A41" s="54" t="s">
        <v>1391</v>
      </c>
      <c r="B41" s="19" t="s">
        <v>112</v>
      </c>
      <c r="C41" s="326" t="s">
        <v>1727</v>
      </c>
      <c r="D41" s="327"/>
      <c r="E41" s="327"/>
      <c r="F41" s="327"/>
      <c r="G41" s="328"/>
      <c r="H41" s="4" t="s">
        <v>1728</v>
      </c>
      <c r="I41" s="9"/>
      <c r="J41" s="9"/>
      <c r="K41" s="9"/>
      <c r="L41" s="9"/>
      <c r="M41" s="9"/>
      <c r="N41" s="9"/>
      <c r="O41" s="9"/>
      <c r="P41" s="9"/>
      <c r="Q41" s="9"/>
    </row>
    <row r="42" spans="1:17" s="58" customFormat="1" ht="13.8">
      <c r="A42" s="5" t="s">
        <v>1394</v>
      </c>
      <c r="B42" s="5" t="s">
        <v>1727</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1727</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113</v>
      </c>
      <c r="C44" s="322" t="s">
        <v>1658</v>
      </c>
      <c r="D44" s="322"/>
      <c r="E44" s="322"/>
      <c r="F44" s="322"/>
      <c r="G44" s="322"/>
      <c r="H44" s="322"/>
      <c r="I44" s="20" t="s">
        <v>1750</v>
      </c>
      <c r="J44" s="20" t="s">
        <v>1751</v>
      </c>
      <c r="K44" s="11" t="s">
        <v>1752</v>
      </c>
      <c r="L44" s="11"/>
      <c r="M44" s="11"/>
      <c r="N44" s="11"/>
      <c r="O44" s="9"/>
      <c r="P44" s="10"/>
      <c r="Q44" s="9"/>
    </row>
    <row r="45" spans="1:17" s="58" customFormat="1" ht="13.8">
      <c r="A45" s="54" t="s">
        <v>1391</v>
      </c>
      <c r="B45" s="19" t="s">
        <v>113</v>
      </c>
      <c r="C45" s="326" t="s">
        <v>1727</v>
      </c>
      <c r="D45" s="327"/>
      <c r="E45" s="327"/>
      <c r="F45" s="327"/>
      <c r="G45" s="328"/>
      <c r="H45" s="4" t="s">
        <v>1728</v>
      </c>
      <c r="I45" s="9"/>
      <c r="J45" s="9"/>
      <c r="K45" s="9"/>
      <c r="L45" s="9"/>
      <c r="M45" s="9"/>
      <c r="N45" s="9"/>
      <c r="O45" s="9"/>
      <c r="P45" s="9"/>
      <c r="Q45" s="9"/>
    </row>
    <row r="46" spans="1:17" s="58" customFormat="1" ht="13.8">
      <c r="A46" s="5" t="s">
        <v>1394</v>
      </c>
      <c r="B46" s="5" t="s">
        <v>1727</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1727</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114</v>
      </c>
      <c r="C48" s="322" t="s">
        <v>1659</v>
      </c>
      <c r="D48" s="322"/>
      <c r="E48" s="322"/>
      <c r="F48" s="322"/>
      <c r="G48" s="322"/>
      <c r="H48" s="322"/>
      <c r="I48" s="20" t="s">
        <v>1753</v>
      </c>
      <c r="J48" s="20" t="s">
        <v>1754</v>
      </c>
      <c r="K48" s="11" t="s">
        <v>1755</v>
      </c>
      <c r="L48" s="11"/>
      <c r="M48" s="11"/>
      <c r="N48" s="11"/>
      <c r="O48" s="9"/>
      <c r="P48" s="10"/>
      <c r="Q48" s="9"/>
    </row>
    <row r="49" spans="1:17" s="58" customFormat="1" ht="13.8">
      <c r="A49" s="54" t="s">
        <v>1391</v>
      </c>
      <c r="B49" s="19" t="s">
        <v>114</v>
      </c>
      <c r="C49" s="326" t="s">
        <v>1727</v>
      </c>
      <c r="D49" s="327"/>
      <c r="E49" s="327"/>
      <c r="F49" s="327"/>
      <c r="G49" s="328"/>
      <c r="H49" s="4" t="s">
        <v>1728</v>
      </c>
      <c r="I49" s="9"/>
      <c r="J49" s="9"/>
      <c r="K49" s="9"/>
      <c r="L49" s="9"/>
      <c r="M49" s="9"/>
      <c r="N49" s="9"/>
      <c r="O49" s="9"/>
      <c r="P49" s="9"/>
      <c r="Q49" s="9"/>
    </row>
    <row r="50" spans="1:17" s="58" customFormat="1" ht="13.8">
      <c r="A50" s="5" t="s">
        <v>1394</v>
      </c>
      <c r="B50" s="5" t="s">
        <v>1727</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1727</v>
      </c>
      <c r="C51" s="59" t="s">
        <v>1395</v>
      </c>
      <c r="D51" s="6" t="s">
        <v>97</v>
      </c>
      <c r="E51" s="6" t="s">
        <v>98</v>
      </c>
      <c r="F51" s="6" t="s">
        <v>1396</v>
      </c>
      <c r="G51" s="6" t="s">
        <v>1397</v>
      </c>
      <c r="H51" s="7"/>
      <c r="I51" s="9"/>
      <c r="J51" s="7"/>
      <c r="K51" s="12"/>
      <c r="L51" s="6"/>
      <c r="M51" s="6"/>
      <c r="N51" s="12"/>
      <c r="O51" s="7"/>
      <c r="P51" s="9"/>
      <c r="Q51" s="9"/>
    </row>
  </sheetData>
  <mergeCells count="20">
    <mergeCell ref="C32:G32"/>
    <mergeCell ref="C10:H10"/>
    <mergeCell ref="C11:G11"/>
    <mergeCell ref="C15:H15"/>
    <mergeCell ref="C16:G16"/>
    <mergeCell ref="C19:H19"/>
    <mergeCell ref="C20:G20"/>
    <mergeCell ref="C23:H23"/>
    <mergeCell ref="C24:G24"/>
    <mergeCell ref="C27:H27"/>
    <mergeCell ref="C28:G28"/>
    <mergeCell ref="C31:H31"/>
    <mergeCell ref="C48:H48"/>
    <mergeCell ref="C49:G49"/>
    <mergeCell ref="C35:H35"/>
    <mergeCell ref="C36:G36"/>
    <mergeCell ref="C40:H40"/>
    <mergeCell ref="C41:G41"/>
    <mergeCell ref="C44:H44"/>
    <mergeCell ref="C45:G45"/>
  </mergeCells>
  <conditionalFormatting sqref="O9">
    <cfRule type="cellIs" dxfId="5550" priority="208" operator="equal">
      <formula>"U"</formula>
    </cfRule>
    <cfRule type="cellIs" dxfId="5549" priority="209" operator="equal">
      <formula>"S"</formula>
    </cfRule>
  </conditionalFormatting>
  <conditionalFormatting sqref="Q9">
    <cfRule type="cellIs" dxfId="5548" priority="207" operator="equal">
      <formula>"Y"</formula>
    </cfRule>
  </conditionalFormatting>
  <conditionalFormatting sqref="O10">
    <cfRule type="cellIs" dxfId="5547" priority="202" operator="equal">
      <formula>"NY"</formula>
    </cfRule>
    <cfRule type="cellIs" dxfId="5546" priority="203" operator="equal">
      <formula>"DM"</formula>
    </cfRule>
    <cfRule type="cellIs" dxfId="5545" priority="204" operator="equal">
      <formula>"PM"</formula>
    </cfRule>
    <cfRule type="cellIs" dxfId="5544" priority="205" operator="equal">
      <formula>"LM"</formula>
    </cfRule>
    <cfRule type="cellIs" dxfId="5543" priority="206" operator="equal">
      <formula>"FM"</formula>
    </cfRule>
  </conditionalFormatting>
  <conditionalFormatting sqref="Q10">
    <cfRule type="cellIs" dxfId="5542" priority="201" operator="equal">
      <formula>"Y"</formula>
    </cfRule>
  </conditionalFormatting>
  <conditionalFormatting sqref="O11">
    <cfRule type="cellIs" dxfId="5541" priority="196" operator="equal">
      <formula>"NY"</formula>
    </cfRule>
    <cfRule type="cellIs" dxfId="5540" priority="197" operator="equal">
      <formula>"DM"</formula>
    </cfRule>
    <cfRule type="cellIs" dxfId="5539" priority="198" operator="equal">
      <formula>"PM"</formula>
    </cfRule>
    <cfRule type="cellIs" dxfId="5538" priority="199" operator="equal">
      <formula>"LM"</formula>
    </cfRule>
    <cfRule type="cellIs" dxfId="5537" priority="200" operator="equal">
      <formula>"FM"</formula>
    </cfRule>
  </conditionalFormatting>
  <conditionalFormatting sqref="I11:J11">
    <cfRule type="cellIs" dxfId="5536" priority="194" operator="equal">
      <formula>"No"</formula>
    </cfRule>
    <cfRule type="cellIs" dxfId="5535" priority="195" operator="equal">
      <formula>"Yes"</formula>
    </cfRule>
  </conditionalFormatting>
  <conditionalFormatting sqref="Q11">
    <cfRule type="cellIs" dxfId="5534" priority="193" operator="equal">
      <formula>"Y"</formula>
    </cfRule>
  </conditionalFormatting>
  <conditionalFormatting sqref="I12">
    <cfRule type="cellIs" dxfId="5533" priority="191" operator="equal">
      <formula>"No"</formula>
    </cfRule>
    <cfRule type="cellIs" dxfId="5532" priority="192" operator="equal">
      <formula>"Yes"</formula>
    </cfRule>
  </conditionalFormatting>
  <conditionalFormatting sqref="Q12">
    <cfRule type="cellIs" dxfId="5531" priority="190" operator="equal">
      <formula>"Y"</formula>
    </cfRule>
  </conditionalFormatting>
  <conditionalFormatting sqref="I13">
    <cfRule type="cellIs" dxfId="5530" priority="188" operator="equal">
      <formula>"No"</formula>
    </cfRule>
    <cfRule type="cellIs" dxfId="5529" priority="189" operator="equal">
      <formula>"Yes"</formula>
    </cfRule>
  </conditionalFormatting>
  <conditionalFormatting sqref="Q13">
    <cfRule type="cellIs" dxfId="5528" priority="187" operator="equal">
      <formula>"Y"</formula>
    </cfRule>
  </conditionalFormatting>
  <conditionalFormatting sqref="O14">
    <cfRule type="cellIs" dxfId="5527" priority="185" operator="equal">
      <formula>"U"</formula>
    </cfRule>
    <cfRule type="cellIs" dxfId="5526" priority="186" operator="equal">
      <formula>"S"</formula>
    </cfRule>
  </conditionalFormatting>
  <conditionalFormatting sqref="Q14">
    <cfRule type="cellIs" dxfId="5525" priority="184" operator="equal">
      <formula>"Y"</formula>
    </cfRule>
  </conditionalFormatting>
  <conditionalFormatting sqref="O15">
    <cfRule type="cellIs" dxfId="5524" priority="179" operator="equal">
      <formula>"NY"</formula>
    </cfRule>
    <cfRule type="cellIs" dxfId="5523" priority="180" operator="equal">
      <formula>"DM"</formula>
    </cfRule>
    <cfRule type="cellIs" dxfId="5522" priority="181" operator="equal">
      <formula>"PM"</formula>
    </cfRule>
    <cfRule type="cellIs" dxfId="5521" priority="182" operator="equal">
      <formula>"LM"</formula>
    </cfRule>
    <cfRule type="cellIs" dxfId="5520" priority="183" operator="equal">
      <formula>"FM"</formula>
    </cfRule>
  </conditionalFormatting>
  <conditionalFormatting sqref="Q15">
    <cfRule type="cellIs" dxfId="5519" priority="178" operator="equal">
      <formula>"Y"</formula>
    </cfRule>
  </conditionalFormatting>
  <conditionalFormatting sqref="O16">
    <cfRule type="cellIs" dxfId="5518" priority="173" operator="equal">
      <formula>"NY"</formula>
    </cfRule>
    <cfRule type="cellIs" dxfId="5517" priority="174" operator="equal">
      <formula>"DM"</formula>
    </cfRule>
    <cfRule type="cellIs" dxfId="5516" priority="175" operator="equal">
      <formula>"PM"</formula>
    </cfRule>
    <cfRule type="cellIs" dxfId="5515" priority="176" operator="equal">
      <formula>"LM"</formula>
    </cfRule>
    <cfRule type="cellIs" dxfId="5514" priority="177" operator="equal">
      <formula>"FM"</formula>
    </cfRule>
  </conditionalFormatting>
  <conditionalFormatting sqref="I16:J16">
    <cfRule type="cellIs" dxfId="5513" priority="171" operator="equal">
      <formula>"No"</formula>
    </cfRule>
    <cfRule type="cellIs" dxfId="5512" priority="172" operator="equal">
      <formula>"Yes"</formula>
    </cfRule>
  </conditionalFormatting>
  <conditionalFormatting sqref="Q16">
    <cfRule type="cellIs" dxfId="5511" priority="170" operator="equal">
      <formula>"Y"</formula>
    </cfRule>
  </conditionalFormatting>
  <conditionalFormatting sqref="I17">
    <cfRule type="cellIs" dxfId="5510" priority="168" operator="equal">
      <formula>"No"</formula>
    </cfRule>
    <cfRule type="cellIs" dxfId="5509" priority="169" operator="equal">
      <formula>"Yes"</formula>
    </cfRule>
  </conditionalFormatting>
  <conditionalFormatting sqref="Q17">
    <cfRule type="cellIs" dxfId="5508" priority="167" operator="equal">
      <formula>"Y"</formula>
    </cfRule>
  </conditionalFormatting>
  <conditionalFormatting sqref="I18">
    <cfRule type="cellIs" dxfId="5507" priority="165" operator="equal">
      <formula>"No"</formula>
    </cfRule>
    <cfRule type="cellIs" dxfId="5506" priority="166" operator="equal">
      <formula>"Yes"</formula>
    </cfRule>
  </conditionalFormatting>
  <conditionalFormatting sqref="Q18">
    <cfRule type="cellIs" dxfId="5505" priority="164" operator="equal">
      <formula>"Y"</formula>
    </cfRule>
  </conditionalFormatting>
  <conditionalFormatting sqref="O19">
    <cfRule type="cellIs" dxfId="5504" priority="159" operator="equal">
      <formula>"NY"</formula>
    </cfRule>
    <cfRule type="cellIs" dxfId="5503" priority="160" operator="equal">
      <formula>"DM"</formula>
    </cfRule>
    <cfRule type="cellIs" dxfId="5502" priority="161" operator="equal">
      <formula>"PM"</formula>
    </cfRule>
    <cfRule type="cellIs" dxfId="5501" priority="162" operator="equal">
      <formula>"LM"</formula>
    </cfRule>
    <cfRule type="cellIs" dxfId="5500" priority="163" operator="equal">
      <formula>"FM"</formula>
    </cfRule>
  </conditionalFormatting>
  <conditionalFormatting sqref="Q19">
    <cfRule type="cellIs" dxfId="5499" priority="158" operator="equal">
      <formula>"Y"</formula>
    </cfRule>
  </conditionalFormatting>
  <conditionalFormatting sqref="O20">
    <cfRule type="cellIs" dxfId="5498" priority="153" operator="equal">
      <formula>"NY"</formula>
    </cfRule>
    <cfRule type="cellIs" dxfId="5497" priority="154" operator="equal">
      <formula>"DM"</formula>
    </cfRule>
    <cfRule type="cellIs" dxfId="5496" priority="155" operator="equal">
      <formula>"PM"</formula>
    </cfRule>
    <cfRule type="cellIs" dxfId="5495" priority="156" operator="equal">
      <formula>"LM"</formula>
    </cfRule>
    <cfRule type="cellIs" dxfId="5494" priority="157" operator="equal">
      <formula>"FM"</formula>
    </cfRule>
  </conditionalFormatting>
  <conditionalFormatting sqref="I20:J20">
    <cfRule type="cellIs" dxfId="5493" priority="151" operator="equal">
      <formula>"No"</formula>
    </cfRule>
    <cfRule type="cellIs" dxfId="5492" priority="152" operator="equal">
      <formula>"Yes"</formula>
    </cfRule>
  </conditionalFormatting>
  <conditionalFormatting sqref="Q20">
    <cfRule type="cellIs" dxfId="5491" priority="150" operator="equal">
      <formula>"Y"</formula>
    </cfRule>
  </conditionalFormatting>
  <conditionalFormatting sqref="I21">
    <cfRule type="cellIs" dxfId="5490" priority="148" operator="equal">
      <formula>"No"</formula>
    </cfRule>
    <cfRule type="cellIs" dxfId="5489" priority="149" operator="equal">
      <formula>"Yes"</formula>
    </cfRule>
  </conditionalFormatting>
  <conditionalFormatting sqref="Q21">
    <cfRule type="cellIs" dxfId="5488" priority="147" operator="equal">
      <formula>"Y"</formula>
    </cfRule>
  </conditionalFormatting>
  <conditionalFormatting sqref="I22">
    <cfRule type="cellIs" dxfId="5487" priority="145" operator="equal">
      <formula>"No"</formula>
    </cfRule>
    <cfRule type="cellIs" dxfId="5486" priority="146" operator="equal">
      <formula>"Yes"</formula>
    </cfRule>
  </conditionalFormatting>
  <conditionalFormatting sqref="Q22">
    <cfRule type="cellIs" dxfId="5485" priority="144" operator="equal">
      <formula>"Y"</formula>
    </cfRule>
  </conditionalFormatting>
  <conditionalFormatting sqref="O23">
    <cfRule type="cellIs" dxfId="5484" priority="139" operator="equal">
      <formula>"NY"</formula>
    </cfRule>
    <cfRule type="cellIs" dxfId="5483" priority="140" operator="equal">
      <formula>"DM"</formula>
    </cfRule>
    <cfRule type="cellIs" dxfId="5482" priority="141" operator="equal">
      <formula>"PM"</formula>
    </cfRule>
    <cfRule type="cellIs" dxfId="5481" priority="142" operator="equal">
      <formula>"LM"</formula>
    </cfRule>
    <cfRule type="cellIs" dxfId="5480" priority="143" operator="equal">
      <formula>"FM"</formula>
    </cfRule>
  </conditionalFormatting>
  <conditionalFormatting sqref="Q23">
    <cfRule type="cellIs" dxfId="5479" priority="138" operator="equal">
      <formula>"Y"</formula>
    </cfRule>
  </conditionalFormatting>
  <conditionalFormatting sqref="O24">
    <cfRule type="cellIs" dxfId="5478" priority="133" operator="equal">
      <formula>"NY"</formula>
    </cfRule>
    <cfRule type="cellIs" dxfId="5477" priority="134" operator="equal">
      <formula>"DM"</formula>
    </cfRule>
    <cfRule type="cellIs" dxfId="5476" priority="135" operator="equal">
      <formula>"PM"</formula>
    </cfRule>
    <cfRule type="cellIs" dxfId="5475" priority="136" operator="equal">
      <formula>"LM"</formula>
    </cfRule>
    <cfRule type="cellIs" dxfId="5474" priority="137" operator="equal">
      <formula>"FM"</formula>
    </cfRule>
  </conditionalFormatting>
  <conditionalFormatting sqref="I24:J24">
    <cfRule type="cellIs" dxfId="5473" priority="131" operator="equal">
      <formula>"No"</formula>
    </cfRule>
    <cfRule type="cellIs" dxfId="5472" priority="132" operator="equal">
      <formula>"Yes"</formula>
    </cfRule>
  </conditionalFormatting>
  <conditionalFormatting sqref="Q24">
    <cfRule type="cellIs" dxfId="5471" priority="130" operator="equal">
      <formula>"Y"</formula>
    </cfRule>
  </conditionalFormatting>
  <conditionalFormatting sqref="I25">
    <cfRule type="cellIs" dxfId="5470" priority="128" operator="equal">
      <formula>"No"</formula>
    </cfRule>
    <cfRule type="cellIs" dxfId="5469" priority="129" operator="equal">
      <formula>"Yes"</formula>
    </cfRule>
  </conditionalFormatting>
  <conditionalFormatting sqref="Q25">
    <cfRule type="cellIs" dxfId="5468" priority="127" operator="equal">
      <formula>"Y"</formula>
    </cfRule>
  </conditionalFormatting>
  <conditionalFormatting sqref="I26">
    <cfRule type="cellIs" dxfId="5467" priority="125" operator="equal">
      <formula>"No"</formula>
    </cfRule>
    <cfRule type="cellIs" dxfId="5466" priority="126" operator="equal">
      <formula>"Yes"</formula>
    </cfRule>
  </conditionalFormatting>
  <conditionalFormatting sqref="Q26">
    <cfRule type="cellIs" dxfId="5465" priority="124" operator="equal">
      <formula>"Y"</formula>
    </cfRule>
  </conditionalFormatting>
  <conditionalFormatting sqref="O27">
    <cfRule type="cellIs" dxfId="5464" priority="119" operator="equal">
      <formula>"NY"</formula>
    </cfRule>
    <cfRule type="cellIs" dxfId="5463" priority="120" operator="equal">
      <formula>"DM"</formula>
    </cfRule>
    <cfRule type="cellIs" dxfId="5462" priority="121" operator="equal">
      <formula>"PM"</formula>
    </cfRule>
    <cfRule type="cellIs" dxfId="5461" priority="122" operator="equal">
      <formula>"LM"</formula>
    </cfRule>
    <cfRule type="cellIs" dxfId="5460" priority="123" operator="equal">
      <formula>"FM"</formula>
    </cfRule>
  </conditionalFormatting>
  <conditionalFormatting sqref="Q27">
    <cfRule type="cellIs" dxfId="5459" priority="118" operator="equal">
      <formula>"Y"</formula>
    </cfRule>
  </conditionalFormatting>
  <conditionalFormatting sqref="O28">
    <cfRule type="cellIs" dxfId="5458" priority="113" operator="equal">
      <formula>"NY"</formula>
    </cfRule>
    <cfRule type="cellIs" dxfId="5457" priority="114" operator="equal">
      <formula>"DM"</formula>
    </cfRule>
    <cfRule type="cellIs" dxfId="5456" priority="115" operator="equal">
      <formula>"PM"</formula>
    </cfRule>
    <cfRule type="cellIs" dxfId="5455" priority="116" operator="equal">
      <formula>"LM"</formula>
    </cfRule>
    <cfRule type="cellIs" dxfId="5454" priority="117" operator="equal">
      <formula>"FM"</formula>
    </cfRule>
  </conditionalFormatting>
  <conditionalFormatting sqref="I28:J28">
    <cfRule type="cellIs" dxfId="5453" priority="111" operator="equal">
      <formula>"No"</formula>
    </cfRule>
    <cfRule type="cellIs" dxfId="5452" priority="112" operator="equal">
      <formula>"Yes"</formula>
    </cfRule>
  </conditionalFormatting>
  <conditionalFormatting sqref="Q28">
    <cfRule type="cellIs" dxfId="5451" priority="110" operator="equal">
      <formula>"Y"</formula>
    </cfRule>
  </conditionalFormatting>
  <conditionalFormatting sqref="I29">
    <cfRule type="cellIs" dxfId="5450" priority="108" operator="equal">
      <formula>"No"</formula>
    </cfRule>
    <cfRule type="cellIs" dxfId="5449" priority="109" operator="equal">
      <formula>"Yes"</formula>
    </cfRule>
  </conditionalFormatting>
  <conditionalFormatting sqref="Q29">
    <cfRule type="cellIs" dxfId="5448" priority="107" operator="equal">
      <formula>"Y"</formula>
    </cfRule>
  </conditionalFormatting>
  <conditionalFormatting sqref="I30">
    <cfRule type="cellIs" dxfId="5447" priority="105" operator="equal">
      <formula>"No"</formula>
    </cfRule>
    <cfRule type="cellIs" dxfId="5446" priority="106" operator="equal">
      <formula>"Yes"</formula>
    </cfRule>
  </conditionalFormatting>
  <conditionalFormatting sqref="Q30">
    <cfRule type="cellIs" dxfId="5445" priority="104" operator="equal">
      <formula>"Y"</formula>
    </cfRule>
  </conditionalFormatting>
  <conditionalFormatting sqref="O31">
    <cfRule type="cellIs" dxfId="5444" priority="99" operator="equal">
      <formula>"NY"</formula>
    </cfRule>
    <cfRule type="cellIs" dxfId="5443" priority="100" operator="equal">
      <formula>"DM"</formula>
    </cfRule>
    <cfRule type="cellIs" dxfId="5442" priority="101" operator="equal">
      <formula>"PM"</formula>
    </cfRule>
    <cfRule type="cellIs" dxfId="5441" priority="102" operator="equal">
      <formula>"LM"</formula>
    </cfRule>
    <cfRule type="cellIs" dxfId="5440" priority="103" operator="equal">
      <formula>"FM"</formula>
    </cfRule>
  </conditionalFormatting>
  <conditionalFormatting sqref="Q31">
    <cfRule type="cellIs" dxfId="5439" priority="98" operator="equal">
      <formula>"Y"</formula>
    </cfRule>
  </conditionalFormatting>
  <conditionalFormatting sqref="O32">
    <cfRule type="cellIs" dxfId="5438" priority="93" operator="equal">
      <formula>"NY"</formula>
    </cfRule>
    <cfRule type="cellIs" dxfId="5437" priority="94" operator="equal">
      <formula>"DM"</formula>
    </cfRule>
    <cfRule type="cellIs" dxfId="5436" priority="95" operator="equal">
      <formula>"PM"</formula>
    </cfRule>
    <cfRule type="cellIs" dxfId="5435" priority="96" operator="equal">
      <formula>"LM"</formula>
    </cfRule>
    <cfRule type="cellIs" dxfId="5434" priority="97" operator="equal">
      <formula>"FM"</formula>
    </cfRule>
  </conditionalFormatting>
  <conditionalFormatting sqref="I32:J32">
    <cfRule type="cellIs" dxfId="5433" priority="91" operator="equal">
      <formula>"No"</formula>
    </cfRule>
    <cfRule type="cellIs" dxfId="5432" priority="92" operator="equal">
      <formula>"Yes"</formula>
    </cfRule>
  </conditionalFormatting>
  <conditionalFormatting sqref="Q32">
    <cfRule type="cellIs" dxfId="5431" priority="90" operator="equal">
      <formula>"Y"</formula>
    </cfRule>
  </conditionalFormatting>
  <conditionalFormatting sqref="I33">
    <cfRule type="cellIs" dxfId="5430" priority="88" operator="equal">
      <formula>"No"</formula>
    </cfRule>
    <cfRule type="cellIs" dxfId="5429" priority="89" operator="equal">
      <formula>"Yes"</formula>
    </cfRule>
  </conditionalFormatting>
  <conditionalFormatting sqref="Q33">
    <cfRule type="cellIs" dxfId="5428" priority="87" operator="equal">
      <formula>"Y"</formula>
    </cfRule>
  </conditionalFormatting>
  <conditionalFormatting sqref="I34">
    <cfRule type="cellIs" dxfId="5427" priority="85" operator="equal">
      <formula>"No"</formula>
    </cfRule>
    <cfRule type="cellIs" dxfId="5426" priority="86" operator="equal">
      <formula>"Yes"</formula>
    </cfRule>
  </conditionalFormatting>
  <conditionalFormatting sqref="Q34">
    <cfRule type="cellIs" dxfId="5425" priority="84" operator="equal">
      <formula>"Y"</formula>
    </cfRule>
  </conditionalFormatting>
  <conditionalFormatting sqref="O35">
    <cfRule type="cellIs" dxfId="5424" priority="79" operator="equal">
      <formula>"NY"</formula>
    </cfRule>
    <cfRule type="cellIs" dxfId="5423" priority="80" operator="equal">
      <formula>"DM"</formula>
    </cfRule>
    <cfRule type="cellIs" dxfId="5422" priority="81" operator="equal">
      <formula>"PM"</formula>
    </cfRule>
    <cfRule type="cellIs" dxfId="5421" priority="82" operator="equal">
      <formula>"LM"</formula>
    </cfRule>
    <cfRule type="cellIs" dxfId="5420" priority="83" operator="equal">
      <formula>"FM"</formula>
    </cfRule>
  </conditionalFormatting>
  <conditionalFormatting sqref="Q35">
    <cfRule type="cellIs" dxfId="5419" priority="78" operator="equal">
      <formula>"Y"</formula>
    </cfRule>
  </conditionalFormatting>
  <conditionalFormatting sqref="O36">
    <cfRule type="cellIs" dxfId="5418" priority="73" operator="equal">
      <formula>"NY"</formula>
    </cfRule>
    <cfRule type="cellIs" dxfId="5417" priority="74" operator="equal">
      <formula>"DM"</formula>
    </cfRule>
    <cfRule type="cellIs" dxfId="5416" priority="75" operator="equal">
      <formula>"PM"</formula>
    </cfRule>
    <cfRule type="cellIs" dxfId="5415" priority="76" operator="equal">
      <formula>"LM"</formula>
    </cfRule>
    <cfRule type="cellIs" dxfId="5414" priority="77" operator="equal">
      <formula>"FM"</formula>
    </cfRule>
  </conditionalFormatting>
  <conditionalFormatting sqref="I36:J36">
    <cfRule type="cellIs" dxfId="5413" priority="71" operator="equal">
      <formula>"No"</formula>
    </cfRule>
    <cfRule type="cellIs" dxfId="5412" priority="72" operator="equal">
      <formula>"Yes"</formula>
    </cfRule>
  </conditionalFormatting>
  <conditionalFormatting sqref="Q36">
    <cfRule type="cellIs" dxfId="5411" priority="70" operator="equal">
      <formula>"Y"</formula>
    </cfRule>
  </conditionalFormatting>
  <conditionalFormatting sqref="I37">
    <cfRule type="cellIs" dxfId="5410" priority="68" operator="equal">
      <formula>"No"</formula>
    </cfRule>
    <cfRule type="cellIs" dxfId="5409" priority="69" operator="equal">
      <formula>"Yes"</formula>
    </cfRule>
  </conditionalFormatting>
  <conditionalFormatting sqref="Q37">
    <cfRule type="cellIs" dxfId="5408" priority="67" operator="equal">
      <formula>"Y"</formula>
    </cfRule>
  </conditionalFormatting>
  <conditionalFormatting sqref="I38">
    <cfRule type="cellIs" dxfId="5407" priority="65" operator="equal">
      <formula>"No"</formula>
    </cfRule>
    <cfRule type="cellIs" dxfId="5406" priority="66" operator="equal">
      <formula>"Yes"</formula>
    </cfRule>
  </conditionalFormatting>
  <conditionalFormatting sqref="Q38">
    <cfRule type="cellIs" dxfId="5405" priority="64" operator="equal">
      <formula>"Y"</formula>
    </cfRule>
  </conditionalFormatting>
  <conditionalFormatting sqref="O39">
    <cfRule type="cellIs" dxfId="5404" priority="62" operator="equal">
      <formula>"U"</formula>
    </cfRule>
    <cfRule type="cellIs" dxfId="5403" priority="63" operator="equal">
      <formula>"S"</formula>
    </cfRule>
  </conditionalFormatting>
  <conditionalFormatting sqref="Q39">
    <cfRule type="cellIs" dxfId="5402" priority="61" operator="equal">
      <formula>"Y"</formula>
    </cfRule>
  </conditionalFormatting>
  <conditionalFormatting sqref="O40">
    <cfRule type="cellIs" dxfId="5401" priority="56" operator="equal">
      <formula>"NY"</formula>
    </cfRule>
    <cfRule type="cellIs" dxfId="5400" priority="57" operator="equal">
      <formula>"DM"</formula>
    </cfRule>
    <cfRule type="cellIs" dxfId="5399" priority="58" operator="equal">
      <formula>"PM"</formula>
    </cfRule>
    <cfRule type="cellIs" dxfId="5398" priority="59" operator="equal">
      <formula>"LM"</formula>
    </cfRule>
    <cfRule type="cellIs" dxfId="5397" priority="60" operator="equal">
      <formula>"FM"</formula>
    </cfRule>
  </conditionalFormatting>
  <conditionalFormatting sqref="Q40">
    <cfRule type="cellIs" dxfId="5396" priority="55" operator="equal">
      <formula>"Y"</formula>
    </cfRule>
  </conditionalFormatting>
  <conditionalFormatting sqref="O41">
    <cfRule type="cellIs" dxfId="5395" priority="50" operator="equal">
      <formula>"NY"</formula>
    </cfRule>
    <cfRule type="cellIs" dxfId="5394" priority="51" operator="equal">
      <formula>"DM"</formula>
    </cfRule>
    <cfRule type="cellIs" dxfId="5393" priority="52" operator="equal">
      <formula>"PM"</formula>
    </cfRule>
    <cfRule type="cellIs" dxfId="5392" priority="53" operator="equal">
      <formula>"LM"</formula>
    </cfRule>
    <cfRule type="cellIs" dxfId="5391" priority="54" operator="equal">
      <formula>"FM"</formula>
    </cfRule>
  </conditionalFormatting>
  <conditionalFormatting sqref="I41:J41">
    <cfRule type="cellIs" dxfId="5390" priority="48" operator="equal">
      <formula>"No"</formula>
    </cfRule>
    <cfRule type="cellIs" dxfId="5389" priority="49" operator="equal">
      <formula>"Yes"</formula>
    </cfRule>
  </conditionalFormatting>
  <conditionalFormatting sqref="Q41">
    <cfRule type="cellIs" dxfId="5388" priority="47" operator="equal">
      <formula>"Y"</formula>
    </cfRule>
  </conditionalFormatting>
  <conditionalFormatting sqref="I42">
    <cfRule type="cellIs" dxfId="5387" priority="45" operator="equal">
      <formula>"No"</formula>
    </cfRule>
    <cfRule type="cellIs" dxfId="5386" priority="46" operator="equal">
      <formula>"Yes"</formula>
    </cfRule>
  </conditionalFormatting>
  <conditionalFormatting sqref="Q42">
    <cfRule type="cellIs" dxfId="5385" priority="44" operator="equal">
      <formula>"Y"</formula>
    </cfRule>
  </conditionalFormatting>
  <conditionalFormatting sqref="I43">
    <cfRule type="cellIs" dxfId="5384" priority="42" operator="equal">
      <formula>"No"</formula>
    </cfRule>
    <cfRule type="cellIs" dxfId="5383" priority="43" operator="equal">
      <formula>"Yes"</formula>
    </cfRule>
  </conditionalFormatting>
  <conditionalFormatting sqref="Q43">
    <cfRule type="cellIs" dxfId="5382" priority="41" operator="equal">
      <formula>"Y"</formula>
    </cfRule>
  </conditionalFormatting>
  <conditionalFormatting sqref="O44">
    <cfRule type="cellIs" dxfId="5381" priority="36" operator="equal">
      <formula>"NY"</formula>
    </cfRule>
    <cfRule type="cellIs" dxfId="5380" priority="37" operator="equal">
      <formula>"DM"</formula>
    </cfRule>
    <cfRule type="cellIs" dxfId="5379" priority="38" operator="equal">
      <formula>"PM"</formula>
    </cfRule>
    <cfRule type="cellIs" dxfId="5378" priority="39" operator="equal">
      <formula>"LM"</formula>
    </cfRule>
    <cfRule type="cellIs" dxfId="5377" priority="40" operator="equal">
      <formula>"FM"</formula>
    </cfRule>
  </conditionalFormatting>
  <conditionalFormatting sqref="Q44">
    <cfRule type="cellIs" dxfId="5376" priority="35" operator="equal">
      <formula>"Y"</formula>
    </cfRule>
  </conditionalFormatting>
  <conditionalFormatting sqref="O45">
    <cfRule type="cellIs" dxfId="5375" priority="30" operator="equal">
      <formula>"NY"</formula>
    </cfRule>
    <cfRule type="cellIs" dxfId="5374" priority="31" operator="equal">
      <formula>"DM"</formula>
    </cfRule>
    <cfRule type="cellIs" dxfId="5373" priority="32" operator="equal">
      <formula>"PM"</formula>
    </cfRule>
    <cfRule type="cellIs" dxfId="5372" priority="33" operator="equal">
      <formula>"LM"</formula>
    </cfRule>
    <cfRule type="cellIs" dxfId="5371" priority="34" operator="equal">
      <formula>"FM"</formula>
    </cfRule>
  </conditionalFormatting>
  <conditionalFormatting sqref="I45:J45">
    <cfRule type="cellIs" dxfId="5370" priority="28" operator="equal">
      <formula>"No"</formula>
    </cfRule>
    <cfRule type="cellIs" dxfId="5369" priority="29" operator="equal">
      <formula>"Yes"</formula>
    </cfRule>
  </conditionalFormatting>
  <conditionalFormatting sqref="Q45">
    <cfRule type="cellIs" dxfId="5368" priority="27" operator="equal">
      <formula>"Y"</formula>
    </cfRule>
  </conditionalFormatting>
  <conditionalFormatting sqref="I46">
    <cfRule type="cellIs" dxfId="5367" priority="25" operator="equal">
      <formula>"No"</formula>
    </cfRule>
    <cfRule type="cellIs" dxfId="5366" priority="26" operator="equal">
      <formula>"Yes"</formula>
    </cfRule>
  </conditionalFormatting>
  <conditionalFormatting sqref="Q46">
    <cfRule type="cellIs" dxfId="5365" priority="24" operator="equal">
      <formula>"Y"</formula>
    </cfRule>
  </conditionalFormatting>
  <conditionalFormatting sqref="I47">
    <cfRule type="cellIs" dxfId="5364" priority="22" operator="equal">
      <formula>"No"</formula>
    </cfRule>
    <cfRule type="cellIs" dxfId="5363" priority="23" operator="equal">
      <formula>"Yes"</formula>
    </cfRule>
  </conditionalFormatting>
  <conditionalFormatting sqref="Q47">
    <cfRule type="cellIs" dxfId="5362" priority="21" operator="equal">
      <formula>"Y"</formula>
    </cfRule>
  </conditionalFormatting>
  <conditionalFormatting sqref="O48">
    <cfRule type="cellIs" dxfId="5361" priority="16" operator="equal">
      <formula>"NY"</formula>
    </cfRule>
    <cfRule type="cellIs" dxfId="5360" priority="17" operator="equal">
      <formula>"DM"</formula>
    </cfRule>
    <cfRule type="cellIs" dxfId="5359" priority="18" operator="equal">
      <formula>"PM"</formula>
    </cfRule>
    <cfRule type="cellIs" dxfId="5358" priority="19" operator="equal">
      <formula>"LM"</formula>
    </cfRule>
    <cfRule type="cellIs" dxfId="5357" priority="20" operator="equal">
      <formula>"FM"</formula>
    </cfRule>
  </conditionalFormatting>
  <conditionalFormatting sqref="Q48">
    <cfRule type="cellIs" dxfId="5356" priority="15" operator="equal">
      <formula>"Y"</formula>
    </cfRule>
  </conditionalFormatting>
  <conditionalFormatting sqref="O49">
    <cfRule type="cellIs" dxfId="5355" priority="10" operator="equal">
      <formula>"NY"</formula>
    </cfRule>
    <cfRule type="cellIs" dxfId="5354" priority="11" operator="equal">
      <formula>"DM"</formula>
    </cfRule>
    <cfRule type="cellIs" dxfId="5353" priority="12" operator="equal">
      <formula>"PM"</formula>
    </cfRule>
    <cfRule type="cellIs" dxfId="5352" priority="13" operator="equal">
      <formula>"LM"</formula>
    </cfRule>
    <cfRule type="cellIs" dxfId="5351" priority="14" operator="equal">
      <formula>"FM"</formula>
    </cfRule>
  </conditionalFormatting>
  <conditionalFormatting sqref="I49:J49">
    <cfRule type="cellIs" dxfId="5350" priority="8" operator="equal">
      <formula>"No"</formula>
    </cfRule>
    <cfRule type="cellIs" dxfId="5349" priority="9" operator="equal">
      <formula>"Yes"</formula>
    </cfRule>
  </conditionalFormatting>
  <conditionalFormatting sqref="Q49">
    <cfRule type="cellIs" dxfId="5348" priority="7" operator="equal">
      <formula>"Y"</formula>
    </cfRule>
  </conditionalFormatting>
  <conditionalFormatting sqref="I50">
    <cfRule type="cellIs" dxfId="5347" priority="5" operator="equal">
      <formula>"No"</formula>
    </cfRule>
    <cfRule type="cellIs" dxfId="5346" priority="6" operator="equal">
      <formula>"Yes"</formula>
    </cfRule>
  </conditionalFormatting>
  <conditionalFormatting sqref="Q50">
    <cfRule type="cellIs" dxfId="5345" priority="4" operator="equal">
      <formula>"Y"</formula>
    </cfRule>
  </conditionalFormatting>
  <conditionalFormatting sqref="I51">
    <cfRule type="cellIs" dxfId="5344" priority="2" operator="equal">
      <formula>"No"</formula>
    </cfRule>
    <cfRule type="cellIs" dxfId="5343" priority="3" operator="equal">
      <formula>"Yes"</formula>
    </cfRule>
  </conditionalFormatting>
  <conditionalFormatting sqref="Q51">
    <cfRule type="cellIs" dxfId="5342" priority="1" operator="equal">
      <formula>"Y"</formula>
    </cfRule>
  </conditionalFormatting>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90F3E-E61F-4713-A882-3768535F1614}">
  <sheetPr codeName="Sheet30"/>
  <dimension ref="A1:Q51"/>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1660</v>
      </c>
    </row>
    <row r="2" spans="1:17" s="61" customFormat="1" ht="21">
      <c r="A2" s="60" t="s">
        <v>1756</v>
      </c>
    </row>
    <row r="3" spans="1:17">
      <c r="A3" s="62" t="s">
        <v>1707</v>
      </c>
      <c r="B3" s="63" t="s">
        <v>1661</v>
      </c>
    </row>
    <row r="4" spans="1:17">
      <c r="A4" s="63" t="s">
        <v>1401</v>
      </c>
      <c r="B4" s="63" t="s">
        <v>1757</v>
      </c>
    </row>
    <row r="5" spans="1:17">
      <c r="A5" s="62" t="s">
        <v>1709</v>
      </c>
      <c r="B5" s="63" t="s">
        <v>26</v>
      </c>
    </row>
    <row r="6" spans="1:17">
      <c r="A6" s="63" t="s">
        <v>1402</v>
      </c>
      <c r="B6" s="63" t="s">
        <v>1758</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33</v>
      </c>
      <c r="C10" s="322" t="s">
        <v>1759</v>
      </c>
      <c r="D10" s="322"/>
      <c r="E10" s="322"/>
      <c r="F10" s="322"/>
      <c r="G10" s="322"/>
      <c r="H10" s="322"/>
      <c r="I10" s="20" t="s">
        <v>1760</v>
      </c>
      <c r="J10" s="20" t="s">
        <v>1761</v>
      </c>
      <c r="K10" s="11" t="s">
        <v>1762</v>
      </c>
      <c r="L10" s="11"/>
      <c r="M10" s="11"/>
      <c r="N10" s="11"/>
      <c r="O10" s="9"/>
      <c r="P10" s="10"/>
      <c r="Q10" s="9"/>
    </row>
    <row r="11" spans="1:17" s="58" customFormat="1" ht="13.8">
      <c r="A11" s="54" t="s">
        <v>1391</v>
      </c>
      <c r="B11" s="19" t="s">
        <v>33</v>
      </c>
      <c r="C11" s="326" t="s">
        <v>1727</v>
      </c>
      <c r="D11" s="327"/>
      <c r="E11" s="327"/>
      <c r="F11" s="327"/>
      <c r="G11" s="328"/>
      <c r="H11" s="4" t="s">
        <v>1763</v>
      </c>
      <c r="I11" s="9"/>
      <c r="J11" s="9"/>
      <c r="K11" s="9"/>
      <c r="L11" s="9"/>
      <c r="M11" s="9"/>
      <c r="N11" s="9"/>
      <c r="O11" s="9"/>
      <c r="P11" s="9"/>
      <c r="Q11" s="9"/>
    </row>
    <row r="12" spans="1:17" s="58" customFormat="1" ht="13.8">
      <c r="A12" s="5" t="s">
        <v>1394</v>
      </c>
      <c r="B12" s="5" t="s">
        <v>1727</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34</v>
      </c>
      <c r="C15" s="322" t="s">
        <v>1764</v>
      </c>
      <c r="D15" s="322"/>
      <c r="E15" s="322"/>
      <c r="F15" s="322"/>
      <c r="G15" s="322"/>
      <c r="H15" s="322"/>
      <c r="I15" s="20" t="s">
        <v>1765</v>
      </c>
      <c r="J15" s="20" t="s">
        <v>1766</v>
      </c>
      <c r="K15" s="11" t="s">
        <v>1767</v>
      </c>
      <c r="L15" s="11"/>
      <c r="M15" s="11"/>
      <c r="N15" s="11"/>
      <c r="O15" s="9"/>
      <c r="P15" s="10"/>
      <c r="Q15" s="9"/>
    </row>
    <row r="16" spans="1:17" s="58" customFormat="1" ht="13.8">
      <c r="A16" s="54" t="s">
        <v>1391</v>
      </c>
      <c r="B16" s="19" t="s">
        <v>34</v>
      </c>
      <c r="C16" s="326" t="s">
        <v>1727</v>
      </c>
      <c r="D16" s="327"/>
      <c r="E16" s="327"/>
      <c r="F16" s="327"/>
      <c r="G16" s="328"/>
      <c r="H16" s="4" t="s">
        <v>1763</v>
      </c>
      <c r="I16" s="9"/>
      <c r="J16" s="9"/>
      <c r="K16" s="9"/>
      <c r="L16" s="9"/>
      <c r="M16" s="9"/>
      <c r="N16" s="9"/>
      <c r="O16" s="9"/>
      <c r="P16" s="9"/>
      <c r="Q16" s="9"/>
    </row>
    <row r="17" spans="1:17" s="58" customFormat="1" ht="13.8">
      <c r="A17" s="5" t="s">
        <v>1394</v>
      </c>
      <c r="B17" s="5" t="s">
        <v>1727</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1727</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35</v>
      </c>
      <c r="C19" s="322" t="s">
        <v>1662</v>
      </c>
      <c r="D19" s="322"/>
      <c r="E19" s="322"/>
      <c r="F19" s="322"/>
      <c r="G19" s="322"/>
      <c r="H19" s="322"/>
      <c r="I19" s="20" t="s">
        <v>1768</v>
      </c>
      <c r="J19" s="20" t="s">
        <v>1769</v>
      </c>
      <c r="K19" s="11" t="s">
        <v>1770</v>
      </c>
      <c r="L19" s="11"/>
      <c r="M19" s="11"/>
      <c r="N19" s="11"/>
      <c r="O19" s="9"/>
      <c r="P19" s="10"/>
      <c r="Q19" s="9"/>
    </row>
    <row r="20" spans="1:17" s="58" customFormat="1" ht="13.8">
      <c r="A20" s="54" t="s">
        <v>1391</v>
      </c>
      <c r="B20" s="19" t="s">
        <v>35</v>
      </c>
      <c r="C20" s="326" t="s">
        <v>1727</v>
      </c>
      <c r="D20" s="327"/>
      <c r="E20" s="327"/>
      <c r="F20" s="327"/>
      <c r="G20" s="328"/>
      <c r="H20" s="4" t="s">
        <v>1763</v>
      </c>
      <c r="I20" s="9"/>
      <c r="J20" s="9"/>
      <c r="K20" s="9"/>
      <c r="L20" s="9"/>
      <c r="M20" s="9"/>
      <c r="N20" s="9"/>
      <c r="O20" s="9"/>
      <c r="P20" s="9"/>
      <c r="Q20" s="9"/>
    </row>
    <row r="21" spans="1:17" s="58" customFormat="1" ht="13.8">
      <c r="A21" s="5" t="s">
        <v>1394</v>
      </c>
      <c r="B21" s="5" t="s">
        <v>1727</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1727</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36</v>
      </c>
      <c r="C23" s="322" t="s">
        <v>1663</v>
      </c>
      <c r="D23" s="322"/>
      <c r="E23" s="322"/>
      <c r="F23" s="322"/>
      <c r="G23" s="322"/>
      <c r="H23" s="322"/>
      <c r="I23" s="20" t="s">
        <v>1771</v>
      </c>
      <c r="J23" s="20" t="s">
        <v>1772</v>
      </c>
      <c r="K23" s="11" t="s">
        <v>1773</v>
      </c>
      <c r="L23" s="11"/>
      <c r="M23" s="11"/>
      <c r="N23" s="11"/>
      <c r="O23" s="9"/>
      <c r="P23" s="10"/>
      <c r="Q23" s="9"/>
    </row>
    <row r="24" spans="1:17" s="58" customFormat="1" ht="13.8">
      <c r="A24" s="54" t="s">
        <v>1391</v>
      </c>
      <c r="B24" s="19" t="s">
        <v>36</v>
      </c>
      <c r="C24" s="326" t="s">
        <v>1727</v>
      </c>
      <c r="D24" s="327"/>
      <c r="E24" s="327"/>
      <c r="F24" s="327"/>
      <c r="G24" s="328"/>
      <c r="H24" s="4" t="s">
        <v>1763</v>
      </c>
      <c r="I24" s="9"/>
      <c r="J24" s="9"/>
      <c r="K24" s="9"/>
      <c r="L24" s="9"/>
      <c r="M24" s="9"/>
      <c r="N24" s="9"/>
      <c r="O24" s="9"/>
      <c r="P24" s="9"/>
      <c r="Q24" s="9"/>
    </row>
    <row r="25" spans="1:17" s="58" customFormat="1" ht="13.8">
      <c r="A25" s="5" t="s">
        <v>1394</v>
      </c>
      <c r="B25" s="5" t="s">
        <v>1727</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1727</v>
      </c>
      <c r="C26" s="59" t="s">
        <v>1395</v>
      </c>
      <c r="D26" s="6" t="s">
        <v>97</v>
      </c>
      <c r="E26" s="6" t="s">
        <v>98</v>
      </c>
      <c r="F26" s="6" t="s">
        <v>1396</v>
      </c>
      <c r="G26" s="6" t="s">
        <v>1397</v>
      </c>
      <c r="H26" s="7"/>
      <c r="I26" s="9"/>
      <c r="J26" s="7"/>
      <c r="K26" s="12"/>
      <c r="L26" s="6"/>
      <c r="M26" s="6"/>
      <c r="N26" s="12"/>
      <c r="O26" s="7"/>
      <c r="P26" s="9"/>
      <c r="Q26" s="9"/>
    </row>
    <row r="27" spans="1:17" s="55" customFormat="1" ht="13.8">
      <c r="A27" s="54" t="s">
        <v>1385</v>
      </c>
      <c r="B27" s="17" t="s">
        <v>29</v>
      </c>
      <c r="C27" s="18"/>
      <c r="D27" s="18"/>
      <c r="E27" s="18"/>
      <c r="F27" s="18"/>
      <c r="G27" s="18"/>
      <c r="H27" s="18"/>
      <c r="I27" s="18"/>
      <c r="J27" s="18"/>
      <c r="K27" s="18"/>
      <c r="L27" s="8"/>
      <c r="M27" s="8"/>
      <c r="N27" s="8"/>
      <c r="O27" s="9"/>
      <c r="P27" s="10"/>
      <c r="Q27" s="9"/>
    </row>
    <row r="28" spans="1:17" s="57" customFormat="1" ht="51.6" customHeight="1">
      <c r="A28" s="56" t="s">
        <v>1386</v>
      </c>
      <c r="B28" s="3" t="s">
        <v>37</v>
      </c>
      <c r="C28" s="322" t="s">
        <v>1664</v>
      </c>
      <c r="D28" s="322"/>
      <c r="E28" s="322"/>
      <c r="F28" s="322"/>
      <c r="G28" s="322"/>
      <c r="H28" s="322"/>
      <c r="I28" s="20" t="s">
        <v>1774</v>
      </c>
      <c r="J28" s="20" t="s">
        <v>1775</v>
      </c>
      <c r="K28" s="11" t="s">
        <v>1776</v>
      </c>
      <c r="L28" s="11"/>
      <c r="M28" s="11"/>
      <c r="N28" s="11"/>
      <c r="O28" s="9"/>
      <c r="P28" s="10"/>
      <c r="Q28" s="9"/>
    </row>
    <row r="29" spans="1:17" s="58" customFormat="1" ht="13.8">
      <c r="A29" s="54" t="s">
        <v>1391</v>
      </c>
      <c r="B29" s="19" t="s">
        <v>37</v>
      </c>
      <c r="C29" s="326" t="s">
        <v>1727</v>
      </c>
      <c r="D29" s="327"/>
      <c r="E29" s="327"/>
      <c r="F29" s="327"/>
      <c r="G29" s="328"/>
      <c r="H29" s="4" t="s">
        <v>1763</v>
      </c>
      <c r="I29" s="9"/>
      <c r="J29" s="9"/>
      <c r="K29" s="9"/>
      <c r="L29" s="9"/>
      <c r="M29" s="9"/>
      <c r="N29" s="9"/>
      <c r="O29" s="9"/>
      <c r="P29" s="9"/>
      <c r="Q29" s="9"/>
    </row>
    <row r="30" spans="1:17" s="58" customFormat="1" ht="13.8">
      <c r="A30" s="5" t="s">
        <v>1394</v>
      </c>
      <c r="B30" s="5" t="s">
        <v>1727</v>
      </c>
      <c r="C30" s="59" t="s">
        <v>1395</v>
      </c>
      <c r="D30" s="6" t="s">
        <v>97</v>
      </c>
      <c r="E30" s="6" t="s">
        <v>98</v>
      </c>
      <c r="F30" s="6" t="s">
        <v>1396</v>
      </c>
      <c r="G30" s="6" t="s">
        <v>1397</v>
      </c>
      <c r="H30" s="7"/>
      <c r="I30" s="9"/>
      <c r="J30" s="7"/>
      <c r="K30" s="12"/>
      <c r="L30" s="6"/>
      <c r="M30" s="6"/>
      <c r="N30" s="12"/>
      <c r="O30" s="7"/>
      <c r="P30" s="9"/>
      <c r="Q30" s="9"/>
    </row>
    <row r="31" spans="1:17" s="58" customFormat="1" ht="13.8">
      <c r="A31" s="5" t="s">
        <v>1394</v>
      </c>
      <c r="B31" s="5" t="s">
        <v>1727</v>
      </c>
      <c r="C31" s="59" t="s">
        <v>1395</v>
      </c>
      <c r="D31" s="6" t="s">
        <v>97</v>
      </c>
      <c r="E31" s="6" t="s">
        <v>98</v>
      </c>
      <c r="F31" s="6" t="s">
        <v>1396</v>
      </c>
      <c r="G31" s="6" t="s">
        <v>1397</v>
      </c>
      <c r="H31" s="7"/>
      <c r="I31" s="9"/>
      <c r="J31" s="7"/>
      <c r="K31" s="12"/>
      <c r="L31" s="6"/>
      <c r="M31" s="6"/>
      <c r="N31" s="12"/>
      <c r="O31" s="7"/>
      <c r="P31" s="9"/>
      <c r="Q31" s="9"/>
    </row>
    <row r="32" spans="1:17" s="57" customFormat="1" ht="51.6" customHeight="1">
      <c r="A32" s="56" t="s">
        <v>1386</v>
      </c>
      <c r="B32" s="3" t="s">
        <v>38</v>
      </c>
      <c r="C32" s="322" t="s">
        <v>1665</v>
      </c>
      <c r="D32" s="322"/>
      <c r="E32" s="322"/>
      <c r="F32" s="322"/>
      <c r="G32" s="322"/>
      <c r="H32" s="322"/>
      <c r="I32" s="20" t="s">
        <v>1777</v>
      </c>
      <c r="J32" s="20" t="s">
        <v>1778</v>
      </c>
      <c r="K32" s="11" t="s">
        <v>1779</v>
      </c>
      <c r="L32" s="11"/>
      <c r="M32" s="11"/>
      <c r="N32" s="11"/>
      <c r="O32" s="9"/>
      <c r="P32" s="10"/>
      <c r="Q32" s="9"/>
    </row>
    <row r="33" spans="1:17" s="58" customFormat="1" ht="13.8">
      <c r="A33" s="54" t="s">
        <v>1391</v>
      </c>
      <c r="B33" s="19" t="s">
        <v>38</v>
      </c>
      <c r="C33" s="326" t="s">
        <v>1727</v>
      </c>
      <c r="D33" s="327"/>
      <c r="E33" s="327"/>
      <c r="F33" s="327"/>
      <c r="G33" s="328"/>
      <c r="H33" s="4" t="s">
        <v>1763</v>
      </c>
      <c r="I33" s="9"/>
      <c r="J33" s="9"/>
      <c r="K33" s="9"/>
      <c r="L33" s="9"/>
      <c r="M33" s="9"/>
      <c r="N33" s="9"/>
      <c r="O33" s="9"/>
      <c r="P33" s="9"/>
      <c r="Q33" s="9"/>
    </row>
    <row r="34" spans="1:17" s="58" customFormat="1" ht="13.8">
      <c r="A34" s="5" t="s">
        <v>1394</v>
      </c>
      <c r="B34" s="5" t="s">
        <v>1727</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1727</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39</v>
      </c>
      <c r="C36" s="322" t="s">
        <v>1666</v>
      </c>
      <c r="D36" s="322"/>
      <c r="E36" s="322"/>
      <c r="F36" s="322"/>
      <c r="G36" s="322"/>
      <c r="H36" s="322"/>
      <c r="I36" s="20" t="s">
        <v>1780</v>
      </c>
      <c r="J36" s="20" t="s">
        <v>1781</v>
      </c>
      <c r="K36" s="11" t="s">
        <v>1782</v>
      </c>
      <c r="L36" s="11"/>
      <c r="M36" s="11"/>
      <c r="N36" s="11"/>
      <c r="O36" s="9"/>
      <c r="P36" s="10"/>
      <c r="Q36" s="9"/>
    </row>
    <row r="37" spans="1:17" s="58" customFormat="1" ht="13.8">
      <c r="A37" s="54" t="s">
        <v>1391</v>
      </c>
      <c r="B37" s="19" t="s">
        <v>39</v>
      </c>
      <c r="C37" s="326" t="s">
        <v>1727</v>
      </c>
      <c r="D37" s="327"/>
      <c r="E37" s="327"/>
      <c r="F37" s="327"/>
      <c r="G37" s="328"/>
      <c r="H37" s="4" t="s">
        <v>1763</v>
      </c>
      <c r="I37" s="9"/>
      <c r="J37" s="9"/>
      <c r="K37" s="9"/>
      <c r="L37" s="9"/>
      <c r="M37" s="9"/>
      <c r="N37" s="9"/>
      <c r="O37" s="9"/>
      <c r="P37" s="9"/>
      <c r="Q37" s="9"/>
    </row>
    <row r="38" spans="1:17" s="58" customFormat="1" ht="13.8">
      <c r="A38" s="5" t="s">
        <v>1394</v>
      </c>
      <c r="B38" s="5" t="s">
        <v>1727</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1727</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40</v>
      </c>
      <c r="C40" s="322" t="s">
        <v>1783</v>
      </c>
      <c r="D40" s="322"/>
      <c r="E40" s="322"/>
      <c r="F40" s="322"/>
      <c r="G40" s="322"/>
      <c r="H40" s="322"/>
      <c r="I40" s="20" t="s">
        <v>1784</v>
      </c>
      <c r="J40" s="20" t="s">
        <v>1785</v>
      </c>
      <c r="K40" s="11" t="s">
        <v>1786</v>
      </c>
      <c r="L40" s="11"/>
      <c r="M40" s="11"/>
      <c r="N40" s="11"/>
      <c r="O40" s="9"/>
      <c r="P40" s="10"/>
      <c r="Q40" s="9"/>
    </row>
    <row r="41" spans="1:17" s="58" customFormat="1" ht="13.8">
      <c r="A41" s="54" t="s">
        <v>1391</v>
      </c>
      <c r="B41" s="19" t="s">
        <v>40</v>
      </c>
      <c r="C41" s="326" t="s">
        <v>1727</v>
      </c>
      <c r="D41" s="327"/>
      <c r="E41" s="327"/>
      <c r="F41" s="327"/>
      <c r="G41" s="328"/>
      <c r="H41" s="4" t="s">
        <v>1763</v>
      </c>
      <c r="I41" s="9"/>
      <c r="J41" s="9"/>
      <c r="K41" s="9"/>
      <c r="L41" s="9"/>
      <c r="M41" s="9"/>
      <c r="N41" s="9"/>
      <c r="O41" s="9"/>
      <c r="P41" s="9"/>
      <c r="Q41" s="9"/>
    </row>
    <row r="42" spans="1:17" s="58" customFormat="1" ht="13.8">
      <c r="A42" s="5" t="s">
        <v>1394</v>
      </c>
      <c r="B42" s="5" t="s">
        <v>1727</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1727</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41</v>
      </c>
      <c r="C44" s="322" t="s">
        <v>1667</v>
      </c>
      <c r="D44" s="322"/>
      <c r="E44" s="322"/>
      <c r="F44" s="322"/>
      <c r="G44" s="322"/>
      <c r="H44" s="322"/>
      <c r="I44" s="20" t="s">
        <v>1787</v>
      </c>
      <c r="J44" s="20" t="s">
        <v>1788</v>
      </c>
      <c r="K44" s="11" t="s">
        <v>1789</v>
      </c>
      <c r="L44" s="11"/>
      <c r="M44" s="11"/>
      <c r="N44" s="11"/>
      <c r="O44" s="9"/>
      <c r="P44" s="10"/>
      <c r="Q44" s="9"/>
    </row>
    <row r="45" spans="1:17" s="58" customFormat="1" ht="13.8">
      <c r="A45" s="54" t="s">
        <v>1391</v>
      </c>
      <c r="B45" s="19" t="s">
        <v>41</v>
      </c>
      <c r="C45" s="326" t="s">
        <v>1727</v>
      </c>
      <c r="D45" s="327"/>
      <c r="E45" s="327"/>
      <c r="F45" s="327"/>
      <c r="G45" s="328"/>
      <c r="H45" s="4" t="s">
        <v>1763</v>
      </c>
      <c r="I45" s="9"/>
      <c r="J45" s="9"/>
      <c r="K45" s="9"/>
      <c r="L45" s="9"/>
      <c r="M45" s="9"/>
      <c r="N45" s="9"/>
      <c r="O45" s="9"/>
      <c r="P45" s="9"/>
      <c r="Q45" s="9"/>
    </row>
    <row r="46" spans="1:17" s="58" customFormat="1" ht="13.8">
      <c r="A46" s="5" t="s">
        <v>1394</v>
      </c>
      <c r="B46" s="5" t="s">
        <v>1727</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1727</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42</v>
      </c>
      <c r="C48" s="322" t="s">
        <v>1668</v>
      </c>
      <c r="D48" s="322"/>
      <c r="E48" s="322"/>
      <c r="F48" s="322"/>
      <c r="G48" s="322"/>
      <c r="H48" s="322"/>
      <c r="I48" s="20" t="s">
        <v>1790</v>
      </c>
      <c r="J48" s="20" t="s">
        <v>1791</v>
      </c>
      <c r="K48" s="11" t="s">
        <v>1792</v>
      </c>
      <c r="L48" s="11"/>
      <c r="M48" s="11"/>
      <c r="N48" s="11"/>
      <c r="O48" s="9"/>
      <c r="P48" s="10"/>
      <c r="Q48" s="9"/>
    </row>
    <row r="49" spans="1:17" s="58" customFormat="1" ht="13.8">
      <c r="A49" s="54" t="s">
        <v>1391</v>
      </c>
      <c r="B49" s="19" t="s">
        <v>42</v>
      </c>
      <c r="C49" s="326" t="s">
        <v>1727</v>
      </c>
      <c r="D49" s="327"/>
      <c r="E49" s="327"/>
      <c r="F49" s="327"/>
      <c r="G49" s="328"/>
      <c r="H49" s="4" t="s">
        <v>1763</v>
      </c>
      <c r="I49" s="9"/>
      <c r="J49" s="9"/>
      <c r="K49" s="9"/>
      <c r="L49" s="9"/>
      <c r="M49" s="9"/>
      <c r="N49" s="9"/>
      <c r="O49" s="9"/>
      <c r="P49" s="9"/>
      <c r="Q49" s="9"/>
    </row>
    <row r="50" spans="1:17" s="58" customFormat="1" ht="13.8">
      <c r="A50" s="5" t="s">
        <v>1394</v>
      </c>
      <c r="B50" s="5" t="s">
        <v>1727</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1727</v>
      </c>
      <c r="C51" s="59" t="s">
        <v>1395</v>
      </c>
      <c r="D51" s="6" t="s">
        <v>97</v>
      </c>
      <c r="E51" s="6" t="s">
        <v>98</v>
      </c>
      <c r="F51" s="6" t="s">
        <v>1396</v>
      </c>
      <c r="G51" s="6" t="s">
        <v>1397</v>
      </c>
      <c r="H51" s="7"/>
      <c r="I51" s="9"/>
      <c r="J51" s="7"/>
      <c r="K51" s="12"/>
      <c r="L51" s="6"/>
      <c r="M51" s="6"/>
      <c r="N51" s="12"/>
      <c r="O51" s="7"/>
      <c r="P51" s="9"/>
      <c r="Q51" s="9"/>
    </row>
  </sheetData>
  <mergeCells count="20">
    <mergeCell ref="C33:G33"/>
    <mergeCell ref="C10:H10"/>
    <mergeCell ref="C11:G11"/>
    <mergeCell ref="C15:H15"/>
    <mergeCell ref="C16:G16"/>
    <mergeCell ref="C19:H19"/>
    <mergeCell ref="C20:G20"/>
    <mergeCell ref="C23:H23"/>
    <mergeCell ref="C24:G24"/>
    <mergeCell ref="C28:H28"/>
    <mergeCell ref="C29:G29"/>
    <mergeCell ref="C32:H32"/>
    <mergeCell ref="C48:H48"/>
    <mergeCell ref="C49:G49"/>
    <mergeCell ref="C36:H36"/>
    <mergeCell ref="C37:G37"/>
    <mergeCell ref="C40:H40"/>
    <mergeCell ref="C41:G41"/>
    <mergeCell ref="C44:H44"/>
    <mergeCell ref="C45:G45"/>
  </mergeCells>
  <conditionalFormatting sqref="O9">
    <cfRule type="cellIs" dxfId="5341" priority="208" operator="equal">
      <formula>"U"</formula>
    </cfRule>
    <cfRule type="cellIs" dxfId="5340" priority="209" operator="equal">
      <formula>"S"</formula>
    </cfRule>
  </conditionalFormatting>
  <conditionalFormatting sqref="Q9">
    <cfRule type="cellIs" dxfId="5339" priority="207" operator="equal">
      <formula>"Y"</formula>
    </cfRule>
  </conditionalFormatting>
  <conditionalFormatting sqref="O10">
    <cfRule type="cellIs" dxfId="5338" priority="202" operator="equal">
      <formula>"NY"</formula>
    </cfRule>
    <cfRule type="cellIs" dxfId="5337" priority="203" operator="equal">
      <formula>"DM"</formula>
    </cfRule>
    <cfRule type="cellIs" dxfId="5336" priority="204" operator="equal">
      <formula>"PM"</formula>
    </cfRule>
    <cfRule type="cellIs" dxfId="5335" priority="205" operator="equal">
      <formula>"LM"</formula>
    </cfRule>
    <cfRule type="cellIs" dxfId="5334" priority="206" operator="equal">
      <formula>"FM"</formula>
    </cfRule>
  </conditionalFormatting>
  <conditionalFormatting sqref="Q10">
    <cfRule type="cellIs" dxfId="5333" priority="201" operator="equal">
      <formula>"Y"</formula>
    </cfRule>
  </conditionalFormatting>
  <conditionalFormatting sqref="O11">
    <cfRule type="cellIs" dxfId="5332" priority="196" operator="equal">
      <formula>"NY"</formula>
    </cfRule>
    <cfRule type="cellIs" dxfId="5331" priority="197" operator="equal">
      <formula>"DM"</formula>
    </cfRule>
    <cfRule type="cellIs" dxfId="5330" priority="198" operator="equal">
      <formula>"PM"</formula>
    </cfRule>
    <cfRule type="cellIs" dxfId="5329" priority="199" operator="equal">
      <formula>"LM"</formula>
    </cfRule>
    <cfRule type="cellIs" dxfId="5328" priority="200" operator="equal">
      <formula>"FM"</formula>
    </cfRule>
  </conditionalFormatting>
  <conditionalFormatting sqref="I11:J11">
    <cfRule type="cellIs" dxfId="5327" priority="194" operator="equal">
      <formula>"No"</formula>
    </cfRule>
    <cfRule type="cellIs" dxfId="5326" priority="195" operator="equal">
      <formula>"Yes"</formula>
    </cfRule>
  </conditionalFormatting>
  <conditionalFormatting sqref="Q11">
    <cfRule type="cellIs" dxfId="5325" priority="193" operator="equal">
      <formula>"Y"</formula>
    </cfRule>
  </conditionalFormatting>
  <conditionalFormatting sqref="I12">
    <cfRule type="cellIs" dxfId="5324" priority="191" operator="equal">
      <formula>"No"</formula>
    </cfRule>
    <cfRule type="cellIs" dxfId="5323" priority="192" operator="equal">
      <formula>"Yes"</formula>
    </cfRule>
  </conditionalFormatting>
  <conditionalFormatting sqref="Q12">
    <cfRule type="cellIs" dxfId="5322" priority="190" operator="equal">
      <formula>"Y"</formula>
    </cfRule>
  </conditionalFormatting>
  <conditionalFormatting sqref="I13">
    <cfRule type="cellIs" dxfId="5321" priority="188" operator="equal">
      <formula>"No"</formula>
    </cfRule>
    <cfRule type="cellIs" dxfId="5320" priority="189" operator="equal">
      <formula>"Yes"</formula>
    </cfRule>
  </conditionalFormatting>
  <conditionalFormatting sqref="Q13">
    <cfRule type="cellIs" dxfId="5319" priority="187" operator="equal">
      <formula>"Y"</formula>
    </cfRule>
  </conditionalFormatting>
  <conditionalFormatting sqref="O14">
    <cfRule type="cellIs" dxfId="5318" priority="185" operator="equal">
      <formula>"U"</formula>
    </cfRule>
    <cfRule type="cellIs" dxfId="5317" priority="186" operator="equal">
      <formula>"S"</formula>
    </cfRule>
  </conditionalFormatting>
  <conditionalFormatting sqref="Q14">
    <cfRule type="cellIs" dxfId="5316" priority="184" operator="equal">
      <formula>"Y"</formula>
    </cfRule>
  </conditionalFormatting>
  <conditionalFormatting sqref="O15">
    <cfRule type="cellIs" dxfId="5315" priority="179" operator="equal">
      <formula>"NY"</formula>
    </cfRule>
    <cfRule type="cellIs" dxfId="5314" priority="180" operator="equal">
      <formula>"DM"</formula>
    </cfRule>
    <cfRule type="cellIs" dxfId="5313" priority="181" operator="equal">
      <formula>"PM"</formula>
    </cfRule>
    <cfRule type="cellIs" dxfId="5312" priority="182" operator="equal">
      <formula>"LM"</formula>
    </cfRule>
    <cfRule type="cellIs" dxfId="5311" priority="183" operator="equal">
      <formula>"FM"</formula>
    </cfRule>
  </conditionalFormatting>
  <conditionalFormatting sqref="Q15">
    <cfRule type="cellIs" dxfId="5310" priority="178" operator="equal">
      <formula>"Y"</formula>
    </cfRule>
  </conditionalFormatting>
  <conditionalFormatting sqref="O16">
    <cfRule type="cellIs" dxfId="5309" priority="173" operator="equal">
      <formula>"NY"</formula>
    </cfRule>
    <cfRule type="cellIs" dxfId="5308" priority="174" operator="equal">
      <formula>"DM"</formula>
    </cfRule>
    <cfRule type="cellIs" dxfId="5307" priority="175" operator="equal">
      <formula>"PM"</formula>
    </cfRule>
    <cfRule type="cellIs" dxfId="5306" priority="176" operator="equal">
      <formula>"LM"</formula>
    </cfRule>
    <cfRule type="cellIs" dxfId="5305" priority="177" operator="equal">
      <formula>"FM"</formula>
    </cfRule>
  </conditionalFormatting>
  <conditionalFormatting sqref="I16:J16">
    <cfRule type="cellIs" dxfId="5304" priority="171" operator="equal">
      <formula>"No"</formula>
    </cfRule>
    <cfRule type="cellIs" dxfId="5303" priority="172" operator="equal">
      <formula>"Yes"</formula>
    </cfRule>
  </conditionalFormatting>
  <conditionalFormatting sqref="Q16">
    <cfRule type="cellIs" dxfId="5302" priority="170" operator="equal">
      <formula>"Y"</formula>
    </cfRule>
  </conditionalFormatting>
  <conditionalFormatting sqref="I17">
    <cfRule type="cellIs" dxfId="5301" priority="168" operator="equal">
      <formula>"No"</formula>
    </cfRule>
    <cfRule type="cellIs" dxfId="5300" priority="169" operator="equal">
      <formula>"Yes"</formula>
    </cfRule>
  </conditionalFormatting>
  <conditionalFormatting sqref="Q17">
    <cfRule type="cellIs" dxfId="5299" priority="167" operator="equal">
      <formula>"Y"</formula>
    </cfRule>
  </conditionalFormatting>
  <conditionalFormatting sqref="I18">
    <cfRule type="cellIs" dxfId="5298" priority="165" operator="equal">
      <formula>"No"</formula>
    </cfRule>
    <cfRule type="cellIs" dxfId="5297" priority="166" operator="equal">
      <formula>"Yes"</formula>
    </cfRule>
  </conditionalFormatting>
  <conditionalFormatting sqref="Q18">
    <cfRule type="cellIs" dxfId="5296" priority="164" operator="equal">
      <formula>"Y"</formula>
    </cfRule>
  </conditionalFormatting>
  <conditionalFormatting sqref="O19">
    <cfRule type="cellIs" dxfId="5295" priority="159" operator="equal">
      <formula>"NY"</formula>
    </cfRule>
    <cfRule type="cellIs" dxfId="5294" priority="160" operator="equal">
      <formula>"DM"</formula>
    </cfRule>
    <cfRule type="cellIs" dxfId="5293" priority="161" operator="equal">
      <formula>"PM"</formula>
    </cfRule>
    <cfRule type="cellIs" dxfId="5292" priority="162" operator="equal">
      <formula>"LM"</formula>
    </cfRule>
    <cfRule type="cellIs" dxfId="5291" priority="163" operator="equal">
      <formula>"FM"</formula>
    </cfRule>
  </conditionalFormatting>
  <conditionalFormatting sqref="Q19">
    <cfRule type="cellIs" dxfId="5290" priority="158" operator="equal">
      <formula>"Y"</formula>
    </cfRule>
  </conditionalFormatting>
  <conditionalFormatting sqref="O20">
    <cfRule type="cellIs" dxfId="5289" priority="153" operator="equal">
      <formula>"NY"</formula>
    </cfRule>
    <cfRule type="cellIs" dxfId="5288" priority="154" operator="equal">
      <formula>"DM"</formula>
    </cfRule>
    <cfRule type="cellIs" dxfId="5287" priority="155" operator="equal">
      <formula>"PM"</formula>
    </cfRule>
    <cfRule type="cellIs" dxfId="5286" priority="156" operator="equal">
      <formula>"LM"</formula>
    </cfRule>
    <cfRule type="cellIs" dxfId="5285" priority="157" operator="equal">
      <formula>"FM"</formula>
    </cfRule>
  </conditionalFormatting>
  <conditionalFormatting sqref="I20:J20">
    <cfRule type="cellIs" dxfId="5284" priority="151" operator="equal">
      <formula>"No"</formula>
    </cfRule>
    <cfRule type="cellIs" dxfId="5283" priority="152" operator="equal">
      <formula>"Yes"</formula>
    </cfRule>
  </conditionalFormatting>
  <conditionalFormatting sqref="Q20">
    <cfRule type="cellIs" dxfId="5282" priority="150" operator="equal">
      <formula>"Y"</formula>
    </cfRule>
  </conditionalFormatting>
  <conditionalFormatting sqref="I21">
    <cfRule type="cellIs" dxfId="5281" priority="148" operator="equal">
      <formula>"No"</formula>
    </cfRule>
    <cfRule type="cellIs" dxfId="5280" priority="149" operator="equal">
      <formula>"Yes"</formula>
    </cfRule>
  </conditionalFormatting>
  <conditionalFormatting sqref="Q21">
    <cfRule type="cellIs" dxfId="5279" priority="147" operator="equal">
      <formula>"Y"</formula>
    </cfRule>
  </conditionalFormatting>
  <conditionalFormatting sqref="I22">
    <cfRule type="cellIs" dxfId="5278" priority="145" operator="equal">
      <formula>"No"</formula>
    </cfRule>
    <cfRule type="cellIs" dxfId="5277" priority="146" operator="equal">
      <formula>"Yes"</formula>
    </cfRule>
  </conditionalFormatting>
  <conditionalFormatting sqref="Q22">
    <cfRule type="cellIs" dxfId="5276" priority="144" operator="equal">
      <formula>"Y"</formula>
    </cfRule>
  </conditionalFormatting>
  <conditionalFormatting sqref="O23">
    <cfRule type="cellIs" dxfId="5275" priority="139" operator="equal">
      <formula>"NY"</formula>
    </cfRule>
    <cfRule type="cellIs" dxfId="5274" priority="140" operator="equal">
      <formula>"DM"</formula>
    </cfRule>
    <cfRule type="cellIs" dxfId="5273" priority="141" operator="equal">
      <formula>"PM"</formula>
    </cfRule>
    <cfRule type="cellIs" dxfId="5272" priority="142" operator="equal">
      <formula>"LM"</formula>
    </cfRule>
    <cfRule type="cellIs" dxfId="5271" priority="143" operator="equal">
      <formula>"FM"</formula>
    </cfRule>
  </conditionalFormatting>
  <conditionalFormatting sqref="Q23">
    <cfRule type="cellIs" dxfId="5270" priority="138" operator="equal">
      <formula>"Y"</formula>
    </cfRule>
  </conditionalFormatting>
  <conditionalFormatting sqref="O24">
    <cfRule type="cellIs" dxfId="5269" priority="133" operator="equal">
      <formula>"NY"</formula>
    </cfRule>
    <cfRule type="cellIs" dxfId="5268" priority="134" operator="equal">
      <formula>"DM"</formula>
    </cfRule>
    <cfRule type="cellIs" dxfId="5267" priority="135" operator="equal">
      <formula>"PM"</formula>
    </cfRule>
    <cfRule type="cellIs" dxfId="5266" priority="136" operator="equal">
      <formula>"LM"</formula>
    </cfRule>
    <cfRule type="cellIs" dxfId="5265" priority="137" operator="equal">
      <formula>"FM"</formula>
    </cfRule>
  </conditionalFormatting>
  <conditionalFormatting sqref="I24:J24">
    <cfRule type="cellIs" dxfId="5264" priority="131" operator="equal">
      <formula>"No"</formula>
    </cfRule>
    <cfRule type="cellIs" dxfId="5263" priority="132" operator="equal">
      <formula>"Yes"</formula>
    </cfRule>
  </conditionalFormatting>
  <conditionalFormatting sqref="Q24">
    <cfRule type="cellIs" dxfId="5262" priority="130" operator="equal">
      <formula>"Y"</formula>
    </cfRule>
  </conditionalFormatting>
  <conditionalFormatting sqref="I25">
    <cfRule type="cellIs" dxfId="5261" priority="128" operator="equal">
      <formula>"No"</formula>
    </cfRule>
    <cfRule type="cellIs" dxfId="5260" priority="129" operator="equal">
      <formula>"Yes"</formula>
    </cfRule>
  </conditionalFormatting>
  <conditionalFormatting sqref="Q25">
    <cfRule type="cellIs" dxfId="5259" priority="127" operator="equal">
      <formula>"Y"</formula>
    </cfRule>
  </conditionalFormatting>
  <conditionalFormatting sqref="I26">
    <cfRule type="cellIs" dxfId="5258" priority="125" operator="equal">
      <formula>"No"</formula>
    </cfRule>
    <cfRule type="cellIs" dxfId="5257" priority="126" operator="equal">
      <formula>"Yes"</formula>
    </cfRule>
  </conditionalFormatting>
  <conditionalFormatting sqref="Q26">
    <cfRule type="cellIs" dxfId="5256" priority="124" operator="equal">
      <formula>"Y"</formula>
    </cfRule>
  </conditionalFormatting>
  <conditionalFormatting sqref="O27">
    <cfRule type="cellIs" dxfId="5255" priority="122" operator="equal">
      <formula>"U"</formula>
    </cfRule>
    <cfRule type="cellIs" dxfId="5254" priority="123" operator="equal">
      <formula>"S"</formula>
    </cfRule>
  </conditionalFormatting>
  <conditionalFormatting sqref="Q27">
    <cfRule type="cellIs" dxfId="5253" priority="121" operator="equal">
      <formula>"Y"</formula>
    </cfRule>
  </conditionalFormatting>
  <conditionalFormatting sqref="O28">
    <cfRule type="cellIs" dxfId="5252" priority="116" operator="equal">
      <formula>"NY"</formula>
    </cfRule>
    <cfRule type="cellIs" dxfId="5251" priority="117" operator="equal">
      <formula>"DM"</formula>
    </cfRule>
    <cfRule type="cellIs" dxfId="5250" priority="118" operator="equal">
      <formula>"PM"</formula>
    </cfRule>
    <cfRule type="cellIs" dxfId="5249" priority="119" operator="equal">
      <formula>"LM"</formula>
    </cfRule>
    <cfRule type="cellIs" dxfId="5248" priority="120" operator="equal">
      <formula>"FM"</formula>
    </cfRule>
  </conditionalFormatting>
  <conditionalFormatting sqref="Q28">
    <cfRule type="cellIs" dxfId="5247" priority="115" operator="equal">
      <formula>"Y"</formula>
    </cfRule>
  </conditionalFormatting>
  <conditionalFormatting sqref="O29">
    <cfRule type="cellIs" dxfId="5246" priority="110" operator="equal">
      <formula>"NY"</formula>
    </cfRule>
    <cfRule type="cellIs" dxfId="5245" priority="111" operator="equal">
      <formula>"DM"</formula>
    </cfRule>
    <cfRule type="cellIs" dxfId="5244" priority="112" operator="equal">
      <formula>"PM"</formula>
    </cfRule>
    <cfRule type="cellIs" dxfId="5243" priority="113" operator="equal">
      <formula>"LM"</formula>
    </cfRule>
    <cfRule type="cellIs" dxfId="5242" priority="114" operator="equal">
      <formula>"FM"</formula>
    </cfRule>
  </conditionalFormatting>
  <conditionalFormatting sqref="I29:J29">
    <cfRule type="cellIs" dxfId="5241" priority="108" operator="equal">
      <formula>"No"</formula>
    </cfRule>
    <cfRule type="cellIs" dxfId="5240" priority="109" operator="equal">
      <formula>"Yes"</formula>
    </cfRule>
  </conditionalFormatting>
  <conditionalFormatting sqref="Q29">
    <cfRule type="cellIs" dxfId="5239" priority="107" operator="equal">
      <formula>"Y"</formula>
    </cfRule>
  </conditionalFormatting>
  <conditionalFormatting sqref="I30">
    <cfRule type="cellIs" dxfId="5238" priority="105" operator="equal">
      <formula>"No"</formula>
    </cfRule>
    <cfRule type="cellIs" dxfId="5237" priority="106" operator="equal">
      <formula>"Yes"</formula>
    </cfRule>
  </conditionalFormatting>
  <conditionalFormatting sqref="Q30">
    <cfRule type="cellIs" dxfId="5236" priority="104" operator="equal">
      <formula>"Y"</formula>
    </cfRule>
  </conditionalFormatting>
  <conditionalFormatting sqref="I31">
    <cfRule type="cellIs" dxfId="5235" priority="102" operator="equal">
      <formula>"No"</formula>
    </cfRule>
    <cfRule type="cellIs" dxfId="5234" priority="103" operator="equal">
      <formula>"Yes"</formula>
    </cfRule>
  </conditionalFormatting>
  <conditionalFormatting sqref="Q31">
    <cfRule type="cellIs" dxfId="5233" priority="101" operator="equal">
      <formula>"Y"</formula>
    </cfRule>
  </conditionalFormatting>
  <conditionalFormatting sqref="O32">
    <cfRule type="cellIs" dxfId="5232" priority="96" operator="equal">
      <formula>"NY"</formula>
    </cfRule>
    <cfRule type="cellIs" dxfId="5231" priority="97" operator="equal">
      <formula>"DM"</formula>
    </cfRule>
    <cfRule type="cellIs" dxfId="5230" priority="98" operator="equal">
      <formula>"PM"</formula>
    </cfRule>
    <cfRule type="cellIs" dxfId="5229" priority="99" operator="equal">
      <formula>"LM"</formula>
    </cfRule>
    <cfRule type="cellIs" dxfId="5228" priority="100" operator="equal">
      <formula>"FM"</formula>
    </cfRule>
  </conditionalFormatting>
  <conditionalFormatting sqref="Q32">
    <cfRule type="cellIs" dxfId="5227" priority="95" operator="equal">
      <formula>"Y"</formula>
    </cfRule>
  </conditionalFormatting>
  <conditionalFormatting sqref="O33">
    <cfRule type="cellIs" dxfId="5226" priority="90" operator="equal">
      <formula>"NY"</formula>
    </cfRule>
    <cfRule type="cellIs" dxfId="5225" priority="91" operator="equal">
      <formula>"DM"</formula>
    </cfRule>
    <cfRule type="cellIs" dxfId="5224" priority="92" operator="equal">
      <formula>"PM"</formula>
    </cfRule>
    <cfRule type="cellIs" dxfId="5223" priority="93" operator="equal">
      <formula>"LM"</formula>
    </cfRule>
    <cfRule type="cellIs" dxfId="5222" priority="94" operator="equal">
      <formula>"FM"</formula>
    </cfRule>
  </conditionalFormatting>
  <conditionalFormatting sqref="I33:J33">
    <cfRule type="cellIs" dxfId="5221" priority="88" operator="equal">
      <formula>"No"</formula>
    </cfRule>
    <cfRule type="cellIs" dxfId="5220" priority="89" operator="equal">
      <formula>"Yes"</formula>
    </cfRule>
  </conditionalFormatting>
  <conditionalFormatting sqref="Q33">
    <cfRule type="cellIs" dxfId="5219" priority="87" operator="equal">
      <formula>"Y"</formula>
    </cfRule>
  </conditionalFormatting>
  <conditionalFormatting sqref="I34">
    <cfRule type="cellIs" dxfId="5218" priority="85" operator="equal">
      <formula>"No"</formula>
    </cfRule>
    <cfRule type="cellIs" dxfId="5217" priority="86" operator="equal">
      <formula>"Yes"</formula>
    </cfRule>
  </conditionalFormatting>
  <conditionalFormatting sqref="Q34">
    <cfRule type="cellIs" dxfId="5216" priority="84" operator="equal">
      <formula>"Y"</formula>
    </cfRule>
  </conditionalFormatting>
  <conditionalFormatting sqref="I35">
    <cfRule type="cellIs" dxfId="5215" priority="82" operator="equal">
      <formula>"No"</formula>
    </cfRule>
    <cfRule type="cellIs" dxfId="5214" priority="83" operator="equal">
      <formula>"Yes"</formula>
    </cfRule>
  </conditionalFormatting>
  <conditionalFormatting sqref="Q35">
    <cfRule type="cellIs" dxfId="5213" priority="81" operator="equal">
      <formula>"Y"</formula>
    </cfRule>
  </conditionalFormatting>
  <conditionalFormatting sqref="O36">
    <cfRule type="cellIs" dxfId="5212" priority="76" operator="equal">
      <formula>"NY"</formula>
    </cfRule>
    <cfRule type="cellIs" dxfId="5211" priority="77" operator="equal">
      <formula>"DM"</formula>
    </cfRule>
    <cfRule type="cellIs" dxfId="5210" priority="78" operator="equal">
      <formula>"PM"</formula>
    </cfRule>
    <cfRule type="cellIs" dxfId="5209" priority="79" operator="equal">
      <formula>"LM"</formula>
    </cfRule>
    <cfRule type="cellIs" dxfId="5208" priority="80" operator="equal">
      <formula>"FM"</formula>
    </cfRule>
  </conditionalFormatting>
  <conditionalFormatting sqref="Q36">
    <cfRule type="cellIs" dxfId="5207" priority="75" operator="equal">
      <formula>"Y"</formula>
    </cfRule>
  </conditionalFormatting>
  <conditionalFormatting sqref="O37">
    <cfRule type="cellIs" dxfId="5206" priority="70" operator="equal">
      <formula>"NY"</formula>
    </cfRule>
    <cfRule type="cellIs" dxfId="5205" priority="71" operator="equal">
      <formula>"DM"</formula>
    </cfRule>
    <cfRule type="cellIs" dxfId="5204" priority="72" operator="equal">
      <formula>"PM"</formula>
    </cfRule>
    <cfRule type="cellIs" dxfId="5203" priority="73" operator="equal">
      <formula>"LM"</formula>
    </cfRule>
    <cfRule type="cellIs" dxfId="5202" priority="74" operator="equal">
      <formula>"FM"</formula>
    </cfRule>
  </conditionalFormatting>
  <conditionalFormatting sqref="I37:J37">
    <cfRule type="cellIs" dxfId="5201" priority="68" operator="equal">
      <formula>"No"</formula>
    </cfRule>
    <cfRule type="cellIs" dxfId="5200" priority="69" operator="equal">
      <formula>"Yes"</formula>
    </cfRule>
  </conditionalFormatting>
  <conditionalFormatting sqref="Q37">
    <cfRule type="cellIs" dxfId="5199" priority="67" operator="equal">
      <formula>"Y"</formula>
    </cfRule>
  </conditionalFormatting>
  <conditionalFormatting sqref="I38">
    <cfRule type="cellIs" dxfId="5198" priority="65" operator="equal">
      <formula>"No"</formula>
    </cfRule>
    <cfRule type="cellIs" dxfId="5197" priority="66" operator="equal">
      <formula>"Yes"</formula>
    </cfRule>
  </conditionalFormatting>
  <conditionalFormatting sqref="Q38">
    <cfRule type="cellIs" dxfId="5196" priority="64" operator="equal">
      <formula>"Y"</formula>
    </cfRule>
  </conditionalFormatting>
  <conditionalFormatting sqref="I39">
    <cfRule type="cellIs" dxfId="5195" priority="62" operator="equal">
      <formula>"No"</formula>
    </cfRule>
    <cfRule type="cellIs" dxfId="5194" priority="63" operator="equal">
      <formula>"Yes"</formula>
    </cfRule>
  </conditionalFormatting>
  <conditionalFormatting sqref="Q39">
    <cfRule type="cellIs" dxfId="5193" priority="61" operator="equal">
      <formula>"Y"</formula>
    </cfRule>
  </conditionalFormatting>
  <conditionalFormatting sqref="O40">
    <cfRule type="cellIs" dxfId="5192" priority="56" operator="equal">
      <formula>"NY"</formula>
    </cfRule>
    <cfRule type="cellIs" dxfId="5191" priority="57" operator="equal">
      <formula>"DM"</formula>
    </cfRule>
    <cfRule type="cellIs" dxfId="5190" priority="58" operator="equal">
      <formula>"PM"</formula>
    </cfRule>
    <cfRule type="cellIs" dxfId="5189" priority="59" operator="equal">
      <formula>"LM"</formula>
    </cfRule>
    <cfRule type="cellIs" dxfId="5188" priority="60" operator="equal">
      <formula>"FM"</formula>
    </cfRule>
  </conditionalFormatting>
  <conditionalFormatting sqref="Q40">
    <cfRule type="cellIs" dxfId="5187" priority="55" operator="equal">
      <formula>"Y"</formula>
    </cfRule>
  </conditionalFormatting>
  <conditionalFormatting sqref="O41">
    <cfRule type="cellIs" dxfId="5186" priority="50" operator="equal">
      <formula>"NY"</formula>
    </cfRule>
    <cfRule type="cellIs" dxfId="5185" priority="51" operator="equal">
      <formula>"DM"</formula>
    </cfRule>
    <cfRule type="cellIs" dxfId="5184" priority="52" operator="equal">
      <formula>"PM"</formula>
    </cfRule>
    <cfRule type="cellIs" dxfId="5183" priority="53" operator="equal">
      <formula>"LM"</formula>
    </cfRule>
    <cfRule type="cellIs" dxfId="5182" priority="54" operator="equal">
      <formula>"FM"</formula>
    </cfRule>
  </conditionalFormatting>
  <conditionalFormatting sqref="I41:J41">
    <cfRule type="cellIs" dxfId="5181" priority="48" operator="equal">
      <formula>"No"</formula>
    </cfRule>
    <cfRule type="cellIs" dxfId="5180" priority="49" operator="equal">
      <formula>"Yes"</formula>
    </cfRule>
  </conditionalFormatting>
  <conditionalFormatting sqref="Q41">
    <cfRule type="cellIs" dxfId="5179" priority="47" operator="equal">
      <formula>"Y"</formula>
    </cfRule>
  </conditionalFormatting>
  <conditionalFormatting sqref="I42">
    <cfRule type="cellIs" dxfId="5178" priority="45" operator="equal">
      <formula>"No"</formula>
    </cfRule>
    <cfRule type="cellIs" dxfId="5177" priority="46" operator="equal">
      <formula>"Yes"</formula>
    </cfRule>
  </conditionalFormatting>
  <conditionalFormatting sqref="Q42">
    <cfRule type="cellIs" dxfId="5176" priority="44" operator="equal">
      <formula>"Y"</formula>
    </cfRule>
  </conditionalFormatting>
  <conditionalFormatting sqref="I43">
    <cfRule type="cellIs" dxfId="5175" priority="42" operator="equal">
      <formula>"No"</formula>
    </cfRule>
    <cfRule type="cellIs" dxfId="5174" priority="43" operator="equal">
      <formula>"Yes"</formula>
    </cfRule>
  </conditionalFormatting>
  <conditionalFormatting sqref="Q43">
    <cfRule type="cellIs" dxfId="5173" priority="41" operator="equal">
      <formula>"Y"</formula>
    </cfRule>
  </conditionalFormatting>
  <conditionalFormatting sqref="O44">
    <cfRule type="cellIs" dxfId="5172" priority="36" operator="equal">
      <formula>"NY"</formula>
    </cfRule>
    <cfRule type="cellIs" dxfId="5171" priority="37" operator="equal">
      <formula>"DM"</formula>
    </cfRule>
    <cfRule type="cellIs" dxfId="5170" priority="38" operator="equal">
      <formula>"PM"</formula>
    </cfRule>
    <cfRule type="cellIs" dxfId="5169" priority="39" operator="equal">
      <formula>"LM"</formula>
    </cfRule>
    <cfRule type="cellIs" dxfId="5168" priority="40" operator="equal">
      <formula>"FM"</formula>
    </cfRule>
  </conditionalFormatting>
  <conditionalFormatting sqref="Q44">
    <cfRule type="cellIs" dxfId="5167" priority="35" operator="equal">
      <formula>"Y"</formula>
    </cfRule>
  </conditionalFormatting>
  <conditionalFormatting sqref="O45">
    <cfRule type="cellIs" dxfId="5166" priority="30" operator="equal">
      <formula>"NY"</formula>
    </cfRule>
    <cfRule type="cellIs" dxfId="5165" priority="31" operator="equal">
      <formula>"DM"</formula>
    </cfRule>
    <cfRule type="cellIs" dxfId="5164" priority="32" operator="equal">
      <formula>"PM"</formula>
    </cfRule>
    <cfRule type="cellIs" dxfId="5163" priority="33" operator="equal">
      <formula>"LM"</formula>
    </cfRule>
    <cfRule type="cellIs" dxfId="5162" priority="34" operator="equal">
      <formula>"FM"</formula>
    </cfRule>
  </conditionalFormatting>
  <conditionalFormatting sqref="I45:J45">
    <cfRule type="cellIs" dxfId="5161" priority="28" operator="equal">
      <formula>"No"</formula>
    </cfRule>
    <cfRule type="cellIs" dxfId="5160" priority="29" operator="equal">
      <formula>"Yes"</formula>
    </cfRule>
  </conditionalFormatting>
  <conditionalFormatting sqref="Q45">
    <cfRule type="cellIs" dxfId="5159" priority="27" operator="equal">
      <formula>"Y"</formula>
    </cfRule>
  </conditionalFormatting>
  <conditionalFormatting sqref="I46">
    <cfRule type="cellIs" dxfId="5158" priority="25" operator="equal">
      <formula>"No"</formula>
    </cfRule>
    <cfRule type="cellIs" dxfId="5157" priority="26" operator="equal">
      <formula>"Yes"</formula>
    </cfRule>
  </conditionalFormatting>
  <conditionalFormatting sqref="Q46">
    <cfRule type="cellIs" dxfId="5156" priority="24" operator="equal">
      <formula>"Y"</formula>
    </cfRule>
  </conditionalFormatting>
  <conditionalFormatting sqref="I47">
    <cfRule type="cellIs" dxfId="5155" priority="22" operator="equal">
      <formula>"No"</formula>
    </cfRule>
    <cfRule type="cellIs" dxfId="5154" priority="23" operator="equal">
      <formula>"Yes"</formula>
    </cfRule>
  </conditionalFormatting>
  <conditionalFormatting sqref="Q47">
    <cfRule type="cellIs" dxfId="5153" priority="21" operator="equal">
      <formula>"Y"</formula>
    </cfRule>
  </conditionalFormatting>
  <conditionalFormatting sqref="O48">
    <cfRule type="cellIs" dxfId="5152" priority="16" operator="equal">
      <formula>"NY"</formula>
    </cfRule>
    <cfRule type="cellIs" dxfId="5151" priority="17" operator="equal">
      <formula>"DM"</formula>
    </cfRule>
    <cfRule type="cellIs" dxfId="5150" priority="18" operator="equal">
      <formula>"PM"</formula>
    </cfRule>
    <cfRule type="cellIs" dxfId="5149" priority="19" operator="equal">
      <formula>"LM"</formula>
    </cfRule>
    <cfRule type="cellIs" dxfId="5148" priority="20" operator="equal">
      <formula>"FM"</formula>
    </cfRule>
  </conditionalFormatting>
  <conditionalFormatting sqref="Q48">
    <cfRule type="cellIs" dxfId="5147" priority="15" operator="equal">
      <formula>"Y"</formula>
    </cfRule>
  </conditionalFormatting>
  <conditionalFormatting sqref="O49">
    <cfRule type="cellIs" dxfId="5146" priority="10" operator="equal">
      <formula>"NY"</formula>
    </cfRule>
    <cfRule type="cellIs" dxfId="5145" priority="11" operator="equal">
      <formula>"DM"</formula>
    </cfRule>
    <cfRule type="cellIs" dxfId="5144" priority="12" operator="equal">
      <formula>"PM"</formula>
    </cfRule>
    <cfRule type="cellIs" dxfId="5143" priority="13" operator="equal">
      <formula>"LM"</formula>
    </cfRule>
    <cfRule type="cellIs" dxfId="5142" priority="14" operator="equal">
      <formula>"FM"</formula>
    </cfRule>
  </conditionalFormatting>
  <conditionalFormatting sqref="I49:J49">
    <cfRule type="cellIs" dxfId="5141" priority="8" operator="equal">
      <formula>"No"</formula>
    </cfRule>
    <cfRule type="cellIs" dxfId="5140" priority="9" operator="equal">
      <formula>"Yes"</formula>
    </cfRule>
  </conditionalFormatting>
  <conditionalFormatting sqref="Q49">
    <cfRule type="cellIs" dxfId="5139" priority="7" operator="equal">
      <formula>"Y"</formula>
    </cfRule>
  </conditionalFormatting>
  <conditionalFormatting sqref="I50">
    <cfRule type="cellIs" dxfId="5138" priority="5" operator="equal">
      <formula>"No"</formula>
    </cfRule>
    <cfRule type="cellIs" dxfId="5137" priority="6" operator="equal">
      <formula>"Yes"</formula>
    </cfRule>
  </conditionalFormatting>
  <conditionalFormatting sqref="Q50">
    <cfRule type="cellIs" dxfId="5136" priority="4" operator="equal">
      <formula>"Y"</formula>
    </cfRule>
  </conditionalFormatting>
  <conditionalFormatting sqref="I51">
    <cfRule type="cellIs" dxfId="5135" priority="2" operator="equal">
      <formula>"No"</formula>
    </cfRule>
    <cfRule type="cellIs" dxfId="5134" priority="3" operator="equal">
      <formula>"Yes"</formula>
    </cfRule>
  </conditionalFormatting>
  <conditionalFormatting sqref="Q51">
    <cfRule type="cellIs" dxfId="5133" priority="1" operator="equal">
      <formula>"Y"</formula>
    </cfRule>
  </conditionalFormatting>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C3952-B900-4E06-A1C2-60C1AF931B28}">
  <sheetPr codeName="Sheet32"/>
  <dimension ref="A1:Q35"/>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1564</v>
      </c>
    </row>
    <row r="2" spans="1:17" s="61" customFormat="1" ht="21">
      <c r="A2" s="60" t="s">
        <v>1793</v>
      </c>
    </row>
    <row r="3" spans="1:17">
      <c r="A3" s="62" t="s">
        <v>1707</v>
      </c>
      <c r="B3" s="63" t="s">
        <v>1565</v>
      </c>
    </row>
    <row r="4" spans="1:17">
      <c r="A4" s="63" t="s">
        <v>1401</v>
      </c>
      <c r="B4" s="63" t="s">
        <v>1794</v>
      </c>
    </row>
    <row r="5" spans="1:17">
      <c r="A5" s="62" t="s">
        <v>1709</v>
      </c>
      <c r="B5" s="63" t="s">
        <v>246</v>
      </c>
    </row>
    <row r="6" spans="1:17">
      <c r="A6" s="63" t="s">
        <v>1402</v>
      </c>
      <c r="B6" s="63" t="s">
        <v>1795</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247</v>
      </c>
      <c r="C10" s="322" t="s">
        <v>1566</v>
      </c>
      <c r="D10" s="322"/>
      <c r="E10" s="322"/>
      <c r="F10" s="322"/>
      <c r="G10" s="322"/>
      <c r="H10" s="322"/>
      <c r="I10" s="20" t="s">
        <v>1796</v>
      </c>
      <c r="J10" s="20" t="s">
        <v>1797</v>
      </c>
      <c r="K10" s="11" t="s">
        <v>1567</v>
      </c>
      <c r="L10" s="11"/>
      <c r="M10" s="11"/>
      <c r="N10" s="11"/>
      <c r="O10" s="9"/>
      <c r="P10" s="10"/>
      <c r="Q10" s="9"/>
    </row>
    <row r="11" spans="1:17" s="58" customFormat="1" ht="13.8">
      <c r="A11" s="54" t="s">
        <v>1391</v>
      </c>
      <c r="B11" s="19" t="s">
        <v>247</v>
      </c>
      <c r="C11" s="326" t="s">
        <v>1798</v>
      </c>
      <c r="D11" s="327"/>
      <c r="E11" s="327"/>
      <c r="F11" s="327"/>
      <c r="G11" s="328"/>
      <c r="H11" s="4" t="s">
        <v>1799</v>
      </c>
      <c r="I11" s="9"/>
      <c r="J11" s="9"/>
      <c r="K11" s="9"/>
      <c r="L11" s="9"/>
      <c r="M11" s="9"/>
      <c r="N11" s="9"/>
      <c r="O11" s="9"/>
      <c r="P11" s="9"/>
      <c r="Q11" s="9"/>
    </row>
    <row r="12" spans="1:17" s="58" customFormat="1" ht="13.8">
      <c r="A12" s="5" t="s">
        <v>1394</v>
      </c>
      <c r="B12" s="5" t="s">
        <v>1798</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1798</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248</v>
      </c>
      <c r="C15" s="322" t="s">
        <v>1568</v>
      </c>
      <c r="D15" s="322"/>
      <c r="E15" s="322"/>
      <c r="F15" s="322"/>
      <c r="G15" s="322"/>
      <c r="H15" s="322"/>
      <c r="I15" s="20" t="s">
        <v>1800</v>
      </c>
      <c r="J15" s="20" t="s">
        <v>1801</v>
      </c>
      <c r="K15" s="11" t="s">
        <v>1802</v>
      </c>
      <c r="L15" s="11"/>
      <c r="M15" s="11"/>
      <c r="N15" s="11"/>
      <c r="O15" s="9"/>
      <c r="P15" s="10"/>
      <c r="Q15" s="9"/>
    </row>
    <row r="16" spans="1:17" s="58" customFormat="1" ht="13.8">
      <c r="A16" s="54" t="s">
        <v>1391</v>
      </c>
      <c r="B16" s="19" t="s">
        <v>248</v>
      </c>
      <c r="C16" s="326" t="s">
        <v>1798</v>
      </c>
      <c r="D16" s="327"/>
      <c r="E16" s="327"/>
      <c r="F16" s="327"/>
      <c r="G16" s="328"/>
      <c r="H16" s="4" t="s">
        <v>1799</v>
      </c>
      <c r="I16" s="9"/>
      <c r="J16" s="9"/>
      <c r="K16" s="9"/>
      <c r="L16" s="9"/>
      <c r="M16" s="9"/>
      <c r="N16" s="9"/>
      <c r="O16" s="9"/>
      <c r="P16" s="9"/>
      <c r="Q16" s="9"/>
    </row>
    <row r="17" spans="1:17" s="58" customFormat="1" ht="13.8">
      <c r="A17" s="5" t="s">
        <v>1394</v>
      </c>
      <c r="B17" s="5" t="s">
        <v>1798</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1798</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249</v>
      </c>
      <c r="C19" s="322" t="s">
        <v>1803</v>
      </c>
      <c r="D19" s="322"/>
      <c r="E19" s="322"/>
      <c r="F19" s="322"/>
      <c r="G19" s="322"/>
      <c r="H19" s="322"/>
      <c r="I19" s="20" t="s">
        <v>1804</v>
      </c>
      <c r="J19" s="20" t="s">
        <v>1805</v>
      </c>
      <c r="K19" s="11" t="s">
        <v>1806</v>
      </c>
      <c r="L19" s="11"/>
      <c r="M19" s="11"/>
      <c r="N19" s="11"/>
      <c r="O19" s="9"/>
      <c r="P19" s="10"/>
      <c r="Q19" s="9"/>
    </row>
    <row r="20" spans="1:17" s="58" customFormat="1" ht="13.8">
      <c r="A20" s="54" t="s">
        <v>1391</v>
      </c>
      <c r="B20" s="19" t="s">
        <v>249</v>
      </c>
      <c r="C20" s="326" t="s">
        <v>1798</v>
      </c>
      <c r="D20" s="327"/>
      <c r="E20" s="327"/>
      <c r="F20" s="327"/>
      <c r="G20" s="328"/>
      <c r="H20" s="4" t="s">
        <v>1799</v>
      </c>
      <c r="I20" s="9"/>
      <c r="J20" s="9"/>
      <c r="K20" s="9"/>
      <c r="L20" s="9"/>
      <c r="M20" s="9"/>
      <c r="N20" s="9"/>
      <c r="O20" s="9"/>
      <c r="P20" s="9"/>
      <c r="Q20" s="9"/>
    </row>
    <row r="21" spans="1:17" s="58" customFormat="1" ht="13.8">
      <c r="A21" s="5" t="s">
        <v>1394</v>
      </c>
      <c r="B21" s="5" t="s">
        <v>1798</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1798</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250</v>
      </c>
      <c r="C23" s="322" t="s">
        <v>1807</v>
      </c>
      <c r="D23" s="322"/>
      <c r="E23" s="322"/>
      <c r="F23" s="322"/>
      <c r="G23" s="322"/>
      <c r="H23" s="322"/>
      <c r="I23" s="20" t="s">
        <v>1808</v>
      </c>
      <c r="J23" s="20" t="s">
        <v>1809</v>
      </c>
      <c r="K23" s="11" t="s">
        <v>1810</v>
      </c>
      <c r="L23" s="11"/>
      <c r="M23" s="11"/>
      <c r="N23" s="11"/>
      <c r="O23" s="9"/>
      <c r="P23" s="10"/>
      <c r="Q23" s="9"/>
    </row>
    <row r="24" spans="1:17" s="58" customFormat="1" ht="13.8">
      <c r="A24" s="54" t="s">
        <v>1391</v>
      </c>
      <c r="B24" s="19" t="s">
        <v>250</v>
      </c>
      <c r="C24" s="326" t="s">
        <v>1798</v>
      </c>
      <c r="D24" s="327"/>
      <c r="E24" s="327"/>
      <c r="F24" s="327"/>
      <c r="G24" s="328"/>
      <c r="H24" s="4" t="s">
        <v>1799</v>
      </c>
      <c r="I24" s="9"/>
      <c r="J24" s="9"/>
      <c r="K24" s="9"/>
      <c r="L24" s="9"/>
      <c r="M24" s="9"/>
      <c r="N24" s="9"/>
      <c r="O24" s="9"/>
      <c r="P24" s="9"/>
      <c r="Q24" s="9"/>
    </row>
    <row r="25" spans="1:17" s="58" customFormat="1" ht="13.8">
      <c r="A25" s="5" t="s">
        <v>1394</v>
      </c>
      <c r="B25" s="5" t="s">
        <v>1798</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1798</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251</v>
      </c>
      <c r="C27" s="322" t="s">
        <v>1569</v>
      </c>
      <c r="D27" s="322"/>
      <c r="E27" s="322"/>
      <c r="F27" s="322"/>
      <c r="G27" s="322"/>
      <c r="H27" s="322"/>
      <c r="I27" s="20" t="s">
        <v>1811</v>
      </c>
      <c r="J27" s="20" t="s">
        <v>1812</v>
      </c>
      <c r="K27" s="11" t="s">
        <v>1570</v>
      </c>
      <c r="L27" s="11"/>
      <c r="M27" s="11"/>
      <c r="N27" s="11"/>
      <c r="O27" s="9"/>
      <c r="P27" s="10"/>
      <c r="Q27" s="9"/>
    </row>
    <row r="28" spans="1:17" s="58" customFormat="1" ht="13.8">
      <c r="A28" s="54" t="s">
        <v>1391</v>
      </c>
      <c r="B28" s="19" t="s">
        <v>251</v>
      </c>
      <c r="C28" s="326" t="s">
        <v>1798</v>
      </c>
      <c r="D28" s="327"/>
      <c r="E28" s="327"/>
      <c r="F28" s="327"/>
      <c r="G28" s="328"/>
      <c r="H28" s="4" t="s">
        <v>1799</v>
      </c>
      <c r="I28" s="9"/>
      <c r="J28" s="9"/>
      <c r="K28" s="9"/>
      <c r="L28" s="9"/>
      <c r="M28" s="9"/>
      <c r="N28" s="9"/>
      <c r="O28" s="9"/>
      <c r="P28" s="9"/>
      <c r="Q28" s="9"/>
    </row>
    <row r="29" spans="1:17" s="58" customFormat="1" ht="13.8">
      <c r="A29" s="5" t="s">
        <v>1394</v>
      </c>
      <c r="B29" s="5" t="s">
        <v>1798</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1798</v>
      </c>
      <c r="C30" s="59" t="s">
        <v>1395</v>
      </c>
      <c r="D30" s="6" t="s">
        <v>97</v>
      </c>
      <c r="E30" s="6" t="s">
        <v>98</v>
      </c>
      <c r="F30" s="6" t="s">
        <v>1396</v>
      </c>
      <c r="G30" s="6" t="s">
        <v>1397</v>
      </c>
      <c r="H30" s="7"/>
      <c r="I30" s="9"/>
      <c r="J30" s="7"/>
      <c r="K30" s="12"/>
      <c r="L30" s="6"/>
      <c r="M30" s="6"/>
      <c r="N30" s="12"/>
      <c r="O30" s="7"/>
      <c r="P30" s="9"/>
      <c r="Q30" s="9"/>
    </row>
    <row r="31" spans="1:17" s="55" customFormat="1" ht="13.8">
      <c r="A31" s="54" t="s">
        <v>1385</v>
      </c>
      <c r="B31" s="17" t="s">
        <v>29</v>
      </c>
      <c r="C31" s="18"/>
      <c r="D31" s="18"/>
      <c r="E31" s="18"/>
      <c r="F31" s="18"/>
      <c r="G31" s="18"/>
      <c r="H31" s="18"/>
      <c r="I31" s="18"/>
      <c r="J31" s="18"/>
      <c r="K31" s="18"/>
      <c r="L31" s="8"/>
      <c r="M31" s="8"/>
      <c r="N31" s="8"/>
      <c r="O31" s="9"/>
      <c r="P31" s="10"/>
      <c r="Q31" s="9"/>
    </row>
    <row r="32" spans="1:17" s="57" customFormat="1" ht="51.6" customHeight="1">
      <c r="A32" s="56" t="s">
        <v>1386</v>
      </c>
      <c r="B32" s="3" t="s">
        <v>252</v>
      </c>
      <c r="C32" s="322" t="s">
        <v>1571</v>
      </c>
      <c r="D32" s="322"/>
      <c r="E32" s="322"/>
      <c r="F32" s="322"/>
      <c r="G32" s="322"/>
      <c r="H32" s="322"/>
      <c r="I32" s="20" t="s">
        <v>1813</v>
      </c>
      <c r="J32" s="20" t="s">
        <v>1814</v>
      </c>
      <c r="K32" s="11" t="s">
        <v>1815</v>
      </c>
      <c r="L32" s="11"/>
      <c r="M32" s="11"/>
      <c r="N32" s="11"/>
      <c r="O32" s="9"/>
      <c r="P32" s="10"/>
      <c r="Q32" s="9"/>
    </row>
    <row r="33" spans="1:17" s="58" customFormat="1" ht="13.8">
      <c r="A33" s="54" t="s">
        <v>1391</v>
      </c>
      <c r="B33" s="19" t="s">
        <v>252</v>
      </c>
      <c r="C33" s="326" t="s">
        <v>1798</v>
      </c>
      <c r="D33" s="327"/>
      <c r="E33" s="327"/>
      <c r="F33" s="327"/>
      <c r="G33" s="328"/>
      <c r="H33" s="4" t="s">
        <v>1799</v>
      </c>
      <c r="I33" s="9"/>
      <c r="J33" s="9"/>
      <c r="K33" s="9"/>
      <c r="L33" s="9"/>
      <c r="M33" s="9"/>
      <c r="N33" s="9"/>
      <c r="O33" s="9"/>
      <c r="P33" s="9"/>
      <c r="Q33" s="9"/>
    </row>
    <row r="34" spans="1:17" s="58" customFormat="1" ht="13.8">
      <c r="A34" s="5" t="s">
        <v>1394</v>
      </c>
      <c r="B34" s="5" t="s">
        <v>1798</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1798</v>
      </c>
      <c r="C35" s="59" t="s">
        <v>1395</v>
      </c>
      <c r="D35" s="6" t="s">
        <v>97</v>
      </c>
      <c r="E35" s="6" t="s">
        <v>98</v>
      </c>
      <c r="F35" s="6" t="s">
        <v>1396</v>
      </c>
      <c r="G35" s="6" t="s">
        <v>1397</v>
      </c>
      <c r="H35" s="7"/>
      <c r="I35" s="9"/>
      <c r="J35" s="7"/>
      <c r="K35" s="12"/>
      <c r="L35" s="6"/>
      <c r="M35" s="6"/>
      <c r="N35" s="12"/>
      <c r="O35" s="7"/>
      <c r="P35" s="9"/>
      <c r="Q35" s="9"/>
    </row>
  </sheetData>
  <mergeCells count="12">
    <mergeCell ref="C33:G33"/>
    <mergeCell ref="C10:H10"/>
    <mergeCell ref="C11:G11"/>
    <mergeCell ref="C15:H15"/>
    <mergeCell ref="C16:G16"/>
    <mergeCell ref="C19:H19"/>
    <mergeCell ref="C20:G20"/>
    <mergeCell ref="C23:H23"/>
    <mergeCell ref="C24:G24"/>
    <mergeCell ref="C27:H27"/>
    <mergeCell ref="C28:G28"/>
    <mergeCell ref="C32:H32"/>
  </mergeCells>
  <conditionalFormatting sqref="O9">
    <cfRule type="cellIs" dxfId="5132" priority="128" operator="equal">
      <formula>"U"</formula>
    </cfRule>
    <cfRule type="cellIs" dxfId="5131" priority="129" operator="equal">
      <formula>"S"</formula>
    </cfRule>
  </conditionalFormatting>
  <conditionalFormatting sqref="Q9">
    <cfRule type="cellIs" dxfId="5130" priority="127" operator="equal">
      <formula>"Y"</formula>
    </cfRule>
  </conditionalFormatting>
  <conditionalFormatting sqref="O10">
    <cfRule type="cellIs" dxfId="5129" priority="122" operator="equal">
      <formula>"NY"</formula>
    </cfRule>
    <cfRule type="cellIs" dxfId="5128" priority="123" operator="equal">
      <formula>"DM"</formula>
    </cfRule>
    <cfRule type="cellIs" dxfId="5127" priority="124" operator="equal">
      <formula>"PM"</formula>
    </cfRule>
    <cfRule type="cellIs" dxfId="5126" priority="125" operator="equal">
      <formula>"LM"</formula>
    </cfRule>
    <cfRule type="cellIs" dxfId="5125" priority="126" operator="equal">
      <formula>"FM"</formula>
    </cfRule>
  </conditionalFormatting>
  <conditionalFormatting sqref="Q10">
    <cfRule type="cellIs" dxfId="5124" priority="121" operator="equal">
      <formula>"Y"</formula>
    </cfRule>
  </conditionalFormatting>
  <conditionalFormatting sqref="O11">
    <cfRule type="cellIs" dxfId="5123" priority="116" operator="equal">
      <formula>"NY"</formula>
    </cfRule>
    <cfRule type="cellIs" dxfId="5122" priority="117" operator="equal">
      <formula>"DM"</formula>
    </cfRule>
    <cfRule type="cellIs" dxfId="5121" priority="118" operator="equal">
      <formula>"PM"</formula>
    </cfRule>
    <cfRule type="cellIs" dxfId="5120" priority="119" operator="equal">
      <formula>"LM"</formula>
    </cfRule>
    <cfRule type="cellIs" dxfId="5119" priority="120" operator="equal">
      <formula>"FM"</formula>
    </cfRule>
  </conditionalFormatting>
  <conditionalFormatting sqref="I11:J11">
    <cfRule type="cellIs" dxfId="5118" priority="114" operator="equal">
      <formula>"No"</formula>
    </cfRule>
    <cfRule type="cellIs" dxfId="5117" priority="115" operator="equal">
      <formula>"Yes"</formula>
    </cfRule>
  </conditionalFormatting>
  <conditionalFormatting sqref="Q11">
    <cfRule type="cellIs" dxfId="5116" priority="113" operator="equal">
      <formula>"Y"</formula>
    </cfRule>
  </conditionalFormatting>
  <conditionalFormatting sqref="I12">
    <cfRule type="cellIs" dxfId="5115" priority="111" operator="equal">
      <formula>"No"</formula>
    </cfRule>
    <cfRule type="cellIs" dxfId="5114" priority="112" operator="equal">
      <formula>"Yes"</formula>
    </cfRule>
  </conditionalFormatting>
  <conditionalFormatting sqref="Q12">
    <cfRule type="cellIs" dxfId="5113" priority="110" operator="equal">
      <formula>"Y"</formula>
    </cfRule>
  </conditionalFormatting>
  <conditionalFormatting sqref="I13">
    <cfRule type="cellIs" dxfId="5112" priority="108" operator="equal">
      <formula>"No"</formula>
    </cfRule>
    <cfRule type="cellIs" dxfId="5111" priority="109" operator="equal">
      <formula>"Yes"</formula>
    </cfRule>
  </conditionalFormatting>
  <conditionalFormatting sqref="Q13">
    <cfRule type="cellIs" dxfId="5110" priority="107" operator="equal">
      <formula>"Y"</formula>
    </cfRule>
  </conditionalFormatting>
  <conditionalFormatting sqref="O14">
    <cfRule type="cellIs" dxfId="5109" priority="105" operator="equal">
      <formula>"U"</formula>
    </cfRule>
    <cfRule type="cellIs" dxfId="5108" priority="106" operator="equal">
      <formula>"S"</formula>
    </cfRule>
  </conditionalFormatting>
  <conditionalFormatting sqref="Q14">
    <cfRule type="cellIs" dxfId="5107" priority="104" operator="equal">
      <formula>"Y"</formula>
    </cfRule>
  </conditionalFormatting>
  <conditionalFormatting sqref="O15">
    <cfRule type="cellIs" dxfId="5106" priority="99" operator="equal">
      <formula>"NY"</formula>
    </cfRule>
    <cfRule type="cellIs" dxfId="5105" priority="100" operator="equal">
      <formula>"DM"</formula>
    </cfRule>
    <cfRule type="cellIs" dxfId="5104" priority="101" operator="equal">
      <formula>"PM"</formula>
    </cfRule>
    <cfRule type="cellIs" dxfId="5103" priority="102" operator="equal">
      <formula>"LM"</formula>
    </cfRule>
    <cfRule type="cellIs" dxfId="5102" priority="103" operator="equal">
      <formula>"FM"</formula>
    </cfRule>
  </conditionalFormatting>
  <conditionalFormatting sqref="Q15">
    <cfRule type="cellIs" dxfId="5101" priority="98" operator="equal">
      <formula>"Y"</formula>
    </cfRule>
  </conditionalFormatting>
  <conditionalFormatting sqref="O16">
    <cfRule type="cellIs" dxfId="5100" priority="93" operator="equal">
      <formula>"NY"</formula>
    </cfRule>
    <cfRule type="cellIs" dxfId="5099" priority="94" operator="equal">
      <formula>"DM"</formula>
    </cfRule>
    <cfRule type="cellIs" dxfId="5098" priority="95" operator="equal">
      <formula>"PM"</formula>
    </cfRule>
    <cfRule type="cellIs" dxfId="5097" priority="96" operator="equal">
      <formula>"LM"</formula>
    </cfRule>
    <cfRule type="cellIs" dxfId="5096" priority="97" operator="equal">
      <formula>"FM"</formula>
    </cfRule>
  </conditionalFormatting>
  <conditionalFormatting sqref="I16:J16">
    <cfRule type="cellIs" dxfId="5095" priority="91" operator="equal">
      <formula>"No"</formula>
    </cfRule>
    <cfRule type="cellIs" dxfId="5094" priority="92" operator="equal">
      <formula>"Yes"</formula>
    </cfRule>
  </conditionalFormatting>
  <conditionalFormatting sqref="Q16">
    <cfRule type="cellIs" dxfId="5093" priority="90" operator="equal">
      <formula>"Y"</formula>
    </cfRule>
  </conditionalFormatting>
  <conditionalFormatting sqref="I17">
    <cfRule type="cellIs" dxfId="5092" priority="88" operator="equal">
      <formula>"No"</formula>
    </cfRule>
    <cfRule type="cellIs" dxfId="5091" priority="89" operator="equal">
      <formula>"Yes"</formula>
    </cfRule>
  </conditionalFormatting>
  <conditionalFormatting sqref="Q17">
    <cfRule type="cellIs" dxfId="5090" priority="87" operator="equal">
      <formula>"Y"</formula>
    </cfRule>
  </conditionalFormatting>
  <conditionalFormatting sqref="I18">
    <cfRule type="cellIs" dxfId="5089" priority="85" operator="equal">
      <formula>"No"</formula>
    </cfRule>
    <cfRule type="cellIs" dxfId="5088" priority="86" operator="equal">
      <formula>"Yes"</formula>
    </cfRule>
  </conditionalFormatting>
  <conditionalFormatting sqref="Q18">
    <cfRule type="cellIs" dxfId="5087" priority="84" operator="equal">
      <formula>"Y"</formula>
    </cfRule>
  </conditionalFormatting>
  <conditionalFormatting sqref="O19">
    <cfRule type="cellIs" dxfId="5086" priority="79" operator="equal">
      <formula>"NY"</formula>
    </cfRule>
    <cfRule type="cellIs" dxfId="5085" priority="80" operator="equal">
      <formula>"DM"</formula>
    </cfRule>
    <cfRule type="cellIs" dxfId="5084" priority="81" operator="equal">
      <formula>"PM"</formula>
    </cfRule>
    <cfRule type="cellIs" dxfId="5083" priority="82" operator="equal">
      <formula>"LM"</formula>
    </cfRule>
    <cfRule type="cellIs" dxfId="5082" priority="83" operator="equal">
      <formula>"FM"</formula>
    </cfRule>
  </conditionalFormatting>
  <conditionalFormatting sqref="Q19">
    <cfRule type="cellIs" dxfId="5081" priority="78" operator="equal">
      <formula>"Y"</formula>
    </cfRule>
  </conditionalFormatting>
  <conditionalFormatting sqref="O20">
    <cfRule type="cellIs" dxfId="5080" priority="73" operator="equal">
      <formula>"NY"</formula>
    </cfRule>
    <cfRule type="cellIs" dxfId="5079" priority="74" operator="equal">
      <formula>"DM"</formula>
    </cfRule>
    <cfRule type="cellIs" dxfId="5078" priority="75" operator="equal">
      <formula>"PM"</formula>
    </cfRule>
    <cfRule type="cellIs" dxfId="5077" priority="76" operator="equal">
      <formula>"LM"</formula>
    </cfRule>
    <cfRule type="cellIs" dxfId="5076" priority="77" operator="equal">
      <formula>"FM"</formula>
    </cfRule>
  </conditionalFormatting>
  <conditionalFormatting sqref="I20:J20">
    <cfRule type="cellIs" dxfId="5075" priority="71" operator="equal">
      <formula>"No"</formula>
    </cfRule>
    <cfRule type="cellIs" dxfId="5074" priority="72" operator="equal">
      <formula>"Yes"</formula>
    </cfRule>
  </conditionalFormatting>
  <conditionalFormatting sqref="Q20">
    <cfRule type="cellIs" dxfId="5073" priority="70" operator="equal">
      <formula>"Y"</formula>
    </cfRule>
  </conditionalFormatting>
  <conditionalFormatting sqref="I21">
    <cfRule type="cellIs" dxfId="5072" priority="68" operator="equal">
      <formula>"No"</formula>
    </cfRule>
    <cfRule type="cellIs" dxfId="5071" priority="69" operator="equal">
      <formula>"Yes"</formula>
    </cfRule>
  </conditionalFormatting>
  <conditionalFormatting sqref="Q21">
    <cfRule type="cellIs" dxfId="5070" priority="67" operator="equal">
      <formula>"Y"</formula>
    </cfRule>
  </conditionalFormatting>
  <conditionalFormatting sqref="I22">
    <cfRule type="cellIs" dxfId="5069" priority="65" operator="equal">
      <formula>"No"</formula>
    </cfRule>
    <cfRule type="cellIs" dxfId="5068" priority="66" operator="equal">
      <formula>"Yes"</formula>
    </cfRule>
  </conditionalFormatting>
  <conditionalFormatting sqref="Q22">
    <cfRule type="cellIs" dxfId="5067" priority="64" operator="equal">
      <formula>"Y"</formula>
    </cfRule>
  </conditionalFormatting>
  <conditionalFormatting sqref="O23">
    <cfRule type="cellIs" dxfId="5066" priority="59" operator="equal">
      <formula>"NY"</formula>
    </cfRule>
    <cfRule type="cellIs" dxfId="5065" priority="60" operator="equal">
      <formula>"DM"</formula>
    </cfRule>
    <cfRule type="cellIs" dxfId="5064" priority="61" operator="equal">
      <formula>"PM"</formula>
    </cfRule>
    <cfRule type="cellIs" dxfId="5063" priority="62" operator="equal">
      <formula>"LM"</formula>
    </cfRule>
    <cfRule type="cellIs" dxfId="5062" priority="63" operator="equal">
      <formula>"FM"</formula>
    </cfRule>
  </conditionalFormatting>
  <conditionalFormatting sqref="Q23">
    <cfRule type="cellIs" dxfId="5061" priority="58" operator="equal">
      <formula>"Y"</formula>
    </cfRule>
  </conditionalFormatting>
  <conditionalFormatting sqref="O24">
    <cfRule type="cellIs" dxfId="5060" priority="53" operator="equal">
      <formula>"NY"</formula>
    </cfRule>
    <cfRule type="cellIs" dxfId="5059" priority="54" operator="equal">
      <formula>"DM"</formula>
    </cfRule>
    <cfRule type="cellIs" dxfId="5058" priority="55" operator="equal">
      <formula>"PM"</formula>
    </cfRule>
    <cfRule type="cellIs" dxfId="5057" priority="56" operator="equal">
      <formula>"LM"</formula>
    </cfRule>
    <cfRule type="cellIs" dxfId="5056" priority="57" operator="equal">
      <formula>"FM"</formula>
    </cfRule>
  </conditionalFormatting>
  <conditionalFormatting sqref="I24:J24">
    <cfRule type="cellIs" dxfId="5055" priority="51" operator="equal">
      <formula>"No"</formula>
    </cfRule>
    <cfRule type="cellIs" dxfId="5054" priority="52" operator="equal">
      <formula>"Yes"</formula>
    </cfRule>
  </conditionalFormatting>
  <conditionalFormatting sqref="Q24">
    <cfRule type="cellIs" dxfId="5053" priority="50" operator="equal">
      <formula>"Y"</formula>
    </cfRule>
  </conditionalFormatting>
  <conditionalFormatting sqref="I25">
    <cfRule type="cellIs" dxfId="5052" priority="48" operator="equal">
      <formula>"No"</formula>
    </cfRule>
    <cfRule type="cellIs" dxfId="5051" priority="49" operator="equal">
      <formula>"Yes"</formula>
    </cfRule>
  </conditionalFormatting>
  <conditionalFormatting sqref="Q25">
    <cfRule type="cellIs" dxfId="5050" priority="47" operator="equal">
      <formula>"Y"</formula>
    </cfRule>
  </conditionalFormatting>
  <conditionalFormatting sqref="I26">
    <cfRule type="cellIs" dxfId="5049" priority="45" operator="equal">
      <formula>"No"</formula>
    </cfRule>
    <cfRule type="cellIs" dxfId="5048" priority="46" operator="equal">
      <formula>"Yes"</formula>
    </cfRule>
  </conditionalFormatting>
  <conditionalFormatting sqref="Q26">
    <cfRule type="cellIs" dxfId="5047" priority="44" operator="equal">
      <formula>"Y"</formula>
    </cfRule>
  </conditionalFormatting>
  <conditionalFormatting sqref="O27">
    <cfRule type="cellIs" dxfId="5046" priority="39" operator="equal">
      <formula>"NY"</formula>
    </cfRule>
    <cfRule type="cellIs" dxfId="5045" priority="40" operator="equal">
      <formula>"DM"</formula>
    </cfRule>
    <cfRule type="cellIs" dxfId="5044" priority="41" operator="equal">
      <formula>"PM"</formula>
    </cfRule>
    <cfRule type="cellIs" dxfId="5043" priority="42" operator="equal">
      <formula>"LM"</formula>
    </cfRule>
    <cfRule type="cellIs" dxfId="5042" priority="43" operator="equal">
      <formula>"FM"</formula>
    </cfRule>
  </conditionalFormatting>
  <conditionalFormatting sqref="Q27">
    <cfRule type="cellIs" dxfId="5041" priority="38" operator="equal">
      <formula>"Y"</formula>
    </cfRule>
  </conditionalFormatting>
  <conditionalFormatting sqref="O28">
    <cfRule type="cellIs" dxfId="5040" priority="33" operator="equal">
      <formula>"NY"</formula>
    </cfRule>
    <cfRule type="cellIs" dxfId="5039" priority="34" operator="equal">
      <formula>"DM"</formula>
    </cfRule>
    <cfRule type="cellIs" dxfId="5038" priority="35" operator="equal">
      <formula>"PM"</formula>
    </cfRule>
    <cfRule type="cellIs" dxfId="5037" priority="36" operator="equal">
      <formula>"LM"</formula>
    </cfRule>
    <cfRule type="cellIs" dxfId="5036" priority="37" operator="equal">
      <formula>"FM"</formula>
    </cfRule>
  </conditionalFormatting>
  <conditionalFormatting sqref="I28:J28">
    <cfRule type="cellIs" dxfId="5035" priority="31" operator="equal">
      <formula>"No"</formula>
    </cfRule>
    <cfRule type="cellIs" dxfId="5034" priority="32" operator="equal">
      <formula>"Yes"</formula>
    </cfRule>
  </conditionalFormatting>
  <conditionalFormatting sqref="Q28">
    <cfRule type="cellIs" dxfId="5033" priority="30" operator="equal">
      <formula>"Y"</formula>
    </cfRule>
  </conditionalFormatting>
  <conditionalFormatting sqref="I29">
    <cfRule type="cellIs" dxfId="5032" priority="28" operator="equal">
      <formula>"No"</formula>
    </cfRule>
    <cfRule type="cellIs" dxfId="5031" priority="29" operator="equal">
      <formula>"Yes"</formula>
    </cfRule>
  </conditionalFormatting>
  <conditionalFormatting sqref="Q29">
    <cfRule type="cellIs" dxfId="5030" priority="27" operator="equal">
      <formula>"Y"</formula>
    </cfRule>
  </conditionalFormatting>
  <conditionalFormatting sqref="I30">
    <cfRule type="cellIs" dxfId="5029" priority="25" operator="equal">
      <formula>"No"</formula>
    </cfRule>
    <cfRule type="cellIs" dxfId="5028" priority="26" operator="equal">
      <formula>"Yes"</formula>
    </cfRule>
  </conditionalFormatting>
  <conditionalFormatting sqref="Q30">
    <cfRule type="cellIs" dxfId="5027" priority="24" operator="equal">
      <formula>"Y"</formula>
    </cfRule>
  </conditionalFormatting>
  <conditionalFormatting sqref="O31">
    <cfRule type="cellIs" dxfId="5026" priority="22" operator="equal">
      <formula>"U"</formula>
    </cfRule>
    <cfRule type="cellIs" dxfId="5025" priority="23" operator="equal">
      <formula>"S"</formula>
    </cfRule>
  </conditionalFormatting>
  <conditionalFormatting sqref="Q31">
    <cfRule type="cellIs" dxfId="5024" priority="21" operator="equal">
      <formula>"Y"</formula>
    </cfRule>
  </conditionalFormatting>
  <conditionalFormatting sqref="O32">
    <cfRule type="cellIs" dxfId="5023" priority="16" operator="equal">
      <formula>"NY"</formula>
    </cfRule>
    <cfRule type="cellIs" dxfId="5022" priority="17" operator="equal">
      <formula>"DM"</formula>
    </cfRule>
    <cfRule type="cellIs" dxfId="5021" priority="18" operator="equal">
      <formula>"PM"</formula>
    </cfRule>
    <cfRule type="cellIs" dxfId="5020" priority="19" operator="equal">
      <formula>"LM"</formula>
    </cfRule>
    <cfRule type="cellIs" dxfId="5019" priority="20" operator="equal">
      <formula>"FM"</formula>
    </cfRule>
  </conditionalFormatting>
  <conditionalFormatting sqref="Q32">
    <cfRule type="cellIs" dxfId="5018" priority="15" operator="equal">
      <formula>"Y"</formula>
    </cfRule>
  </conditionalFormatting>
  <conditionalFormatting sqref="O33">
    <cfRule type="cellIs" dxfId="5017" priority="10" operator="equal">
      <formula>"NY"</formula>
    </cfRule>
    <cfRule type="cellIs" dxfId="5016" priority="11" operator="equal">
      <formula>"DM"</formula>
    </cfRule>
    <cfRule type="cellIs" dxfId="5015" priority="12" operator="equal">
      <formula>"PM"</formula>
    </cfRule>
    <cfRule type="cellIs" dxfId="5014" priority="13" operator="equal">
      <formula>"LM"</formula>
    </cfRule>
    <cfRule type="cellIs" dxfId="5013" priority="14" operator="equal">
      <formula>"FM"</formula>
    </cfRule>
  </conditionalFormatting>
  <conditionalFormatting sqref="I33:J33">
    <cfRule type="cellIs" dxfId="5012" priority="8" operator="equal">
      <formula>"No"</formula>
    </cfRule>
    <cfRule type="cellIs" dxfId="5011" priority="9" operator="equal">
      <formula>"Yes"</formula>
    </cfRule>
  </conditionalFormatting>
  <conditionalFormatting sqref="Q33">
    <cfRule type="cellIs" dxfId="5010" priority="7" operator="equal">
      <formula>"Y"</formula>
    </cfRule>
  </conditionalFormatting>
  <conditionalFormatting sqref="I34">
    <cfRule type="cellIs" dxfId="5009" priority="5" operator="equal">
      <formula>"No"</formula>
    </cfRule>
    <cfRule type="cellIs" dxfId="5008" priority="6" operator="equal">
      <formula>"Yes"</formula>
    </cfRule>
  </conditionalFormatting>
  <conditionalFormatting sqref="Q34">
    <cfRule type="cellIs" dxfId="5007" priority="4" operator="equal">
      <formula>"Y"</formula>
    </cfRule>
  </conditionalFormatting>
  <conditionalFormatting sqref="I35">
    <cfRule type="cellIs" dxfId="5006" priority="2" operator="equal">
      <formula>"No"</formula>
    </cfRule>
    <cfRule type="cellIs" dxfId="5005" priority="3" operator="equal">
      <formula>"Yes"</formula>
    </cfRule>
  </conditionalFormatting>
  <conditionalFormatting sqref="Q35">
    <cfRule type="cellIs" dxfId="5004" priority="1" operator="equal">
      <formula>"Y"</formula>
    </cfRule>
  </conditionalFormatting>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93B3E-A69B-4246-9CC1-05044D55219E}">
  <sheetPr codeName="Sheet34"/>
  <dimension ref="A1:Q35"/>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1523</v>
      </c>
    </row>
    <row r="2" spans="1:17" s="61" customFormat="1" ht="21">
      <c r="A2" s="60" t="s">
        <v>1816</v>
      </c>
    </row>
    <row r="3" spans="1:17">
      <c r="A3" s="62" t="s">
        <v>1707</v>
      </c>
      <c r="B3" s="63" t="s">
        <v>1524</v>
      </c>
    </row>
    <row r="4" spans="1:17">
      <c r="A4" s="63" t="s">
        <v>1401</v>
      </c>
      <c r="B4" s="63" t="s">
        <v>1817</v>
      </c>
    </row>
    <row r="5" spans="1:17">
      <c r="A5" s="62" t="s">
        <v>1709</v>
      </c>
      <c r="B5" s="63" t="s">
        <v>1525</v>
      </c>
    </row>
    <row r="6" spans="1:17">
      <c r="A6" s="63" t="s">
        <v>1402</v>
      </c>
      <c r="B6" s="63" t="s">
        <v>1818</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168</v>
      </c>
      <c r="C10" s="322" t="s">
        <v>1526</v>
      </c>
      <c r="D10" s="322"/>
      <c r="E10" s="322"/>
      <c r="F10" s="322"/>
      <c r="G10" s="322"/>
      <c r="H10" s="322"/>
      <c r="I10" s="20" t="s">
        <v>1819</v>
      </c>
      <c r="J10" s="20" t="s">
        <v>1820</v>
      </c>
      <c r="K10" s="11" t="s">
        <v>1527</v>
      </c>
      <c r="L10" s="11"/>
      <c r="M10" s="11"/>
      <c r="N10" s="11"/>
      <c r="O10" s="9"/>
      <c r="P10" s="10"/>
      <c r="Q10" s="9"/>
    </row>
    <row r="11" spans="1:17" s="58" customFormat="1" ht="13.8">
      <c r="A11" s="54" t="s">
        <v>1391</v>
      </c>
      <c r="B11" s="19" t="s">
        <v>168</v>
      </c>
      <c r="C11" s="326" t="s">
        <v>1727</v>
      </c>
      <c r="D11" s="327"/>
      <c r="E11" s="327"/>
      <c r="F11" s="327"/>
      <c r="G11" s="328"/>
      <c r="H11" s="4" t="s">
        <v>1821</v>
      </c>
      <c r="I11" s="9"/>
      <c r="J11" s="9"/>
      <c r="K11" s="9"/>
      <c r="L11" s="9"/>
      <c r="M11" s="9"/>
      <c r="N11" s="9"/>
      <c r="O11" s="9"/>
      <c r="P11" s="9"/>
      <c r="Q11" s="9"/>
    </row>
    <row r="12" spans="1:17" s="58" customFormat="1" ht="13.8">
      <c r="A12" s="5" t="s">
        <v>1394</v>
      </c>
      <c r="B12" s="5" t="s">
        <v>1727</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169</v>
      </c>
      <c r="C15" s="322" t="s">
        <v>1528</v>
      </c>
      <c r="D15" s="322"/>
      <c r="E15" s="322"/>
      <c r="F15" s="322"/>
      <c r="G15" s="322"/>
      <c r="H15" s="322"/>
      <c r="I15" s="20" t="s">
        <v>1822</v>
      </c>
      <c r="J15" s="20" t="s">
        <v>1823</v>
      </c>
      <c r="K15" s="11" t="s">
        <v>1529</v>
      </c>
      <c r="L15" s="11"/>
      <c r="M15" s="11"/>
      <c r="N15" s="11"/>
      <c r="O15" s="9"/>
      <c r="P15" s="10"/>
      <c r="Q15" s="9"/>
    </row>
    <row r="16" spans="1:17" s="58" customFormat="1" ht="13.8">
      <c r="A16" s="54" t="s">
        <v>1391</v>
      </c>
      <c r="B16" s="19" t="s">
        <v>169</v>
      </c>
      <c r="C16" s="326" t="s">
        <v>1727</v>
      </c>
      <c r="D16" s="327"/>
      <c r="E16" s="327"/>
      <c r="F16" s="327"/>
      <c r="G16" s="328"/>
      <c r="H16" s="4" t="s">
        <v>1821</v>
      </c>
      <c r="I16" s="9"/>
      <c r="J16" s="9"/>
      <c r="K16" s="9"/>
      <c r="L16" s="9"/>
      <c r="M16" s="9"/>
      <c r="N16" s="9"/>
      <c r="O16" s="9"/>
      <c r="P16" s="9"/>
      <c r="Q16" s="9"/>
    </row>
    <row r="17" spans="1:17" s="58" customFormat="1" ht="13.8">
      <c r="A17" s="5" t="s">
        <v>1394</v>
      </c>
      <c r="B17" s="5" t="s">
        <v>1727</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1727</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170</v>
      </c>
      <c r="C19" s="322" t="s">
        <v>1530</v>
      </c>
      <c r="D19" s="322"/>
      <c r="E19" s="322"/>
      <c r="F19" s="322"/>
      <c r="G19" s="322"/>
      <c r="H19" s="322"/>
      <c r="I19" s="20" t="s">
        <v>1824</v>
      </c>
      <c r="J19" s="20" t="s">
        <v>1825</v>
      </c>
      <c r="K19" s="11" t="s">
        <v>1531</v>
      </c>
      <c r="L19" s="11"/>
      <c r="M19" s="11"/>
      <c r="N19" s="11"/>
      <c r="O19" s="9"/>
      <c r="P19" s="10"/>
      <c r="Q19" s="9"/>
    </row>
    <row r="20" spans="1:17" s="58" customFormat="1" ht="13.8">
      <c r="A20" s="54" t="s">
        <v>1391</v>
      </c>
      <c r="B20" s="19" t="s">
        <v>170</v>
      </c>
      <c r="C20" s="326" t="s">
        <v>1727</v>
      </c>
      <c r="D20" s="327"/>
      <c r="E20" s="327"/>
      <c r="F20" s="327"/>
      <c r="G20" s="328"/>
      <c r="H20" s="4" t="s">
        <v>1821</v>
      </c>
      <c r="I20" s="9"/>
      <c r="J20" s="9"/>
      <c r="K20" s="9"/>
      <c r="L20" s="9"/>
      <c r="M20" s="9"/>
      <c r="N20" s="9"/>
      <c r="O20" s="9"/>
      <c r="P20" s="9"/>
      <c r="Q20" s="9"/>
    </row>
    <row r="21" spans="1:17" s="58" customFormat="1" ht="13.8">
      <c r="A21" s="5" t="s">
        <v>1394</v>
      </c>
      <c r="B21" s="5" t="s">
        <v>1727</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1727</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171</v>
      </c>
      <c r="C23" s="322" t="s">
        <v>1532</v>
      </c>
      <c r="D23" s="322"/>
      <c r="E23" s="322"/>
      <c r="F23" s="322"/>
      <c r="G23" s="322"/>
      <c r="H23" s="322"/>
      <c r="I23" s="20" t="s">
        <v>1826</v>
      </c>
      <c r="J23" s="20" t="s">
        <v>1827</v>
      </c>
      <c r="K23" s="11" t="s">
        <v>1828</v>
      </c>
      <c r="L23" s="11"/>
      <c r="M23" s="11"/>
      <c r="N23" s="11"/>
      <c r="O23" s="9"/>
      <c r="P23" s="10"/>
      <c r="Q23" s="9"/>
    </row>
    <row r="24" spans="1:17" s="58" customFormat="1" ht="13.8">
      <c r="A24" s="54" t="s">
        <v>1391</v>
      </c>
      <c r="B24" s="19" t="s">
        <v>171</v>
      </c>
      <c r="C24" s="326" t="s">
        <v>1727</v>
      </c>
      <c r="D24" s="327"/>
      <c r="E24" s="327"/>
      <c r="F24" s="327"/>
      <c r="G24" s="328"/>
      <c r="H24" s="4" t="s">
        <v>1821</v>
      </c>
      <c r="I24" s="9"/>
      <c r="J24" s="9"/>
      <c r="K24" s="9"/>
      <c r="L24" s="9"/>
      <c r="M24" s="9"/>
      <c r="N24" s="9"/>
      <c r="O24" s="9"/>
      <c r="P24" s="9"/>
      <c r="Q24" s="9"/>
    </row>
    <row r="25" spans="1:17" s="58" customFormat="1" ht="13.8">
      <c r="A25" s="5" t="s">
        <v>1394</v>
      </c>
      <c r="B25" s="5" t="s">
        <v>1727</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1727</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172</v>
      </c>
      <c r="C27" s="322" t="s">
        <v>1533</v>
      </c>
      <c r="D27" s="322"/>
      <c r="E27" s="322"/>
      <c r="F27" s="322"/>
      <c r="G27" s="322"/>
      <c r="H27" s="322"/>
      <c r="I27" s="20" t="s">
        <v>1829</v>
      </c>
      <c r="J27" s="20" t="s">
        <v>1830</v>
      </c>
      <c r="K27" s="11" t="s">
        <v>1534</v>
      </c>
      <c r="L27" s="11"/>
      <c r="M27" s="11"/>
      <c r="N27" s="11"/>
      <c r="O27" s="9"/>
      <c r="P27" s="10"/>
      <c r="Q27" s="9"/>
    </row>
    <row r="28" spans="1:17" s="58" customFormat="1" ht="13.8">
      <c r="A28" s="54" t="s">
        <v>1391</v>
      </c>
      <c r="B28" s="19" t="s">
        <v>172</v>
      </c>
      <c r="C28" s="326" t="s">
        <v>1727</v>
      </c>
      <c r="D28" s="327"/>
      <c r="E28" s="327"/>
      <c r="F28" s="327"/>
      <c r="G28" s="328"/>
      <c r="H28" s="4" t="s">
        <v>1821</v>
      </c>
      <c r="I28" s="9"/>
      <c r="J28" s="9"/>
      <c r="K28" s="9"/>
      <c r="L28" s="9"/>
      <c r="M28" s="9"/>
      <c r="N28" s="9"/>
      <c r="O28" s="9"/>
      <c r="P28" s="9"/>
      <c r="Q28" s="9"/>
    </row>
    <row r="29" spans="1:17" s="58" customFormat="1" ht="13.8">
      <c r="A29" s="5" t="s">
        <v>1394</v>
      </c>
      <c r="B29" s="5" t="s">
        <v>1727</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1727</v>
      </c>
      <c r="C30" s="59" t="s">
        <v>1395</v>
      </c>
      <c r="D30" s="6" t="s">
        <v>97</v>
      </c>
      <c r="E30" s="6" t="s">
        <v>98</v>
      </c>
      <c r="F30" s="6" t="s">
        <v>1396</v>
      </c>
      <c r="G30" s="6" t="s">
        <v>1397</v>
      </c>
      <c r="H30" s="7"/>
      <c r="I30" s="9"/>
      <c r="J30" s="7"/>
      <c r="K30" s="12"/>
      <c r="L30" s="6"/>
      <c r="M30" s="6"/>
      <c r="N30" s="12"/>
      <c r="O30" s="7"/>
      <c r="P30" s="9"/>
      <c r="Q30" s="9"/>
    </row>
    <row r="31" spans="1:17" s="55" customFormat="1" ht="13.8">
      <c r="A31" s="54" t="s">
        <v>1385</v>
      </c>
      <c r="B31" s="17" t="s">
        <v>29</v>
      </c>
      <c r="C31" s="18"/>
      <c r="D31" s="18"/>
      <c r="E31" s="18"/>
      <c r="F31" s="18"/>
      <c r="G31" s="18"/>
      <c r="H31" s="18"/>
      <c r="I31" s="18"/>
      <c r="J31" s="18"/>
      <c r="K31" s="18"/>
      <c r="L31" s="8"/>
      <c r="M31" s="8"/>
      <c r="N31" s="8"/>
      <c r="O31" s="9"/>
      <c r="P31" s="10"/>
      <c r="Q31" s="9"/>
    </row>
    <row r="32" spans="1:17" s="57" customFormat="1" ht="51.6" customHeight="1">
      <c r="A32" s="56" t="s">
        <v>1386</v>
      </c>
      <c r="B32" s="3" t="s">
        <v>173</v>
      </c>
      <c r="C32" s="322" t="s">
        <v>1535</v>
      </c>
      <c r="D32" s="322"/>
      <c r="E32" s="322"/>
      <c r="F32" s="322"/>
      <c r="G32" s="322"/>
      <c r="H32" s="322"/>
      <c r="I32" s="20" t="s">
        <v>1831</v>
      </c>
      <c r="J32" s="20" t="s">
        <v>1832</v>
      </c>
      <c r="K32" s="11" t="s">
        <v>1833</v>
      </c>
      <c r="L32" s="11"/>
      <c r="M32" s="11"/>
      <c r="N32" s="11"/>
      <c r="O32" s="9"/>
      <c r="P32" s="10"/>
      <c r="Q32" s="9"/>
    </row>
    <row r="33" spans="1:17" s="58" customFormat="1" ht="13.8">
      <c r="A33" s="54" t="s">
        <v>1391</v>
      </c>
      <c r="B33" s="19" t="s">
        <v>173</v>
      </c>
      <c r="C33" s="326" t="s">
        <v>1727</v>
      </c>
      <c r="D33" s="327"/>
      <c r="E33" s="327"/>
      <c r="F33" s="327"/>
      <c r="G33" s="328"/>
      <c r="H33" s="4" t="s">
        <v>1821</v>
      </c>
      <c r="I33" s="9"/>
      <c r="J33" s="9"/>
      <c r="K33" s="9"/>
      <c r="L33" s="9"/>
      <c r="M33" s="9"/>
      <c r="N33" s="9"/>
      <c r="O33" s="9"/>
      <c r="P33" s="9"/>
      <c r="Q33" s="9"/>
    </row>
    <row r="34" spans="1:17" s="58" customFormat="1" ht="13.8">
      <c r="A34" s="5" t="s">
        <v>1394</v>
      </c>
      <c r="B34" s="5" t="s">
        <v>1727</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1727</v>
      </c>
      <c r="C35" s="59" t="s">
        <v>1395</v>
      </c>
      <c r="D35" s="6" t="s">
        <v>97</v>
      </c>
      <c r="E35" s="6" t="s">
        <v>98</v>
      </c>
      <c r="F35" s="6" t="s">
        <v>1396</v>
      </c>
      <c r="G35" s="6" t="s">
        <v>1397</v>
      </c>
      <c r="H35" s="7"/>
      <c r="I35" s="9"/>
      <c r="J35" s="7"/>
      <c r="K35" s="12"/>
      <c r="L35" s="6"/>
      <c r="M35" s="6"/>
      <c r="N35" s="12"/>
      <c r="O35" s="7"/>
      <c r="P35" s="9"/>
      <c r="Q35" s="9"/>
    </row>
  </sheetData>
  <mergeCells count="12">
    <mergeCell ref="C33:G33"/>
    <mergeCell ref="C10:H10"/>
    <mergeCell ref="C11:G11"/>
    <mergeCell ref="C15:H15"/>
    <mergeCell ref="C16:G16"/>
    <mergeCell ref="C19:H19"/>
    <mergeCell ref="C20:G20"/>
    <mergeCell ref="C23:H23"/>
    <mergeCell ref="C24:G24"/>
    <mergeCell ref="C27:H27"/>
    <mergeCell ref="C28:G28"/>
    <mergeCell ref="C32:H32"/>
  </mergeCells>
  <conditionalFormatting sqref="O9">
    <cfRule type="cellIs" dxfId="5003" priority="128" operator="equal">
      <formula>"U"</formula>
    </cfRule>
    <cfRule type="cellIs" dxfId="5002" priority="129" operator="equal">
      <formula>"S"</formula>
    </cfRule>
  </conditionalFormatting>
  <conditionalFormatting sqref="Q9">
    <cfRule type="cellIs" dxfId="5001" priority="127" operator="equal">
      <formula>"Y"</formula>
    </cfRule>
  </conditionalFormatting>
  <conditionalFormatting sqref="O10">
    <cfRule type="cellIs" dxfId="5000" priority="122" operator="equal">
      <formula>"NY"</formula>
    </cfRule>
    <cfRule type="cellIs" dxfId="4999" priority="123" operator="equal">
      <formula>"DM"</formula>
    </cfRule>
    <cfRule type="cellIs" dxfId="4998" priority="124" operator="equal">
      <formula>"PM"</formula>
    </cfRule>
    <cfRule type="cellIs" dxfId="4997" priority="125" operator="equal">
      <formula>"LM"</formula>
    </cfRule>
    <cfRule type="cellIs" dxfId="4996" priority="126" operator="equal">
      <formula>"FM"</formula>
    </cfRule>
  </conditionalFormatting>
  <conditionalFormatting sqref="Q10">
    <cfRule type="cellIs" dxfId="4995" priority="121" operator="equal">
      <formula>"Y"</formula>
    </cfRule>
  </conditionalFormatting>
  <conditionalFormatting sqref="O11">
    <cfRule type="cellIs" dxfId="4994" priority="116" operator="equal">
      <formula>"NY"</formula>
    </cfRule>
    <cfRule type="cellIs" dxfId="4993" priority="117" operator="equal">
      <formula>"DM"</formula>
    </cfRule>
    <cfRule type="cellIs" dxfId="4992" priority="118" operator="equal">
      <formula>"PM"</formula>
    </cfRule>
    <cfRule type="cellIs" dxfId="4991" priority="119" operator="equal">
      <formula>"LM"</formula>
    </cfRule>
    <cfRule type="cellIs" dxfId="4990" priority="120" operator="equal">
      <formula>"FM"</formula>
    </cfRule>
  </conditionalFormatting>
  <conditionalFormatting sqref="I11:J11">
    <cfRule type="cellIs" dxfId="4989" priority="114" operator="equal">
      <formula>"No"</formula>
    </cfRule>
    <cfRule type="cellIs" dxfId="4988" priority="115" operator="equal">
      <formula>"Yes"</formula>
    </cfRule>
  </conditionalFormatting>
  <conditionalFormatting sqref="Q11">
    <cfRule type="cellIs" dxfId="4987" priority="113" operator="equal">
      <formula>"Y"</formula>
    </cfRule>
  </conditionalFormatting>
  <conditionalFormatting sqref="I12">
    <cfRule type="cellIs" dxfId="4986" priority="111" operator="equal">
      <formula>"No"</formula>
    </cfRule>
    <cfRule type="cellIs" dxfId="4985" priority="112" operator="equal">
      <formula>"Yes"</formula>
    </cfRule>
  </conditionalFormatting>
  <conditionalFormatting sqref="Q12">
    <cfRule type="cellIs" dxfId="4984" priority="110" operator="equal">
      <formula>"Y"</formula>
    </cfRule>
  </conditionalFormatting>
  <conditionalFormatting sqref="I13">
    <cfRule type="cellIs" dxfId="4983" priority="108" operator="equal">
      <formula>"No"</formula>
    </cfRule>
    <cfRule type="cellIs" dxfId="4982" priority="109" operator="equal">
      <formula>"Yes"</formula>
    </cfRule>
  </conditionalFormatting>
  <conditionalFormatting sqref="Q13">
    <cfRule type="cellIs" dxfId="4981" priority="107" operator="equal">
      <formula>"Y"</formula>
    </cfRule>
  </conditionalFormatting>
  <conditionalFormatting sqref="O14">
    <cfRule type="cellIs" dxfId="4980" priority="105" operator="equal">
      <formula>"U"</formula>
    </cfRule>
    <cfRule type="cellIs" dxfId="4979" priority="106" operator="equal">
      <formula>"S"</formula>
    </cfRule>
  </conditionalFormatting>
  <conditionalFormatting sqref="Q14">
    <cfRule type="cellIs" dxfId="4978" priority="104" operator="equal">
      <formula>"Y"</formula>
    </cfRule>
  </conditionalFormatting>
  <conditionalFormatting sqref="O15">
    <cfRule type="cellIs" dxfId="4977" priority="99" operator="equal">
      <formula>"NY"</formula>
    </cfRule>
    <cfRule type="cellIs" dxfId="4976" priority="100" operator="equal">
      <formula>"DM"</formula>
    </cfRule>
    <cfRule type="cellIs" dxfId="4975" priority="101" operator="equal">
      <formula>"PM"</formula>
    </cfRule>
    <cfRule type="cellIs" dxfId="4974" priority="102" operator="equal">
      <formula>"LM"</formula>
    </cfRule>
    <cfRule type="cellIs" dxfId="4973" priority="103" operator="equal">
      <formula>"FM"</formula>
    </cfRule>
  </conditionalFormatting>
  <conditionalFormatting sqref="Q15">
    <cfRule type="cellIs" dxfId="4972" priority="98" operator="equal">
      <formula>"Y"</formula>
    </cfRule>
  </conditionalFormatting>
  <conditionalFormatting sqref="O16">
    <cfRule type="cellIs" dxfId="4971" priority="93" operator="equal">
      <formula>"NY"</formula>
    </cfRule>
    <cfRule type="cellIs" dxfId="4970" priority="94" operator="equal">
      <formula>"DM"</formula>
    </cfRule>
    <cfRule type="cellIs" dxfId="4969" priority="95" operator="equal">
      <formula>"PM"</formula>
    </cfRule>
    <cfRule type="cellIs" dxfId="4968" priority="96" operator="equal">
      <formula>"LM"</formula>
    </cfRule>
    <cfRule type="cellIs" dxfId="4967" priority="97" operator="equal">
      <formula>"FM"</formula>
    </cfRule>
  </conditionalFormatting>
  <conditionalFormatting sqref="I16:J16">
    <cfRule type="cellIs" dxfId="4966" priority="91" operator="equal">
      <formula>"No"</formula>
    </cfRule>
    <cfRule type="cellIs" dxfId="4965" priority="92" operator="equal">
      <formula>"Yes"</formula>
    </cfRule>
  </conditionalFormatting>
  <conditionalFormatting sqref="Q16">
    <cfRule type="cellIs" dxfId="4964" priority="90" operator="equal">
      <formula>"Y"</formula>
    </cfRule>
  </conditionalFormatting>
  <conditionalFormatting sqref="I17">
    <cfRule type="cellIs" dxfId="4963" priority="88" operator="equal">
      <formula>"No"</formula>
    </cfRule>
    <cfRule type="cellIs" dxfId="4962" priority="89" operator="equal">
      <formula>"Yes"</formula>
    </cfRule>
  </conditionalFormatting>
  <conditionalFormatting sqref="Q17">
    <cfRule type="cellIs" dxfId="4961" priority="87" operator="equal">
      <formula>"Y"</formula>
    </cfRule>
  </conditionalFormatting>
  <conditionalFormatting sqref="I18">
    <cfRule type="cellIs" dxfId="4960" priority="85" operator="equal">
      <formula>"No"</formula>
    </cfRule>
    <cfRule type="cellIs" dxfId="4959" priority="86" operator="equal">
      <formula>"Yes"</formula>
    </cfRule>
  </conditionalFormatting>
  <conditionalFormatting sqref="Q18">
    <cfRule type="cellIs" dxfId="4958" priority="84" operator="equal">
      <formula>"Y"</formula>
    </cfRule>
  </conditionalFormatting>
  <conditionalFormatting sqref="O19">
    <cfRule type="cellIs" dxfId="4957" priority="79" operator="equal">
      <formula>"NY"</formula>
    </cfRule>
    <cfRule type="cellIs" dxfId="4956" priority="80" operator="equal">
      <formula>"DM"</formula>
    </cfRule>
    <cfRule type="cellIs" dxfId="4955" priority="81" operator="equal">
      <formula>"PM"</formula>
    </cfRule>
    <cfRule type="cellIs" dxfId="4954" priority="82" operator="equal">
      <formula>"LM"</formula>
    </cfRule>
    <cfRule type="cellIs" dxfId="4953" priority="83" operator="equal">
      <formula>"FM"</formula>
    </cfRule>
  </conditionalFormatting>
  <conditionalFormatting sqref="Q19">
    <cfRule type="cellIs" dxfId="4952" priority="78" operator="equal">
      <formula>"Y"</formula>
    </cfRule>
  </conditionalFormatting>
  <conditionalFormatting sqref="O20">
    <cfRule type="cellIs" dxfId="4951" priority="73" operator="equal">
      <formula>"NY"</formula>
    </cfRule>
    <cfRule type="cellIs" dxfId="4950" priority="74" operator="equal">
      <formula>"DM"</formula>
    </cfRule>
    <cfRule type="cellIs" dxfId="4949" priority="75" operator="equal">
      <formula>"PM"</formula>
    </cfRule>
    <cfRule type="cellIs" dxfId="4948" priority="76" operator="equal">
      <formula>"LM"</formula>
    </cfRule>
    <cfRule type="cellIs" dxfId="4947" priority="77" operator="equal">
      <formula>"FM"</formula>
    </cfRule>
  </conditionalFormatting>
  <conditionalFormatting sqref="I20:J20">
    <cfRule type="cellIs" dxfId="4946" priority="71" operator="equal">
      <formula>"No"</formula>
    </cfRule>
    <cfRule type="cellIs" dxfId="4945" priority="72" operator="equal">
      <formula>"Yes"</formula>
    </cfRule>
  </conditionalFormatting>
  <conditionalFormatting sqref="Q20">
    <cfRule type="cellIs" dxfId="4944" priority="70" operator="equal">
      <formula>"Y"</formula>
    </cfRule>
  </conditionalFormatting>
  <conditionalFormatting sqref="I21">
    <cfRule type="cellIs" dxfId="4943" priority="68" operator="equal">
      <formula>"No"</formula>
    </cfRule>
    <cfRule type="cellIs" dxfId="4942" priority="69" operator="equal">
      <formula>"Yes"</formula>
    </cfRule>
  </conditionalFormatting>
  <conditionalFormatting sqref="Q21">
    <cfRule type="cellIs" dxfId="4941" priority="67" operator="equal">
      <formula>"Y"</formula>
    </cfRule>
  </conditionalFormatting>
  <conditionalFormatting sqref="I22">
    <cfRule type="cellIs" dxfId="4940" priority="65" operator="equal">
      <formula>"No"</formula>
    </cfRule>
    <cfRule type="cellIs" dxfId="4939" priority="66" operator="equal">
      <formula>"Yes"</formula>
    </cfRule>
  </conditionalFormatting>
  <conditionalFormatting sqref="Q22">
    <cfRule type="cellIs" dxfId="4938" priority="64" operator="equal">
      <formula>"Y"</formula>
    </cfRule>
  </conditionalFormatting>
  <conditionalFormatting sqref="O23">
    <cfRule type="cellIs" dxfId="4937" priority="59" operator="equal">
      <formula>"NY"</formula>
    </cfRule>
    <cfRule type="cellIs" dxfId="4936" priority="60" operator="equal">
      <formula>"DM"</formula>
    </cfRule>
    <cfRule type="cellIs" dxfId="4935" priority="61" operator="equal">
      <formula>"PM"</formula>
    </cfRule>
    <cfRule type="cellIs" dxfId="4934" priority="62" operator="equal">
      <formula>"LM"</formula>
    </cfRule>
    <cfRule type="cellIs" dxfId="4933" priority="63" operator="equal">
      <formula>"FM"</formula>
    </cfRule>
  </conditionalFormatting>
  <conditionalFormatting sqref="Q23">
    <cfRule type="cellIs" dxfId="4932" priority="58" operator="equal">
      <formula>"Y"</formula>
    </cfRule>
  </conditionalFormatting>
  <conditionalFormatting sqref="O24">
    <cfRule type="cellIs" dxfId="4931" priority="53" operator="equal">
      <formula>"NY"</formula>
    </cfRule>
    <cfRule type="cellIs" dxfId="4930" priority="54" operator="equal">
      <formula>"DM"</formula>
    </cfRule>
    <cfRule type="cellIs" dxfId="4929" priority="55" operator="equal">
      <formula>"PM"</formula>
    </cfRule>
    <cfRule type="cellIs" dxfId="4928" priority="56" operator="equal">
      <formula>"LM"</formula>
    </cfRule>
    <cfRule type="cellIs" dxfId="4927" priority="57" operator="equal">
      <formula>"FM"</formula>
    </cfRule>
  </conditionalFormatting>
  <conditionalFormatting sqref="I24:J24">
    <cfRule type="cellIs" dxfId="4926" priority="51" operator="equal">
      <formula>"No"</formula>
    </cfRule>
    <cfRule type="cellIs" dxfId="4925" priority="52" operator="equal">
      <formula>"Yes"</formula>
    </cfRule>
  </conditionalFormatting>
  <conditionalFormatting sqref="Q24">
    <cfRule type="cellIs" dxfId="4924" priority="50" operator="equal">
      <formula>"Y"</formula>
    </cfRule>
  </conditionalFormatting>
  <conditionalFormatting sqref="I25">
    <cfRule type="cellIs" dxfId="4923" priority="48" operator="equal">
      <formula>"No"</formula>
    </cfRule>
    <cfRule type="cellIs" dxfId="4922" priority="49" operator="equal">
      <formula>"Yes"</formula>
    </cfRule>
  </conditionalFormatting>
  <conditionalFormatting sqref="Q25">
    <cfRule type="cellIs" dxfId="4921" priority="47" operator="equal">
      <formula>"Y"</formula>
    </cfRule>
  </conditionalFormatting>
  <conditionalFormatting sqref="I26">
    <cfRule type="cellIs" dxfId="4920" priority="45" operator="equal">
      <formula>"No"</formula>
    </cfRule>
    <cfRule type="cellIs" dxfId="4919" priority="46" operator="equal">
      <formula>"Yes"</formula>
    </cfRule>
  </conditionalFormatting>
  <conditionalFormatting sqref="Q26">
    <cfRule type="cellIs" dxfId="4918" priority="44" operator="equal">
      <formula>"Y"</formula>
    </cfRule>
  </conditionalFormatting>
  <conditionalFormatting sqref="O27">
    <cfRule type="cellIs" dxfId="4917" priority="39" operator="equal">
      <formula>"NY"</formula>
    </cfRule>
    <cfRule type="cellIs" dxfId="4916" priority="40" operator="equal">
      <formula>"DM"</formula>
    </cfRule>
    <cfRule type="cellIs" dxfId="4915" priority="41" operator="equal">
      <formula>"PM"</formula>
    </cfRule>
    <cfRule type="cellIs" dxfId="4914" priority="42" operator="equal">
      <formula>"LM"</formula>
    </cfRule>
    <cfRule type="cellIs" dxfId="4913" priority="43" operator="equal">
      <formula>"FM"</formula>
    </cfRule>
  </conditionalFormatting>
  <conditionalFormatting sqref="Q27">
    <cfRule type="cellIs" dxfId="4912" priority="38" operator="equal">
      <formula>"Y"</formula>
    </cfRule>
  </conditionalFormatting>
  <conditionalFormatting sqref="O28">
    <cfRule type="cellIs" dxfId="4911" priority="33" operator="equal">
      <formula>"NY"</formula>
    </cfRule>
    <cfRule type="cellIs" dxfId="4910" priority="34" operator="equal">
      <formula>"DM"</formula>
    </cfRule>
    <cfRule type="cellIs" dxfId="4909" priority="35" operator="equal">
      <formula>"PM"</formula>
    </cfRule>
    <cfRule type="cellIs" dxfId="4908" priority="36" operator="equal">
      <formula>"LM"</formula>
    </cfRule>
    <cfRule type="cellIs" dxfId="4907" priority="37" operator="equal">
      <formula>"FM"</formula>
    </cfRule>
  </conditionalFormatting>
  <conditionalFormatting sqref="I28:J28">
    <cfRule type="cellIs" dxfId="4906" priority="31" operator="equal">
      <formula>"No"</formula>
    </cfRule>
    <cfRule type="cellIs" dxfId="4905" priority="32" operator="equal">
      <formula>"Yes"</formula>
    </cfRule>
  </conditionalFormatting>
  <conditionalFormatting sqref="Q28">
    <cfRule type="cellIs" dxfId="4904" priority="30" operator="equal">
      <formula>"Y"</formula>
    </cfRule>
  </conditionalFormatting>
  <conditionalFormatting sqref="I29">
    <cfRule type="cellIs" dxfId="4903" priority="28" operator="equal">
      <formula>"No"</formula>
    </cfRule>
    <cfRule type="cellIs" dxfId="4902" priority="29" operator="equal">
      <formula>"Yes"</formula>
    </cfRule>
  </conditionalFormatting>
  <conditionalFormatting sqref="Q29">
    <cfRule type="cellIs" dxfId="4901" priority="27" operator="equal">
      <formula>"Y"</formula>
    </cfRule>
  </conditionalFormatting>
  <conditionalFormatting sqref="I30">
    <cfRule type="cellIs" dxfId="4900" priority="25" operator="equal">
      <formula>"No"</formula>
    </cfRule>
    <cfRule type="cellIs" dxfId="4899" priority="26" operator="equal">
      <formula>"Yes"</formula>
    </cfRule>
  </conditionalFormatting>
  <conditionalFormatting sqref="Q30">
    <cfRule type="cellIs" dxfId="4898" priority="24" operator="equal">
      <formula>"Y"</formula>
    </cfRule>
  </conditionalFormatting>
  <conditionalFormatting sqref="O31">
    <cfRule type="cellIs" dxfId="4897" priority="22" operator="equal">
      <formula>"U"</formula>
    </cfRule>
    <cfRule type="cellIs" dxfId="4896" priority="23" operator="equal">
      <formula>"S"</formula>
    </cfRule>
  </conditionalFormatting>
  <conditionalFormatting sqref="Q31">
    <cfRule type="cellIs" dxfId="4895" priority="21" operator="equal">
      <formula>"Y"</formula>
    </cfRule>
  </conditionalFormatting>
  <conditionalFormatting sqref="O32">
    <cfRule type="cellIs" dxfId="4894" priority="16" operator="equal">
      <formula>"NY"</formula>
    </cfRule>
    <cfRule type="cellIs" dxfId="4893" priority="17" operator="equal">
      <formula>"DM"</formula>
    </cfRule>
    <cfRule type="cellIs" dxfId="4892" priority="18" operator="equal">
      <formula>"PM"</formula>
    </cfRule>
    <cfRule type="cellIs" dxfId="4891" priority="19" operator="equal">
      <formula>"LM"</formula>
    </cfRule>
    <cfRule type="cellIs" dxfId="4890" priority="20" operator="equal">
      <formula>"FM"</formula>
    </cfRule>
  </conditionalFormatting>
  <conditionalFormatting sqref="Q32">
    <cfRule type="cellIs" dxfId="4889" priority="15" operator="equal">
      <formula>"Y"</formula>
    </cfRule>
  </conditionalFormatting>
  <conditionalFormatting sqref="O33">
    <cfRule type="cellIs" dxfId="4888" priority="10" operator="equal">
      <formula>"NY"</formula>
    </cfRule>
    <cfRule type="cellIs" dxfId="4887" priority="11" operator="equal">
      <formula>"DM"</formula>
    </cfRule>
    <cfRule type="cellIs" dxfId="4886" priority="12" operator="equal">
      <formula>"PM"</formula>
    </cfRule>
    <cfRule type="cellIs" dxfId="4885" priority="13" operator="equal">
      <formula>"LM"</formula>
    </cfRule>
    <cfRule type="cellIs" dxfId="4884" priority="14" operator="equal">
      <formula>"FM"</formula>
    </cfRule>
  </conditionalFormatting>
  <conditionalFormatting sqref="I33:J33">
    <cfRule type="cellIs" dxfId="4883" priority="8" operator="equal">
      <formula>"No"</formula>
    </cfRule>
    <cfRule type="cellIs" dxfId="4882" priority="9" operator="equal">
      <formula>"Yes"</formula>
    </cfRule>
  </conditionalFormatting>
  <conditionalFormatting sqref="Q33">
    <cfRule type="cellIs" dxfId="4881" priority="7" operator="equal">
      <formula>"Y"</formula>
    </cfRule>
  </conditionalFormatting>
  <conditionalFormatting sqref="I34">
    <cfRule type="cellIs" dxfId="4880" priority="5" operator="equal">
      <formula>"No"</formula>
    </cfRule>
    <cfRule type="cellIs" dxfId="4879" priority="6" operator="equal">
      <formula>"Yes"</formula>
    </cfRule>
  </conditionalFormatting>
  <conditionalFormatting sqref="Q34">
    <cfRule type="cellIs" dxfId="4878" priority="4" operator="equal">
      <formula>"Y"</formula>
    </cfRule>
  </conditionalFormatting>
  <conditionalFormatting sqref="I35">
    <cfRule type="cellIs" dxfId="4877" priority="2" operator="equal">
      <formula>"No"</formula>
    </cfRule>
    <cfRule type="cellIs" dxfId="4876" priority="3" operator="equal">
      <formula>"Yes"</formula>
    </cfRule>
  </conditionalFormatting>
  <conditionalFormatting sqref="Q35">
    <cfRule type="cellIs" dxfId="4875" priority="1" operator="equal">
      <formula>"Y"</formula>
    </cfRule>
  </conditionalFormatting>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DD825-B206-4AD0-94F8-407FCA0A517D}">
  <sheetPr codeName="Sheet35"/>
  <dimension ref="A1:Q63"/>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1632</v>
      </c>
    </row>
    <row r="2" spans="1:17" s="61" customFormat="1" ht="21">
      <c r="A2" s="60" t="s">
        <v>1834</v>
      </c>
    </row>
    <row r="3" spans="1:17">
      <c r="A3" s="62" t="s">
        <v>1707</v>
      </c>
      <c r="B3" s="63" t="s">
        <v>1633</v>
      </c>
    </row>
    <row r="4" spans="1:17">
      <c r="A4" s="63" t="s">
        <v>1401</v>
      </c>
      <c r="B4" s="63" t="s">
        <v>1835</v>
      </c>
    </row>
    <row r="5" spans="1:17">
      <c r="A5" s="62" t="s">
        <v>1709</v>
      </c>
      <c r="B5" s="63" t="s">
        <v>1634</v>
      </c>
    </row>
    <row r="6" spans="1:17">
      <c r="A6" s="63" t="s">
        <v>1402</v>
      </c>
      <c r="B6" s="63" t="s">
        <v>1836</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285</v>
      </c>
      <c r="C10" s="322" t="s">
        <v>1635</v>
      </c>
      <c r="D10" s="322"/>
      <c r="E10" s="322"/>
      <c r="F10" s="322"/>
      <c r="G10" s="322"/>
      <c r="H10" s="322"/>
      <c r="I10" s="20" t="s">
        <v>1837</v>
      </c>
      <c r="J10" s="20" t="s">
        <v>1838</v>
      </c>
      <c r="K10" s="11" t="s">
        <v>1839</v>
      </c>
      <c r="L10" s="11"/>
      <c r="M10" s="11"/>
      <c r="N10" s="11"/>
      <c r="O10" s="9"/>
      <c r="P10" s="10"/>
      <c r="Q10" s="9"/>
    </row>
    <row r="11" spans="1:17" s="58" customFormat="1" ht="13.8">
      <c r="A11" s="54" t="s">
        <v>1391</v>
      </c>
      <c r="B11" s="19" t="s">
        <v>285</v>
      </c>
      <c r="C11" s="326" t="s">
        <v>1727</v>
      </c>
      <c r="D11" s="327"/>
      <c r="E11" s="327"/>
      <c r="F11" s="327"/>
      <c r="G11" s="328"/>
      <c r="H11" s="4" t="s">
        <v>1821</v>
      </c>
      <c r="I11" s="9"/>
      <c r="J11" s="9"/>
      <c r="K11" s="9"/>
      <c r="L11" s="9"/>
      <c r="M11" s="9"/>
      <c r="N11" s="9"/>
      <c r="O11" s="9"/>
      <c r="P11" s="9"/>
      <c r="Q11" s="9"/>
    </row>
    <row r="12" spans="1:17" s="58" customFormat="1" ht="13.8">
      <c r="A12" s="5" t="s">
        <v>1394</v>
      </c>
      <c r="B12" s="5" t="s">
        <v>1727</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286</v>
      </c>
      <c r="C15" s="322" t="s">
        <v>1636</v>
      </c>
      <c r="D15" s="322"/>
      <c r="E15" s="322"/>
      <c r="F15" s="322"/>
      <c r="G15" s="322"/>
      <c r="H15" s="322"/>
      <c r="I15" s="20" t="s">
        <v>1840</v>
      </c>
      <c r="J15" s="20" t="s">
        <v>1841</v>
      </c>
      <c r="K15" s="11" t="s">
        <v>1842</v>
      </c>
      <c r="L15" s="11"/>
      <c r="M15" s="11"/>
      <c r="N15" s="11"/>
      <c r="O15" s="9"/>
      <c r="P15" s="10"/>
      <c r="Q15" s="9"/>
    </row>
    <row r="16" spans="1:17" s="58" customFormat="1" ht="13.8">
      <c r="A16" s="54" t="s">
        <v>1391</v>
      </c>
      <c r="B16" s="19" t="s">
        <v>286</v>
      </c>
      <c r="C16" s="326" t="s">
        <v>1727</v>
      </c>
      <c r="D16" s="327"/>
      <c r="E16" s="327"/>
      <c r="F16" s="327"/>
      <c r="G16" s="328"/>
      <c r="H16" s="4" t="s">
        <v>1821</v>
      </c>
      <c r="I16" s="9"/>
      <c r="J16" s="9"/>
      <c r="K16" s="9"/>
      <c r="L16" s="9"/>
      <c r="M16" s="9"/>
      <c r="N16" s="9"/>
      <c r="O16" s="9"/>
      <c r="P16" s="9"/>
      <c r="Q16" s="9"/>
    </row>
    <row r="17" spans="1:17" s="58" customFormat="1" ht="13.8">
      <c r="A17" s="5" t="s">
        <v>1394</v>
      </c>
      <c r="B17" s="5" t="s">
        <v>1727</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1727</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287</v>
      </c>
      <c r="C19" s="322" t="s">
        <v>1637</v>
      </c>
      <c r="D19" s="322"/>
      <c r="E19" s="322"/>
      <c r="F19" s="322"/>
      <c r="G19" s="322"/>
      <c r="H19" s="322"/>
      <c r="I19" s="20" t="s">
        <v>1843</v>
      </c>
      <c r="J19" s="20" t="s">
        <v>1844</v>
      </c>
      <c r="K19" s="11" t="s">
        <v>1845</v>
      </c>
      <c r="L19" s="11"/>
      <c r="M19" s="11"/>
      <c r="N19" s="11"/>
      <c r="O19" s="9"/>
      <c r="P19" s="10"/>
      <c r="Q19" s="9"/>
    </row>
    <row r="20" spans="1:17" s="58" customFormat="1" ht="13.8">
      <c r="A20" s="54" t="s">
        <v>1391</v>
      </c>
      <c r="B20" s="19" t="s">
        <v>287</v>
      </c>
      <c r="C20" s="326" t="s">
        <v>1727</v>
      </c>
      <c r="D20" s="327"/>
      <c r="E20" s="327"/>
      <c r="F20" s="327"/>
      <c r="G20" s="328"/>
      <c r="H20" s="4" t="s">
        <v>1821</v>
      </c>
      <c r="I20" s="9"/>
      <c r="J20" s="9"/>
      <c r="K20" s="9"/>
      <c r="L20" s="9"/>
      <c r="M20" s="9"/>
      <c r="N20" s="9"/>
      <c r="O20" s="9"/>
      <c r="P20" s="9"/>
      <c r="Q20" s="9"/>
    </row>
    <row r="21" spans="1:17" s="58" customFormat="1" ht="13.8">
      <c r="A21" s="5" t="s">
        <v>1394</v>
      </c>
      <c r="B21" s="5" t="s">
        <v>1727</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1727</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288</v>
      </c>
      <c r="C23" s="322" t="s">
        <v>1638</v>
      </c>
      <c r="D23" s="322"/>
      <c r="E23" s="322"/>
      <c r="F23" s="322"/>
      <c r="G23" s="322"/>
      <c r="H23" s="322"/>
      <c r="I23" s="20" t="s">
        <v>1846</v>
      </c>
      <c r="J23" s="20" t="s">
        <v>1847</v>
      </c>
      <c r="K23" s="11" t="s">
        <v>1848</v>
      </c>
      <c r="L23" s="11"/>
      <c r="M23" s="11"/>
      <c r="N23" s="11"/>
      <c r="O23" s="9"/>
      <c r="P23" s="10"/>
      <c r="Q23" s="9"/>
    </row>
    <row r="24" spans="1:17" s="58" customFormat="1" ht="13.8">
      <c r="A24" s="54" t="s">
        <v>1391</v>
      </c>
      <c r="B24" s="19" t="s">
        <v>288</v>
      </c>
      <c r="C24" s="326" t="s">
        <v>1727</v>
      </c>
      <c r="D24" s="327"/>
      <c r="E24" s="327"/>
      <c r="F24" s="327"/>
      <c r="G24" s="328"/>
      <c r="H24" s="4" t="s">
        <v>1821</v>
      </c>
      <c r="I24" s="9"/>
      <c r="J24" s="9"/>
      <c r="K24" s="9"/>
      <c r="L24" s="9"/>
      <c r="M24" s="9"/>
      <c r="N24" s="9"/>
      <c r="O24" s="9"/>
      <c r="P24" s="9"/>
      <c r="Q24" s="9"/>
    </row>
    <row r="25" spans="1:17" s="58" customFormat="1" ht="13.8">
      <c r="A25" s="5" t="s">
        <v>1394</v>
      </c>
      <c r="B25" s="5" t="s">
        <v>1727</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1727</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289</v>
      </c>
      <c r="C27" s="322" t="s">
        <v>1639</v>
      </c>
      <c r="D27" s="322"/>
      <c r="E27" s="322"/>
      <c r="F27" s="322"/>
      <c r="G27" s="322"/>
      <c r="H27" s="322"/>
      <c r="I27" s="20" t="s">
        <v>1849</v>
      </c>
      <c r="J27" s="20" t="s">
        <v>1850</v>
      </c>
      <c r="K27" s="11" t="s">
        <v>1851</v>
      </c>
      <c r="L27" s="11"/>
      <c r="M27" s="11"/>
      <c r="N27" s="11"/>
      <c r="O27" s="9"/>
      <c r="P27" s="10"/>
      <c r="Q27" s="9"/>
    </row>
    <row r="28" spans="1:17" s="58" customFormat="1" ht="13.8">
      <c r="A28" s="54" t="s">
        <v>1391</v>
      </c>
      <c r="B28" s="19" t="s">
        <v>289</v>
      </c>
      <c r="C28" s="326" t="s">
        <v>1727</v>
      </c>
      <c r="D28" s="327"/>
      <c r="E28" s="327"/>
      <c r="F28" s="327"/>
      <c r="G28" s="328"/>
      <c r="H28" s="4" t="s">
        <v>1821</v>
      </c>
      <c r="I28" s="9"/>
      <c r="J28" s="9"/>
      <c r="K28" s="9"/>
      <c r="L28" s="9"/>
      <c r="M28" s="9"/>
      <c r="N28" s="9"/>
      <c r="O28" s="9"/>
      <c r="P28" s="9"/>
      <c r="Q28" s="9"/>
    </row>
    <row r="29" spans="1:17" s="58" customFormat="1" ht="13.8">
      <c r="A29" s="5" t="s">
        <v>1394</v>
      </c>
      <c r="B29" s="5" t="s">
        <v>1727</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1727</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290</v>
      </c>
      <c r="C31" s="322" t="s">
        <v>1640</v>
      </c>
      <c r="D31" s="322"/>
      <c r="E31" s="322"/>
      <c r="F31" s="322"/>
      <c r="G31" s="322"/>
      <c r="H31" s="322"/>
      <c r="I31" s="20" t="s">
        <v>1852</v>
      </c>
      <c r="J31" s="20" t="s">
        <v>1853</v>
      </c>
      <c r="K31" s="11" t="s">
        <v>1854</v>
      </c>
      <c r="L31" s="11"/>
      <c r="M31" s="11"/>
      <c r="N31" s="11"/>
      <c r="O31" s="9"/>
      <c r="P31" s="10"/>
      <c r="Q31" s="9"/>
    </row>
    <row r="32" spans="1:17" s="58" customFormat="1" ht="13.8">
      <c r="A32" s="54" t="s">
        <v>1391</v>
      </c>
      <c r="B32" s="19" t="s">
        <v>290</v>
      </c>
      <c r="C32" s="326" t="s">
        <v>1727</v>
      </c>
      <c r="D32" s="327"/>
      <c r="E32" s="327"/>
      <c r="F32" s="327"/>
      <c r="G32" s="328"/>
      <c r="H32" s="4" t="s">
        <v>1821</v>
      </c>
      <c r="I32" s="9"/>
      <c r="J32" s="9"/>
      <c r="K32" s="9"/>
      <c r="L32" s="9"/>
      <c r="M32" s="9"/>
      <c r="N32" s="9"/>
      <c r="O32" s="9"/>
      <c r="P32" s="9"/>
      <c r="Q32" s="9"/>
    </row>
    <row r="33" spans="1:17" s="58" customFormat="1" ht="13.8">
      <c r="A33" s="5" t="s">
        <v>1394</v>
      </c>
      <c r="B33" s="5" t="s">
        <v>1727</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1727</v>
      </c>
      <c r="C34" s="59" t="s">
        <v>1395</v>
      </c>
      <c r="D34" s="6" t="s">
        <v>97</v>
      </c>
      <c r="E34" s="6" t="s">
        <v>98</v>
      </c>
      <c r="F34" s="6" t="s">
        <v>1396</v>
      </c>
      <c r="G34" s="6" t="s">
        <v>1397</v>
      </c>
      <c r="H34" s="7"/>
      <c r="I34" s="9"/>
      <c r="J34" s="7"/>
      <c r="K34" s="12"/>
      <c r="L34" s="6"/>
      <c r="M34" s="6"/>
      <c r="N34" s="12"/>
      <c r="O34" s="7"/>
      <c r="P34" s="9"/>
      <c r="Q34" s="9"/>
    </row>
    <row r="35" spans="1:17" s="55" customFormat="1" ht="13.8">
      <c r="A35" s="54" t="s">
        <v>1385</v>
      </c>
      <c r="B35" s="17" t="s">
        <v>29</v>
      </c>
      <c r="C35" s="18"/>
      <c r="D35" s="18"/>
      <c r="E35" s="18"/>
      <c r="F35" s="18"/>
      <c r="G35" s="18"/>
      <c r="H35" s="18"/>
      <c r="I35" s="18"/>
      <c r="J35" s="18"/>
      <c r="K35" s="18"/>
      <c r="L35" s="8"/>
      <c r="M35" s="8"/>
      <c r="N35" s="8"/>
      <c r="O35" s="9"/>
      <c r="P35" s="10"/>
      <c r="Q35" s="9"/>
    </row>
    <row r="36" spans="1:17" s="57" customFormat="1" ht="51.6" customHeight="1">
      <c r="A36" s="56" t="s">
        <v>1386</v>
      </c>
      <c r="B36" s="3" t="s">
        <v>292</v>
      </c>
      <c r="C36" s="322" t="s">
        <v>1641</v>
      </c>
      <c r="D36" s="322"/>
      <c r="E36" s="322"/>
      <c r="F36" s="322"/>
      <c r="G36" s="322"/>
      <c r="H36" s="322"/>
      <c r="I36" s="20" t="s">
        <v>1855</v>
      </c>
      <c r="J36" s="20" t="s">
        <v>1856</v>
      </c>
      <c r="K36" s="11" t="s">
        <v>1857</v>
      </c>
      <c r="L36" s="11"/>
      <c r="M36" s="11"/>
      <c r="N36" s="11"/>
      <c r="O36" s="9"/>
      <c r="P36" s="10"/>
      <c r="Q36" s="9"/>
    </row>
    <row r="37" spans="1:17" s="58" customFormat="1" ht="13.8">
      <c r="A37" s="54" t="s">
        <v>1391</v>
      </c>
      <c r="B37" s="19" t="s">
        <v>292</v>
      </c>
      <c r="C37" s="326" t="s">
        <v>1727</v>
      </c>
      <c r="D37" s="327"/>
      <c r="E37" s="327"/>
      <c r="F37" s="327"/>
      <c r="G37" s="328"/>
      <c r="H37" s="4" t="s">
        <v>1821</v>
      </c>
      <c r="I37" s="9"/>
      <c r="J37" s="9"/>
      <c r="K37" s="9"/>
      <c r="L37" s="9"/>
      <c r="M37" s="9"/>
      <c r="N37" s="9"/>
      <c r="O37" s="9"/>
      <c r="P37" s="9"/>
      <c r="Q37" s="9"/>
    </row>
    <row r="38" spans="1:17" s="58" customFormat="1" ht="13.8">
      <c r="A38" s="5" t="s">
        <v>1394</v>
      </c>
      <c r="B38" s="5" t="s">
        <v>1727</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1727</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293</v>
      </c>
      <c r="C40" s="322" t="s">
        <v>1642</v>
      </c>
      <c r="D40" s="322"/>
      <c r="E40" s="322"/>
      <c r="F40" s="322"/>
      <c r="G40" s="322"/>
      <c r="H40" s="322"/>
      <c r="I40" s="20" t="s">
        <v>1858</v>
      </c>
      <c r="J40" s="20" t="s">
        <v>1859</v>
      </c>
      <c r="K40" s="11" t="s">
        <v>1860</v>
      </c>
      <c r="L40" s="11"/>
      <c r="M40" s="11"/>
      <c r="N40" s="11"/>
      <c r="O40" s="9"/>
      <c r="P40" s="10"/>
      <c r="Q40" s="9"/>
    </row>
    <row r="41" spans="1:17" s="58" customFormat="1" ht="13.8">
      <c r="A41" s="54" t="s">
        <v>1391</v>
      </c>
      <c r="B41" s="19" t="s">
        <v>293</v>
      </c>
      <c r="C41" s="326" t="s">
        <v>1727</v>
      </c>
      <c r="D41" s="327"/>
      <c r="E41" s="327"/>
      <c r="F41" s="327"/>
      <c r="G41" s="328"/>
      <c r="H41" s="4" t="s">
        <v>1821</v>
      </c>
      <c r="I41" s="9"/>
      <c r="J41" s="9"/>
      <c r="K41" s="9"/>
      <c r="L41" s="9"/>
      <c r="M41" s="9"/>
      <c r="N41" s="9"/>
      <c r="O41" s="9"/>
      <c r="P41" s="9"/>
      <c r="Q41" s="9"/>
    </row>
    <row r="42" spans="1:17" s="58" customFormat="1" ht="13.8">
      <c r="A42" s="5" t="s">
        <v>1394</v>
      </c>
      <c r="B42" s="5" t="s">
        <v>1727</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1727</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294</v>
      </c>
      <c r="C44" s="322" t="s">
        <v>1643</v>
      </c>
      <c r="D44" s="322"/>
      <c r="E44" s="322"/>
      <c r="F44" s="322"/>
      <c r="G44" s="322"/>
      <c r="H44" s="322"/>
      <c r="I44" s="20" t="s">
        <v>1861</v>
      </c>
      <c r="J44" s="20" t="s">
        <v>1862</v>
      </c>
      <c r="K44" s="11" t="s">
        <v>1863</v>
      </c>
      <c r="L44" s="11"/>
      <c r="M44" s="11"/>
      <c r="N44" s="11"/>
      <c r="O44" s="9"/>
      <c r="P44" s="10"/>
      <c r="Q44" s="9"/>
    </row>
    <row r="45" spans="1:17" s="58" customFormat="1" ht="13.8">
      <c r="A45" s="54" t="s">
        <v>1391</v>
      </c>
      <c r="B45" s="19" t="s">
        <v>294</v>
      </c>
      <c r="C45" s="326" t="s">
        <v>1727</v>
      </c>
      <c r="D45" s="327"/>
      <c r="E45" s="327"/>
      <c r="F45" s="327"/>
      <c r="G45" s="328"/>
      <c r="H45" s="4" t="s">
        <v>1821</v>
      </c>
      <c r="I45" s="9"/>
      <c r="J45" s="9"/>
      <c r="K45" s="9"/>
      <c r="L45" s="9"/>
      <c r="M45" s="9"/>
      <c r="N45" s="9"/>
      <c r="O45" s="9"/>
      <c r="P45" s="9"/>
      <c r="Q45" s="9"/>
    </row>
    <row r="46" spans="1:17" s="58" customFormat="1" ht="13.8">
      <c r="A46" s="5" t="s">
        <v>1394</v>
      </c>
      <c r="B46" s="5" t="s">
        <v>1727</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1727</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295</v>
      </c>
      <c r="C48" s="322" t="s">
        <v>1644</v>
      </c>
      <c r="D48" s="322"/>
      <c r="E48" s="322"/>
      <c r="F48" s="322"/>
      <c r="G48" s="322"/>
      <c r="H48" s="322"/>
      <c r="I48" s="20" t="s">
        <v>1864</v>
      </c>
      <c r="J48" s="20" t="s">
        <v>1865</v>
      </c>
      <c r="K48" s="11" t="s">
        <v>1866</v>
      </c>
      <c r="L48" s="11"/>
      <c r="M48" s="11"/>
      <c r="N48" s="11"/>
      <c r="O48" s="9"/>
      <c r="P48" s="10"/>
      <c r="Q48" s="9"/>
    </row>
    <row r="49" spans="1:17" s="58" customFormat="1" ht="13.8">
      <c r="A49" s="54" t="s">
        <v>1391</v>
      </c>
      <c r="B49" s="19" t="s">
        <v>295</v>
      </c>
      <c r="C49" s="326" t="s">
        <v>1727</v>
      </c>
      <c r="D49" s="327"/>
      <c r="E49" s="327"/>
      <c r="F49" s="327"/>
      <c r="G49" s="328"/>
      <c r="H49" s="4" t="s">
        <v>1821</v>
      </c>
      <c r="I49" s="9"/>
      <c r="J49" s="9"/>
      <c r="K49" s="9"/>
      <c r="L49" s="9"/>
      <c r="M49" s="9"/>
      <c r="N49" s="9"/>
      <c r="O49" s="9"/>
      <c r="P49" s="9"/>
      <c r="Q49" s="9"/>
    </row>
    <row r="50" spans="1:17" s="58" customFormat="1" ht="13.8">
      <c r="A50" s="5" t="s">
        <v>1394</v>
      </c>
      <c r="B50" s="5" t="s">
        <v>1727</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1727</v>
      </c>
      <c r="C51" s="59" t="s">
        <v>1395</v>
      </c>
      <c r="D51" s="6" t="s">
        <v>97</v>
      </c>
      <c r="E51" s="6" t="s">
        <v>98</v>
      </c>
      <c r="F51" s="6" t="s">
        <v>1396</v>
      </c>
      <c r="G51" s="6" t="s">
        <v>1397</v>
      </c>
      <c r="H51" s="7"/>
      <c r="I51" s="9"/>
      <c r="J51" s="7"/>
      <c r="K51" s="12"/>
      <c r="L51" s="6"/>
      <c r="M51" s="6"/>
      <c r="N51" s="12"/>
      <c r="O51" s="7"/>
      <c r="P51" s="9"/>
      <c r="Q51" s="9"/>
    </row>
    <row r="52" spans="1:17" s="57" customFormat="1" ht="51.6" customHeight="1">
      <c r="A52" s="56" t="s">
        <v>1386</v>
      </c>
      <c r="B52" s="3" t="s">
        <v>296</v>
      </c>
      <c r="C52" s="322" t="s">
        <v>1645</v>
      </c>
      <c r="D52" s="322"/>
      <c r="E52" s="322"/>
      <c r="F52" s="322"/>
      <c r="G52" s="322"/>
      <c r="H52" s="322"/>
      <c r="I52" s="20" t="s">
        <v>1867</v>
      </c>
      <c r="J52" s="20" t="s">
        <v>1868</v>
      </c>
      <c r="K52" s="11" t="s">
        <v>1869</v>
      </c>
      <c r="L52" s="11"/>
      <c r="M52" s="11"/>
      <c r="N52" s="11"/>
      <c r="O52" s="9"/>
      <c r="P52" s="10"/>
      <c r="Q52" s="9"/>
    </row>
    <row r="53" spans="1:17" s="58" customFormat="1" ht="13.8">
      <c r="A53" s="54" t="s">
        <v>1391</v>
      </c>
      <c r="B53" s="19" t="s">
        <v>296</v>
      </c>
      <c r="C53" s="326" t="s">
        <v>1727</v>
      </c>
      <c r="D53" s="327"/>
      <c r="E53" s="327"/>
      <c r="F53" s="327"/>
      <c r="G53" s="328"/>
      <c r="H53" s="4" t="s">
        <v>1821</v>
      </c>
      <c r="I53" s="9"/>
      <c r="J53" s="9"/>
      <c r="K53" s="9"/>
      <c r="L53" s="9"/>
      <c r="M53" s="9"/>
      <c r="N53" s="9"/>
      <c r="O53" s="9"/>
      <c r="P53" s="9"/>
      <c r="Q53" s="9"/>
    </row>
    <row r="54" spans="1:17" s="58" customFormat="1" ht="13.8">
      <c r="A54" s="5" t="s">
        <v>1394</v>
      </c>
      <c r="B54" s="5" t="s">
        <v>1727</v>
      </c>
      <c r="C54" s="59" t="s">
        <v>1395</v>
      </c>
      <c r="D54" s="6" t="s">
        <v>97</v>
      </c>
      <c r="E54" s="6" t="s">
        <v>98</v>
      </c>
      <c r="F54" s="6" t="s">
        <v>1396</v>
      </c>
      <c r="G54" s="6" t="s">
        <v>1397</v>
      </c>
      <c r="H54" s="7"/>
      <c r="I54" s="9"/>
      <c r="J54" s="7"/>
      <c r="K54" s="12"/>
      <c r="L54" s="6"/>
      <c r="M54" s="6"/>
      <c r="N54" s="12"/>
      <c r="O54" s="7"/>
      <c r="P54" s="9"/>
      <c r="Q54" s="9"/>
    </row>
    <row r="55" spans="1:17" s="58" customFormat="1" ht="13.8">
      <c r="A55" s="5" t="s">
        <v>1394</v>
      </c>
      <c r="B55" s="5" t="s">
        <v>1727</v>
      </c>
      <c r="C55" s="59" t="s">
        <v>1395</v>
      </c>
      <c r="D55" s="6" t="s">
        <v>97</v>
      </c>
      <c r="E55" s="6" t="s">
        <v>98</v>
      </c>
      <c r="F55" s="6" t="s">
        <v>1396</v>
      </c>
      <c r="G55" s="6" t="s">
        <v>1397</v>
      </c>
      <c r="H55" s="7"/>
      <c r="I55" s="9"/>
      <c r="J55" s="7"/>
      <c r="K55" s="12"/>
      <c r="L55" s="6"/>
      <c r="M55" s="6"/>
      <c r="N55" s="12"/>
      <c r="O55" s="7"/>
      <c r="P55" s="9"/>
      <c r="Q55" s="9"/>
    </row>
    <row r="56" spans="1:17" s="57" customFormat="1" ht="51.6" customHeight="1">
      <c r="A56" s="56" t="s">
        <v>1386</v>
      </c>
      <c r="B56" s="3" t="s">
        <v>297</v>
      </c>
      <c r="C56" s="322" t="s">
        <v>1646</v>
      </c>
      <c r="D56" s="322"/>
      <c r="E56" s="322"/>
      <c r="F56" s="322"/>
      <c r="G56" s="322"/>
      <c r="H56" s="322"/>
      <c r="I56" s="20" t="s">
        <v>1870</v>
      </c>
      <c r="J56" s="20" t="s">
        <v>1871</v>
      </c>
      <c r="K56" s="11" t="s">
        <v>1872</v>
      </c>
      <c r="L56" s="11"/>
      <c r="M56" s="11"/>
      <c r="N56" s="11"/>
      <c r="O56" s="9"/>
      <c r="P56" s="10"/>
      <c r="Q56" s="9"/>
    </row>
    <row r="57" spans="1:17" s="58" customFormat="1" ht="13.8">
      <c r="A57" s="54" t="s">
        <v>1391</v>
      </c>
      <c r="B57" s="19" t="s">
        <v>297</v>
      </c>
      <c r="C57" s="326" t="s">
        <v>1727</v>
      </c>
      <c r="D57" s="327"/>
      <c r="E57" s="327"/>
      <c r="F57" s="327"/>
      <c r="G57" s="328"/>
      <c r="H57" s="4" t="s">
        <v>1821</v>
      </c>
      <c r="I57" s="9"/>
      <c r="J57" s="9"/>
      <c r="K57" s="9"/>
      <c r="L57" s="9"/>
      <c r="M57" s="9"/>
      <c r="N57" s="9"/>
      <c r="O57" s="9"/>
      <c r="P57" s="9"/>
      <c r="Q57" s="9"/>
    </row>
    <row r="58" spans="1:17" s="58" customFormat="1" ht="13.8">
      <c r="A58" s="5" t="s">
        <v>1394</v>
      </c>
      <c r="B58" s="5" t="s">
        <v>1727</v>
      </c>
      <c r="C58" s="59" t="s">
        <v>1395</v>
      </c>
      <c r="D58" s="6" t="s">
        <v>97</v>
      </c>
      <c r="E58" s="6" t="s">
        <v>98</v>
      </c>
      <c r="F58" s="6" t="s">
        <v>1396</v>
      </c>
      <c r="G58" s="6" t="s">
        <v>1397</v>
      </c>
      <c r="H58" s="7"/>
      <c r="I58" s="9"/>
      <c r="J58" s="7"/>
      <c r="K58" s="12"/>
      <c r="L58" s="6"/>
      <c r="M58" s="6"/>
      <c r="N58" s="12"/>
      <c r="O58" s="7"/>
      <c r="P58" s="9"/>
      <c r="Q58" s="9"/>
    </row>
    <row r="59" spans="1:17" s="58" customFormat="1" ht="13.8">
      <c r="A59" s="5" t="s">
        <v>1394</v>
      </c>
      <c r="B59" s="5" t="s">
        <v>1727</v>
      </c>
      <c r="C59" s="59" t="s">
        <v>1395</v>
      </c>
      <c r="D59" s="6" t="s">
        <v>97</v>
      </c>
      <c r="E59" s="6" t="s">
        <v>98</v>
      </c>
      <c r="F59" s="6" t="s">
        <v>1396</v>
      </c>
      <c r="G59" s="6" t="s">
        <v>1397</v>
      </c>
      <c r="H59" s="7"/>
      <c r="I59" s="9"/>
      <c r="J59" s="7"/>
      <c r="K59" s="12"/>
      <c r="L59" s="6"/>
      <c r="M59" s="6"/>
      <c r="N59" s="12"/>
      <c r="O59" s="7"/>
      <c r="P59" s="9"/>
      <c r="Q59" s="9"/>
    </row>
    <row r="60" spans="1:17" s="57" customFormat="1" ht="51.6" customHeight="1">
      <c r="A60" s="56" t="s">
        <v>1386</v>
      </c>
      <c r="B60" s="3" t="s">
        <v>298</v>
      </c>
      <c r="C60" s="322" t="s">
        <v>1647</v>
      </c>
      <c r="D60" s="322"/>
      <c r="E60" s="322"/>
      <c r="F60" s="322"/>
      <c r="G60" s="322"/>
      <c r="H60" s="322"/>
      <c r="I60" s="20" t="s">
        <v>1873</v>
      </c>
      <c r="J60" s="20" t="s">
        <v>1874</v>
      </c>
      <c r="K60" s="11" t="s">
        <v>1875</v>
      </c>
      <c r="L60" s="11"/>
      <c r="M60" s="11"/>
      <c r="N60" s="11"/>
      <c r="O60" s="9"/>
      <c r="P60" s="10"/>
      <c r="Q60" s="9"/>
    </row>
    <row r="61" spans="1:17" s="58" customFormat="1" ht="13.8">
      <c r="A61" s="54" t="s">
        <v>1391</v>
      </c>
      <c r="B61" s="19" t="s">
        <v>298</v>
      </c>
      <c r="C61" s="326" t="s">
        <v>1727</v>
      </c>
      <c r="D61" s="327"/>
      <c r="E61" s="327"/>
      <c r="F61" s="327"/>
      <c r="G61" s="328"/>
      <c r="H61" s="4" t="s">
        <v>1821</v>
      </c>
      <c r="I61" s="9"/>
      <c r="J61" s="9"/>
      <c r="K61" s="9"/>
      <c r="L61" s="9"/>
      <c r="M61" s="9"/>
      <c r="N61" s="9"/>
      <c r="O61" s="9"/>
      <c r="P61" s="9"/>
      <c r="Q61" s="9"/>
    </row>
    <row r="62" spans="1:17" s="58" customFormat="1" ht="13.8">
      <c r="A62" s="5" t="s">
        <v>1394</v>
      </c>
      <c r="B62" s="5" t="s">
        <v>1727</v>
      </c>
      <c r="C62" s="59" t="s">
        <v>1395</v>
      </c>
      <c r="D62" s="6" t="s">
        <v>97</v>
      </c>
      <c r="E62" s="6" t="s">
        <v>98</v>
      </c>
      <c r="F62" s="6" t="s">
        <v>1396</v>
      </c>
      <c r="G62" s="6" t="s">
        <v>1397</v>
      </c>
      <c r="H62" s="7"/>
      <c r="I62" s="9"/>
      <c r="J62" s="7"/>
      <c r="K62" s="12"/>
      <c r="L62" s="6"/>
      <c r="M62" s="6"/>
      <c r="N62" s="12"/>
      <c r="O62" s="7"/>
      <c r="P62" s="9"/>
      <c r="Q62" s="9"/>
    </row>
    <row r="63" spans="1:17" s="58" customFormat="1" ht="13.8">
      <c r="A63" s="5" t="s">
        <v>1394</v>
      </c>
      <c r="B63" s="5" t="s">
        <v>1727</v>
      </c>
      <c r="C63" s="59" t="s">
        <v>1395</v>
      </c>
      <c r="D63" s="6" t="s">
        <v>97</v>
      </c>
      <c r="E63" s="6" t="s">
        <v>98</v>
      </c>
      <c r="F63" s="6" t="s">
        <v>1396</v>
      </c>
      <c r="G63" s="6" t="s">
        <v>1397</v>
      </c>
      <c r="H63" s="7"/>
      <c r="I63" s="9"/>
      <c r="J63" s="7"/>
      <c r="K63" s="12"/>
      <c r="L63" s="6"/>
      <c r="M63" s="6"/>
      <c r="N63" s="12"/>
      <c r="O63" s="7"/>
      <c r="P63" s="9"/>
      <c r="Q63" s="9"/>
    </row>
  </sheetData>
  <mergeCells count="26">
    <mergeCell ref="C20:G20"/>
    <mergeCell ref="C10:H10"/>
    <mergeCell ref="C11:G11"/>
    <mergeCell ref="C15:H15"/>
    <mergeCell ref="C16:G16"/>
    <mergeCell ref="C19:H19"/>
    <mergeCell ref="C45:G45"/>
    <mergeCell ref="C23:H23"/>
    <mergeCell ref="C24:G24"/>
    <mergeCell ref="C27:H27"/>
    <mergeCell ref="C28:G28"/>
    <mergeCell ref="C31:H31"/>
    <mergeCell ref="C32:G32"/>
    <mergeCell ref="C36:H36"/>
    <mergeCell ref="C37:G37"/>
    <mergeCell ref="C40:H40"/>
    <mergeCell ref="C41:G41"/>
    <mergeCell ref="C44:H44"/>
    <mergeCell ref="C60:H60"/>
    <mergeCell ref="C61:G61"/>
    <mergeCell ref="C48:H48"/>
    <mergeCell ref="C49:G49"/>
    <mergeCell ref="C52:H52"/>
    <mergeCell ref="C53:G53"/>
    <mergeCell ref="C56:H56"/>
    <mergeCell ref="C57:G57"/>
  </mergeCells>
  <conditionalFormatting sqref="O9">
    <cfRule type="cellIs" dxfId="4874" priority="268" operator="equal">
      <formula>"U"</formula>
    </cfRule>
    <cfRule type="cellIs" dxfId="4873" priority="269" operator="equal">
      <formula>"S"</formula>
    </cfRule>
  </conditionalFormatting>
  <conditionalFormatting sqref="Q9">
    <cfRule type="cellIs" dxfId="4872" priority="267" operator="equal">
      <formula>"Y"</formula>
    </cfRule>
  </conditionalFormatting>
  <conditionalFormatting sqref="O10">
    <cfRule type="cellIs" dxfId="4871" priority="262" operator="equal">
      <formula>"NY"</formula>
    </cfRule>
    <cfRule type="cellIs" dxfId="4870" priority="263" operator="equal">
      <formula>"DM"</formula>
    </cfRule>
    <cfRule type="cellIs" dxfId="4869" priority="264" operator="equal">
      <formula>"PM"</formula>
    </cfRule>
    <cfRule type="cellIs" dxfId="4868" priority="265" operator="equal">
      <formula>"LM"</formula>
    </cfRule>
    <cfRule type="cellIs" dxfId="4867" priority="266" operator="equal">
      <formula>"FM"</formula>
    </cfRule>
  </conditionalFormatting>
  <conditionalFormatting sqref="Q10">
    <cfRule type="cellIs" dxfId="4866" priority="261" operator="equal">
      <formula>"Y"</formula>
    </cfRule>
  </conditionalFormatting>
  <conditionalFormatting sqref="O11">
    <cfRule type="cellIs" dxfId="4865" priority="256" operator="equal">
      <formula>"NY"</formula>
    </cfRule>
    <cfRule type="cellIs" dxfId="4864" priority="257" operator="equal">
      <formula>"DM"</formula>
    </cfRule>
    <cfRule type="cellIs" dxfId="4863" priority="258" operator="equal">
      <formula>"PM"</formula>
    </cfRule>
    <cfRule type="cellIs" dxfId="4862" priority="259" operator="equal">
      <formula>"LM"</formula>
    </cfRule>
    <cfRule type="cellIs" dxfId="4861" priority="260" operator="equal">
      <formula>"FM"</formula>
    </cfRule>
  </conditionalFormatting>
  <conditionalFormatting sqref="I11:J11">
    <cfRule type="cellIs" dxfId="4860" priority="254" operator="equal">
      <formula>"No"</formula>
    </cfRule>
    <cfRule type="cellIs" dxfId="4859" priority="255" operator="equal">
      <formula>"Yes"</formula>
    </cfRule>
  </conditionalFormatting>
  <conditionalFormatting sqref="Q11">
    <cfRule type="cellIs" dxfId="4858" priority="253" operator="equal">
      <formula>"Y"</formula>
    </cfRule>
  </conditionalFormatting>
  <conditionalFormatting sqref="I12">
    <cfRule type="cellIs" dxfId="4857" priority="251" operator="equal">
      <formula>"No"</formula>
    </cfRule>
    <cfRule type="cellIs" dxfId="4856" priority="252" operator="equal">
      <formula>"Yes"</formula>
    </cfRule>
  </conditionalFormatting>
  <conditionalFormatting sqref="Q12">
    <cfRule type="cellIs" dxfId="4855" priority="250" operator="equal">
      <formula>"Y"</formula>
    </cfRule>
  </conditionalFormatting>
  <conditionalFormatting sqref="I13">
    <cfRule type="cellIs" dxfId="4854" priority="248" operator="equal">
      <formula>"No"</formula>
    </cfRule>
    <cfRule type="cellIs" dxfId="4853" priority="249" operator="equal">
      <formula>"Yes"</formula>
    </cfRule>
  </conditionalFormatting>
  <conditionalFormatting sqref="Q13">
    <cfRule type="cellIs" dxfId="4852" priority="247" operator="equal">
      <formula>"Y"</formula>
    </cfRule>
  </conditionalFormatting>
  <conditionalFormatting sqref="O14">
    <cfRule type="cellIs" dxfId="4851" priority="245" operator="equal">
      <formula>"U"</formula>
    </cfRule>
    <cfRule type="cellIs" dxfId="4850" priority="246" operator="equal">
      <formula>"S"</formula>
    </cfRule>
  </conditionalFormatting>
  <conditionalFormatting sqref="Q14">
    <cfRule type="cellIs" dxfId="4849" priority="244" operator="equal">
      <formula>"Y"</formula>
    </cfRule>
  </conditionalFormatting>
  <conditionalFormatting sqref="O15">
    <cfRule type="cellIs" dxfId="4848" priority="239" operator="equal">
      <formula>"NY"</formula>
    </cfRule>
    <cfRule type="cellIs" dxfId="4847" priority="240" operator="equal">
      <formula>"DM"</formula>
    </cfRule>
    <cfRule type="cellIs" dxfId="4846" priority="241" operator="equal">
      <formula>"PM"</formula>
    </cfRule>
    <cfRule type="cellIs" dxfId="4845" priority="242" operator="equal">
      <formula>"LM"</formula>
    </cfRule>
    <cfRule type="cellIs" dxfId="4844" priority="243" operator="equal">
      <formula>"FM"</formula>
    </cfRule>
  </conditionalFormatting>
  <conditionalFormatting sqref="Q15">
    <cfRule type="cellIs" dxfId="4843" priority="238" operator="equal">
      <formula>"Y"</formula>
    </cfRule>
  </conditionalFormatting>
  <conditionalFormatting sqref="O16">
    <cfRule type="cellIs" dxfId="4842" priority="233" operator="equal">
      <formula>"NY"</formula>
    </cfRule>
    <cfRule type="cellIs" dxfId="4841" priority="234" operator="equal">
      <formula>"DM"</formula>
    </cfRule>
    <cfRule type="cellIs" dxfId="4840" priority="235" operator="equal">
      <formula>"PM"</formula>
    </cfRule>
    <cfRule type="cellIs" dxfId="4839" priority="236" operator="equal">
      <formula>"LM"</formula>
    </cfRule>
    <cfRule type="cellIs" dxfId="4838" priority="237" operator="equal">
      <formula>"FM"</formula>
    </cfRule>
  </conditionalFormatting>
  <conditionalFormatting sqref="I16:J16">
    <cfRule type="cellIs" dxfId="4837" priority="231" operator="equal">
      <formula>"No"</formula>
    </cfRule>
    <cfRule type="cellIs" dxfId="4836" priority="232" operator="equal">
      <formula>"Yes"</formula>
    </cfRule>
  </conditionalFormatting>
  <conditionalFormatting sqref="Q16">
    <cfRule type="cellIs" dxfId="4835" priority="230" operator="equal">
      <formula>"Y"</formula>
    </cfRule>
  </conditionalFormatting>
  <conditionalFormatting sqref="I17">
    <cfRule type="cellIs" dxfId="4834" priority="228" operator="equal">
      <formula>"No"</formula>
    </cfRule>
    <cfRule type="cellIs" dxfId="4833" priority="229" operator="equal">
      <formula>"Yes"</formula>
    </cfRule>
  </conditionalFormatting>
  <conditionalFormatting sqref="Q17">
    <cfRule type="cellIs" dxfId="4832" priority="227" operator="equal">
      <formula>"Y"</formula>
    </cfRule>
  </conditionalFormatting>
  <conditionalFormatting sqref="I18">
    <cfRule type="cellIs" dxfId="4831" priority="225" operator="equal">
      <formula>"No"</formula>
    </cfRule>
    <cfRule type="cellIs" dxfId="4830" priority="226" operator="equal">
      <formula>"Yes"</formula>
    </cfRule>
  </conditionalFormatting>
  <conditionalFormatting sqref="Q18">
    <cfRule type="cellIs" dxfId="4829" priority="224" operator="equal">
      <formula>"Y"</formula>
    </cfRule>
  </conditionalFormatting>
  <conditionalFormatting sqref="O19">
    <cfRule type="cellIs" dxfId="4828" priority="219" operator="equal">
      <formula>"NY"</formula>
    </cfRule>
    <cfRule type="cellIs" dxfId="4827" priority="220" operator="equal">
      <formula>"DM"</formula>
    </cfRule>
    <cfRule type="cellIs" dxfId="4826" priority="221" operator="equal">
      <formula>"PM"</formula>
    </cfRule>
    <cfRule type="cellIs" dxfId="4825" priority="222" operator="equal">
      <formula>"LM"</formula>
    </cfRule>
    <cfRule type="cellIs" dxfId="4824" priority="223" operator="equal">
      <formula>"FM"</formula>
    </cfRule>
  </conditionalFormatting>
  <conditionalFormatting sqref="Q19">
    <cfRule type="cellIs" dxfId="4823" priority="218" operator="equal">
      <formula>"Y"</formula>
    </cfRule>
  </conditionalFormatting>
  <conditionalFormatting sqref="O20">
    <cfRule type="cellIs" dxfId="4822" priority="213" operator="equal">
      <formula>"NY"</formula>
    </cfRule>
    <cfRule type="cellIs" dxfId="4821" priority="214" operator="equal">
      <formula>"DM"</formula>
    </cfRule>
    <cfRule type="cellIs" dxfId="4820" priority="215" operator="equal">
      <formula>"PM"</formula>
    </cfRule>
    <cfRule type="cellIs" dxfId="4819" priority="216" operator="equal">
      <formula>"LM"</formula>
    </cfRule>
    <cfRule type="cellIs" dxfId="4818" priority="217" operator="equal">
      <formula>"FM"</formula>
    </cfRule>
  </conditionalFormatting>
  <conditionalFormatting sqref="I20:J20">
    <cfRule type="cellIs" dxfId="4817" priority="211" operator="equal">
      <formula>"No"</formula>
    </cfRule>
    <cfRule type="cellIs" dxfId="4816" priority="212" operator="equal">
      <formula>"Yes"</formula>
    </cfRule>
  </conditionalFormatting>
  <conditionalFormatting sqref="Q20">
    <cfRule type="cellIs" dxfId="4815" priority="210" operator="equal">
      <formula>"Y"</formula>
    </cfRule>
  </conditionalFormatting>
  <conditionalFormatting sqref="I21">
    <cfRule type="cellIs" dxfId="4814" priority="208" operator="equal">
      <formula>"No"</formula>
    </cfRule>
    <cfRule type="cellIs" dxfId="4813" priority="209" operator="equal">
      <formula>"Yes"</formula>
    </cfRule>
  </conditionalFormatting>
  <conditionalFormatting sqref="Q21">
    <cfRule type="cellIs" dxfId="4812" priority="207" operator="equal">
      <formula>"Y"</formula>
    </cfRule>
  </conditionalFormatting>
  <conditionalFormatting sqref="I22">
    <cfRule type="cellIs" dxfId="4811" priority="205" operator="equal">
      <formula>"No"</formula>
    </cfRule>
    <cfRule type="cellIs" dxfId="4810" priority="206" operator="equal">
      <formula>"Yes"</formula>
    </cfRule>
  </conditionalFormatting>
  <conditionalFormatting sqref="Q22">
    <cfRule type="cellIs" dxfId="4809" priority="204" operator="equal">
      <formula>"Y"</formula>
    </cfRule>
  </conditionalFormatting>
  <conditionalFormatting sqref="O23">
    <cfRule type="cellIs" dxfId="4808" priority="199" operator="equal">
      <formula>"NY"</formula>
    </cfRule>
    <cfRule type="cellIs" dxfId="4807" priority="200" operator="equal">
      <formula>"DM"</formula>
    </cfRule>
    <cfRule type="cellIs" dxfId="4806" priority="201" operator="equal">
      <formula>"PM"</formula>
    </cfRule>
    <cfRule type="cellIs" dxfId="4805" priority="202" operator="equal">
      <formula>"LM"</formula>
    </cfRule>
    <cfRule type="cellIs" dxfId="4804" priority="203" operator="equal">
      <formula>"FM"</formula>
    </cfRule>
  </conditionalFormatting>
  <conditionalFormatting sqref="Q23">
    <cfRule type="cellIs" dxfId="4803" priority="198" operator="equal">
      <formula>"Y"</formula>
    </cfRule>
  </conditionalFormatting>
  <conditionalFormatting sqref="O24">
    <cfRule type="cellIs" dxfId="4802" priority="193" operator="equal">
      <formula>"NY"</formula>
    </cfRule>
    <cfRule type="cellIs" dxfId="4801" priority="194" operator="equal">
      <formula>"DM"</formula>
    </cfRule>
    <cfRule type="cellIs" dxfId="4800" priority="195" operator="equal">
      <formula>"PM"</formula>
    </cfRule>
    <cfRule type="cellIs" dxfId="4799" priority="196" operator="equal">
      <formula>"LM"</formula>
    </cfRule>
    <cfRule type="cellIs" dxfId="4798" priority="197" operator="equal">
      <formula>"FM"</formula>
    </cfRule>
  </conditionalFormatting>
  <conditionalFormatting sqref="I24:J24">
    <cfRule type="cellIs" dxfId="4797" priority="191" operator="equal">
      <formula>"No"</formula>
    </cfRule>
    <cfRule type="cellIs" dxfId="4796" priority="192" operator="equal">
      <formula>"Yes"</formula>
    </cfRule>
  </conditionalFormatting>
  <conditionalFormatting sqref="Q24">
    <cfRule type="cellIs" dxfId="4795" priority="190" operator="equal">
      <formula>"Y"</formula>
    </cfRule>
  </conditionalFormatting>
  <conditionalFormatting sqref="I25">
    <cfRule type="cellIs" dxfId="4794" priority="188" operator="equal">
      <formula>"No"</formula>
    </cfRule>
    <cfRule type="cellIs" dxfId="4793" priority="189" operator="equal">
      <formula>"Yes"</formula>
    </cfRule>
  </conditionalFormatting>
  <conditionalFormatting sqref="Q25">
    <cfRule type="cellIs" dxfId="4792" priority="187" operator="equal">
      <formula>"Y"</formula>
    </cfRule>
  </conditionalFormatting>
  <conditionalFormatting sqref="I26">
    <cfRule type="cellIs" dxfId="4791" priority="185" operator="equal">
      <formula>"No"</formula>
    </cfRule>
    <cfRule type="cellIs" dxfId="4790" priority="186" operator="equal">
      <formula>"Yes"</formula>
    </cfRule>
  </conditionalFormatting>
  <conditionalFormatting sqref="Q26">
    <cfRule type="cellIs" dxfId="4789" priority="184" operator="equal">
      <formula>"Y"</formula>
    </cfRule>
  </conditionalFormatting>
  <conditionalFormatting sqref="O27">
    <cfRule type="cellIs" dxfId="4788" priority="179" operator="equal">
      <formula>"NY"</formula>
    </cfRule>
    <cfRule type="cellIs" dxfId="4787" priority="180" operator="equal">
      <formula>"DM"</formula>
    </cfRule>
    <cfRule type="cellIs" dxfId="4786" priority="181" operator="equal">
      <formula>"PM"</formula>
    </cfRule>
    <cfRule type="cellIs" dxfId="4785" priority="182" operator="equal">
      <formula>"LM"</formula>
    </cfRule>
    <cfRule type="cellIs" dxfId="4784" priority="183" operator="equal">
      <formula>"FM"</formula>
    </cfRule>
  </conditionalFormatting>
  <conditionalFormatting sqref="Q27">
    <cfRule type="cellIs" dxfId="4783" priority="178" operator="equal">
      <formula>"Y"</formula>
    </cfRule>
  </conditionalFormatting>
  <conditionalFormatting sqref="O28">
    <cfRule type="cellIs" dxfId="4782" priority="173" operator="equal">
      <formula>"NY"</formula>
    </cfRule>
    <cfRule type="cellIs" dxfId="4781" priority="174" operator="equal">
      <formula>"DM"</formula>
    </cfRule>
    <cfRule type="cellIs" dxfId="4780" priority="175" operator="equal">
      <formula>"PM"</formula>
    </cfRule>
    <cfRule type="cellIs" dxfId="4779" priority="176" operator="equal">
      <formula>"LM"</formula>
    </cfRule>
    <cfRule type="cellIs" dxfId="4778" priority="177" operator="equal">
      <formula>"FM"</formula>
    </cfRule>
  </conditionalFormatting>
  <conditionalFormatting sqref="I28:J28">
    <cfRule type="cellIs" dxfId="4777" priority="171" operator="equal">
      <formula>"No"</formula>
    </cfRule>
    <cfRule type="cellIs" dxfId="4776" priority="172" operator="equal">
      <formula>"Yes"</formula>
    </cfRule>
  </conditionalFormatting>
  <conditionalFormatting sqref="Q28">
    <cfRule type="cellIs" dxfId="4775" priority="170" operator="equal">
      <formula>"Y"</formula>
    </cfRule>
  </conditionalFormatting>
  <conditionalFormatting sqref="I29">
    <cfRule type="cellIs" dxfId="4774" priority="168" operator="equal">
      <formula>"No"</formula>
    </cfRule>
    <cfRule type="cellIs" dxfId="4773" priority="169" operator="equal">
      <formula>"Yes"</formula>
    </cfRule>
  </conditionalFormatting>
  <conditionalFormatting sqref="Q29">
    <cfRule type="cellIs" dxfId="4772" priority="167" operator="equal">
      <formula>"Y"</formula>
    </cfRule>
  </conditionalFormatting>
  <conditionalFormatting sqref="I30">
    <cfRule type="cellIs" dxfId="4771" priority="165" operator="equal">
      <formula>"No"</formula>
    </cfRule>
    <cfRule type="cellIs" dxfId="4770" priority="166" operator="equal">
      <formula>"Yes"</formula>
    </cfRule>
  </conditionalFormatting>
  <conditionalFormatting sqref="Q30">
    <cfRule type="cellIs" dxfId="4769" priority="164" operator="equal">
      <formula>"Y"</formula>
    </cfRule>
  </conditionalFormatting>
  <conditionalFormatting sqref="O31">
    <cfRule type="cellIs" dxfId="4768" priority="159" operator="equal">
      <formula>"NY"</formula>
    </cfRule>
    <cfRule type="cellIs" dxfId="4767" priority="160" operator="equal">
      <formula>"DM"</formula>
    </cfRule>
    <cfRule type="cellIs" dxfId="4766" priority="161" operator="equal">
      <formula>"PM"</formula>
    </cfRule>
    <cfRule type="cellIs" dxfId="4765" priority="162" operator="equal">
      <formula>"LM"</formula>
    </cfRule>
    <cfRule type="cellIs" dxfId="4764" priority="163" operator="equal">
      <formula>"FM"</formula>
    </cfRule>
  </conditionalFormatting>
  <conditionalFormatting sqref="Q31">
    <cfRule type="cellIs" dxfId="4763" priority="158" operator="equal">
      <formula>"Y"</formula>
    </cfRule>
  </conditionalFormatting>
  <conditionalFormatting sqref="O32">
    <cfRule type="cellIs" dxfId="4762" priority="153" operator="equal">
      <formula>"NY"</formula>
    </cfRule>
    <cfRule type="cellIs" dxfId="4761" priority="154" operator="equal">
      <formula>"DM"</formula>
    </cfRule>
    <cfRule type="cellIs" dxfId="4760" priority="155" operator="equal">
      <formula>"PM"</formula>
    </cfRule>
    <cfRule type="cellIs" dxfId="4759" priority="156" operator="equal">
      <formula>"LM"</formula>
    </cfRule>
    <cfRule type="cellIs" dxfId="4758" priority="157" operator="equal">
      <formula>"FM"</formula>
    </cfRule>
  </conditionalFormatting>
  <conditionalFormatting sqref="I32:J32">
    <cfRule type="cellIs" dxfId="4757" priority="151" operator="equal">
      <formula>"No"</formula>
    </cfRule>
    <cfRule type="cellIs" dxfId="4756" priority="152" operator="equal">
      <formula>"Yes"</formula>
    </cfRule>
  </conditionalFormatting>
  <conditionalFormatting sqref="Q32">
    <cfRule type="cellIs" dxfId="4755" priority="150" operator="equal">
      <formula>"Y"</formula>
    </cfRule>
  </conditionalFormatting>
  <conditionalFormatting sqref="I33">
    <cfRule type="cellIs" dxfId="4754" priority="148" operator="equal">
      <formula>"No"</formula>
    </cfRule>
    <cfRule type="cellIs" dxfId="4753" priority="149" operator="equal">
      <formula>"Yes"</formula>
    </cfRule>
  </conditionalFormatting>
  <conditionalFormatting sqref="Q33">
    <cfRule type="cellIs" dxfId="4752" priority="147" operator="equal">
      <formula>"Y"</formula>
    </cfRule>
  </conditionalFormatting>
  <conditionalFormatting sqref="I34">
    <cfRule type="cellIs" dxfId="4751" priority="145" operator="equal">
      <formula>"No"</formula>
    </cfRule>
    <cfRule type="cellIs" dxfId="4750" priority="146" operator="equal">
      <formula>"Yes"</formula>
    </cfRule>
  </conditionalFormatting>
  <conditionalFormatting sqref="Q34">
    <cfRule type="cellIs" dxfId="4749" priority="144" operator="equal">
      <formula>"Y"</formula>
    </cfRule>
  </conditionalFormatting>
  <conditionalFormatting sqref="O35">
    <cfRule type="cellIs" dxfId="4748" priority="142" operator="equal">
      <formula>"U"</formula>
    </cfRule>
    <cfRule type="cellIs" dxfId="4747" priority="143" operator="equal">
      <formula>"S"</formula>
    </cfRule>
  </conditionalFormatting>
  <conditionalFormatting sqref="Q35">
    <cfRule type="cellIs" dxfId="4746" priority="141" operator="equal">
      <formula>"Y"</formula>
    </cfRule>
  </conditionalFormatting>
  <conditionalFormatting sqref="O36">
    <cfRule type="cellIs" dxfId="4745" priority="136" operator="equal">
      <formula>"NY"</formula>
    </cfRule>
    <cfRule type="cellIs" dxfId="4744" priority="137" operator="equal">
      <formula>"DM"</formula>
    </cfRule>
    <cfRule type="cellIs" dxfId="4743" priority="138" operator="equal">
      <formula>"PM"</formula>
    </cfRule>
    <cfRule type="cellIs" dxfId="4742" priority="139" operator="equal">
      <formula>"LM"</formula>
    </cfRule>
    <cfRule type="cellIs" dxfId="4741" priority="140" operator="equal">
      <formula>"FM"</formula>
    </cfRule>
  </conditionalFormatting>
  <conditionalFormatting sqref="Q36">
    <cfRule type="cellIs" dxfId="4740" priority="135" operator="equal">
      <formula>"Y"</formula>
    </cfRule>
  </conditionalFormatting>
  <conditionalFormatting sqref="O37">
    <cfRule type="cellIs" dxfId="4739" priority="130" operator="equal">
      <formula>"NY"</formula>
    </cfRule>
    <cfRule type="cellIs" dxfId="4738" priority="131" operator="equal">
      <formula>"DM"</formula>
    </cfRule>
    <cfRule type="cellIs" dxfId="4737" priority="132" operator="equal">
      <formula>"PM"</formula>
    </cfRule>
    <cfRule type="cellIs" dxfId="4736" priority="133" operator="equal">
      <formula>"LM"</formula>
    </cfRule>
    <cfRule type="cellIs" dxfId="4735" priority="134" operator="equal">
      <formula>"FM"</formula>
    </cfRule>
  </conditionalFormatting>
  <conditionalFormatting sqref="I37:J37">
    <cfRule type="cellIs" dxfId="4734" priority="128" operator="equal">
      <formula>"No"</formula>
    </cfRule>
    <cfRule type="cellIs" dxfId="4733" priority="129" operator="equal">
      <formula>"Yes"</formula>
    </cfRule>
  </conditionalFormatting>
  <conditionalFormatting sqref="Q37">
    <cfRule type="cellIs" dxfId="4732" priority="127" operator="equal">
      <formula>"Y"</formula>
    </cfRule>
  </conditionalFormatting>
  <conditionalFormatting sqref="I38">
    <cfRule type="cellIs" dxfId="4731" priority="125" operator="equal">
      <formula>"No"</formula>
    </cfRule>
    <cfRule type="cellIs" dxfId="4730" priority="126" operator="equal">
      <formula>"Yes"</formula>
    </cfRule>
  </conditionalFormatting>
  <conditionalFormatting sqref="Q38">
    <cfRule type="cellIs" dxfId="4729" priority="124" operator="equal">
      <formula>"Y"</formula>
    </cfRule>
  </conditionalFormatting>
  <conditionalFormatting sqref="I39">
    <cfRule type="cellIs" dxfId="4728" priority="122" operator="equal">
      <formula>"No"</formula>
    </cfRule>
    <cfRule type="cellIs" dxfId="4727" priority="123" operator="equal">
      <formula>"Yes"</formula>
    </cfRule>
  </conditionalFormatting>
  <conditionalFormatting sqref="Q39">
    <cfRule type="cellIs" dxfId="4726" priority="121" operator="equal">
      <formula>"Y"</formula>
    </cfRule>
  </conditionalFormatting>
  <conditionalFormatting sqref="O40">
    <cfRule type="cellIs" dxfId="4725" priority="116" operator="equal">
      <formula>"NY"</formula>
    </cfRule>
    <cfRule type="cellIs" dxfId="4724" priority="117" operator="equal">
      <formula>"DM"</formula>
    </cfRule>
    <cfRule type="cellIs" dxfId="4723" priority="118" operator="equal">
      <formula>"PM"</formula>
    </cfRule>
    <cfRule type="cellIs" dxfId="4722" priority="119" operator="equal">
      <formula>"LM"</formula>
    </cfRule>
    <cfRule type="cellIs" dxfId="4721" priority="120" operator="equal">
      <formula>"FM"</formula>
    </cfRule>
  </conditionalFormatting>
  <conditionalFormatting sqref="Q40">
    <cfRule type="cellIs" dxfId="4720" priority="115" operator="equal">
      <formula>"Y"</formula>
    </cfRule>
  </conditionalFormatting>
  <conditionalFormatting sqref="O41">
    <cfRule type="cellIs" dxfId="4719" priority="110" operator="equal">
      <formula>"NY"</formula>
    </cfRule>
    <cfRule type="cellIs" dxfId="4718" priority="111" operator="equal">
      <formula>"DM"</formula>
    </cfRule>
    <cfRule type="cellIs" dxfId="4717" priority="112" operator="equal">
      <formula>"PM"</formula>
    </cfRule>
    <cfRule type="cellIs" dxfId="4716" priority="113" operator="equal">
      <formula>"LM"</formula>
    </cfRule>
    <cfRule type="cellIs" dxfId="4715" priority="114" operator="equal">
      <formula>"FM"</formula>
    </cfRule>
  </conditionalFormatting>
  <conditionalFormatting sqref="I41:J41">
    <cfRule type="cellIs" dxfId="4714" priority="108" operator="equal">
      <formula>"No"</formula>
    </cfRule>
    <cfRule type="cellIs" dxfId="4713" priority="109" operator="equal">
      <formula>"Yes"</formula>
    </cfRule>
  </conditionalFormatting>
  <conditionalFormatting sqref="Q41">
    <cfRule type="cellIs" dxfId="4712" priority="107" operator="equal">
      <formula>"Y"</formula>
    </cfRule>
  </conditionalFormatting>
  <conditionalFormatting sqref="I42">
    <cfRule type="cellIs" dxfId="4711" priority="105" operator="equal">
      <formula>"No"</formula>
    </cfRule>
    <cfRule type="cellIs" dxfId="4710" priority="106" operator="equal">
      <formula>"Yes"</formula>
    </cfRule>
  </conditionalFormatting>
  <conditionalFormatting sqref="Q42">
    <cfRule type="cellIs" dxfId="4709" priority="104" operator="equal">
      <formula>"Y"</formula>
    </cfRule>
  </conditionalFormatting>
  <conditionalFormatting sqref="I43">
    <cfRule type="cellIs" dxfId="4708" priority="102" operator="equal">
      <formula>"No"</formula>
    </cfRule>
    <cfRule type="cellIs" dxfId="4707" priority="103" operator="equal">
      <formula>"Yes"</formula>
    </cfRule>
  </conditionalFormatting>
  <conditionalFormatting sqref="Q43">
    <cfRule type="cellIs" dxfId="4706" priority="101" operator="equal">
      <formula>"Y"</formula>
    </cfRule>
  </conditionalFormatting>
  <conditionalFormatting sqref="O44">
    <cfRule type="cellIs" dxfId="4705" priority="96" operator="equal">
      <formula>"NY"</formula>
    </cfRule>
    <cfRule type="cellIs" dxfId="4704" priority="97" operator="equal">
      <formula>"DM"</formula>
    </cfRule>
    <cfRule type="cellIs" dxfId="4703" priority="98" operator="equal">
      <formula>"PM"</formula>
    </cfRule>
    <cfRule type="cellIs" dxfId="4702" priority="99" operator="equal">
      <formula>"LM"</formula>
    </cfRule>
    <cfRule type="cellIs" dxfId="4701" priority="100" operator="equal">
      <formula>"FM"</formula>
    </cfRule>
  </conditionalFormatting>
  <conditionalFormatting sqref="Q44">
    <cfRule type="cellIs" dxfId="4700" priority="95" operator="equal">
      <formula>"Y"</formula>
    </cfRule>
  </conditionalFormatting>
  <conditionalFormatting sqref="O45">
    <cfRule type="cellIs" dxfId="4699" priority="90" operator="equal">
      <formula>"NY"</formula>
    </cfRule>
    <cfRule type="cellIs" dxfId="4698" priority="91" operator="equal">
      <formula>"DM"</formula>
    </cfRule>
    <cfRule type="cellIs" dxfId="4697" priority="92" operator="equal">
      <formula>"PM"</formula>
    </cfRule>
    <cfRule type="cellIs" dxfId="4696" priority="93" operator="equal">
      <formula>"LM"</formula>
    </cfRule>
    <cfRule type="cellIs" dxfId="4695" priority="94" operator="equal">
      <formula>"FM"</formula>
    </cfRule>
  </conditionalFormatting>
  <conditionalFormatting sqref="I45:J45">
    <cfRule type="cellIs" dxfId="4694" priority="88" operator="equal">
      <formula>"No"</formula>
    </cfRule>
    <cfRule type="cellIs" dxfId="4693" priority="89" operator="equal">
      <formula>"Yes"</formula>
    </cfRule>
  </conditionalFormatting>
  <conditionalFormatting sqref="Q45">
    <cfRule type="cellIs" dxfId="4692" priority="87" operator="equal">
      <formula>"Y"</formula>
    </cfRule>
  </conditionalFormatting>
  <conditionalFormatting sqref="I46">
    <cfRule type="cellIs" dxfId="4691" priority="85" operator="equal">
      <formula>"No"</formula>
    </cfRule>
    <cfRule type="cellIs" dxfId="4690" priority="86" operator="equal">
      <formula>"Yes"</formula>
    </cfRule>
  </conditionalFormatting>
  <conditionalFormatting sqref="Q46">
    <cfRule type="cellIs" dxfId="4689" priority="84" operator="equal">
      <formula>"Y"</formula>
    </cfRule>
  </conditionalFormatting>
  <conditionalFormatting sqref="I47">
    <cfRule type="cellIs" dxfId="4688" priority="82" operator="equal">
      <formula>"No"</formula>
    </cfRule>
    <cfRule type="cellIs" dxfId="4687" priority="83" operator="equal">
      <formula>"Yes"</formula>
    </cfRule>
  </conditionalFormatting>
  <conditionalFormatting sqref="Q47">
    <cfRule type="cellIs" dxfId="4686" priority="81" operator="equal">
      <formula>"Y"</formula>
    </cfRule>
  </conditionalFormatting>
  <conditionalFormatting sqref="O48">
    <cfRule type="cellIs" dxfId="4685" priority="76" operator="equal">
      <formula>"NY"</formula>
    </cfRule>
    <cfRule type="cellIs" dxfId="4684" priority="77" operator="equal">
      <formula>"DM"</formula>
    </cfRule>
    <cfRule type="cellIs" dxfId="4683" priority="78" operator="equal">
      <formula>"PM"</formula>
    </cfRule>
    <cfRule type="cellIs" dxfId="4682" priority="79" operator="equal">
      <formula>"LM"</formula>
    </cfRule>
    <cfRule type="cellIs" dxfId="4681" priority="80" operator="equal">
      <formula>"FM"</formula>
    </cfRule>
  </conditionalFormatting>
  <conditionalFormatting sqref="Q48">
    <cfRule type="cellIs" dxfId="4680" priority="75" operator="equal">
      <formula>"Y"</formula>
    </cfRule>
  </conditionalFormatting>
  <conditionalFormatting sqref="O49">
    <cfRule type="cellIs" dxfId="4679" priority="70" operator="equal">
      <formula>"NY"</formula>
    </cfRule>
    <cfRule type="cellIs" dxfId="4678" priority="71" operator="equal">
      <formula>"DM"</formula>
    </cfRule>
    <cfRule type="cellIs" dxfId="4677" priority="72" operator="equal">
      <formula>"PM"</formula>
    </cfRule>
    <cfRule type="cellIs" dxfId="4676" priority="73" operator="equal">
      <formula>"LM"</formula>
    </cfRule>
    <cfRule type="cellIs" dxfId="4675" priority="74" operator="equal">
      <formula>"FM"</formula>
    </cfRule>
  </conditionalFormatting>
  <conditionalFormatting sqref="I49:J49">
    <cfRule type="cellIs" dxfId="4674" priority="68" operator="equal">
      <formula>"No"</formula>
    </cfRule>
    <cfRule type="cellIs" dxfId="4673" priority="69" operator="equal">
      <formula>"Yes"</formula>
    </cfRule>
  </conditionalFormatting>
  <conditionalFormatting sqref="Q49">
    <cfRule type="cellIs" dxfId="4672" priority="67" operator="equal">
      <formula>"Y"</formula>
    </cfRule>
  </conditionalFormatting>
  <conditionalFormatting sqref="I50">
    <cfRule type="cellIs" dxfId="4671" priority="65" operator="equal">
      <formula>"No"</formula>
    </cfRule>
    <cfRule type="cellIs" dxfId="4670" priority="66" operator="equal">
      <formula>"Yes"</formula>
    </cfRule>
  </conditionalFormatting>
  <conditionalFormatting sqref="Q50">
    <cfRule type="cellIs" dxfId="4669" priority="64" operator="equal">
      <formula>"Y"</formula>
    </cfRule>
  </conditionalFormatting>
  <conditionalFormatting sqref="I51">
    <cfRule type="cellIs" dxfId="4668" priority="62" operator="equal">
      <formula>"No"</formula>
    </cfRule>
    <cfRule type="cellIs" dxfId="4667" priority="63" operator="equal">
      <formula>"Yes"</formula>
    </cfRule>
  </conditionalFormatting>
  <conditionalFormatting sqref="Q51">
    <cfRule type="cellIs" dxfId="4666" priority="61" operator="equal">
      <formula>"Y"</formula>
    </cfRule>
  </conditionalFormatting>
  <conditionalFormatting sqref="O52">
    <cfRule type="cellIs" dxfId="4665" priority="56" operator="equal">
      <formula>"NY"</formula>
    </cfRule>
    <cfRule type="cellIs" dxfId="4664" priority="57" operator="equal">
      <formula>"DM"</formula>
    </cfRule>
    <cfRule type="cellIs" dxfId="4663" priority="58" operator="equal">
      <formula>"PM"</formula>
    </cfRule>
    <cfRule type="cellIs" dxfId="4662" priority="59" operator="equal">
      <formula>"LM"</formula>
    </cfRule>
    <cfRule type="cellIs" dxfId="4661" priority="60" operator="equal">
      <formula>"FM"</formula>
    </cfRule>
  </conditionalFormatting>
  <conditionalFormatting sqref="Q52">
    <cfRule type="cellIs" dxfId="4660" priority="55" operator="equal">
      <formula>"Y"</formula>
    </cfRule>
  </conditionalFormatting>
  <conditionalFormatting sqref="O53">
    <cfRule type="cellIs" dxfId="4659" priority="50" operator="equal">
      <formula>"NY"</formula>
    </cfRule>
    <cfRule type="cellIs" dxfId="4658" priority="51" operator="equal">
      <formula>"DM"</formula>
    </cfRule>
    <cfRule type="cellIs" dxfId="4657" priority="52" operator="equal">
      <formula>"PM"</formula>
    </cfRule>
    <cfRule type="cellIs" dxfId="4656" priority="53" operator="equal">
      <formula>"LM"</formula>
    </cfRule>
    <cfRule type="cellIs" dxfId="4655" priority="54" operator="equal">
      <formula>"FM"</formula>
    </cfRule>
  </conditionalFormatting>
  <conditionalFormatting sqref="I53:J53">
    <cfRule type="cellIs" dxfId="4654" priority="48" operator="equal">
      <formula>"No"</formula>
    </cfRule>
    <cfRule type="cellIs" dxfId="4653" priority="49" operator="equal">
      <formula>"Yes"</formula>
    </cfRule>
  </conditionalFormatting>
  <conditionalFormatting sqref="Q53">
    <cfRule type="cellIs" dxfId="4652" priority="47" operator="equal">
      <formula>"Y"</formula>
    </cfRule>
  </conditionalFormatting>
  <conditionalFormatting sqref="I54">
    <cfRule type="cellIs" dxfId="4651" priority="45" operator="equal">
      <formula>"No"</formula>
    </cfRule>
    <cfRule type="cellIs" dxfId="4650" priority="46" operator="equal">
      <formula>"Yes"</formula>
    </cfRule>
  </conditionalFormatting>
  <conditionalFormatting sqref="Q54">
    <cfRule type="cellIs" dxfId="4649" priority="44" operator="equal">
      <formula>"Y"</formula>
    </cfRule>
  </conditionalFormatting>
  <conditionalFormatting sqref="I55">
    <cfRule type="cellIs" dxfId="4648" priority="42" operator="equal">
      <formula>"No"</formula>
    </cfRule>
    <cfRule type="cellIs" dxfId="4647" priority="43" operator="equal">
      <formula>"Yes"</formula>
    </cfRule>
  </conditionalFormatting>
  <conditionalFormatting sqref="Q55">
    <cfRule type="cellIs" dxfId="4646" priority="41" operator="equal">
      <formula>"Y"</formula>
    </cfRule>
  </conditionalFormatting>
  <conditionalFormatting sqref="O56">
    <cfRule type="cellIs" dxfId="4645" priority="36" operator="equal">
      <formula>"NY"</formula>
    </cfRule>
    <cfRule type="cellIs" dxfId="4644" priority="37" operator="equal">
      <formula>"DM"</formula>
    </cfRule>
    <cfRule type="cellIs" dxfId="4643" priority="38" operator="equal">
      <formula>"PM"</formula>
    </cfRule>
    <cfRule type="cellIs" dxfId="4642" priority="39" operator="equal">
      <formula>"LM"</formula>
    </cfRule>
    <cfRule type="cellIs" dxfId="4641" priority="40" operator="equal">
      <formula>"FM"</formula>
    </cfRule>
  </conditionalFormatting>
  <conditionalFormatting sqref="Q56">
    <cfRule type="cellIs" dxfId="4640" priority="35" operator="equal">
      <formula>"Y"</formula>
    </cfRule>
  </conditionalFormatting>
  <conditionalFormatting sqref="O57">
    <cfRule type="cellIs" dxfId="4639" priority="30" operator="equal">
      <formula>"NY"</formula>
    </cfRule>
    <cfRule type="cellIs" dxfId="4638" priority="31" operator="equal">
      <formula>"DM"</formula>
    </cfRule>
    <cfRule type="cellIs" dxfId="4637" priority="32" operator="equal">
      <formula>"PM"</formula>
    </cfRule>
    <cfRule type="cellIs" dxfId="4636" priority="33" operator="equal">
      <formula>"LM"</formula>
    </cfRule>
    <cfRule type="cellIs" dxfId="4635" priority="34" operator="equal">
      <formula>"FM"</formula>
    </cfRule>
  </conditionalFormatting>
  <conditionalFormatting sqref="I57:J57">
    <cfRule type="cellIs" dxfId="4634" priority="28" operator="equal">
      <formula>"No"</formula>
    </cfRule>
    <cfRule type="cellIs" dxfId="4633" priority="29" operator="equal">
      <formula>"Yes"</formula>
    </cfRule>
  </conditionalFormatting>
  <conditionalFormatting sqref="Q57">
    <cfRule type="cellIs" dxfId="4632" priority="27" operator="equal">
      <formula>"Y"</formula>
    </cfRule>
  </conditionalFormatting>
  <conditionalFormatting sqref="I58">
    <cfRule type="cellIs" dxfId="4631" priority="25" operator="equal">
      <formula>"No"</formula>
    </cfRule>
    <cfRule type="cellIs" dxfId="4630" priority="26" operator="equal">
      <formula>"Yes"</formula>
    </cfRule>
  </conditionalFormatting>
  <conditionalFormatting sqref="Q58">
    <cfRule type="cellIs" dxfId="4629" priority="24" operator="equal">
      <formula>"Y"</formula>
    </cfRule>
  </conditionalFormatting>
  <conditionalFormatting sqref="I59">
    <cfRule type="cellIs" dxfId="4628" priority="22" operator="equal">
      <formula>"No"</formula>
    </cfRule>
    <cfRule type="cellIs" dxfId="4627" priority="23" operator="equal">
      <formula>"Yes"</formula>
    </cfRule>
  </conditionalFormatting>
  <conditionalFormatting sqref="Q59">
    <cfRule type="cellIs" dxfId="4626" priority="21" operator="equal">
      <formula>"Y"</formula>
    </cfRule>
  </conditionalFormatting>
  <conditionalFormatting sqref="O60">
    <cfRule type="cellIs" dxfId="4625" priority="16" operator="equal">
      <formula>"NY"</formula>
    </cfRule>
    <cfRule type="cellIs" dxfId="4624" priority="17" operator="equal">
      <formula>"DM"</formula>
    </cfRule>
    <cfRule type="cellIs" dxfId="4623" priority="18" operator="equal">
      <formula>"PM"</formula>
    </cfRule>
    <cfRule type="cellIs" dxfId="4622" priority="19" operator="equal">
      <formula>"LM"</formula>
    </cfRule>
    <cfRule type="cellIs" dxfId="4621" priority="20" operator="equal">
      <formula>"FM"</formula>
    </cfRule>
  </conditionalFormatting>
  <conditionalFormatting sqref="Q60">
    <cfRule type="cellIs" dxfId="4620" priority="15" operator="equal">
      <formula>"Y"</formula>
    </cfRule>
  </conditionalFormatting>
  <conditionalFormatting sqref="O61">
    <cfRule type="cellIs" dxfId="4619" priority="10" operator="equal">
      <formula>"NY"</formula>
    </cfRule>
    <cfRule type="cellIs" dxfId="4618" priority="11" operator="equal">
      <formula>"DM"</formula>
    </cfRule>
    <cfRule type="cellIs" dxfId="4617" priority="12" operator="equal">
      <formula>"PM"</formula>
    </cfRule>
    <cfRule type="cellIs" dxfId="4616" priority="13" operator="equal">
      <formula>"LM"</formula>
    </cfRule>
    <cfRule type="cellIs" dxfId="4615" priority="14" operator="equal">
      <formula>"FM"</formula>
    </cfRule>
  </conditionalFormatting>
  <conditionalFormatting sqref="I61:J61">
    <cfRule type="cellIs" dxfId="4614" priority="8" operator="equal">
      <formula>"No"</formula>
    </cfRule>
    <cfRule type="cellIs" dxfId="4613" priority="9" operator="equal">
      <formula>"Yes"</formula>
    </cfRule>
  </conditionalFormatting>
  <conditionalFormatting sqref="Q61">
    <cfRule type="cellIs" dxfId="4612" priority="7" operator="equal">
      <formula>"Y"</formula>
    </cfRule>
  </conditionalFormatting>
  <conditionalFormatting sqref="I62">
    <cfRule type="cellIs" dxfId="4611" priority="5" operator="equal">
      <formula>"No"</formula>
    </cfRule>
    <cfRule type="cellIs" dxfId="4610" priority="6" operator="equal">
      <formula>"Yes"</formula>
    </cfRule>
  </conditionalFormatting>
  <conditionalFormatting sqref="Q62">
    <cfRule type="cellIs" dxfId="4609" priority="4" operator="equal">
      <formula>"Y"</formula>
    </cfRule>
  </conditionalFormatting>
  <conditionalFormatting sqref="I63">
    <cfRule type="cellIs" dxfId="4608" priority="2" operator="equal">
      <formula>"No"</formula>
    </cfRule>
    <cfRule type="cellIs" dxfId="4607" priority="3" operator="equal">
      <formula>"Yes"</formula>
    </cfRule>
  </conditionalFormatting>
  <conditionalFormatting sqref="Q63">
    <cfRule type="cellIs" dxfId="4606" priority="1" operator="equal">
      <formula>"Y"</formula>
    </cfRule>
  </conditionalFormatting>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AF27-0B9B-49CF-A083-C2B241A44615}">
  <sheetPr codeName="Sheet36"/>
  <dimension ref="A1:Q39"/>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1669</v>
      </c>
    </row>
    <row r="2" spans="1:17" s="61" customFormat="1" ht="21">
      <c r="A2" s="60" t="s">
        <v>1876</v>
      </c>
    </row>
    <row r="3" spans="1:17">
      <c r="A3" s="62" t="s">
        <v>1707</v>
      </c>
      <c r="B3" s="63" t="s">
        <v>1670</v>
      </c>
    </row>
    <row r="4" spans="1:17">
      <c r="A4" s="63" t="s">
        <v>1401</v>
      </c>
      <c r="B4" s="63" t="s">
        <v>1877</v>
      </c>
    </row>
    <row r="5" spans="1:17">
      <c r="A5" s="62" t="s">
        <v>1709</v>
      </c>
      <c r="B5" s="63" t="s">
        <v>1671</v>
      </c>
    </row>
    <row r="6" spans="1:17">
      <c r="A6" s="63" t="s">
        <v>1402</v>
      </c>
      <c r="B6" s="63" t="s">
        <v>1878</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206</v>
      </c>
      <c r="C10" s="322" t="s">
        <v>1672</v>
      </c>
      <c r="D10" s="322"/>
      <c r="E10" s="322"/>
      <c r="F10" s="322"/>
      <c r="G10" s="322"/>
      <c r="H10" s="322"/>
      <c r="I10" s="20" t="s">
        <v>1879</v>
      </c>
      <c r="J10" s="20" t="s">
        <v>1880</v>
      </c>
      <c r="K10" s="11" t="s">
        <v>1881</v>
      </c>
      <c r="L10" s="11"/>
      <c r="M10" s="11"/>
      <c r="N10" s="11"/>
      <c r="O10" s="9"/>
      <c r="P10" s="10"/>
      <c r="Q10" s="9"/>
    </row>
    <row r="11" spans="1:17" s="58" customFormat="1" ht="13.8">
      <c r="A11" s="54" t="s">
        <v>1391</v>
      </c>
      <c r="B11" s="19" t="s">
        <v>206</v>
      </c>
      <c r="C11" s="326" t="s">
        <v>1727</v>
      </c>
      <c r="D11" s="327"/>
      <c r="E11" s="327"/>
      <c r="F11" s="327"/>
      <c r="G11" s="328"/>
      <c r="H11" s="4" t="s">
        <v>1728</v>
      </c>
      <c r="I11" s="9"/>
      <c r="J11" s="9"/>
      <c r="K11" s="9"/>
      <c r="L11" s="9"/>
      <c r="M11" s="9"/>
      <c r="N11" s="9"/>
      <c r="O11" s="9"/>
      <c r="P11" s="9"/>
      <c r="Q11" s="9"/>
    </row>
    <row r="12" spans="1:17" s="58" customFormat="1" ht="13.8">
      <c r="A12" s="5" t="s">
        <v>1394</v>
      </c>
      <c r="B12" s="5" t="s">
        <v>1727</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7" customFormat="1" ht="51.6" customHeight="1">
      <c r="A14" s="56" t="s">
        <v>1386</v>
      </c>
      <c r="B14" s="3" t="s">
        <v>207</v>
      </c>
      <c r="C14" s="322" t="s">
        <v>1673</v>
      </c>
      <c r="D14" s="322"/>
      <c r="E14" s="322"/>
      <c r="F14" s="322"/>
      <c r="G14" s="322"/>
      <c r="H14" s="322"/>
      <c r="I14" s="20" t="s">
        <v>1882</v>
      </c>
      <c r="J14" s="20" t="s">
        <v>1883</v>
      </c>
      <c r="K14" s="11" t="s">
        <v>1884</v>
      </c>
      <c r="L14" s="11"/>
      <c r="M14" s="11"/>
      <c r="N14" s="11"/>
      <c r="O14" s="9"/>
      <c r="P14" s="10"/>
      <c r="Q14" s="9"/>
    </row>
    <row r="15" spans="1:17" s="58" customFormat="1" ht="13.8">
      <c r="A15" s="54" t="s">
        <v>1391</v>
      </c>
      <c r="B15" s="19" t="s">
        <v>207</v>
      </c>
      <c r="C15" s="326" t="s">
        <v>1727</v>
      </c>
      <c r="D15" s="327"/>
      <c r="E15" s="327"/>
      <c r="F15" s="327"/>
      <c r="G15" s="328"/>
      <c r="H15" s="4" t="s">
        <v>1728</v>
      </c>
      <c r="I15" s="9"/>
      <c r="J15" s="9"/>
      <c r="K15" s="9"/>
      <c r="L15" s="9"/>
      <c r="M15" s="9"/>
      <c r="N15" s="9"/>
      <c r="O15" s="9"/>
      <c r="P15" s="9"/>
      <c r="Q15" s="9"/>
    </row>
    <row r="16" spans="1:17" s="58" customFormat="1" ht="13.8">
      <c r="A16" s="5" t="s">
        <v>1394</v>
      </c>
      <c r="B16" s="5" t="s">
        <v>1727</v>
      </c>
      <c r="C16" s="59" t="s">
        <v>1395</v>
      </c>
      <c r="D16" s="6" t="s">
        <v>97</v>
      </c>
      <c r="E16" s="6" t="s">
        <v>98</v>
      </c>
      <c r="F16" s="6" t="s">
        <v>1396</v>
      </c>
      <c r="G16" s="6" t="s">
        <v>1397</v>
      </c>
      <c r="H16" s="7"/>
      <c r="I16" s="9"/>
      <c r="J16" s="7"/>
      <c r="K16" s="12"/>
      <c r="L16" s="6"/>
      <c r="M16" s="6"/>
      <c r="N16" s="12"/>
      <c r="O16" s="7"/>
      <c r="P16" s="9"/>
      <c r="Q16" s="9"/>
    </row>
    <row r="17" spans="1:17" s="58" customFormat="1" ht="13.8">
      <c r="A17" s="5" t="s">
        <v>1394</v>
      </c>
      <c r="B17" s="5" t="s">
        <v>1727</v>
      </c>
      <c r="C17" s="59" t="s">
        <v>1395</v>
      </c>
      <c r="D17" s="6" t="s">
        <v>97</v>
      </c>
      <c r="E17" s="6" t="s">
        <v>98</v>
      </c>
      <c r="F17" s="6" t="s">
        <v>1396</v>
      </c>
      <c r="G17" s="6" t="s">
        <v>1397</v>
      </c>
      <c r="H17" s="7"/>
      <c r="I17" s="9"/>
      <c r="J17" s="7"/>
      <c r="K17" s="12"/>
      <c r="L17" s="6"/>
      <c r="M17" s="6"/>
      <c r="N17" s="12"/>
      <c r="O17" s="7"/>
      <c r="P17" s="9"/>
      <c r="Q17" s="9"/>
    </row>
    <row r="18" spans="1:17" s="55" customFormat="1" ht="13.8">
      <c r="A18" s="54" t="s">
        <v>1385</v>
      </c>
      <c r="B18" s="17" t="s">
        <v>28</v>
      </c>
      <c r="C18" s="18"/>
      <c r="D18" s="18"/>
      <c r="E18" s="18"/>
      <c r="F18" s="18"/>
      <c r="G18" s="18"/>
      <c r="H18" s="18"/>
      <c r="I18" s="18"/>
      <c r="J18" s="18"/>
      <c r="K18" s="18"/>
      <c r="L18" s="8"/>
      <c r="M18" s="8"/>
      <c r="N18" s="8"/>
      <c r="O18" s="9"/>
      <c r="P18" s="10"/>
      <c r="Q18" s="9"/>
    </row>
    <row r="19" spans="1:17" s="57" customFormat="1" ht="51.6" customHeight="1">
      <c r="A19" s="56" t="s">
        <v>1386</v>
      </c>
      <c r="B19" s="3" t="s">
        <v>208</v>
      </c>
      <c r="C19" s="322" t="s">
        <v>1674</v>
      </c>
      <c r="D19" s="322"/>
      <c r="E19" s="322"/>
      <c r="F19" s="322"/>
      <c r="G19" s="322"/>
      <c r="H19" s="322"/>
      <c r="I19" s="20" t="s">
        <v>1885</v>
      </c>
      <c r="J19" s="20" t="s">
        <v>1886</v>
      </c>
      <c r="K19" s="11" t="s">
        <v>1887</v>
      </c>
      <c r="L19" s="11"/>
      <c r="M19" s="11"/>
      <c r="N19" s="11"/>
      <c r="O19" s="9"/>
      <c r="P19" s="10"/>
      <c r="Q19" s="9"/>
    </row>
    <row r="20" spans="1:17" s="58" customFormat="1" ht="13.8">
      <c r="A20" s="54" t="s">
        <v>1391</v>
      </c>
      <c r="B20" s="19" t="s">
        <v>208</v>
      </c>
      <c r="C20" s="326" t="s">
        <v>1727</v>
      </c>
      <c r="D20" s="327"/>
      <c r="E20" s="327"/>
      <c r="F20" s="327"/>
      <c r="G20" s="328"/>
      <c r="H20" s="4" t="s">
        <v>1728</v>
      </c>
      <c r="I20" s="9"/>
      <c r="J20" s="9"/>
      <c r="K20" s="9"/>
      <c r="L20" s="9"/>
      <c r="M20" s="9"/>
      <c r="N20" s="9"/>
      <c r="O20" s="9"/>
      <c r="P20" s="9"/>
      <c r="Q20" s="9"/>
    </row>
    <row r="21" spans="1:17" s="58" customFormat="1" ht="13.8">
      <c r="A21" s="5" t="s">
        <v>1394</v>
      </c>
      <c r="B21" s="5" t="s">
        <v>1727</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1727</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209</v>
      </c>
      <c r="C23" s="322" t="s">
        <v>1675</v>
      </c>
      <c r="D23" s="322"/>
      <c r="E23" s="322"/>
      <c r="F23" s="322"/>
      <c r="G23" s="322"/>
      <c r="H23" s="322"/>
      <c r="I23" s="20" t="s">
        <v>1888</v>
      </c>
      <c r="J23" s="20" t="s">
        <v>1889</v>
      </c>
      <c r="K23" s="11" t="s">
        <v>1890</v>
      </c>
      <c r="L23" s="11"/>
      <c r="M23" s="11"/>
      <c r="N23" s="11"/>
      <c r="O23" s="9"/>
      <c r="P23" s="10"/>
      <c r="Q23" s="9"/>
    </row>
    <row r="24" spans="1:17" s="58" customFormat="1" ht="13.8">
      <c r="A24" s="54" t="s">
        <v>1391</v>
      </c>
      <c r="B24" s="19" t="s">
        <v>209</v>
      </c>
      <c r="C24" s="326" t="s">
        <v>1727</v>
      </c>
      <c r="D24" s="327"/>
      <c r="E24" s="327"/>
      <c r="F24" s="327"/>
      <c r="G24" s="328"/>
      <c r="H24" s="4" t="s">
        <v>1728</v>
      </c>
      <c r="I24" s="9"/>
      <c r="J24" s="9"/>
      <c r="K24" s="9"/>
      <c r="L24" s="9"/>
      <c r="M24" s="9"/>
      <c r="N24" s="9"/>
      <c r="O24" s="9"/>
      <c r="P24" s="9"/>
      <c r="Q24" s="9"/>
    </row>
    <row r="25" spans="1:17" s="58" customFormat="1" ht="13.8">
      <c r="A25" s="5" t="s">
        <v>1394</v>
      </c>
      <c r="B25" s="5" t="s">
        <v>1727</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1727</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210</v>
      </c>
      <c r="C27" s="322" t="s">
        <v>1676</v>
      </c>
      <c r="D27" s="322"/>
      <c r="E27" s="322"/>
      <c r="F27" s="322"/>
      <c r="G27" s="322"/>
      <c r="H27" s="322"/>
      <c r="I27" s="20" t="s">
        <v>1891</v>
      </c>
      <c r="J27" s="20" t="s">
        <v>1892</v>
      </c>
      <c r="K27" s="11" t="s">
        <v>1893</v>
      </c>
      <c r="L27" s="11"/>
      <c r="M27" s="11"/>
      <c r="N27" s="11"/>
      <c r="O27" s="9"/>
      <c r="P27" s="10"/>
      <c r="Q27" s="9"/>
    </row>
    <row r="28" spans="1:17" s="58" customFormat="1" ht="13.8">
      <c r="A28" s="54" t="s">
        <v>1391</v>
      </c>
      <c r="B28" s="19" t="s">
        <v>210</v>
      </c>
      <c r="C28" s="326" t="s">
        <v>1727</v>
      </c>
      <c r="D28" s="327"/>
      <c r="E28" s="327"/>
      <c r="F28" s="327"/>
      <c r="G28" s="328"/>
      <c r="H28" s="4" t="s">
        <v>1728</v>
      </c>
      <c r="I28" s="9"/>
      <c r="J28" s="9"/>
      <c r="K28" s="9"/>
      <c r="L28" s="9"/>
      <c r="M28" s="9"/>
      <c r="N28" s="9"/>
      <c r="O28" s="9"/>
      <c r="P28" s="9"/>
      <c r="Q28" s="9"/>
    </row>
    <row r="29" spans="1:17" s="58" customFormat="1" ht="13.8">
      <c r="A29" s="5" t="s">
        <v>1394</v>
      </c>
      <c r="B29" s="5" t="s">
        <v>1727</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1727</v>
      </c>
      <c r="C30" s="59" t="s">
        <v>1395</v>
      </c>
      <c r="D30" s="6" t="s">
        <v>97</v>
      </c>
      <c r="E30" s="6" t="s">
        <v>98</v>
      </c>
      <c r="F30" s="6" t="s">
        <v>1396</v>
      </c>
      <c r="G30" s="6" t="s">
        <v>1397</v>
      </c>
      <c r="H30" s="7"/>
      <c r="I30" s="9"/>
      <c r="J30" s="7"/>
      <c r="K30" s="12"/>
      <c r="L30" s="6"/>
      <c r="M30" s="6"/>
      <c r="N30" s="12"/>
      <c r="O30" s="7"/>
      <c r="P30" s="9"/>
      <c r="Q30" s="9"/>
    </row>
    <row r="31" spans="1:17" s="55" customFormat="1" ht="13.8">
      <c r="A31" s="54" t="s">
        <v>1385</v>
      </c>
      <c r="B31" s="17" t="s">
        <v>29</v>
      </c>
      <c r="C31" s="18"/>
      <c r="D31" s="18"/>
      <c r="E31" s="18"/>
      <c r="F31" s="18"/>
      <c r="G31" s="18"/>
      <c r="H31" s="18"/>
      <c r="I31" s="18"/>
      <c r="J31" s="18"/>
      <c r="K31" s="18"/>
      <c r="L31" s="8"/>
      <c r="M31" s="8"/>
      <c r="N31" s="8"/>
      <c r="O31" s="9"/>
      <c r="P31" s="10"/>
      <c r="Q31" s="9"/>
    </row>
    <row r="32" spans="1:17" s="57" customFormat="1" ht="51.6" customHeight="1">
      <c r="A32" s="56" t="s">
        <v>1386</v>
      </c>
      <c r="B32" s="3" t="s">
        <v>211</v>
      </c>
      <c r="C32" s="322" t="s">
        <v>1677</v>
      </c>
      <c r="D32" s="322"/>
      <c r="E32" s="322"/>
      <c r="F32" s="322"/>
      <c r="G32" s="322"/>
      <c r="H32" s="322"/>
      <c r="I32" s="20" t="s">
        <v>1894</v>
      </c>
      <c r="J32" s="20" t="s">
        <v>1895</v>
      </c>
      <c r="K32" s="11" t="s">
        <v>1896</v>
      </c>
      <c r="L32" s="11"/>
      <c r="M32" s="11"/>
      <c r="N32" s="11"/>
      <c r="O32" s="9"/>
      <c r="P32" s="10"/>
      <c r="Q32" s="9"/>
    </row>
    <row r="33" spans="1:17" s="58" customFormat="1" ht="13.8">
      <c r="A33" s="54" t="s">
        <v>1391</v>
      </c>
      <c r="B33" s="19" t="s">
        <v>211</v>
      </c>
      <c r="C33" s="326" t="s">
        <v>1727</v>
      </c>
      <c r="D33" s="327"/>
      <c r="E33" s="327"/>
      <c r="F33" s="327"/>
      <c r="G33" s="328"/>
      <c r="H33" s="4" t="s">
        <v>1728</v>
      </c>
      <c r="I33" s="9"/>
      <c r="J33" s="9"/>
      <c r="K33" s="9"/>
      <c r="L33" s="9"/>
      <c r="M33" s="9"/>
      <c r="N33" s="9"/>
      <c r="O33" s="9"/>
      <c r="P33" s="9"/>
      <c r="Q33" s="9"/>
    </row>
    <row r="34" spans="1:17" s="58" customFormat="1" ht="13.8">
      <c r="A34" s="5" t="s">
        <v>1394</v>
      </c>
      <c r="B34" s="5" t="s">
        <v>1727</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1727</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212</v>
      </c>
      <c r="C36" s="322" t="s">
        <v>1678</v>
      </c>
      <c r="D36" s="322"/>
      <c r="E36" s="322"/>
      <c r="F36" s="322"/>
      <c r="G36" s="322"/>
      <c r="H36" s="322"/>
      <c r="I36" s="20" t="s">
        <v>1897</v>
      </c>
      <c r="J36" s="20" t="s">
        <v>1679</v>
      </c>
      <c r="K36" s="11" t="s">
        <v>1898</v>
      </c>
      <c r="L36" s="11"/>
      <c r="M36" s="11"/>
      <c r="N36" s="11"/>
      <c r="O36" s="9"/>
      <c r="P36" s="10"/>
      <c r="Q36" s="9"/>
    </row>
    <row r="37" spans="1:17" s="58" customFormat="1" ht="13.8">
      <c r="A37" s="54" t="s">
        <v>1391</v>
      </c>
      <c r="B37" s="19" t="s">
        <v>212</v>
      </c>
      <c r="C37" s="326" t="s">
        <v>1727</v>
      </c>
      <c r="D37" s="327"/>
      <c r="E37" s="327"/>
      <c r="F37" s="327"/>
      <c r="G37" s="328"/>
      <c r="H37" s="4" t="s">
        <v>1728</v>
      </c>
      <c r="I37" s="9"/>
      <c r="J37" s="9"/>
      <c r="K37" s="9"/>
      <c r="L37" s="9"/>
      <c r="M37" s="9"/>
      <c r="N37" s="9"/>
      <c r="O37" s="9"/>
      <c r="P37" s="9"/>
      <c r="Q37" s="9"/>
    </row>
    <row r="38" spans="1:17" s="58" customFormat="1" ht="13.8">
      <c r="A38" s="5" t="s">
        <v>1394</v>
      </c>
      <c r="B38" s="5" t="s">
        <v>1727</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1727</v>
      </c>
      <c r="C39" s="59" t="s">
        <v>1395</v>
      </c>
      <c r="D39" s="6" t="s">
        <v>97</v>
      </c>
      <c r="E39" s="6" t="s">
        <v>98</v>
      </c>
      <c r="F39" s="6" t="s">
        <v>1396</v>
      </c>
      <c r="G39" s="6" t="s">
        <v>1397</v>
      </c>
      <c r="H39" s="7"/>
      <c r="I39" s="9"/>
      <c r="J39" s="7"/>
      <c r="K39" s="12"/>
      <c r="L39" s="6"/>
      <c r="M39" s="6"/>
      <c r="N39" s="12"/>
      <c r="O39" s="7"/>
      <c r="P39" s="9"/>
      <c r="Q39" s="9"/>
    </row>
  </sheetData>
  <mergeCells count="14">
    <mergeCell ref="C20:G20"/>
    <mergeCell ref="C10:H10"/>
    <mergeCell ref="C11:G11"/>
    <mergeCell ref="C14:H14"/>
    <mergeCell ref="C15:G15"/>
    <mergeCell ref="C19:H19"/>
    <mergeCell ref="C36:H36"/>
    <mergeCell ref="C37:G37"/>
    <mergeCell ref="C23:H23"/>
    <mergeCell ref="C24:G24"/>
    <mergeCell ref="C27:H27"/>
    <mergeCell ref="C28:G28"/>
    <mergeCell ref="C32:H32"/>
    <mergeCell ref="C33:G33"/>
  </mergeCells>
  <conditionalFormatting sqref="O9">
    <cfRule type="cellIs" dxfId="4605" priority="148" operator="equal">
      <formula>"U"</formula>
    </cfRule>
    <cfRule type="cellIs" dxfId="4604" priority="149" operator="equal">
      <formula>"S"</formula>
    </cfRule>
  </conditionalFormatting>
  <conditionalFormatting sqref="Q9">
    <cfRule type="cellIs" dxfId="4603" priority="147" operator="equal">
      <formula>"Y"</formula>
    </cfRule>
  </conditionalFormatting>
  <conditionalFormatting sqref="O10">
    <cfRule type="cellIs" dxfId="4602" priority="142" operator="equal">
      <formula>"NY"</formula>
    </cfRule>
    <cfRule type="cellIs" dxfId="4601" priority="143" operator="equal">
      <formula>"DM"</formula>
    </cfRule>
    <cfRule type="cellIs" dxfId="4600" priority="144" operator="equal">
      <formula>"PM"</formula>
    </cfRule>
    <cfRule type="cellIs" dxfId="4599" priority="145" operator="equal">
      <formula>"LM"</formula>
    </cfRule>
    <cfRule type="cellIs" dxfId="4598" priority="146" operator="equal">
      <formula>"FM"</formula>
    </cfRule>
  </conditionalFormatting>
  <conditionalFormatting sqref="Q10">
    <cfRule type="cellIs" dxfId="4597" priority="141" operator="equal">
      <formula>"Y"</formula>
    </cfRule>
  </conditionalFormatting>
  <conditionalFormatting sqref="O11">
    <cfRule type="cellIs" dxfId="4596" priority="136" operator="equal">
      <formula>"NY"</formula>
    </cfRule>
    <cfRule type="cellIs" dxfId="4595" priority="137" operator="equal">
      <formula>"DM"</formula>
    </cfRule>
    <cfRule type="cellIs" dxfId="4594" priority="138" operator="equal">
      <formula>"PM"</formula>
    </cfRule>
    <cfRule type="cellIs" dxfId="4593" priority="139" operator="equal">
      <formula>"LM"</formula>
    </cfRule>
    <cfRule type="cellIs" dxfId="4592" priority="140" operator="equal">
      <formula>"FM"</formula>
    </cfRule>
  </conditionalFormatting>
  <conditionalFormatting sqref="I11:J11">
    <cfRule type="cellIs" dxfId="4591" priority="134" operator="equal">
      <formula>"No"</formula>
    </cfRule>
    <cfRule type="cellIs" dxfId="4590" priority="135" operator="equal">
      <formula>"Yes"</formula>
    </cfRule>
  </conditionalFormatting>
  <conditionalFormatting sqref="Q11">
    <cfRule type="cellIs" dxfId="4589" priority="133" operator="equal">
      <formula>"Y"</formula>
    </cfRule>
  </conditionalFormatting>
  <conditionalFormatting sqref="I12">
    <cfRule type="cellIs" dxfId="4588" priority="131" operator="equal">
      <formula>"No"</formula>
    </cfRule>
    <cfRule type="cellIs" dxfId="4587" priority="132" operator="equal">
      <formula>"Yes"</formula>
    </cfRule>
  </conditionalFormatting>
  <conditionalFormatting sqref="Q12">
    <cfRule type="cellIs" dxfId="4586" priority="130" operator="equal">
      <formula>"Y"</formula>
    </cfRule>
  </conditionalFormatting>
  <conditionalFormatting sqref="I13">
    <cfRule type="cellIs" dxfId="4585" priority="128" operator="equal">
      <formula>"No"</formula>
    </cfRule>
    <cfRule type="cellIs" dxfId="4584" priority="129" operator="equal">
      <formula>"Yes"</formula>
    </cfRule>
  </conditionalFormatting>
  <conditionalFormatting sqref="Q13">
    <cfRule type="cellIs" dxfId="4583" priority="127" operator="equal">
      <formula>"Y"</formula>
    </cfRule>
  </conditionalFormatting>
  <conditionalFormatting sqref="O14">
    <cfRule type="cellIs" dxfId="4582" priority="122" operator="equal">
      <formula>"NY"</formula>
    </cfRule>
    <cfRule type="cellIs" dxfId="4581" priority="123" operator="equal">
      <formula>"DM"</formula>
    </cfRule>
    <cfRule type="cellIs" dxfId="4580" priority="124" operator="equal">
      <formula>"PM"</formula>
    </cfRule>
    <cfRule type="cellIs" dxfId="4579" priority="125" operator="equal">
      <formula>"LM"</formula>
    </cfRule>
    <cfRule type="cellIs" dxfId="4578" priority="126" operator="equal">
      <formula>"FM"</formula>
    </cfRule>
  </conditionalFormatting>
  <conditionalFormatting sqref="Q14">
    <cfRule type="cellIs" dxfId="4577" priority="121" operator="equal">
      <formula>"Y"</formula>
    </cfRule>
  </conditionalFormatting>
  <conditionalFormatting sqref="O15">
    <cfRule type="cellIs" dxfId="4576" priority="116" operator="equal">
      <formula>"NY"</formula>
    </cfRule>
    <cfRule type="cellIs" dxfId="4575" priority="117" operator="equal">
      <formula>"DM"</formula>
    </cfRule>
    <cfRule type="cellIs" dxfId="4574" priority="118" operator="equal">
      <formula>"PM"</formula>
    </cfRule>
    <cfRule type="cellIs" dxfId="4573" priority="119" operator="equal">
      <formula>"LM"</formula>
    </cfRule>
    <cfRule type="cellIs" dxfId="4572" priority="120" operator="equal">
      <formula>"FM"</formula>
    </cfRule>
  </conditionalFormatting>
  <conditionalFormatting sqref="I15:J15">
    <cfRule type="cellIs" dxfId="4571" priority="114" operator="equal">
      <formula>"No"</formula>
    </cfRule>
    <cfRule type="cellIs" dxfId="4570" priority="115" operator="equal">
      <formula>"Yes"</formula>
    </cfRule>
  </conditionalFormatting>
  <conditionalFormatting sqref="Q15">
    <cfRule type="cellIs" dxfId="4569" priority="113" operator="equal">
      <formula>"Y"</formula>
    </cfRule>
  </conditionalFormatting>
  <conditionalFormatting sqref="I16">
    <cfRule type="cellIs" dxfId="4568" priority="111" operator="equal">
      <formula>"No"</formula>
    </cfRule>
    <cfRule type="cellIs" dxfId="4567" priority="112" operator="equal">
      <formula>"Yes"</formula>
    </cfRule>
  </conditionalFormatting>
  <conditionalFormatting sqref="Q16">
    <cfRule type="cellIs" dxfId="4566" priority="110" operator="equal">
      <formula>"Y"</formula>
    </cfRule>
  </conditionalFormatting>
  <conditionalFormatting sqref="I17">
    <cfRule type="cellIs" dxfId="4565" priority="108" operator="equal">
      <formula>"No"</formula>
    </cfRule>
    <cfRule type="cellIs" dxfId="4564" priority="109" operator="equal">
      <formula>"Yes"</formula>
    </cfRule>
  </conditionalFormatting>
  <conditionalFormatting sqref="Q17">
    <cfRule type="cellIs" dxfId="4563" priority="107" operator="equal">
      <formula>"Y"</formula>
    </cfRule>
  </conditionalFormatting>
  <conditionalFormatting sqref="O18">
    <cfRule type="cellIs" dxfId="4562" priority="105" operator="equal">
      <formula>"U"</formula>
    </cfRule>
    <cfRule type="cellIs" dxfId="4561" priority="106" operator="equal">
      <formula>"S"</formula>
    </cfRule>
  </conditionalFormatting>
  <conditionalFormatting sqref="Q18">
    <cfRule type="cellIs" dxfId="4560" priority="104" operator="equal">
      <formula>"Y"</formula>
    </cfRule>
  </conditionalFormatting>
  <conditionalFormatting sqref="O19">
    <cfRule type="cellIs" dxfId="4559" priority="99" operator="equal">
      <formula>"NY"</formula>
    </cfRule>
    <cfRule type="cellIs" dxfId="4558" priority="100" operator="equal">
      <formula>"DM"</formula>
    </cfRule>
    <cfRule type="cellIs" dxfId="4557" priority="101" operator="equal">
      <formula>"PM"</formula>
    </cfRule>
    <cfRule type="cellIs" dxfId="4556" priority="102" operator="equal">
      <formula>"LM"</formula>
    </cfRule>
    <cfRule type="cellIs" dxfId="4555" priority="103" operator="equal">
      <formula>"FM"</formula>
    </cfRule>
  </conditionalFormatting>
  <conditionalFormatting sqref="Q19">
    <cfRule type="cellIs" dxfId="4554" priority="98" operator="equal">
      <formula>"Y"</formula>
    </cfRule>
  </conditionalFormatting>
  <conditionalFormatting sqref="O20">
    <cfRule type="cellIs" dxfId="4553" priority="93" operator="equal">
      <formula>"NY"</formula>
    </cfRule>
    <cfRule type="cellIs" dxfId="4552" priority="94" operator="equal">
      <formula>"DM"</formula>
    </cfRule>
    <cfRule type="cellIs" dxfId="4551" priority="95" operator="equal">
      <formula>"PM"</formula>
    </cfRule>
    <cfRule type="cellIs" dxfId="4550" priority="96" operator="equal">
      <formula>"LM"</formula>
    </cfRule>
    <cfRule type="cellIs" dxfId="4549" priority="97" operator="equal">
      <formula>"FM"</formula>
    </cfRule>
  </conditionalFormatting>
  <conditionalFormatting sqref="I20:J20">
    <cfRule type="cellIs" dxfId="4548" priority="91" operator="equal">
      <formula>"No"</formula>
    </cfRule>
    <cfRule type="cellIs" dxfId="4547" priority="92" operator="equal">
      <formula>"Yes"</formula>
    </cfRule>
  </conditionalFormatting>
  <conditionalFormatting sqref="Q20">
    <cfRule type="cellIs" dxfId="4546" priority="90" operator="equal">
      <formula>"Y"</formula>
    </cfRule>
  </conditionalFormatting>
  <conditionalFormatting sqref="I21">
    <cfRule type="cellIs" dxfId="4545" priority="88" operator="equal">
      <formula>"No"</formula>
    </cfRule>
    <cfRule type="cellIs" dxfId="4544" priority="89" operator="equal">
      <formula>"Yes"</formula>
    </cfRule>
  </conditionalFormatting>
  <conditionalFormatting sqref="Q21">
    <cfRule type="cellIs" dxfId="4543" priority="87" operator="equal">
      <formula>"Y"</formula>
    </cfRule>
  </conditionalFormatting>
  <conditionalFormatting sqref="I22">
    <cfRule type="cellIs" dxfId="4542" priority="85" operator="equal">
      <formula>"No"</formula>
    </cfRule>
    <cfRule type="cellIs" dxfId="4541" priority="86" operator="equal">
      <formula>"Yes"</formula>
    </cfRule>
  </conditionalFormatting>
  <conditionalFormatting sqref="Q22">
    <cfRule type="cellIs" dxfId="4540" priority="84" operator="equal">
      <formula>"Y"</formula>
    </cfRule>
  </conditionalFormatting>
  <conditionalFormatting sqref="O23">
    <cfRule type="cellIs" dxfId="4539" priority="79" operator="equal">
      <formula>"NY"</formula>
    </cfRule>
    <cfRule type="cellIs" dxfId="4538" priority="80" operator="equal">
      <formula>"DM"</formula>
    </cfRule>
    <cfRule type="cellIs" dxfId="4537" priority="81" operator="equal">
      <formula>"PM"</formula>
    </cfRule>
    <cfRule type="cellIs" dxfId="4536" priority="82" operator="equal">
      <formula>"LM"</formula>
    </cfRule>
    <cfRule type="cellIs" dxfId="4535" priority="83" operator="equal">
      <formula>"FM"</formula>
    </cfRule>
  </conditionalFormatting>
  <conditionalFormatting sqref="Q23">
    <cfRule type="cellIs" dxfId="4534" priority="78" operator="equal">
      <formula>"Y"</formula>
    </cfRule>
  </conditionalFormatting>
  <conditionalFormatting sqref="O24">
    <cfRule type="cellIs" dxfId="4533" priority="73" operator="equal">
      <formula>"NY"</formula>
    </cfRule>
    <cfRule type="cellIs" dxfId="4532" priority="74" operator="equal">
      <formula>"DM"</formula>
    </cfRule>
    <cfRule type="cellIs" dxfId="4531" priority="75" operator="equal">
      <formula>"PM"</formula>
    </cfRule>
    <cfRule type="cellIs" dxfId="4530" priority="76" operator="equal">
      <formula>"LM"</formula>
    </cfRule>
    <cfRule type="cellIs" dxfId="4529" priority="77" operator="equal">
      <formula>"FM"</formula>
    </cfRule>
  </conditionalFormatting>
  <conditionalFormatting sqref="I24:J24">
    <cfRule type="cellIs" dxfId="4528" priority="71" operator="equal">
      <formula>"No"</formula>
    </cfRule>
    <cfRule type="cellIs" dxfId="4527" priority="72" operator="equal">
      <formula>"Yes"</formula>
    </cfRule>
  </conditionalFormatting>
  <conditionalFormatting sqref="Q24">
    <cfRule type="cellIs" dxfId="4526" priority="70" operator="equal">
      <formula>"Y"</formula>
    </cfRule>
  </conditionalFormatting>
  <conditionalFormatting sqref="I25">
    <cfRule type="cellIs" dxfId="4525" priority="68" operator="equal">
      <formula>"No"</formula>
    </cfRule>
    <cfRule type="cellIs" dxfId="4524" priority="69" operator="equal">
      <formula>"Yes"</formula>
    </cfRule>
  </conditionalFormatting>
  <conditionalFormatting sqref="Q25">
    <cfRule type="cellIs" dxfId="4523" priority="67" operator="equal">
      <formula>"Y"</formula>
    </cfRule>
  </conditionalFormatting>
  <conditionalFormatting sqref="I26">
    <cfRule type="cellIs" dxfId="4522" priority="65" operator="equal">
      <formula>"No"</formula>
    </cfRule>
    <cfRule type="cellIs" dxfId="4521" priority="66" operator="equal">
      <formula>"Yes"</formula>
    </cfRule>
  </conditionalFormatting>
  <conditionalFormatting sqref="Q26">
    <cfRule type="cellIs" dxfId="4520" priority="64" operator="equal">
      <formula>"Y"</formula>
    </cfRule>
  </conditionalFormatting>
  <conditionalFormatting sqref="O27">
    <cfRule type="cellIs" dxfId="4519" priority="59" operator="equal">
      <formula>"NY"</formula>
    </cfRule>
    <cfRule type="cellIs" dxfId="4518" priority="60" operator="equal">
      <formula>"DM"</formula>
    </cfRule>
    <cfRule type="cellIs" dxfId="4517" priority="61" operator="equal">
      <formula>"PM"</formula>
    </cfRule>
    <cfRule type="cellIs" dxfId="4516" priority="62" operator="equal">
      <formula>"LM"</formula>
    </cfRule>
    <cfRule type="cellIs" dxfId="4515" priority="63" operator="equal">
      <formula>"FM"</formula>
    </cfRule>
  </conditionalFormatting>
  <conditionalFormatting sqref="Q27">
    <cfRule type="cellIs" dxfId="4514" priority="58" operator="equal">
      <formula>"Y"</formula>
    </cfRule>
  </conditionalFormatting>
  <conditionalFormatting sqref="O28">
    <cfRule type="cellIs" dxfId="4513" priority="53" operator="equal">
      <formula>"NY"</formula>
    </cfRule>
    <cfRule type="cellIs" dxfId="4512" priority="54" operator="equal">
      <formula>"DM"</formula>
    </cfRule>
    <cfRule type="cellIs" dxfId="4511" priority="55" operator="equal">
      <formula>"PM"</formula>
    </cfRule>
    <cfRule type="cellIs" dxfId="4510" priority="56" operator="equal">
      <formula>"LM"</formula>
    </cfRule>
    <cfRule type="cellIs" dxfId="4509" priority="57" operator="equal">
      <formula>"FM"</formula>
    </cfRule>
  </conditionalFormatting>
  <conditionalFormatting sqref="I28:J28">
    <cfRule type="cellIs" dxfId="4508" priority="51" operator="equal">
      <formula>"No"</formula>
    </cfRule>
    <cfRule type="cellIs" dxfId="4507" priority="52" operator="equal">
      <formula>"Yes"</formula>
    </cfRule>
  </conditionalFormatting>
  <conditionalFormatting sqref="Q28">
    <cfRule type="cellIs" dxfId="4506" priority="50" operator="equal">
      <formula>"Y"</formula>
    </cfRule>
  </conditionalFormatting>
  <conditionalFormatting sqref="I29">
    <cfRule type="cellIs" dxfId="4505" priority="48" operator="equal">
      <formula>"No"</formula>
    </cfRule>
    <cfRule type="cellIs" dxfId="4504" priority="49" operator="equal">
      <formula>"Yes"</formula>
    </cfRule>
  </conditionalFormatting>
  <conditionalFormatting sqref="Q29">
    <cfRule type="cellIs" dxfId="4503" priority="47" operator="equal">
      <formula>"Y"</formula>
    </cfRule>
  </conditionalFormatting>
  <conditionalFormatting sqref="I30">
    <cfRule type="cellIs" dxfId="4502" priority="45" operator="equal">
      <formula>"No"</formula>
    </cfRule>
    <cfRule type="cellIs" dxfId="4501" priority="46" operator="equal">
      <formula>"Yes"</formula>
    </cfRule>
  </conditionalFormatting>
  <conditionalFormatting sqref="Q30">
    <cfRule type="cellIs" dxfId="4500" priority="44" operator="equal">
      <formula>"Y"</formula>
    </cfRule>
  </conditionalFormatting>
  <conditionalFormatting sqref="O31">
    <cfRule type="cellIs" dxfId="4499" priority="42" operator="equal">
      <formula>"U"</formula>
    </cfRule>
    <cfRule type="cellIs" dxfId="4498" priority="43" operator="equal">
      <formula>"S"</formula>
    </cfRule>
  </conditionalFormatting>
  <conditionalFormatting sqref="Q31">
    <cfRule type="cellIs" dxfId="4497" priority="41" operator="equal">
      <formula>"Y"</formula>
    </cfRule>
  </conditionalFormatting>
  <conditionalFormatting sqref="O32">
    <cfRule type="cellIs" dxfId="4496" priority="36" operator="equal">
      <formula>"NY"</formula>
    </cfRule>
    <cfRule type="cellIs" dxfId="4495" priority="37" operator="equal">
      <formula>"DM"</formula>
    </cfRule>
    <cfRule type="cellIs" dxfId="4494" priority="38" operator="equal">
      <formula>"PM"</formula>
    </cfRule>
    <cfRule type="cellIs" dxfId="4493" priority="39" operator="equal">
      <formula>"LM"</formula>
    </cfRule>
    <cfRule type="cellIs" dxfId="4492" priority="40" operator="equal">
      <formula>"FM"</formula>
    </cfRule>
  </conditionalFormatting>
  <conditionalFormatting sqref="Q32">
    <cfRule type="cellIs" dxfId="4491" priority="35" operator="equal">
      <formula>"Y"</formula>
    </cfRule>
  </conditionalFormatting>
  <conditionalFormatting sqref="O33">
    <cfRule type="cellIs" dxfId="4490" priority="30" operator="equal">
      <formula>"NY"</formula>
    </cfRule>
    <cfRule type="cellIs" dxfId="4489" priority="31" operator="equal">
      <formula>"DM"</formula>
    </cfRule>
    <cfRule type="cellIs" dxfId="4488" priority="32" operator="equal">
      <formula>"PM"</formula>
    </cfRule>
    <cfRule type="cellIs" dxfId="4487" priority="33" operator="equal">
      <formula>"LM"</formula>
    </cfRule>
    <cfRule type="cellIs" dxfId="4486" priority="34" operator="equal">
      <formula>"FM"</formula>
    </cfRule>
  </conditionalFormatting>
  <conditionalFormatting sqref="I33:J33">
    <cfRule type="cellIs" dxfId="4485" priority="28" operator="equal">
      <formula>"No"</formula>
    </cfRule>
    <cfRule type="cellIs" dxfId="4484" priority="29" operator="equal">
      <formula>"Yes"</formula>
    </cfRule>
  </conditionalFormatting>
  <conditionalFormatting sqref="Q33">
    <cfRule type="cellIs" dxfId="4483" priority="27" operator="equal">
      <formula>"Y"</formula>
    </cfRule>
  </conditionalFormatting>
  <conditionalFormatting sqref="I34">
    <cfRule type="cellIs" dxfId="4482" priority="25" operator="equal">
      <formula>"No"</formula>
    </cfRule>
    <cfRule type="cellIs" dxfId="4481" priority="26" operator="equal">
      <formula>"Yes"</formula>
    </cfRule>
  </conditionalFormatting>
  <conditionalFormatting sqref="Q34">
    <cfRule type="cellIs" dxfId="4480" priority="24" operator="equal">
      <formula>"Y"</formula>
    </cfRule>
  </conditionalFormatting>
  <conditionalFormatting sqref="I35">
    <cfRule type="cellIs" dxfId="4479" priority="22" operator="equal">
      <formula>"No"</formula>
    </cfRule>
    <cfRule type="cellIs" dxfId="4478" priority="23" operator="equal">
      <formula>"Yes"</formula>
    </cfRule>
  </conditionalFormatting>
  <conditionalFormatting sqref="Q35">
    <cfRule type="cellIs" dxfId="4477" priority="21" operator="equal">
      <formula>"Y"</formula>
    </cfRule>
  </conditionalFormatting>
  <conditionalFormatting sqref="O36">
    <cfRule type="cellIs" dxfId="4476" priority="16" operator="equal">
      <formula>"NY"</formula>
    </cfRule>
    <cfRule type="cellIs" dxfId="4475" priority="17" operator="equal">
      <formula>"DM"</formula>
    </cfRule>
    <cfRule type="cellIs" dxfId="4474" priority="18" operator="equal">
      <formula>"PM"</formula>
    </cfRule>
    <cfRule type="cellIs" dxfId="4473" priority="19" operator="equal">
      <formula>"LM"</formula>
    </cfRule>
    <cfRule type="cellIs" dxfId="4472" priority="20" operator="equal">
      <formula>"FM"</formula>
    </cfRule>
  </conditionalFormatting>
  <conditionalFormatting sqref="Q36">
    <cfRule type="cellIs" dxfId="4471" priority="15" operator="equal">
      <formula>"Y"</formula>
    </cfRule>
  </conditionalFormatting>
  <conditionalFormatting sqref="O37">
    <cfRule type="cellIs" dxfId="4470" priority="10" operator="equal">
      <formula>"NY"</formula>
    </cfRule>
    <cfRule type="cellIs" dxfId="4469" priority="11" operator="equal">
      <formula>"DM"</formula>
    </cfRule>
    <cfRule type="cellIs" dxfId="4468" priority="12" operator="equal">
      <formula>"PM"</formula>
    </cfRule>
    <cfRule type="cellIs" dxfId="4467" priority="13" operator="equal">
      <formula>"LM"</formula>
    </cfRule>
    <cfRule type="cellIs" dxfId="4466" priority="14" operator="equal">
      <formula>"FM"</formula>
    </cfRule>
  </conditionalFormatting>
  <conditionalFormatting sqref="I37:J37">
    <cfRule type="cellIs" dxfId="4465" priority="8" operator="equal">
      <formula>"No"</formula>
    </cfRule>
    <cfRule type="cellIs" dxfId="4464" priority="9" operator="equal">
      <formula>"Yes"</formula>
    </cfRule>
  </conditionalFormatting>
  <conditionalFormatting sqref="Q37">
    <cfRule type="cellIs" dxfId="4463" priority="7" operator="equal">
      <formula>"Y"</formula>
    </cfRule>
  </conditionalFormatting>
  <conditionalFormatting sqref="I38">
    <cfRule type="cellIs" dxfId="4462" priority="5" operator="equal">
      <formula>"No"</formula>
    </cfRule>
    <cfRule type="cellIs" dxfId="4461" priority="6" operator="equal">
      <formula>"Yes"</formula>
    </cfRule>
  </conditionalFormatting>
  <conditionalFormatting sqref="Q38">
    <cfRule type="cellIs" dxfId="4460" priority="4" operator="equal">
      <formula>"Y"</formula>
    </cfRule>
  </conditionalFormatting>
  <conditionalFormatting sqref="I39">
    <cfRule type="cellIs" dxfId="4459" priority="2" operator="equal">
      <formula>"No"</formula>
    </cfRule>
    <cfRule type="cellIs" dxfId="4458" priority="3" operator="equal">
      <formula>"Yes"</formula>
    </cfRule>
  </conditionalFormatting>
  <conditionalFormatting sqref="Q39">
    <cfRule type="cellIs" dxfId="4457" priority="1" operator="equal">
      <formula>"Y"</formula>
    </cfRule>
  </conditionalFormatting>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21C1-DBB2-46DA-9CF8-D1E692B877DE}">
  <sheetPr codeName="Sheet37"/>
  <dimension ref="A1:Q101"/>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508</v>
      </c>
    </row>
    <row r="2" spans="1:17" s="61" customFormat="1" ht="21">
      <c r="A2" s="60" t="s">
        <v>1899</v>
      </c>
    </row>
    <row r="3" spans="1:17">
      <c r="A3" s="62" t="s">
        <v>1707</v>
      </c>
      <c r="B3" s="63" t="s">
        <v>1467</v>
      </c>
    </row>
    <row r="4" spans="1:17">
      <c r="A4" s="63" t="s">
        <v>1401</v>
      </c>
      <c r="B4" s="63" t="s">
        <v>1900</v>
      </c>
    </row>
    <row r="5" spans="1:17">
      <c r="A5" s="62" t="s">
        <v>1709</v>
      </c>
      <c r="B5" s="63" t="s">
        <v>510</v>
      </c>
    </row>
    <row r="6" spans="1:17">
      <c r="A6" s="63" t="s">
        <v>1402</v>
      </c>
      <c r="B6" s="63" t="s">
        <v>1901</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513</v>
      </c>
      <c r="C10" s="322" t="s">
        <v>1468</v>
      </c>
      <c r="D10" s="322"/>
      <c r="E10" s="322"/>
      <c r="F10" s="322"/>
      <c r="G10" s="322"/>
      <c r="H10" s="322"/>
      <c r="I10" s="20" t="s">
        <v>1902</v>
      </c>
      <c r="J10" s="20" t="s">
        <v>1903</v>
      </c>
      <c r="K10" s="11" t="s">
        <v>1904</v>
      </c>
      <c r="L10" s="11"/>
      <c r="M10" s="11"/>
      <c r="N10" s="11"/>
      <c r="O10" s="9"/>
      <c r="P10" s="10"/>
      <c r="Q10" s="9"/>
    </row>
    <row r="11" spans="1:17" s="58" customFormat="1" ht="13.8">
      <c r="A11" s="54" t="s">
        <v>1391</v>
      </c>
      <c r="B11" s="19" t="s">
        <v>513</v>
      </c>
      <c r="C11" s="326" t="s">
        <v>1905</v>
      </c>
      <c r="D11" s="327"/>
      <c r="E11" s="327"/>
      <c r="F11" s="327"/>
      <c r="G11" s="328"/>
      <c r="H11" s="4" t="s">
        <v>1906</v>
      </c>
      <c r="I11" s="9"/>
      <c r="J11" s="9"/>
      <c r="K11" s="9"/>
      <c r="L11" s="9"/>
      <c r="M11" s="9"/>
      <c r="N11" s="9"/>
      <c r="O11" s="9"/>
      <c r="P11" s="9"/>
      <c r="Q11" s="9"/>
    </row>
    <row r="12" spans="1:17" s="58" customFormat="1" ht="13.8">
      <c r="A12" s="5" t="s">
        <v>1394</v>
      </c>
      <c r="B12" s="5" t="s">
        <v>1905</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1905</v>
      </c>
      <c r="C13" s="59" t="s">
        <v>1395</v>
      </c>
      <c r="D13" s="6" t="s">
        <v>97</v>
      </c>
      <c r="E13" s="6" t="s">
        <v>98</v>
      </c>
      <c r="F13" s="6" t="s">
        <v>1396</v>
      </c>
      <c r="G13" s="6" t="s">
        <v>1397</v>
      </c>
      <c r="H13" s="7"/>
      <c r="I13" s="9"/>
      <c r="J13" s="7"/>
      <c r="K13" s="12"/>
      <c r="L13" s="6"/>
      <c r="M13" s="6"/>
      <c r="N13" s="12"/>
      <c r="O13" s="7"/>
      <c r="P13" s="9"/>
      <c r="Q13" s="9"/>
    </row>
    <row r="14" spans="1:17" s="57" customFormat="1" ht="51.6" customHeight="1">
      <c r="A14" s="56" t="s">
        <v>1386</v>
      </c>
      <c r="B14" s="3" t="s">
        <v>514</v>
      </c>
      <c r="C14" s="322" t="s">
        <v>1469</v>
      </c>
      <c r="D14" s="322"/>
      <c r="E14" s="322"/>
      <c r="F14" s="322"/>
      <c r="G14" s="322"/>
      <c r="H14" s="322"/>
      <c r="I14" s="20" t="s">
        <v>1907</v>
      </c>
      <c r="J14" s="20" t="s">
        <v>1908</v>
      </c>
      <c r="K14" s="11" t="s">
        <v>1909</v>
      </c>
      <c r="L14" s="11"/>
      <c r="M14" s="11"/>
      <c r="N14" s="11"/>
      <c r="O14" s="9"/>
      <c r="P14" s="10"/>
      <c r="Q14" s="9"/>
    </row>
    <row r="15" spans="1:17" s="58" customFormat="1" ht="13.8">
      <c r="A15" s="54" t="s">
        <v>1391</v>
      </c>
      <c r="B15" s="19" t="s">
        <v>514</v>
      </c>
      <c r="C15" s="326" t="s">
        <v>1905</v>
      </c>
      <c r="D15" s="327"/>
      <c r="E15" s="327"/>
      <c r="F15" s="327"/>
      <c r="G15" s="328"/>
      <c r="H15" s="4" t="s">
        <v>1906</v>
      </c>
      <c r="I15" s="9"/>
      <c r="J15" s="9"/>
      <c r="K15" s="9"/>
      <c r="L15" s="9"/>
      <c r="M15" s="9"/>
      <c r="N15" s="9"/>
      <c r="O15" s="9"/>
      <c r="P15" s="9"/>
      <c r="Q15" s="9"/>
    </row>
    <row r="16" spans="1:17" s="58" customFormat="1" ht="13.8">
      <c r="A16" s="5" t="s">
        <v>1394</v>
      </c>
      <c r="B16" s="5" t="s">
        <v>1905</v>
      </c>
      <c r="C16" s="59" t="s">
        <v>1395</v>
      </c>
      <c r="D16" s="6" t="s">
        <v>97</v>
      </c>
      <c r="E16" s="6" t="s">
        <v>98</v>
      </c>
      <c r="F16" s="6" t="s">
        <v>1396</v>
      </c>
      <c r="G16" s="6" t="s">
        <v>1397</v>
      </c>
      <c r="H16" s="7"/>
      <c r="I16" s="9"/>
      <c r="J16" s="7"/>
      <c r="K16" s="12"/>
      <c r="L16" s="6"/>
      <c r="M16" s="6"/>
      <c r="N16" s="12"/>
      <c r="O16" s="7"/>
      <c r="P16" s="9"/>
      <c r="Q16" s="9"/>
    </row>
    <row r="17" spans="1:17" s="58" customFormat="1" ht="13.8">
      <c r="A17" s="5" t="s">
        <v>1394</v>
      </c>
      <c r="B17" s="5" t="s">
        <v>1905</v>
      </c>
      <c r="C17" s="59" t="s">
        <v>1395</v>
      </c>
      <c r="D17" s="6" t="s">
        <v>97</v>
      </c>
      <c r="E17" s="6" t="s">
        <v>98</v>
      </c>
      <c r="F17" s="6" t="s">
        <v>1396</v>
      </c>
      <c r="G17" s="6" t="s">
        <v>1397</v>
      </c>
      <c r="H17" s="7"/>
      <c r="I17" s="9"/>
      <c r="J17" s="7"/>
      <c r="K17" s="12"/>
      <c r="L17" s="6"/>
      <c r="M17" s="6"/>
      <c r="N17" s="12"/>
      <c r="O17" s="7"/>
      <c r="P17" s="9"/>
      <c r="Q17" s="9"/>
    </row>
    <row r="18" spans="1:17" s="55" customFormat="1" ht="13.8">
      <c r="A18" s="54" t="s">
        <v>1385</v>
      </c>
      <c r="B18" s="17" t="s">
        <v>28</v>
      </c>
      <c r="C18" s="18"/>
      <c r="D18" s="18"/>
      <c r="E18" s="18"/>
      <c r="F18" s="18"/>
      <c r="G18" s="18"/>
      <c r="H18" s="18"/>
      <c r="I18" s="18"/>
      <c r="J18" s="18"/>
      <c r="K18" s="18"/>
      <c r="L18" s="8"/>
      <c r="M18" s="8"/>
      <c r="N18" s="8"/>
      <c r="O18" s="9"/>
      <c r="P18" s="10"/>
      <c r="Q18" s="9"/>
    </row>
    <row r="19" spans="1:17" s="57" customFormat="1" ht="51.6" customHeight="1">
      <c r="A19" s="56" t="s">
        <v>1386</v>
      </c>
      <c r="B19" s="3" t="s">
        <v>515</v>
      </c>
      <c r="C19" s="322" t="s">
        <v>1470</v>
      </c>
      <c r="D19" s="322"/>
      <c r="E19" s="322"/>
      <c r="F19" s="322"/>
      <c r="G19" s="322"/>
      <c r="H19" s="322"/>
      <c r="I19" s="20" t="s">
        <v>1910</v>
      </c>
      <c r="J19" s="20" t="s">
        <v>1911</v>
      </c>
      <c r="K19" s="11" t="s">
        <v>1912</v>
      </c>
      <c r="L19" s="11"/>
      <c r="M19" s="11"/>
      <c r="N19" s="11"/>
      <c r="O19" s="9"/>
      <c r="P19" s="10"/>
      <c r="Q19" s="9"/>
    </row>
    <row r="20" spans="1:17" s="58" customFormat="1" ht="13.8">
      <c r="A20" s="54" t="s">
        <v>1391</v>
      </c>
      <c r="B20" s="19" t="s">
        <v>515</v>
      </c>
      <c r="C20" s="326" t="s">
        <v>1905</v>
      </c>
      <c r="D20" s="327"/>
      <c r="E20" s="327"/>
      <c r="F20" s="327"/>
      <c r="G20" s="328"/>
      <c r="H20" s="4" t="s">
        <v>1906</v>
      </c>
      <c r="I20" s="9"/>
      <c r="J20" s="9"/>
      <c r="K20" s="9"/>
      <c r="L20" s="9"/>
      <c r="M20" s="9"/>
      <c r="N20" s="9"/>
      <c r="O20" s="9"/>
      <c r="P20" s="9"/>
      <c r="Q20" s="9"/>
    </row>
    <row r="21" spans="1:17" s="58" customFormat="1" ht="13.8">
      <c r="A21" s="5" t="s">
        <v>1394</v>
      </c>
      <c r="B21" s="5" t="s">
        <v>1905</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1905</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516</v>
      </c>
      <c r="C23" s="322" t="s">
        <v>1471</v>
      </c>
      <c r="D23" s="322"/>
      <c r="E23" s="322"/>
      <c r="F23" s="322"/>
      <c r="G23" s="322"/>
      <c r="H23" s="322"/>
      <c r="I23" s="20" t="s">
        <v>1913</v>
      </c>
      <c r="J23" s="20" t="s">
        <v>1914</v>
      </c>
      <c r="K23" s="11" t="s">
        <v>1915</v>
      </c>
      <c r="L23" s="11"/>
      <c r="M23" s="11"/>
      <c r="N23" s="11"/>
      <c r="O23" s="9"/>
      <c r="P23" s="10"/>
      <c r="Q23" s="9"/>
    </row>
    <row r="24" spans="1:17" s="58" customFormat="1" ht="13.8">
      <c r="A24" s="54" t="s">
        <v>1391</v>
      </c>
      <c r="B24" s="19" t="s">
        <v>516</v>
      </c>
      <c r="C24" s="326" t="s">
        <v>1905</v>
      </c>
      <c r="D24" s="327"/>
      <c r="E24" s="327"/>
      <c r="F24" s="327"/>
      <c r="G24" s="328"/>
      <c r="H24" s="4" t="s">
        <v>1906</v>
      </c>
      <c r="I24" s="9"/>
      <c r="J24" s="9"/>
      <c r="K24" s="9"/>
      <c r="L24" s="9"/>
      <c r="M24" s="9"/>
      <c r="N24" s="9"/>
      <c r="O24" s="9"/>
      <c r="P24" s="9"/>
      <c r="Q24" s="9"/>
    </row>
    <row r="25" spans="1:17" s="58" customFormat="1" ht="13.8">
      <c r="A25" s="5" t="s">
        <v>1394</v>
      </c>
      <c r="B25" s="5" t="s">
        <v>1905</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1905</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517</v>
      </c>
      <c r="C27" s="322" t="s">
        <v>1472</v>
      </c>
      <c r="D27" s="322"/>
      <c r="E27" s="322"/>
      <c r="F27" s="322"/>
      <c r="G27" s="322"/>
      <c r="H27" s="322"/>
      <c r="I27" s="20" t="s">
        <v>1916</v>
      </c>
      <c r="J27" s="20" t="s">
        <v>1917</v>
      </c>
      <c r="K27" s="11" t="s">
        <v>1918</v>
      </c>
      <c r="L27" s="11"/>
      <c r="M27" s="11"/>
      <c r="N27" s="11"/>
      <c r="O27" s="9"/>
      <c r="P27" s="10"/>
      <c r="Q27" s="9"/>
    </row>
    <row r="28" spans="1:17" s="58" customFormat="1" ht="13.8">
      <c r="A28" s="54" t="s">
        <v>1391</v>
      </c>
      <c r="B28" s="19" t="s">
        <v>517</v>
      </c>
      <c r="C28" s="326" t="s">
        <v>1905</v>
      </c>
      <c r="D28" s="327"/>
      <c r="E28" s="327"/>
      <c r="F28" s="327"/>
      <c r="G28" s="328"/>
      <c r="H28" s="4" t="s">
        <v>1906</v>
      </c>
      <c r="I28" s="9"/>
      <c r="J28" s="9"/>
      <c r="K28" s="9"/>
      <c r="L28" s="9"/>
      <c r="M28" s="9"/>
      <c r="N28" s="9"/>
      <c r="O28" s="9"/>
      <c r="P28" s="9"/>
      <c r="Q28" s="9"/>
    </row>
    <row r="29" spans="1:17" s="58" customFormat="1" ht="13.8">
      <c r="A29" s="5" t="s">
        <v>1394</v>
      </c>
      <c r="B29" s="5" t="s">
        <v>1905</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1905</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518</v>
      </c>
      <c r="C31" s="322" t="s">
        <v>1473</v>
      </c>
      <c r="D31" s="322"/>
      <c r="E31" s="322"/>
      <c r="F31" s="322"/>
      <c r="G31" s="322"/>
      <c r="H31" s="322"/>
      <c r="I31" s="20" t="s">
        <v>1919</v>
      </c>
      <c r="J31" s="20" t="s">
        <v>1920</v>
      </c>
      <c r="K31" s="11" t="s">
        <v>1921</v>
      </c>
      <c r="L31" s="11"/>
      <c r="M31" s="11"/>
      <c r="N31" s="11"/>
      <c r="O31" s="9"/>
      <c r="P31" s="10"/>
      <c r="Q31" s="9"/>
    </row>
    <row r="32" spans="1:17" s="58" customFormat="1" ht="13.8">
      <c r="A32" s="54" t="s">
        <v>1391</v>
      </c>
      <c r="B32" s="19" t="s">
        <v>518</v>
      </c>
      <c r="C32" s="326" t="s">
        <v>1905</v>
      </c>
      <c r="D32" s="327"/>
      <c r="E32" s="327"/>
      <c r="F32" s="327"/>
      <c r="G32" s="328"/>
      <c r="H32" s="4" t="s">
        <v>1906</v>
      </c>
      <c r="I32" s="9"/>
      <c r="J32" s="9"/>
      <c r="K32" s="9"/>
      <c r="L32" s="9"/>
      <c r="M32" s="9"/>
      <c r="N32" s="9"/>
      <c r="O32" s="9"/>
      <c r="P32" s="9"/>
      <c r="Q32" s="9"/>
    </row>
    <row r="33" spans="1:17" s="58" customFormat="1" ht="13.8">
      <c r="A33" s="5" t="s">
        <v>1394</v>
      </c>
      <c r="B33" s="5" t="s">
        <v>1905</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1905</v>
      </c>
      <c r="C34" s="59" t="s">
        <v>1395</v>
      </c>
      <c r="D34" s="6" t="s">
        <v>97</v>
      </c>
      <c r="E34" s="6" t="s">
        <v>98</v>
      </c>
      <c r="F34" s="6" t="s">
        <v>1396</v>
      </c>
      <c r="G34" s="6" t="s">
        <v>1397</v>
      </c>
      <c r="H34" s="7"/>
      <c r="I34" s="9"/>
      <c r="J34" s="7"/>
      <c r="K34" s="12"/>
      <c r="L34" s="6"/>
      <c r="M34" s="6"/>
      <c r="N34" s="12"/>
      <c r="O34" s="7"/>
      <c r="P34" s="9"/>
      <c r="Q34" s="9"/>
    </row>
    <row r="35" spans="1:17" s="57" customFormat="1" ht="51.6" customHeight="1">
      <c r="A35" s="56" t="s">
        <v>1386</v>
      </c>
      <c r="B35" s="3" t="s">
        <v>519</v>
      </c>
      <c r="C35" s="322" t="s">
        <v>1474</v>
      </c>
      <c r="D35" s="322"/>
      <c r="E35" s="322"/>
      <c r="F35" s="322"/>
      <c r="G35" s="322"/>
      <c r="H35" s="322"/>
      <c r="I35" s="20" t="s">
        <v>1922</v>
      </c>
      <c r="J35" s="20" t="s">
        <v>1923</v>
      </c>
      <c r="K35" s="11" t="s">
        <v>1924</v>
      </c>
      <c r="L35" s="11"/>
      <c r="M35" s="11"/>
      <c r="N35" s="11"/>
      <c r="O35" s="9"/>
      <c r="P35" s="10"/>
      <c r="Q35" s="9"/>
    </row>
    <row r="36" spans="1:17" s="58" customFormat="1" ht="13.8">
      <c r="A36" s="54" t="s">
        <v>1391</v>
      </c>
      <c r="B36" s="19" t="s">
        <v>519</v>
      </c>
      <c r="C36" s="326" t="s">
        <v>1905</v>
      </c>
      <c r="D36" s="327"/>
      <c r="E36" s="327"/>
      <c r="F36" s="327"/>
      <c r="G36" s="328"/>
      <c r="H36" s="4" t="s">
        <v>1906</v>
      </c>
      <c r="I36" s="9"/>
      <c r="J36" s="9"/>
      <c r="K36" s="9"/>
      <c r="L36" s="9"/>
      <c r="M36" s="9"/>
      <c r="N36" s="9"/>
      <c r="O36" s="9"/>
      <c r="P36" s="9"/>
      <c r="Q36" s="9"/>
    </row>
    <row r="37" spans="1:17" s="58" customFormat="1" ht="13.8">
      <c r="A37" s="5" t="s">
        <v>1394</v>
      </c>
      <c r="B37" s="5" t="s">
        <v>1905</v>
      </c>
      <c r="C37" s="59" t="s">
        <v>1395</v>
      </c>
      <c r="D37" s="6" t="s">
        <v>97</v>
      </c>
      <c r="E37" s="6" t="s">
        <v>98</v>
      </c>
      <c r="F37" s="6" t="s">
        <v>1396</v>
      </c>
      <c r="G37" s="6" t="s">
        <v>1397</v>
      </c>
      <c r="H37" s="7"/>
      <c r="I37" s="9"/>
      <c r="J37" s="7"/>
      <c r="K37" s="12"/>
      <c r="L37" s="6"/>
      <c r="M37" s="6"/>
      <c r="N37" s="12"/>
      <c r="O37" s="7"/>
      <c r="P37" s="9"/>
      <c r="Q37" s="9"/>
    </row>
    <row r="38" spans="1:17" s="58" customFormat="1" ht="13.8">
      <c r="A38" s="5" t="s">
        <v>1394</v>
      </c>
      <c r="B38" s="5" t="s">
        <v>1905</v>
      </c>
      <c r="C38" s="59" t="s">
        <v>1395</v>
      </c>
      <c r="D38" s="6" t="s">
        <v>97</v>
      </c>
      <c r="E38" s="6" t="s">
        <v>98</v>
      </c>
      <c r="F38" s="6" t="s">
        <v>1396</v>
      </c>
      <c r="G38" s="6" t="s">
        <v>1397</v>
      </c>
      <c r="H38" s="7"/>
      <c r="I38" s="9"/>
      <c r="J38" s="7"/>
      <c r="K38" s="12"/>
      <c r="L38" s="6"/>
      <c r="M38" s="6"/>
      <c r="N38" s="12"/>
      <c r="O38" s="7"/>
      <c r="P38" s="9"/>
      <c r="Q38" s="9"/>
    </row>
    <row r="39" spans="1:17" s="57" customFormat="1" ht="51.6" customHeight="1">
      <c r="A39" s="56" t="s">
        <v>1386</v>
      </c>
      <c r="B39" s="3" t="s">
        <v>520</v>
      </c>
      <c r="C39" s="322" t="s">
        <v>1475</v>
      </c>
      <c r="D39" s="322"/>
      <c r="E39" s="322"/>
      <c r="F39" s="322"/>
      <c r="G39" s="322"/>
      <c r="H39" s="322"/>
      <c r="I39" s="20" t="s">
        <v>1925</v>
      </c>
      <c r="J39" s="20" t="s">
        <v>1926</v>
      </c>
      <c r="K39" s="11" t="s">
        <v>1927</v>
      </c>
      <c r="L39" s="11"/>
      <c r="M39" s="11"/>
      <c r="N39" s="11"/>
      <c r="O39" s="9"/>
      <c r="P39" s="10"/>
      <c r="Q39" s="9"/>
    </row>
    <row r="40" spans="1:17" s="58" customFormat="1" ht="13.8">
      <c r="A40" s="54" t="s">
        <v>1391</v>
      </c>
      <c r="B40" s="19" t="s">
        <v>520</v>
      </c>
      <c r="C40" s="326" t="s">
        <v>1905</v>
      </c>
      <c r="D40" s="327"/>
      <c r="E40" s="327"/>
      <c r="F40" s="327"/>
      <c r="G40" s="328"/>
      <c r="H40" s="4" t="s">
        <v>1906</v>
      </c>
      <c r="I40" s="9"/>
      <c r="J40" s="9"/>
      <c r="K40" s="9"/>
      <c r="L40" s="9"/>
      <c r="M40" s="9"/>
      <c r="N40" s="9"/>
      <c r="O40" s="9"/>
      <c r="P40" s="9"/>
      <c r="Q40" s="9"/>
    </row>
    <row r="41" spans="1:17" s="58" customFormat="1" ht="13.8">
      <c r="A41" s="5" t="s">
        <v>1394</v>
      </c>
      <c r="B41" s="5" t="s">
        <v>1905</v>
      </c>
      <c r="C41" s="59" t="s">
        <v>1395</v>
      </c>
      <c r="D41" s="6" t="s">
        <v>97</v>
      </c>
      <c r="E41" s="6" t="s">
        <v>98</v>
      </c>
      <c r="F41" s="6" t="s">
        <v>1396</v>
      </c>
      <c r="G41" s="6" t="s">
        <v>1397</v>
      </c>
      <c r="H41" s="7"/>
      <c r="I41" s="9"/>
      <c r="J41" s="7"/>
      <c r="K41" s="12"/>
      <c r="L41" s="6"/>
      <c r="M41" s="6"/>
      <c r="N41" s="12"/>
      <c r="O41" s="7"/>
      <c r="P41" s="9"/>
      <c r="Q41" s="9"/>
    </row>
    <row r="42" spans="1:17" s="58" customFormat="1" ht="13.8">
      <c r="A42" s="5" t="s">
        <v>1394</v>
      </c>
      <c r="B42" s="5" t="s">
        <v>1905</v>
      </c>
      <c r="C42" s="59" t="s">
        <v>1395</v>
      </c>
      <c r="D42" s="6" t="s">
        <v>97</v>
      </c>
      <c r="E42" s="6" t="s">
        <v>98</v>
      </c>
      <c r="F42" s="6" t="s">
        <v>1396</v>
      </c>
      <c r="G42" s="6" t="s">
        <v>1397</v>
      </c>
      <c r="H42" s="7"/>
      <c r="I42" s="9"/>
      <c r="J42" s="7"/>
      <c r="K42" s="12"/>
      <c r="L42" s="6"/>
      <c r="M42" s="6"/>
      <c r="N42" s="12"/>
      <c r="O42" s="7"/>
      <c r="P42" s="9"/>
      <c r="Q42" s="9"/>
    </row>
    <row r="43" spans="1:17" s="55" customFormat="1" ht="13.8">
      <c r="A43" s="54" t="s">
        <v>1385</v>
      </c>
      <c r="B43" s="17" t="s">
        <v>29</v>
      </c>
      <c r="C43" s="18"/>
      <c r="D43" s="18"/>
      <c r="E43" s="18"/>
      <c r="F43" s="18"/>
      <c r="G43" s="18"/>
      <c r="H43" s="18"/>
      <c r="I43" s="18"/>
      <c r="J43" s="18"/>
      <c r="K43" s="18"/>
      <c r="L43" s="8"/>
      <c r="M43" s="8"/>
      <c r="N43" s="8"/>
      <c r="O43" s="9"/>
      <c r="P43" s="10"/>
      <c r="Q43" s="9"/>
    </row>
    <row r="44" spans="1:17" s="57" customFormat="1" ht="51.6" customHeight="1">
      <c r="A44" s="56" t="s">
        <v>1386</v>
      </c>
      <c r="B44" s="3" t="s">
        <v>521</v>
      </c>
      <c r="C44" s="322" t="s">
        <v>1476</v>
      </c>
      <c r="D44" s="322"/>
      <c r="E44" s="322"/>
      <c r="F44" s="322"/>
      <c r="G44" s="322"/>
      <c r="H44" s="322"/>
      <c r="I44" s="20" t="s">
        <v>1928</v>
      </c>
      <c r="J44" s="20" t="s">
        <v>1929</v>
      </c>
      <c r="K44" s="11" t="s">
        <v>1930</v>
      </c>
      <c r="L44" s="11"/>
      <c r="M44" s="11"/>
      <c r="N44" s="11"/>
      <c r="O44" s="9"/>
      <c r="P44" s="10"/>
      <c r="Q44" s="9"/>
    </row>
    <row r="45" spans="1:17" s="58" customFormat="1" ht="13.8">
      <c r="A45" s="54" t="s">
        <v>1391</v>
      </c>
      <c r="B45" s="19" t="s">
        <v>521</v>
      </c>
      <c r="C45" s="326" t="s">
        <v>1905</v>
      </c>
      <c r="D45" s="327"/>
      <c r="E45" s="327"/>
      <c r="F45" s="327"/>
      <c r="G45" s="328"/>
      <c r="H45" s="4" t="s">
        <v>1906</v>
      </c>
      <c r="I45" s="9"/>
      <c r="J45" s="9"/>
      <c r="K45" s="9"/>
      <c r="L45" s="9"/>
      <c r="M45" s="9"/>
      <c r="N45" s="9"/>
      <c r="O45" s="9"/>
      <c r="P45" s="9"/>
      <c r="Q45" s="9"/>
    </row>
    <row r="46" spans="1:17" s="58" customFormat="1" ht="13.8">
      <c r="A46" s="5" t="s">
        <v>1394</v>
      </c>
      <c r="B46" s="5" t="s">
        <v>1905</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1905</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522</v>
      </c>
      <c r="C48" s="322" t="s">
        <v>1477</v>
      </c>
      <c r="D48" s="322"/>
      <c r="E48" s="322"/>
      <c r="F48" s="322"/>
      <c r="G48" s="322"/>
      <c r="H48" s="322"/>
      <c r="I48" s="20" t="s">
        <v>1931</v>
      </c>
      <c r="J48" s="20" t="s">
        <v>1932</v>
      </c>
      <c r="K48" s="11" t="s">
        <v>1933</v>
      </c>
      <c r="L48" s="11"/>
      <c r="M48" s="11"/>
      <c r="N48" s="11"/>
      <c r="O48" s="9"/>
      <c r="P48" s="10"/>
      <c r="Q48" s="9"/>
    </row>
    <row r="49" spans="1:17" s="58" customFormat="1" ht="13.8">
      <c r="A49" s="54" t="s">
        <v>1391</v>
      </c>
      <c r="B49" s="19" t="s">
        <v>522</v>
      </c>
      <c r="C49" s="326" t="s">
        <v>1905</v>
      </c>
      <c r="D49" s="327"/>
      <c r="E49" s="327"/>
      <c r="F49" s="327"/>
      <c r="G49" s="328"/>
      <c r="H49" s="4" t="s">
        <v>1906</v>
      </c>
      <c r="I49" s="9"/>
      <c r="J49" s="9"/>
      <c r="K49" s="9"/>
      <c r="L49" s="9"/>
      <c r="M49" s="9"/>
      <c r="N49" s="9"/>
      <c r="O49" s="9"/>
      <c r="P49" s="9"/>
      <c r="Q49" s="9"/>
    </row>
    <row r="50" spans="1:17" s="58" customFormat="1" ht="13.8">
      <c r="A50" s="5" t="s">
        <v>1394</v>
      </c>
      <c r="B50" s="5" t="s">
        <v>1905</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1905</v>
      </c>
      <c r="C51" s="59" t="s">
        <v>1395</v>
      </c>
      <c r="D51" s="6" t="s">
        <v>97</v>
      </c>
      <c r="E51" s="6" t="s">
        <v>98</v>
      </c>
      <c r="F51" s="6" t="s">
        <v>1396</v>
      </c>
      <c r="G51" s="6" t="s">
        <v>1397</v>
      </c>
      <c r="H51" s="7"/>
      <c r="I51" s="9"/>
      <c r="J51" s="7"/>
      <c r="K51" s="12"/>
      <c r="L51" s="6"/>
      <c r="M51" s="6"/>
      <c r="N51" s="12"/>
      <c r="O51" s="7"/>
      <c r="P51" s="9"/>
      <c r="Q51" s="9"/>
    </row>
    <row r="52" spans="1:17" s="57" customFormat="1" ht="51.6" customHeight="1">
      <c r="A52" s="56" t="s">
        <v>1386</v>
      </c>
      <c r="B52" s="3" t="s">
        <v>523</v>
      </c>
      <c r="C52" s="322" t="s">
        <v>1934</v>
      </c>
      <c r="D52" s="322"/>
      <c r="E52" s="322"/>
      <c r="F52" s="322"/>
      <c r="G52" s="322"/>
      <c r="H52" s="322"/>
      <c r="I52" s="20" t="s">
        <v>1935</v>
      </c>
      <c r="J52" s="20" t="s">
        <v>1936</v>
      </c>
      <c r="K52" s="11" t="s">
        <v>1937</v>
      </c>
      <c r="L52" s="11"/>
      <c r="M52" s="11"/>
      <c r="N52" s="11"/>
      <c r="O52" s="9"/>
      <c r="P52" s="10"/>
      <c r="Q52" s="9"/>
    </row>
    <row r="53" spans="1:17" s="58" customFormat="1" ht="13.8">
      <c r="A53" s="54" t="s">
        <v>1391</v>
      </c>
      <c r="B53" s="19" t="s">
        <v>523</v>
      </c>
      <c r="C53" s="326" t="s">
        <v>1905</v>
      </c>
      <c r="D53" s="327"/>
      <c r="E53" s="327"/>
      <c r="F53" s="327"/>
      <c r="G53" s="328"/>
      <c r="H53" s="4" t="s">
        <v>1906</v>
      </c>
      <c r="I53" s="9"/>
      <c r="J53" s="9"/>
      <c r="K53" s="9"/>
      <c r="L53" s="9"/>
      <c r="M53" s="9"/>
      <c r="N53" s="9"/>
      <c r="O53" s="9"/>
      <c r="P53" s="9"/>
      <c r="Q53" s="9"/>
    </row>
    <row r="54" spans="1:17" s="58" customFormat="1" ht="13.8">
      <c r="A54" s="5" t="s">
        <v>1394</v>
      </c>
      <c r="B54" s="5" t="s">
        <v>1905</v>
      </c>
      <c r="C54" s="59" t="s">
        <v>1395</v>
      </c>
      <c r="D54" s="6" t="s">
        <v>97</v>
      </c>
      <c r="E54" s="6" t="s">
        <v>98</v>
      </c>
      <c r="F54" s="6" t="s">
        <v>1396</v>
      </c>
      <c r="G54" s="6" t="s">
        <v>1397</v>
      </c>
      <c r="H54" s="7"/>
      <c r="I54" s="9"/>
      <c r="J54" s="7"/>
      <c r="K54" s="12"/>
      <c r="L54" s="6"/>
      <c r="M54" s="6"/>
      <c r="N54" s="12"/>
      <c r="O54" s="7"/>
      <c r="P54" s="9"/>
      <c r="Q54" s="9"/>
    </row>
    <row r="55" spans="1:17" s="58" customFormat="1" ht="13.8">
      <c r="A55" s="5" t="s">
        <v>1394</v>
      </c>
      <c r="B55" s="5" t="s">
        <v>1905</v>
      </c>
      <c r="C55" s="59" t="s">
        <v>1395</v>
      </c>
      <c r="D55" s="6" t="s">
        <v>97</v>
      </c>
      <c r="E55" s="6" t="s">
        <v>98</v>
      </c>
      <c r="F55" s="6" t="s">
        <v>1396</v>
      </c>
      <c r="G55" s="6" t="s">
        <v>1397</v>
      </c>
      <c r="H55" s="7"/>
      <c r="I55" s="9"/>
      <c r="J55" s="7"/>
      <c r="K55" s="12"/>
      <c r="L55" s="6"/>
      <c r="M55" s="6"/>
      <c r="N55" s="12"/>
      <c r="O55" s="7"/>
      <c r="P55" s="9"/>
      <c r="Q55" s="9"/>
    </row>
    <row r="56" spans="1:17" s="57" customFormat="1" ht="51.6" customHeight="1">
      <c r="A56" s="56" t="s">
        <v>1386</v>
      </c>
      <c r="B56" s="3" t="s">
        <v>524</v>
      </c>
      <c r="C56" s="322" t="s">
        <v>1478</v>
      </c>
      <c r="D56" s="322"/>
      <c r="E56" s="322"/>
      <c r="F56" s="322"/>
      <c r="G56" s="322"/>
      <c r="H56" s="322"/>
      <c r="I56" s="20" t="s">
        <v>1938</v>
      </c>
      <c r="J56" s="20" t="s">
        <v>1939</v>
      </c>
      <c r="K56" s="11" t="s">
        <v>1940</v>
      </c>
      <c r="L56" s="11"/>
      <c r="M56" s="11"/>
      <c r="N56" s="11"/>
      <c r="O56" s="9"/>
      <c r="P56" s="10"/>
      <c r="Q56" s="9"/>
    </row>
    <row r="57" spans="1:17" s="58" customFormat="1" ht="13.8">
      <c r="A57" s="54" t="s">
        <v>1391</v>
      </c>
      <c r="B57" s="19" t="s">
        <v>524</v>
      </c>
      <c r="C57" s="326" t="s">
        <v>1905</v>
      </c>
      <c r="D57" s="327"/>
      <c r="E57" s="327"/>
      <c r="F57" s="327"/>
      <c r="G57" s="328"/>
      <c r="H57" s="4" t="s">
        <v>1906</v>
      </c>
      <c r="I57" s="9"/>
      <c r="J57" s="9"/>
      <c r="K57" s="9"/>
      <c r="L57" s="9"/>
      <c r="M57" s="9"/>
      <c r="N57" s="9"/>
      <c r="O57" s="9"/>
      <c r="P57" s="9"/>
      <c r="Q57" s="9"/>
    </row>
    <row r="58" spans="1:17" s="58" customFormat="1" ht="13.8">
      <c r="A58" s="5" t="s">
        <v>1394</v>
      </c>
      <c r="B58" s="5" t="s">
        <v>1905</v>
      </c>
      <c r="C58" s="59" t="s">
        <v>1395</v>
      </c>
      <c r="D58" s="6" t="s">
        <v>97</v>
      </c>
      <c r="E58" s="6" t="s">
        <v>98</v>
      </c>
      <c r="F58" s="6" t="s">
        <v>1396</v>
      </c>
      <c r="G58" s="6" t="s">
        <v>1397</v>
      </c>
      <c r="H58" s="7"/>
      <c r="I58" s="9"/>
      <c r="J58" s="7"/>
      <c r="K58" s="12"/>
      <c r="L58" s="6"/>
      <c r="M58" s="6"/>
      <c r="N58" s="12"/>
      <c r="O58" s="7"/>
      <c r="P58" s="9"/>
      <c r="Q58" s="9"/>
    </row>
    <row r="59" spans="1:17" s="58" customFormat="1" ht="13.8">
      <c r="A59" s="5" t="s">
        <v>1394</v>
      </c>
      <c r="B59" s="5" t="s">
        <v>1905</v>
      </c>
      <c r="C59" s="59" t="s">
        <v>1395</v>
      </c>
      <c r="D59" s="6" t="s">
        <v>97</v>
      </c>
      <c r="E59" s="6" t="s">
        <v>98</v>
      </c>
      <c r="F59" s="6" t="s">
        <v>1396</v>
      </c>
      <c r="G59" s="6" t="s">
        <v>1397</v>
      </c>
      <c r="H59" s="7"/>
      <c r="I59" s="9"/>
      <c r="J59" s="7"/>
      <c r="K59" s="12"/>
      <c r="L59" s="6"/>
      <c r="M59" s="6"/>
      <c r="N59" s="12"/>
      <c r="O59" s="7"/>
      <c r="P59" s="9"/>
      <c r="Q59" s="9"/>
    </row>
    <row r="60" spans="1:17" s="57" customFormat="1" ht="51.6" customHeight="1">
      <c r="A60" s="56" t="s">
        <v>1386</v>
      </c>
      <c r="B60" s="3" t="s">
        <v>525</v>
      </c>
      <c r="C60" s="322" t="s">
        <v>1479</v>
      </c>
      <c r="D60" s="322"/>
      <c r="E60" s="322"/>
      <c r="F60" s="322"/>
      <c r="G60" s="322"/>
      <c r="H60" s="322"/>
      <c r="I60" s="20" t="s">
        <v>1941</v>
      </c>
      <c r="J60" s="20" t="s">
        <v>1942</v>
      </c>
      <c r="K60" s="11" t="s">
        <v>1943</v>
      </c>
      <c r="L60" s="11"/>
      <c r="M60" s="11"/>
      <c r="N60" s="11"/>
      <c r="O60" s="9"/>
      <c r="P60" s="10"/>
      <c r="Q60" s="9"/>
    </row>
    <row r="61" spans="1:17" s="58" customFormat="1" ht="13.8">
      <c r="A61" s="54" t="s">
        <v>1391</v>
      </c>
      <c r="B61" s="19" t="s">
        <v>525</v>
      </c>
      <c r="C61" s="326" t="s">
        <v>1905</v>
      </c>
      <c r="D61" s="327"/>
      <c r="E61" s="327"/>
      <c r="F61" s="327"/>
      <c r="G61" s="328"/>
      <c r="H61" s="4" t="s">
        <v>1906</v>
      </c>
      <c r="I61" s="9"/>
      <c r="J61" s="9"/>
      <c r="K61" s="9"/>
      <c r="L61" s="9"/>
      <c r="M61" s="9"/>
      <c r="N61" s="9"/>
      <c r="O61" s="9"/>
      <c r="P61" s="9"/>
      <c r="Q61" s="9"/>
    </row>
    <row r="62" spans="1:17" s="58" customFormat="1" ht="13.8">
      <c r="A62" s="5" t="s">
        <v>1394</v>
      </c>
      <c r="B62" s="5" t="s">
        <v>1905</v>
      </c>
      <c r="C62" s="59" t="s">
        <v>1395</v>
      </c>
      <c r="D62" s="6" t="s">
        <v>97</v>
      </c>
      <c r="E62" s="6" t="s">
        <v>98</v>
      </c>
      <c r="F62" s="6" t="s">
        <v>1396</v>
      </c>
      <c r="G62" s="6" t="s">
        <v>1397</v>
      </c>
      <c r="H62" s="7"/>
      <c r="I62" s="9"/>
      <c r="J62" s="7"/>
      <c r="K62" s="12"/>
      <c r="L62" s="6"/>
      <c r="M62" s="6"/>
      <c r="N62" s="12"/>
      <c r="O62" s="7"/>
      <c r="P62" s="9"/>
      <c r="Q62" s="9"/>
    </row>
    <row r="63" spans="1:17" s="58" customFormat="1" ht="13.8">
      <c r="A63" s="5" t="s">
        <v>1394</v>
      </c>
      <c r="B63" s="5" t="s">
        <v>1905</v>
      </c>
      <c r="C63" s="59" t="s">
        <v>1395</v>
      </c>
      <c r="D63" s="6" t="s">
        <v>97</v>
      </c>
      <c r="E63" s="6" t="s">
        <v>98</v>
      </c>
      <c r="F63" s="6" t="s">
        <v>1396</v>
      </c>
      <c r="G63" s="6" t="s">
        <v>1397</v>
      </c>
      <c r="H63" s="7"/>
      <c r="I63" s="9"/>
      <c r="J63" s="7"/>
      <c r="K63" s="12"/>
      <c r="L63" s="6"/>
      <c r="M63" s="6"/>
      <c r="N63" s="12"/>
      <c r="O63" s="7"/>
      <c r="P63" s="9"/>
      <c r="Q63" s="9"/>
    </row>
    <row r="64" spans="1:17" s="57" customFormat="1" ht="51.6" customHeight="1">
      <c r="A64" s="56" t="s">
        <v>1386</v>
      </c>
      <c r="B64" s="3" t="s">
        <v>526</v>
      </c>
      <c r="C64" s="322" t="s">
        <v>1480</v>
      </c>
      <c r="D64" s="322"/>
      <c r="E64" s="322"/>
      <c r="F64" s="322"/>
      <c r="G64" s="322"/>
      <c r="H64" s="322"/>
      <c r="I64" s="20" t="s">
        <v>1944</v>
      </c>
      <c r="J64" s="20" t="s">
        <v>1945</v>
      </c>
      <c r="K64" s="11" t="s">
        <v>1946</v>
      </c>
      <c r="L64" s="11"/>
      <c r="M64" s="11"/>
      <c r="N64" s="11"/>
      <c r="O64" s="9"/>
      <c r="P64" s="10"/>
      <c r="Q64" s="9"/>
    </row>
    <row r="65" spans="1:17" s="58" customFormat="1" ht="13.8">
      <c r="A65" s="54" t="s">
        <v>1391</v>
      </c>
      <c r="B65" s="19" t="s">
        <v>526</v>
      </c>
      <c r="C65" s="326" t="s">
        <v>1905</v>
      </c>
      <c r="D65" s="327"/>
      <c r="E65" s="327"/>
      <c r="F65" s="327"/>
      <c r="G65" s="328"/>
      <c r="H65" s="4" t="s">
        <v>1906</v>
      </c>
      <c r="I65" s="9"/>
      <c r="J65" s="9"/>
      <c r="K65" s="9"/>
      <c r="L65" s="9"/>
      <c r="M65" s="9"/>
      <c r="N65" s="9"/>
      <c r="O65" s="9"/>
      <c r="P65" s="9"/>
      <c r="Q65" s="9"/>
    </row>
    <row r="66" spans="1:17" s="58" customFormat="1" ht="13.8">
      <c r="A66" s="5" t="s">
        <v>1394</v>
      </c>
      <c r="B66" s="5" t="s">
        <v>1905</v>
      </c>
      <c r="C66" s="59" t="s">
        <v>1395</v>
      </c>
      <c r="D66" s="6" t="s">
        <v>97</v>
      </c>
      <c r="E66" s="6" t="s">
        <v>98</v>
      </c>
      <c r="F66" s="6" t="s">
        <v>1396</v>
      </c>
      <c r="G66" s="6" t="s">
        <v>1397</v>
      </c>
      <c r="H66" s="7"/>
      <c r="I66" s="9"/>
      <c r="J66" s="7"/>
      <c r="K66" s="12"/>
      <c r="L66" s="6"/>
      <c r="M66" s="6"/>
      <c r="N66" s="12"/>
      <c r="O66" s="7"/>
      <c r="P66" s="9"/>
      <c r="Q66" s="9"/>
    </row>
    <row r="67" spans="1:17" s="58" customFormat="1" ht="13.8">
      <c r="A67" s="5" t="s">
        <v>1394</v>
      </c>
      <c r="B67" s="5" t="s">
        <v>1905</v>
      </c>
      <c r="C67" s="59" t="s">
        <v>1395</v>
      </c>
      <c r="D67" s="6" t="s">
        <v>97</v>
      </c>
      <c r="E67" s="6" t="s">
        <v>98</v>
      </c>
      <c r="F67" s="6" t="s">
        <v>1396</v>
      </c>
      <c r="G67" s="6" t="s">
        <v>1397</v>
      </c>
      <c r="H67" s="7"/>
      <c r="I67" s="9"/>
      <c r="J67" s="7"/>
      <c r="K67" s="12"/>
      <c r="L67" s="6"/>
      <c r="M67" s="6"/>
      <c r="N67" s="12"/>
      <c r="O67" s="7"/>
      <c r="P67" s="9"/>
      <c r="Q67" s="9"/>
    </row>
    <row r="68" spans="1:17" s="55" customFormat="1" ht="13.8">
      <c r="A68" s="54" t="s">
        <v>1385</v>
      </c>
      <c r="B68" s="17" t="s">
        <v>371</v>
      </c>
      <c r="C68" s="18"/>
      <c r="D68" s="18"/>
      <c r="E68" s="18"/>
      <c r="F68" s="18"/>
      <c r="G68" s="18"/>
      <c r="H68" s="18"/>
      <c r="I68" s="18"/>
      <c r="J68" s="18"/>
      <c r="K68" s="18"/>
      <c r="L68" s="8"/>
      <c r="M68" s="8"/>
      <c r="N68" s="8"/>
      <c r="O68" s="9"/>
      <c r="P68" s="10"/>
      <c r="Q68" s="9"/>
    </row>
    <row r="69" spans="1:17" s="57" customFormat="1" ht="51.6" customHeight="1">
      <c r="A69" s="56" t="s">
        <v>1386</v>
      </c>
      <c r="B69" s="3" t="s">
        <v>527</v>
      </c>
      <c r="C69" s="322" t="s">
        <v>1947</v>
      </c>
      <c r="D69" s="322"/>
      <c r="E69" s="322"/>
      <c r="F69" s="322"/>
      <c r="G69" s="322"/>
      <c r="H69" s="322"/>
      <c r="I69" s="20" t="s">
        <v>1948</v>
      </c>
      <c r="J69" s="20" t="s">
        <v>1949</v>
      </c>
      <c r="K69" s="11" t="s">
        <v>1950</v>
      </c>
      <c r="L69" s="11"/>
      <c r="M69" s="11"/>
      <c r="N69" s="11"/>
      <c r="O69" s="9"/>
      <c r="P69" s="10"/>
      <c r="Q69" s="9"/>
    </row>
    <row r="70" spans="1:17" s="58" customFormat="1" ht="13.8">
      <c r="A70" s="54" t="s">
        <v>1391</v>
      </c>
      <c r="B70" s="19" t="s">
        <v>527</v>
      </c>
      <c r="C70" s="326" t="s">
        <v>1905</v>
      </c>
      <c r="D70" s="327"/>
      <c r="E70" s="327"/>
      <c r="F70" s="327"/>
      <c r="G70" s="328"/>
      <c r="H70" s="4" t="s">
        <v>1906</v>
      </c>
      <c r="I70" s="9"/>
      <c r="J70" s="9"/>
      <c r="K70" s="9"/>
      <c r="L70" s="9"/>
      <c r="M70" s="9"/>
      <c r="N70" s="9"/>
      <c r="O70" s="9"/>
      <c r="P70" s="9"/>
      <c r="Q70" s="9"/>
    </row>
    <row r="71" spans="1:17" s="58" customFormat="1" ht="13.8">
      <c r="A71" s="5" t="s">
        <v>1394</v>
      </c>
      <c r="B71" s="5" t="s">
        <v>1905</v>
      </c>
      <c r="C71" s="59" t="s">
        <v>1395</v>
      </c>
      <c r="D71" s="6" t="s">
        <v>97</v>
      </c>
      <c r="E71" s="6" t="s">
        <v>98</v>
      </c>
      <c r="F71" s="6" t="s">
        <v>1396</v>
      </c>
      <c r="G71" s="6" t="s">
        <v>1397</v>
      </c>
      <c r="H71" s="7"/>
      <c r="I71" s="9"/>
      <c r="J71" s="7"/>
      <c r="K71" s="12"/>
      <c r="L71" s="6"/>
      <c r="M71" s="6"/>
      <c r="N71" s="12"/>
      <c r="O71" s="7"/>
      <c r="P71" s="9"/>
      <c r="Q71" s="9"/>
    </row>
    <row r="72" spans="1:17" s="58" customFormat="1" ht="13.8">
      <c r="A72" s="5" t="s">
        <v>1394</v>
      </c>
      <c r="B72" s="5" t="s">
        <v>1905</v>
      </c>
      <c r="C72" s="59" t="s">
        <v>1395</v>
      </c>
      <c r="D72" s="6" t="s">
        <v>97</v>
      </c>
      <c r="E72" s="6" t="s">
        <v>98</v>
      </c>
      <c r="F72" s="6" t="s">
        <v>1396</v>
      </c>
      <c r="G72" s="6" t="s">
        <v>1397</v>
      </c>
      <c r="H72" s="7"/>
      <c r="I72" s="9"/>
      <c r="J72" s="7"/>
      <c r="K72" s="12"/>
      <c r="L72" s="6"/>
      <c r="M72" s="6"/>
      <c r="N72" s="12"/>
      <c r="O72" s="7"/>
      <c r="P72" s="9"/>
      <c r="Q72" s="9"/>
    </row>
    <row r="73" spans="1:17" s="57" customFormat="1" ht="51.6" customHeight="1">
      <c r="A73" s="56" t="s">
        <v>1386</v>
      </c>
      <c r="B73" s="3" t="s">
        <v>528</v>
      </c>
      <c r="C73" s="322" t="s">
        <v>1481</v>
      </c>
      <c r="D73" s="322"/>
      <c r="E73" s="322"/>
      <c r="F73" s="322"/>
      <c r="G73" s="322"/>
      <c r="H73" s="322"/>
      <c r="I73" s="20" t="s">
        <v>1951</v>
      </c>
      <c r="J73" s="20" t="s">
        <v>1952</v>
      </c>
      <c r="K73" s="11" t="s">
        <v>1953</v>
      </c>
      <c r="L73" s="11"/>
      <c r="M73" s="11"/>
      <c r="N73" s="11"/>
      <c r="O73" s="9"/>
      <c r="P73" s="10"/>
      <c r="Q73" s="9"/>
    </row>
    <row r="74" spans="1:17" s="58" customFormat="1" ht="13.8">
      <c r="A74" s="54" t="s">
        <v>1391</v>
      </c>
      <c r="B74" s="19" t="s">
        <v>528</v>
      </c>
      <c r="C74" s="326" t="s">
        <v>1905</v>
      </c>
      <c r="D74" s="327"/>
      <c r="E74" s="327"/>
      <c r="F74" s="327"/>
      <c r="G74" s="328"/>
      <c r="H74" s="4" t="s">
        <v>1906</v>
      </c>
      <c r="I74" s="9"/>
      <c r="J74" s="9"/>
      <c r="K74" s="9"/>
      <c r="L74" s="9"/>
      <c r="M74" s="9"/>
      <c r="N74" s="9"/>
      <c r="O74" s="9"/>
      <c r="P74" s="9"/>
      <c r="Q74" s="9"/>
    </row>
    <row r="75" spans="1:17" s="58" customFormat="1" ht="13.8">
      <c r="A75" s="5" t="s">
        <v>1394</v>
      </c>
      <c r="B75" s="5" t="s">
        <v>1905</v>
      </c>
      <c r="C75" s="59" t="s">
        <v>1395</v>
      </c>
      <c r="D75" s="6" t="s">
        <v>97</v>
      </c>
      <c r="E75" s="6" t="s">
        <v>98</v>
      </c>
      <c r="F75" s="6" t="s">
        <v>1396</v>
      </c>
      <c r="G75" s="6" t="s">
        <v>1397</v>
      </c>
      <c r="H75" s="7"/>
      <c r="I75" s="9"/>
      <c r="J75" s="7"/>
      <c r="K75" s="12"/>
      <c r="L75" s="6"/>
      <c r="M75" s="6"/>
      <c r="N75" s="12"/>
      <c r="O75" s="7"/>
      <c r="P75" s="9"/>
      <c r="Q75" s="9"/>
    </row>
    <row r="76" spans="1:17" s="58" customFormat="1" ht="13.8">
      <c r="A76" s="5" t="s">
        <v>1394</v>
      </c>
      <c r="B76" s="5" t="s">
        <v>1905</v>
      </c>
      <c r="C76" s="59" t="s">
        <v>1395</v>
      </c>
      <c r="D76" s="6" t="s">
        <v>97</v>
      </c>
      <c r="E76" s="6" t="s">
        <v>98</v>
      </c>
      <c r="F76" s="6" t="s">
        <v>1396</v>
      </c>
      <c r="G76" s="6" t="s">
        <v>1397</v>
      </c>
      <c r="H76" s="7"/>
      <c r="I76" s="9"/>
      <c r="J76" s="7"/>
      <c r="K76" s="12"/>
      <c r="L76" s="6"/>
      <c r="M76" s="6"/>
      <c r="N76" s="12"/>
      <c r="O76" s="7"/>
      <c r="P76" s="9"/>
      <c r="Q76" s="9"/>
    </row>
    <row r="77" spans="1:17" s="57" customFormat="1" ht="51.6" customHeight="1">
      <c r="A77" s="56" t="s">
        <v>1386</v>
      </c>
      <c r="B77" s="3" t="s">
        <v>529</v>
      </c>
      <c r="C77" s="322" t="s">
        <v>1482</v>
      </c>
      <c r="D77" s="322"/>
      <c r="E77" s="322"/>
      <c r="F77" s="322"/>
      <c r="G77" s="322"/>
      <c r="H77" s="322"/>
      <c r="I77" s="20" t="s">
        <v>1954</v>
      </c>
      <c r="J77" s="20" t="s">
        <v>1955</v>
      </c>
      <c r="K77" s="11" t="s">
        <v>1956</v>
      </c>
      <c r="L77" s="11"/>
      <c r="M77" s="11"/>
      <c r="N77" s="11"/>
      <c r="O77" s="9"/>
      <c r="P77" s="10"/>
      <c r="Q77" s="9"/>
    </row>
    <row r="78" spans="1:17" s="58" customFormat="1" ht="13.8">
      <c r="A78" s="54" t="s">
        <v>1391</v>
      </c>
      <c r="B78" s="19" t="s">
        <v>529</v>
      </c>
      <c r="C78" s="326" t="s">
        <v>1905</v>
      </c>
      <c r="D78" s="327"/>
      <c r="E78" s="327"/>
      <c r="F78" s="327"/>
      <c r="G78" s="328"/>
      <c r="H78" s="4" t="s">
        <v>1906</v>
      </c>
      <c r="I78" s="9"/>
      <c r="J78" s="9"/>
      <c r="K78" s="9"/>
      <c r="L78" s="9"/>
      <c r="M78" s="9"/>
      <c r="N78" s="9"/>
      <c r="O78" s="9"/>
      <c r="P78" s="9"/>
      <c r="Q78" s="9"/>
    </row>
    <row r="79" spans="1:17" s="58" customFormat="1" ht="13.8">
      <c r="A79" s="5" t="s">
        <v>1394</v>
      </c>
      <c r="B79" s="5" t="s">
        <v>1905</v>
      </c>
      <c r="C79" s="59" t="s">
        <v>1395</v>
      </c>
      <c r="D79" s="6" t="s">
        <v>97</v>
      </c>
      <c r="E79" s="6" t="s">
        <v>98</v>
      </c>
      <c r="F79" s="6" t="s">
        <v>1396</v>
      </c>
      <c r="G79" s="6" t="s">
        <v>1397</v>
      </c>
      <c r="H79" s="7"/>
      <c r="I79" s="9"/>
      <c r="J79" s="7"/>
      <c r="K79" s="12"/>
      <c r="L79" s="6"/>
      <c r="M79" s="6"/>
      <c r="N79" s="12"/>
      <c r="O79" s="7"/>
      <c r="P79" s="9"/>
      <c r="Q79" s="9"/>
    </row>
    <row r="80" spans="1:17" s="58" customFormat="1" ht="13.8">
      <c r="A80" s="5" t="s">
        <v>1394</v>
      </c>
      <c r="B80" s="5" t="s">
        <v>1905</v>
      </c>
      <c r="C80" s="59" t="s">
        <v>1395</v>
      </c>
      <c r="D80" s="6" t="s">
        <v>97</v>
      </c>
      <c r="E80" s="6" t="s">
        <v>98</v>
      </c>
      <c r="F80" s="6" t="s">
        <v>1396</v>
      </c>
      <c r="G80" s="6" t="s">
        <v>1397</v>
      </c>
      <c r="H80" s="7"/>
      <c r="I80" s="9"/>
      <c r="J80" s="7"/>
      <c r="K80" s="12"/>
      <c r="L80" s="6"/>
      <c r="M80" s="6"/>
      <c r="N80" s="12"/>
      <c r="O80" s="7"/>
      <c r="P80" s="9"/>
      <c r="Q80" s="9"/>
    </row>
    <row r="81" spans="1:17" s="57" customFormat="1" ht="51.6" customHeight="1">
      <c r="A81" s="56" t="s">
        <v>1386</v>
      </c>
      <c r="B81" s="3" t="s">
        <v>530</v>
      </c>
      <c r="C81" s="322" t="s">
        <v>1483</v>
      </c>
      <c r="D81" s="322"/>
      <c r="E81" s="322"/>
      <c r="F81" s="322"/>
      <c r="G81" s="322"/>
      <c r="H81" s="322"/>
      <c r="I81" s="20" t="s">
        <v>1957</v>
      </c>
      <c r="J81" s="20" t="s">
        <v>1958</v>
      </c>
      <c r="K81" s="11" t="s">
        <v>1959</v>
      </c>
      <c r="L81" s="11"/>
      <c r="M81" s="11"/>
      <c r="N81" s="11"/>
      <c r="O81" s="9"/>
      <c r="P81" s="10"/>
      <c r="Q81" s="9"/>
    </row>
    <row r="82" spans="1:17" s="58" customFormat="1" ht="13.8">
      <c r="A82" s="54" t="s">
        <v>1391</v>
      </c>
      <c r="B82" s="19" t="s">
        <v>530</v>
      </c>
      <c r="C82" s="326" t="s">
        <v>1905</v>
      </c>
      <c r="D82" s="327"/>
      <c r="E82" s="327"/>
      <c r="F82" s="327"/>
      <c r="G82" s="328"/>
      <c r="H82" s="4" t="s">
        <v>1906</v>
      </c>
      <c r="I82" s="9"/>
      <c r="J82" s="9"/>
      <c r="K82" s="9"/>
      <c r="L82" s="9"/>
      <c r="M82" s="9"/>
      <c r="N82" s="9"/>
      <c r="O82" s="9"/>
      <c r="P82" s="9"/>
      <c r="Q82" s="9"/>
    </row>
    <row r="83" spans="1:17" s="58" customFormat="1" ht="13.8">
      <c r="A83" s="5" t="s">
        <v>1394</v>
      </c>
      <c r="B83" s="5" t="s">
        <v>1905</v>
      </c>
      <c r="C83" s="59" t="s">
        <v>1395</v>
      </c>
      <c r="D83" s="6" t="s">
        <v>97</v>
      </c>
      <c r="E83" s="6" t="s">
        <v>98</v>
      </c>
      <c r="F83" s="6" t="s">
        <v>1396</v>
      </c>
      <c r="G83" s="6" t="s">
        <v>1397</v>
      </c>
      <c r="H83" s="7"/>
      <c r="I83" s="9"/>
      <c r="J83" s="7"/>
      <c r="K83" s="12"/>
      <c r="L83" s="6"/>
      <c r="M83" s="6"/>
      <c r="N83" s="12"/>
      <c r="O83" s="7"/>
      <c r="P83" s="9"/>
      <c r="Q83" s="9"/>
    </row>
    <row r="84" spans="1:17" s="58" customFormat="1" ht="13.8">
      <c r="A84" s="5" t="s">
        <v>1394</v>
      </c>
      <c r="B84" s="5" t="s">
        <v>1905</v>
      </c>
      <c r="C84" s="59" t="s">
        <v>1395</v>
      </c>
      <c r="D84" s="6" t="s">
        <v>97</v>
      </c>
      <c r="E84" s="6" t="s">
        <v>98</v>
      </c>
      <c r="F84" s="6" t="s">
        <v>1396</v>
      </c>
      <c r="G84" s="6" t="s">
        <v>1397</v>
      </c>
      <c r="H84" s="7"/>
      <c r="I84" s="9"/>
      <c r="J84" s="7"/>
      <c r="K84" s="12"/>
      <c r="L84" s="6"/>
      <c r="M84" s="6"/>
      <c r="N84" s="12"/>
      <c r="O84" s="7"/>
      <c r="P84" s="9"/>
      <c r="Q84" s="9"/>
    </row>
    <row r="85" spans="1:17" s="57" customFormat="1" ht="51.6" customHeight="1">
      <c r="A85" s="56" t="s">
        <v>1386</v>
      </c>
      <c r="B85" s="3" t="s">
        <v>531</v>
      </c>
      <c r="C85" s="322" t="s">
        <v>1484</v>
      </c>
      <c r="D85" s="322"/>
      <c r="E85" s="322"/>
      <c r="F85" s="322"/>
      <c r="G85" s="322"/>
      <c r="H85" s="322"/>
      <c r="I85" s="20" t="s">
        <v>1960</v>
      </c>
      <c r="J85" s="20" t="s">
        <v>1961</v>
      </c>
      <c r="K85" s="11" t="s">
        <v>1962</v>
      </c>
      <c r="L85" s="11"/>
      <c r="M85" s="11"/>
      <c r="N85" s="11"/>
      <c r="O85" s="9"/>
      <c r="P85" s="10"/>
      <c r="Q85" s="9"/>
    </row>
    <row r="86" spans="1:17" s="58" customFormat="1" ht="13.8">
      <c r="A86" s="54" t="s">
        <v>1391</v>
      </c>
      <c r="B86" s="19" t="s">
        <v>531</v>
      </c>
      <c r="C86" s="326" t="s">
        <v>1905</v>
      </c>
      <c r="D86" s="327"/>
      <c r="E86" s="327"/>
      <c r="F86" s="327"/>
      <c r="G86" s="328"/>
      <c r="H86" s="4" t="s">
        <v>1906</v>
      </c>
      <c r="I86" s="9"/>
      <c r="J86" s="9"/>
      <c r="K86" s="9"/>
      <c r="L86" s="9"/>
      <c r="M86" s="9"/>
      <c r="N86" s="9"/>
      <c r="O86" s="9"/>
      <c r="P86" s="9"/>
      <c r="Q86" s="9"/>
    </row>
    <row r="87" spans="1:17" s="58" customFormat="1" ht="13.8">
      <c r="A87" s="5" t="s">
        <v>1394</v>
      </c>
      <c r="B87" s="5" t="s">
        <v>1905</v>
      </c>
      <c r="C87" s="59" t="s">
        <v>1395</v>
      </c>
      <c r="D87" s="6" t="s">
        <v>97</v>
      </c>
      <c r="E87" s="6" t="s">
        <v>98</v>
      </c>
      <c r="F87" s="6" t="s">
        <v>1396</v>
      </c>
      <c r="G87" s="6" t="s">
        <v>1397</v>
      </c>
      <c r="H87" s="7"/>
      <c r="I87" s="9"/>
      <c r="J87" s="7"/>
      <c r="K87" s="12"/>
      <c r="L87" s="6"/>
      <c r="M87" s="6"/>
      <c r="N87" s="12"/>
      <c r="O87" s="7"/>
      <c r="P87" s="9"/>
      <c r="Q87" s="9"/>
    </row>
    <row r="88" spans="1:17" s="58" customFormat="1" ht="13.8">
      <c r="A88" s="5" t="s">
        <v>1394</v>
      </c>
      <c r="B88" s="5" t="s">
        <v>1905</v>
      </c>
      <c r="C88" s="59" t="s">
        <v>1395</v>
      </c>
      <c r="D88" s="6" t="s">
        <v>97</v>
      </c>
      <c r="E88" s="6" t="s">
        <v>98</v>
      </c>
      <c r="F88" s="6" t="s">
        <v>1396</v>
      </c>
      <c r="G88" s="6" t="s">
        <v>1397</v>
      </c>
      <c r="H88" s="7"/>
      <c r="I88" s="9"/>
      <c r="J88" s="7"/>
      <c r="K88" s="12"/>
      <c r="L88" s="6"/>
      <c r="M88" s="6"/>
      <c r="N88" s="12"/>
      <c r="O88" s="7"/>
      <c r="P88" s="9"/>
      <c r="Q88" s="9"/>
    </row>
    <row r="89" spans="1:17" s="55" customFormat="1" ht="13.8">
      <c r="A89" s="54" t="s">
        <v>1385</v>
      </c>
      <c r="B89" s="17" t="s">
        <v>511</v>
      </c>
      <c r="C89" s="18"/>
      <c r="D89" s="18"/>
      <c r="E89" s="18"/>
      <c r="F89" s="18"/>
      <c r="G89" s="18"/>
      <c r="H89" s="18"/>
      <c r="I89" s="18"/>
      <c r="J89" s="18"/>
      <c r="K89" s="18"/>
      <c r="L89" s="8"/>
      <c r="M89" s="8"/>
      <c r="N89" s="8"/>
      <c r="O89" s="9"/>
      <c r="P89" s="10"/>
      <c r="Q89" s="9"/>
    </row>
    <row r="90" spans="1:17" s="57" customFormat="1" ht="51.6" customHeight="1">
      <c r="A90" s="56" t="s">
        <v>1386</v>
      </c>
      <c r="B90" s="3" t="s">
        <v>532</v>
      </c>
      <c r="C90" s="322" t="s">
        <v>1485</v>
      </c>
      <c r="D90" s="322"/>
      <c r="E90" s="322"/>
      <c r="F90" s="322"/>
      <c r="G90" s="322"/>
      <c r="H90" s="322"/>
      <c r="I90" s="20" t="s">
        <v>1963</v>
      </c>
      <c r="J90" s="20" t="s">
        <v>1964</v>
      </c>
      <c r="K90" s="11" t="s">
        <v>1965</v>
      </c>
      <c r="L90" s="11"/>
      <c r="M90" s="11"/>
      <c r="N90" s="11"/>
      <c r="O90" s="9"/>
      <c r="P90" s="10"/>
      <c r="Q90" s="9"/>
    </row>
    <row r="91" spans="1:17" s="58" customFormat="1" ht="13.8">
      <c r="A91" s="54" t="s">
        <v>1391</v>
      </c>
      <c r="B91" s="19" t="s">
        <v>532</v>
      </c>
      <c r="C91" s="326" t="s">
        <v>1905</v>
      </c>
      <c r="D91" s="327"/>
      <c r="E91" s="327"/>
      <c r="F91" s="327"/>
      <c r="G91" s="328"/>
      <c r="H91" s="4" t="s">
        <v>1906</v>
      </c>
      <c r="I91" s="9"/>
      <c r="J91" s="9"/>
      <c r="K91" s="9"/>
      <c r="L91" s="9"/>
      <c r="M91" s="9"/>
      <c r="N91" s="9"/>
      <c r="O91" s="9"/>
      <c r="P91" s="9"/>
      <c r="Q91" s="9"/>
    </row>
    <row r="92" spans="1:17" s="58" customFormat="1" ht="13.8">
      <c r="A92" s="5" t="s">
        <v>1394</v>
      </c>
      <c r="B92" s="5" t="s">
        <v>1905</v>
      </c>
      <c r="C92" s="59" t="s">
        <v>1395</v>
      </c>
      <c r="D92" s="6" t="s">
        <v>97</v>
      </c>
      <c r="E92" s="6" t="s">
        <v>98</v>
      </c>
      <c r="F92" s="6" t="s">
        <v>1396</v>
      </c>
      <c r="G92" s="6" t="s">
        <v>1397</v>
      </c>
      <c r="H92" s="7"/>
      <c r="I92" s="9"/>
      <c r="J92" s="7"/>
      <c r="K92" s="12"/>
      <c r="L92" s="6"/>
      <c r="M92" s="6"/>
      <c r="N92" s="12"/>
      <c r="O92" s="7"/>
      <c r="P92" s="9"/>
      <c r="Q92" s="9"/>
    </row>
    <row r="93" spans="1:17" s="58" customFormat="1" ht="13.8">
      <c r="A93" s="5" t="s">
        <v>1394</v>
      </c>
      <c r="B93" s="5" t="s">
        <v>1905</v>
      </c>
      <c r="C93" s="59" t="s">
        <v>1395</v>
      </c>
      <c r="D93" s="6" t="s">
        <v>97</v>
      </c>
      <c r="E93" s="6" t="s">
        <v>98</v>
      </c>
      <c r="F93" s="6" t="s">
        <v>1396</v>
      </c>
      <c r="G93" s="6" t="s">
        <v>1397</v>
      </c>
      <c r="H93" s="7"/>
      <c r="I93" s="9"/>
      <c r="J93" s="7"/>
      <c r="K93" s="12"/>
      <c r="L93" s="6"/>
      <c r="M93" s="6"/>
      <c r="N93" s="12"/>
      <c r="O93" s="7"/>
      <c r="P93" s="9"/>
      <c r="Q93" s="9"/>
    </row>
    <row r="94" spans="1:17" s="57" customFormat="1" ht="51.6" customHeight="1">
      <c r="A94" s="56" t="s">
        <v>1386</v>
      </c>
      <c r="B94" s="3" t="s">
        <v>533</v>
      </c>
      <c r="C94" s="322" t="s">
        <v>1486</v>
      </c>
      <c r="D94" s="322"/>
      <c r="E94" s="322"/>
      <c r="F94" s="322"/>
      <c r="G94" s="322"/>
      <c r="H94" s="322"/>
      <c r="I94" s="20" t="s">
        <v>1966</v>
      </c>
      <c r="J94" s="20" t="s">
        <v>1967</v>
      </c>
      <c r="K94" s="11" t="s">
        <v>1968</v>
      </c>
      <c r="L94" s="11"/>
      <c r="M94" s="11"/>
      <c r="N94" s="11"/>
      <c r="O94" s="9"/>
      <c r="P94" s="10"/>
      <c r="Q94" s="9"/>
    </row>
    <row r="95" spans="1:17" s="58" customFormat="1" ht="13.8">
      <c r="A95" s="54" t="s">
        <v>1391</v>
      </c>
      <c r="B95" s="19" t="s">
        <v>533</v>
      </c>
      <c r="C95" s="326" t="s">
        <v>1905</v>
      </c>
      <c r="D95" s="327"/>
      <c r="E95" s="327"/>
      <c r="F95" s="327"/>
      <c r="G95" s="328"/>
      <c r="H95" s="4" t="s">
        <v>1906</v>
      </c>
      <c r="I95" s="9"/>
      <c r="J95" s="9"/>
      <c r="K95" s="9"/>
      <c r="L95" s="9"/>
      <c r="M95" s="9"/>
      <c r="N95" s="9"/>
      <c r="O95" s="9"/>
      <c r="P95" s="9"/>
      <c r="Q95" s="9"/>
    </row>
    <row r="96" spans="1:17" s="58" customFormat="1" ht="13.8">
      <c r="A96" s="5" t="s">
        <v>1394</v>
      </c>
      <c r="B96" s="5" t="s">
        <v>1905</v>
      </c>
      <c r="C96" s="59" t="s">
        <v>1395</v>
      </c>
      <c r="D96" s="6" t="s">
        <v>97</v>
      </c>
      <c r="E96" s="6" t="s">
        <v>98</v>
      </c>
      <c r="F96" s="6" t="s">
        <v>1396</v>
      </c>
      <c r="G96" s="6" t="s">
        <v>1397</v>
      </c>
      <c r="H96" s="7"/>
      <c r="I96" s="9"/>
      <c r="J96" s="7"/>
      <c r="K96" s="12"/>
      <c r="L96" s="6"/>
      <c r="M96" s="6"/>
      <c r="N96" s="12"/>
      <c r="O96" s="7"/>
      <c r="P96" s="9"/>
      <c r="Q96" s="9"/>
    </row>
    <row r="97" spans="1:17" s="58" customFormat="1" ht="13.8">
      <c r="A97" s="5" t="s">
        <v>1394</v>
      </c>
      <c r="B97" s="5" t="s">
        <v>1905</v>
      </c>
      <c r="C97" s="59" t="s">
        <v>1395</v>
      </c>
      <c r="D97" s="6" t="s">
        <v>97</v>
      </c>
      <c r="E97" s="6" t="s">
        <v>98</v>
      </c>
      <c r="F97" s="6" t="s">
        <v>1396</v>
      </c>
      <c r="G97" s="6" t="s">
        <v>1397</v>
      </c>
      <c r="H97" s="7"/>
      <c r="I97" s="9"/>
      <c r="J97" s="7"/>
      <c r="K97" s="12"/>
      <c r="L97" s="6"/>
      <c r="M97" s="6"/>
      <c r="N97" s="12"/>
      <c r="O97" s="7"/>
      <c r="P97" s="9"/>
      <c r="Q97" s="9"/>
    </row>
    <row r="98" spans="1:17" s="57" customFormat="1" ht="51.6" customHeight="1">
      <c r="A98" s="56" t="s">
        <v>1386</v>
      </c>
      <c r="B98" s="3" t="s">
        <v>534</v>
      </c>
      <c r="C98" s="322" t="s">
        <v>1487</v>
      </c>
      <c r="D98" s="322"/>
      <c r="E98" s="322"/>
      <c r="F98" s="322"/>
      <c r="G98" s="322"/>
      <c r="H98" s="322"/>
      <c r="I98" s="20" t="s">
        <v>1969</v>
      </c>
      <c r="J98" s="20" t="s">
        <v>1970</v>
      </c>
      <c r="K98" s="11" t="s">
        <v>1971</v>
      </c>
      <c r="L98" s="11"/>
      <c r="M98" s="11"/>
      <c r="N98" s="11"/>
      <c r="O98" s="9"/>
      <c r="P98" s="10"/>
      <c r="Q98" s="9"/>
    </row>
    <row r="99" spans="1:17" s="58" customFormat="1" ht="13.8">
      <c r="A99" s="54" t="s">
        <v>1391</v>
      </c>
      <c r="B99" s="19" t="s">
        <v>534</v>
      </c>
      <c r="C99" s="326" t="s">
        <v>1905</v>
      </c>
      <c r="D99" s="327"/>
      <c r="E99" s="327"/>
      <c r="F99" s="327"/>
      <c r="G99" s="328"/>
      <c r="H99" s="4" t="s">
        <v>1906</v>
      </c>
      <c r="I99" s="9"/>
      <c r="J99" s="9"/>
      <c r="K99" s="9"/>
      <c r="L99" s="9"/>
      <c r="M99" s="9"/>
      <c r="N99" s="9"/>
      <c r="O99" s="9"/>
      <c r="P99" s="9"/>
      <c r="Q99" s="9"/>
    </row>
    <row r="100" spans="1:17" s="58" customFormat="1" ht="13.8">
      <c r="A100" s="5" t="s">
        <v>1394</v>
      </c>
      <c r="B100" s="5" t="s">
        <v>1905</v>
      </c>
      <c r="C100" s="59" t="s">
        <v>1395</v>
      </c>
      <c r="D100" s="6" t="s">
        <v>97</v>
      </c>
      <c r="E100" s="6" t="s">
        <v>98</v>
      </c>
      <c r="F100" s="6" t="s">
        <v>1396</v>
      </c>
      <c r="G100" s="6" t="s">
        <v>1397</v>
      </c>
      <c r="H100" s="7"/>
      <c r="I100" s="9"/>
      <c r="J100" s="7"/>
      <c r="K100" s="12"/>
      <c r="L100" s="6"/>
      <c r="M100" s="6"/>
      <c r="N100" s="12"/>
      <c r="O100" s="7"/>
      <c r="P100" s="9"/>
      <c r="Q100" s="9"/>
    </row>
    <row r="101" spans="1:17" s="58" customFormat="1" ht="13.8">
      <c r="A101" s="5" t="s">
        <v>1394</v>
      </c>
      <c r="B101" s="5" t="s">
        <v>1905</v>
      </c>
      <c r="C101" s="59" t="s">
        <v>1395</v>
      </c>
      <c r="D101" s="6" t="s">
        <v>97</v>
      </c>
      <c r="E101" s="6" t="s">
        <v>98</v>
      </c>
      <c r="F101" s="6" t="s">
        <v>1396</v>
      </c>
      <c r="G101" s="6" t="s">
        <v>1397</v>
      </c>
      <c r="H101" s="7"/>
      <c r="I101" s="9"/>
      <c r="J101" s="7"/>
      <c r="K101" s="12"/>
      <c r="L101" s="6"/>
      <c r="M101" s="6"/>
      <c r="N101" s="12"/>
      <c r="O101" s="7"/>
      <c r="P101" s="9"/>
      <c r="Q101" s="9"/>
    </row>
  </sheetData>
  <mergeCells count="44">
    <mergeCell ref="C32:G32"/>
    <mergeCell ref="C10:H10"/>
    <mergeCell ref="C11:G11"/>
    <mergeCell ref="C14:H14"/>
    <mergeCell ref="C15:G15"/>
    <mergeCell ref="C19:H19"/>
    <mergeCell ref="C20:G20"/>
    <mergeCell ref="C23:H23"/>
    <mergeCell ref="C24:G24"/>
    <mergeCell ref="C27:H27"/>
    <mergeCell ref="C28:G28"/>
    <mergeCell ref="C31:H31"/>
    <mergeCell ref="C57:G57"/>
    <mergeCell ref="C35:H35"/>
    <mergeCell ref="C36:G36"/>
    <mergeCell ref="C39:H39"/>
    <mergeCell ref="C40:G40"/>
    <mergeCell ref="C44:H44"/>
    <mergeCell ref="C45:G45"/>
    <mergeCell ref="C48:H48"/>
    <mergeCell ref="C49:G49"/>
    <mergeCell ref="C52:H52"/>
    <mergeCell ref="C53:G53"/>
    <mergeCell ref="C56:H56"/>
    <mergeCell ref="C82:G82"/>
    <mergeCell ref="C60:H60"/>
    <mergeCell ref="C61:G61"/>
    <mergeCell ref="C64:H64"/>
    <mergeCell ref="C65:G65"/>
    <mergeCell ref="C69:H69"/>
    <mergeCell ref="C70:G70"/>
    <mergeCell ref="C73:H73"/>
    <mergeCell ref="C74:G74"/>
    <mergeCell ref="C77:H77"/>
    <mergeCell ref="C78:G78"/>
    <mergeCell ref="C81:H81"/>
    <mergeCell ref="C98:H98"/>
    <mergeCell ref="C99:G99"/>
    <mergeCell ref="C85:H85"/>
    <mergeCell ref="C86:G86"/>
    <mergeCell ref="C90:H90"/>
    <mergeCell ref="C91:G91"/>
    <mergeCell ref="C94:H94"/>
    <mergeCell ref="C95:G95"/>
  </mergeCells>
  <conditionalFormatting sqref="O9">
    <cfRule type="cellIs" dxfId="4456" priority="454" operator="equal">
      <formula>"U"</formula>
    </cfRule>
    <cfRule type="cellIs" dxfId="4455" priority="455" operator="equal">
      <formula>"S"</formula>
    </cfRule>
  </conditionalFormatting>
  <conditionalFormatting sqref="Q9">
    <cfRule type="cellIs" dxfId="4454" priority="453" operator="equal">
      <formula>"Y"</formula>
    </cfRule>
  </conditionalFormatting>
  <conditionalFormatting sqref="O10">
    <cfRule type="cellIs" dxfId="4453" priority="448" operator="equal">
      <formula>"NY"</formula>
    </cfRule>
    <cfRule type="cellIs" dxfId="4452" priority="449" operator="equal">
      <formula>"DM"</formula>
    </cfRule>
    <cfRule type="cellIs" dxfId="4451" priority="450" operator="equal">
      <formula>"PM"</formula>
    </cfRule>
    <cfRule type="cellIs" dxfId="4450" priority="451" operator="equal">
      <formula>"LM"</formula>
    </cfRule>
    <cfRule type="cellIs" dxfId="4449" priority="452" operator="equal">
      <formula>"FM"</formula>
    </cfRule>
  </conditionalFormatting>
  <conditionalFormatting sqref="Q10">
    <cfRule type="cellIs" dxfId="4448" priority="447" operator="equal">
      <formula>"Y"</formula>
    </cfRule>
  </conditionalFormatting>
  <conditionalFormatting sqref="O11">
    <cfRule type="cellIs" dxfId="4447" priority="442" operator="equal">
      <formula>"NY"</formula>
    </cfRule>
    <cfRule type="cellIs" dxfId="4446" priority="443" operator="equal">
      <formula>"DM"</formula>
    </cfRule>
    <cfRule type="cellIs" dxfId="4445" priority="444" operator="equal">
      <formula>"PM"</formula>
    </cfRule>
    <cfRule type="cellIs" dxfId="4444" priority="445" operator="equal">
      <formula>"LM"</formula>
    </cfRule>
    <cfRule type="cellIs" dxfId="4443" priority="446" operator="equal">
      <formula>"FM"</formula>
    </cfRule>
  </conditionalFormatting>
  <conditionalFormatting sqref="I11:J11">
    <cfRule type="cellIs" dxfId="4442" priority="440" operator="equal">
      <formula>"No"</formula>
    </cfRule>
    <cfRule type="cellIs" dxfId="4441" priority="441" operator="equal">
      <formula>"Yes"</formula>
    </cfRule>
  </conditionalFormatting>
  <conditionalFormatting sqref="Q11">
    <cfRule type="cellIs" dxfId="4440" priority="439" operator="equal">
      <formula>"Y"</formula>
    </cfRule>
  </conditionalFormatting>
  <conditionalFormatting sqref="I12">
    <cfRule type="cellIs" dxfId="4439" priority="437" operator="equal">
      <formula>"No"</formula>
    </cfRule>
    <cfRule type="cellIs" dxfId="4438" priority="438" operator="equal">
      <formula>"Yes"</formula>
    </cfRule>
  </conditionalFormatting>
  <conditionalFormatting sqref="Q12">
    <cfRule type="cellIs" dxfId="4437" priority="436" operator="equal">
      <formula>"Y"</formula>
    </cfRule>
  </conditionalFormatting>
  <conditionalFormatting sqref="I13">
    <cfRule type="cellIs" dxfId="4436" priority="434" operator="equal">
      <formula>"No"</formula>
    </cfRule>
    <cfRule type="cellIs" dxfId="4435" priority="435" operator="equal">
      <formula>"Yes"</formula>
    </cfRule>
  </conditionalFormatting>
  <conditionalFormatting sqref="Q13">
    <cfRule type="cellIs" dxfId="4434" priority="433" operator="equal">
      <formula>"Y"</formula>
    </cfRule>
  </conditionalFormatting>
  <conditionalFormatting sqref="O14">
    <cfRule type="cellIs" dxfId="4433" priority="428" operator="equal">
      <formula>"NY"</formula>
    </cfRule>
    <cfRule type="cellIs" dxfId="4432" priority="429" operator="equal">
      <formula>"DM"</formula>
    </cfRule>
    <cfRule type="cellIs" dxfId="4431" priority="430" operator="equal">
      <formula>"PM"</formula>
    </cfRule>
    <cfRule type="cellIs" dxfId="4430" priority="431" operator="equal">
      <formula>"LM"</formula>
    </cfRule>
    <cfRule type="cellIs" dxfId="4429" priority="432" operator="equal">
      <formula>"FM"</formula>
    </cfRule>
  </conditionalFormatting>
  <conditionalFormatting sqref="Q14">
    <cfRule type="cellIs" dxfId="4428" priority="427" operator="equal">
      <formula>"Y"</formula>
    </cfRule>
  </conditionalFormatting>
  <conditionalFormatting sqref="O15">
    <cfRule type="cellIs" dxfId="4427" priority="422" operator="equal">
      <formula>"NY"</formula>
    </cfRule>
    <cfRule type="cellIs" dxfId="4426" priority="423" operator="equal">
      <formula>"DM"</formula>
    </cfRule>
    <cfRule type="cellIs" dxfId="4425" priority="424" operator="equal">
      <formula>"PM"</formula>
    </cfRule>
    <cfRule type="cellIs" dxfId="4424" priority="425" operator="equal">
      <formula>"LM"</formula>
    </cfRule>
    <cfRule type="cellIs" dxfId="4423" priority="426" operator="equal">
      <formula>"FM"</formula>
    </cfRule>
  </conditionalFormatting>
  <conditionalFormatting sqref="I15:J15">
    <cfRule type="cellIs" dxfId="4422" priority="420" operator="equal">
      <formula>"No"</formula>
    </cfRule>
    <cfRule type="cellIs" dxfId="4421" priority="421" operator="equal">
      <formula>"Yes"</formula>
    </cfRule>
  </conditionalFormatting>
  <conditionalFormatting sqref="Q15">
    <cfRule type="cellIs" dxfId="4420" priority="419" operator="equal">
      <formula>"Y"</formula>
    </cfRule>
  </conditionalFormatting>
  <conditionalFormatting sqref="I16">
    <cfRule type="cellIs" dxfId="4419" priority="417" operator="equal">
      <formula>"No"</formula>
    </cfRule>
    <cfRule type="cellIs" dxfId="4418" priority="418" operator="equal">
      <formula>"Yes"</formula>
    </cfRule>
  </conditionalFormatting>
  <conditionalFormatting sqref="Q16">
    <cfRule type="cellIs" dxfId="4417" priority="416" operator="equal">
      <formula>"Y"</formula>
    </cfRule>
  </conditionalFormatting>
  <conditionalFormatting sqref="I17">
    <cfRule type="cellIs" dxfId="4416" priority="414" operator="equal">
      <formula>"No"</formula>
    </cfRule>
    <cfRule type="cellIs" dxfId="4415" priority="415" operator="equal">
      <formula>"Yes"</formula>
    </cfRule>
  </conditionalFormatting>
  <conditionalFormatting sqref="Q17">
    <cfRule type="cellIs" dxfId="4414" priority="413" operator="equal">
      <formula>"Y"</formula>
    </cfRule>
  </conditionalFormatting>
  <conditionalFormatting sqref="O18">
    <cfRule type="cellIs" dxfId="4413" priority="411" operator="equal">
      <formula>"U"</formula>
    </cfRule>
    <cfRule type="cellIs" dxfId="4412" priority="412" operator="equal">
      <formula>"S"</formula>
    </cfRule>
  </conditionalFormatting>
  <conditionalFormatting sqref="Q18">
    <cfRule type="cellIs" dxfId="4411" priority="410" operator="equal">
      <formula>"Y"</formula>
    </cfRule>
  </conditionalFormatting>
  <conditionalFormatting sqref="O19">
    <cfRule type="cellIs" dxfId="4410" priority="405" operator="equal">
      <formula>"NY"</formula>
    </cfRule>
    <cfRule type="cellIs" dxfId="4409" priority="406" operator="equal">
      <formula>"DM"</formula>
    </cfRule>
    <cfRule type="cellIs" dxfId="4408" priority="407" operator="equal">
      <formula>"PM"</formula>
    </cfRule>
    <cfRule type="cellIs" dxfId="4407" priority="408" operator="equal">
      <formula>"LM"</formula>
    </cfRule>
    <cfRule type="cellIs" dxfId="4406" priority="409" operator="equal">
      <formula>"FM"</formula>
    </cfRule>
  </conditionalFormatting>
  <conditionalFormatting sqref="Q19">
    <cfRule type="cellIs" dxfId="4405" priority="404" operator="equal">
      <formula>"Y"</formula>
    </cfRule>
  </conditionalFormatting>
  <conditionalFormatting sqref="O20">
    <cfRule type="cellIs" dxfId="4404" priority="399" operator="equal">
      <formula>"NY"</formula>
    </cfRule>
    <cfRule type="cellIs" dxfId="4403" priority="400" operator="equal">
      <formula>"DM"</formula>
    </cfRule>
    <cfRule type="cellIs" dxfId="4402" priority="401" operator="equal">
      <formula>"PM"</formula>
    </cfRule>
    <cfRule type="cellIs" dxfId="4401" priority="402" operator="equal">
      <formula>"LM"</formula>
    </cfRule>
    <cfRule type="cellIs" dxfId="4400" priority="403" operator="equal">
      <formula>"FM"</formula>
    </cfRule>
  </conditionalFormatting>
  <conditionalFormatting sqref="I20:J20">
    <cfRule type="cellIs" dxfId="4399" priority="397" operator="equal">
      <formula>"No"</formula>
    </cfRule>
    <cfRule type="cellIs" dxfId="4398" priority="398" operator="equal">
      <formula>"Yes"</formula>
    </cfRule>
  </conditionalFormatting>
  <conditionalFormatting sqref="Q20">
    <cfRule type="cellIs" dxfId="4397" priority="396" operator="equal">
      <formula>"Y"</formula>
    </cfRule>
  </conditionalFormatting>
  <conditionalFormatting sqref="I21">
    <cfRule type="cellIs" dxfId="4396" priority="394" operator="equal">
      <formula>"No"</formula>
    </cfRule>
    <cfRule type="cellIs" dxfId="4395" priority="395" operator="equal">
      <formula>"Yes"</formula>
    </cfRule>
  </conditionalFormatting>
  <conditionalFormatting sqref="Q21">
    <cfRule type="cellIs" dxfId="4394" priority="393" operator="equal">
      <formula>"Y"</formula>
    </cfRule>
  </conditionalFormatting>
  <conditionalFormatting sqref="I22">
    <cfRule type="cellIs" dxfId="4393" priority="391" operator="equal">
      <formula>"No"</formula>
    </cfRule>
    <cfRule type="cellIs" dxfId="4392" priority="392" operator="equal">
      <formula>"Yes"</formula>
    </cfRule>
  </conditionalFormatting>
  <conditionalFormatting sqref="Q22">
    <cfRule type="cellIs" dxfId="4391" priority="390" operator="equal">
      <formula>"Y"</formula>
    </cfRule>
  </conditionalFormatting>
  <conditionalFormatting sqref="O23">
    <cfRule type="cellIs" dxfId="4390" priority="385" operator="equal">
      <formula>"NY"</formula>
    </cfRule>
    <cfRule type="cellIs" dxfId="4389" priority="386" operator="equal">
      <formula>"DM"</formula>
    </cfRule>
    <cfRule type="cellIs" dxfId="4388" priority="387" operator="equal">
      <formula>"PM"</formula>
    </cfRule>
    <cfRule type="cellIs" dxfId="4387" priority="388" operator="equal">
      <formula>"LM"</formula>
    </cfRule>
    <cfRule type="cellIs" dxfId="4386" priority="389" operator="equal">
      <formula>"FM"</formula>
    </cfRule>
  </conditionalFormatting>
  <conditionalFormatting sqref="Q23">
    <cfRule type="cellIs" dxfId="4385" priority="384" operator="equal">
      <formula>"Y"</formula>
    </cfRule>
  </conditionalFormatting>
  <conditionalFormatting sqref="O24">
    <cfRule type="cellIs" dxfId="4384" priority="379" operator="equal">
      <formula>"NY"</formula>
    </cfRule>
    <cfRule type="cellIs" dxfId="4383" priority="380" operator="equal">
      <formula>"DM"</formula>
    </cfRule>
    <cfRule type="cellIs" dxfId="4382" priority="381" operator="equal">
      <formula>"PM"</formula>
    </cfRule>
    <cfRule type="cellIs" dxfId="4381" priority="382" operator="equal">
      <formula>"LM"</formula>
    </cfRule>
    <cfRule type="cellIs" dxfId="4380" priority="383" operator="equal">
      <formula>"FM"</formula>
    </cfRule>
  </conditionalFormatting>
  <conditionalFormatting sqref="I24:J24">
    <cfRule type="cellIs" dxfId="4379" priority="377" operator="equal">
      <formula>"No"</formula>
    </cfRule>
    <cfRule type="cellIs" dxfId="4378" priority="378" operator="equal">
      <formula>"Yes"</formula>
    </cfRule>
  </conditionalFormatting>
  <conditionalFormatting sqref="Q24">
    <cfRule type="cellIs" dxfId="4377" priority="376" operator="equal">
      <formula>"Y"</formula>
    </cfRule>
  </conditionalFormatting>
  <conditionalFormatting sqref="I25">
    <cfRule type="cellIs" dxfId="4376" priority="374" operator="equal">
      <formula>"No"</formula>
    </cfRule>
    <cfRule type="cellIs" dxfId="4375" priority="375" operator="equal">
      <formula>"Yes"</formula>
    </cfRule>
  </conditionalFormatting>
  <conditionalFormatting sqref="Q25">
    <cfRule type="cellIs" dxfId="4374" priority="373" operator="equal">
      <formula>"Y"</formula>
    </cfRule>
  </conditionalFormatting>
  <conditionalFormatting sqref="I26">
    <cfRule type="cellIs" dxfId="4373" priority="371" operator="equal">
      <formula>"No"</formula>
    </cfRule>
    <cfRule type="cellIs" dxfId="4372" priority="372" operator="equal">
      <formula>"Yes"</formula>
    </cfRule>
  </conditionalFormatting>
  <conditionalFormatting sqref="Q26">
    <cfRule type="cellIs" dxfId="4371" priority="370" operator="equal">
      <formula>"Y"</formula>
    </cfRule>
  </conditionalFormatting>
  <conditionalFormatting sqref="O27">
    <cfRule type="cellIs" dxfId="4370" priority="365" operator="equal">
      <formula>"NY"</formula>
    </cfRule>
    <cfRule type="cellIs" dxfId="4369" priority="366" operator="equal">
      <formula>"DM"</formula>
    </cfRule>
    <cfRule type="cellIs" dxfId="4368" priority="367" operator="equal">
      <formula>"PM"</formula>
    </cfRule>
    <cfRule type="cellIs" dxfId="4367" priority="368" operator="equal">
      <formula>"LM"</formula>
    </cfRule>
    <cfRule type="cellIs" dxfId="4366" priority="369" operator="equal">
      <formula>"FM"</formula>
    </cfRule>
  </conditionalFormatting>
  <conditionalFormatting sqref="Q27">
    <cfRule type="cellIs" dxfId="4365" priority="364" operator="equal">
      <formula>"Y"</formula>
    </cfRule>
  </conditionalFormatting>
  <conditionalFormatting sqref="O28">
    <cfRule type="cellIs" dxfId="4364" priority="359" operator="equal">
      <formula>"NY"</formula>
    </cfRule>
    <cfRule type="cellIs" dxfId="4363" priority="360" operator="equal">
      <formula>"DM"</formula>
    </cfRule>
    <cfRule type="cellIs" dxfId="4362" priority="361" operator="equal">
      <formula>"PM"</formula>
    </cfRule>
    <cfRule type="cellIs" dxfId="4361" priority="362" operator="equal">
      <formula>"LM"</formula>
    </cfRule>
    <cfRule type="cellIs" dxfId="4360" priority="363" operator="equal">
      <formula>"FM"</formula>
    </cfRule>
  </conditionalFormatting>
  <conditionalFormatting sqref="I28:J28">
    <cfRule type="cellIs" dxfId="4359" priority="357" operator="equal">
      <formula>"No"</formula>
    </cfRule>
    <cfRule type="cellIs" dxfId="4358" priority="358" operator="equal">
      <formula>"Yes"</formula>
    </cfRule>
  </conditionalFormatting>
  <conditionalFormatting sqref="Q28">
    <cfRule type="cellIs" dxfId="4357" priority="356" operator="equal">
      <formula>"Y"</formula>
    </cfRule>
  </conditionalFormatting>
  <conditionalFormatting sqref="I29">
    <cfRule type="cellIs" dxfId="4356" priority="354" operator="equal">
      <formula>"No"</formula>
    </cfRule>
    <cfRule type="cellIs" dxfId="4355" priority="355" operator="equal">
      <formula>"Yes"</formula>
    </cfRule>
  </conditionalFormatting>
  <conditionalFormatting sqref="Q29">
    <cfRule type="cellIs" dxfId="4354" priority="353" operator="equal">
      <formula>"Y"</formula>
    </cfRule>
  </conditionalFormatting>
  <conditionalFormatting sqref="I30">
    <cfRule type="cellIs" dxfId="4353" priority="351" operator="equal">
      <formula>"No"</formula>
    </cfRule>
    <cfRule type="cellIs" dxfId="4352" priority="352" operator="equal">
      <formula>"Yes"</formula>
    </cfRule>
  </conditionalFormatting>
  <conditionalFormatting sqref="Q30">
    <cfRule type="cellIs" dxfId="4351" priority="350" operator="equal">
      <formula>"Y"</formula>
    </cfRule>
  </conditionalFormatting>
  <conditionalFormatting sqref="O31">
    <cfRule type="cellIs" dxfId="4350" priority="345" operator="equal">
      <formula>"NY"</formula>
    </cfRule>
    <cfRule type="cellIs" dxfId="4349" priority="346" operator="equal">
      <formula>"DM"</formula>
    </cfRule>
    <cfRule type="cellIs" dxfId="4348" priority="347" operator="equal">
      <formula>"PM"</formula>
    </cfRule>
    <cfRule type="cellIs" dxfId="4347" priority="348" operator="equal">
      <formula>"LM"</formula>
    </cfRule>
    <cfRule type="cellIs" dxfId="4346" priority="349" operator="equal">
      <formula>"FM"</formula>
    </cfRule>
  </conditionalFormatting>
  <conditionalFormatting sqref="Q31">
    <cfRule type="cellIs" dxfId="4345" priority="344" operator="equal">
      <formula>"Y"</formula>
    </cfRule>
  </conditionalFormatting>
  <conditionalFormatting sqref="O32">
    <cfRule type="cellIs" dxfId="4344" priority="339" operator="equal">
      <formula>"NY"</formula>
    </cfRule>
    <cfRule type="cellIs" dxfId="4343" priority="340" operator="equal">
      <formula>"DM"</formula>
    </cfRule>
    <cfRule type="cellIs" dxfId="4342" priority="341" operator="equal">
      <formula>"PM"</formula>
    </cfRule>
    <cfRule type="cellIs" dxfId="4341" priority="342" operator="equal">
      <formula>"LM"</formula>
    </cfRule>
    <cfRule type="cellIs" dxfId="4340" priority="343" operator="equal">
      <formula>"FM"</formula>
    </cfRule>
  </conditionalFormatting>
  <conditionalFormatting sqref="I32:J32">
    <cfRule type="cellIs" dxfId="4339" priority="337" operator="equal">
      <formula>"No"</formula>
    </cfRule>
    <cfRule type="cellIs" dxfId="4338" priority="338" operator="equal">
      <formula>"Yes"</formula>
    </cfRule>
  </conditionalFormatting>
  <conditionalFormatting sqref="Q32">
    <cfRule type="cellIs" dxfId="4337" priority="336" operator="equal">
      <formula>"Y"</formula>
    </cfRule>
  </conditionalFormatting>
  <conditionalFormatting sqref="I33">
    <cfRule type="cellIs" dxfId="4336" priority="334" operator="equal">
      <formula>"No"</formula>
    </cfRule>
    <cfRule type="cellIs" dxfId="4335" priority="335" operator="equal">
      <formula>"Yes"</formula>
    </cfRule>
  </conditionalFormatting>
  <conditionalFormatting sqref="Q33">
    <cfRule type="cellIs" dxfId="4334" priority="333" operator="equal">
      <formula>"Y"</formula>
    </cfRule>
  </conditionalFormatting>
  <conditionalFormatting sqref="I34">
    <cfRule type="cellIs" dxfId="4333" priority="331" operator="equal">
      <formula>"No"</formula>
    </cfRule>
    <cfRule type="cellIs" dxfId="4332" priority="332" operator="equal">
      <formula>"Yes"</formula>
    </cfRule>
  </conditionalFormatting>
  <conditionalFormatting sqref="Q34">
    <cfRule type="cellIs" dxfId="4331" priority="330" operator="equal">
      <formula>"Y"</formula>
    </cfRule>
  </conditionalFormatting>
  <conditionalFormatting sqref="O35">
    <cfRule type="cellIs" dxfId="4330" priority="325" operator="equal">
      <formula>"NY"</formula>
    </cfRule>
    <cfRule type="cellIs" dxfId="4329" priority="326" operator="equal">
      <formula>"DM"</formula>
    </cfRule>
    <cfRule type="cellIs" dxfId="4328" priority="327" operator="equal">
      <formula>"PM"</formula>
    </cfRule>
    <cfRule type="cellIs" dxfId="4327" priority="328" operator="equal">
      <formula>"LM"</formula>
    </cfRule>
    <cfRule type="cellIs" dxfId="4326" priority="329" operator="equal">
      <formula>"FM"</formula>
    </cfRule>
  </conditionalFormatting>
  <conditionalFormatting sqref="Q35">
    <cfRule type="cellIs" dxfId="4325" priority="324" operator="equal">
      <formula>"Y"</formula>
    </cfRule>
  </conditionalFormatting>
  <conditionalFormatting sqref="O36">
    <cfRule type="cellIs" dxfId="4324" priority="319" operator="equal">
      <formula>"NY"</formula>
    </cfRule>
    <cfRule type="cellIs" dxfId="4323" priority="320" operator="equal">
      <formula>"DM"</formula>
    </cfRule>
    <cfRule type="cellIs" dxfId="4322" priority="321" operator="equal">
      <formula>"PM"</formula>
    </cfRule>
    <cfRule type="cellIs" dxfId="4321" priority="322" operator="equal">
      <formula>"LM"</formula>
    </cfRule>
    <cfRule type="cellIs" dxfId="4320" priority="323" operator="equal">
      <formula>"FM"</formula>
    </cfRule>
  </conditionalFormatting>
  <conditionalFormatting sqref="I36:J36">
    <cfRule type="cellIs" dxfId="4319" priority="317" operator="equal">
      <formula>"No"</formula>
    </cfRule>
    <cfRule type="cellIs" dxfId="4318" priority="318" operator="equal">
      <formula>"Yes"</formula>
    </cfRule>
  </conditionalFormatting>
  <conditionalFormatting sqref="Q36">
    <cfRule type="cellIs" dxfId="4317" priority="316" operator="equal">
      <formula>"Y"</formula>
    </cfRule>
  </conditionalFormatting>
  <conditionalFormatting sqref="I37">
    <cfRule type="cellIs" dxfId="4316" priority="314" operator="equal">
      <formula>"No"</formula>
    </cfRule>
    <cfRule type="cellIs" dxfId="4315" priority="315" operator="equal">
      <formula>"Yes"</formula>
    </cfRule>
  </conditionalFormatting>
  <conditionalFormatting sqref="Q37">
    <cfRule type="cellIs" dxfId="4314" priority="313" operator="equal">
      <formula>"Y"</formula>
    </cfRule>
  </conditionalFormatting>
  <conditionalFormatting sqref="I38">
    <cfRule type="cellIs" dxfId="4313" priority="311" operator="equal">
      <formula>"No"</formula>
    </cfRule>
    <cfRule type="cellIs" dxfId="4312" priority="312" operator="equal">
      <formula>"Yes"</formula>
    </cfRule>
  </conditionalFormatting>
  <conditionalFormatting sqref="Q38">
    <cfRule type="cellIs" dxfId="4311" priority="310" operator="equal">
      <formula>"Y"</formula>
    </cfRule>
  </conditionalFormatting>
  <conditionalFormatting sqref="O39">
    <cfRule type="cellIs" dxfId="4310" priority="305" operator="equal">
      <formula>"NY"</formula>
    </cfRule>
    <cfRule type="cellIs" dxfId="4309" priority="306" operator="equal">
      <formula>"DM"</formula>
    </cfRule>
    <cfRule type="cellIs" dxfId="4308" priority="307" operator="equal">
      <formula>"PM"</formula>
    </cfRule>
    <cfRule type="cellIs" dxfId="4307" priority="308" operator="equal">
      <formula>"LM"</formula>
    </cfRule>
    <cfRule type="cellIs" dxfId="4306" priority="309" operator="equal">
      <formula>"FM"</formula>
    </cfRule>
  </conditionalFormatting>
  <conditionalFormatting sqref="Q39">
    <cfRule type="cellIs" dxfId="4305" priority="304" operator="equal">
      <formula>"Y"</formula>
    </cfRule>
  </conditionalFormatting>
  <conditionalFormatting sqref="O40">
    <cfRule type="cellIs" dxfId="4304" priority="299" operator="equal">
      <formula>"NY"</formula>
    </cfRule>
    <cfRule type="cellIs" dxfId="4303" priority="300" operator="equal">
      <formula>"DM"</formula>
    </cfRule>
    <cfRule type="cellIs" dxfId="4302" priority="301" operator="equal">
      <formula>"PM"</formula>
    </cfRule>
    <cfRule type="cellIs" dxfId="4301" priority="302" operator="equal">
      <formula>"LM"</formula>
    </cfRule>
    <cfRule type="cellIs" dxfId="4300" priority="303" operator="equal">
      <formula>"FM"</formula>
    </cfRule>
  </conditionalFormatting>
  <conditionalFormatting sqref="I40:J40">
    <cfRule type="cellIs" dxfId="4299" priority="297" operator="equal">
      <formula>"No"</formula>
    </cfRule>
    <cfRule type="cellIs" dxfId="4298" priority="298" operator="equal">
      <formula>"Yes"</formula>
    </cfRule>
  </conditionalFormatting>
  <conditionalFormatting sqref="Q40">
    <cfRule type="cellIs" dxfId="4297" priority="296" operator="equal">
      <formula>"Y"</formula>
    </cfRule>
  </conditionalFormatting>
  <conditionalFormatting sqref="I41">
    <cfRule type="cellIs" dxfId="4296" priority="294" operator="equal">
      <formula>"No"</formula>
    </cfRule>
    <cfRule type="cellIs" dxfId="4295" priority="295" operator="equal">
      <formula>"Yes"</formula>
    </cfRule>
  </conditionalFormatting>
  <conditionalFormatting sqref="Q41">
    <cfRule type="cellIs" dxfId="4294" priority="293" operator="equal">
      <formula>"Y"</formula>
    </cfRule>
  </conditionalFormatting>
  <conditionalFormatting sqref="I42">
    <cfRule type="cellIs" dxfId="4293" priority="291" operator="equal">
      <formula>"No"</formula>
    </cfRule>
    <cfRule type="cellIs" dxfId="4292" priority="292" operator="equal">
      <formula>"Yes"</formula>
    </cfRule>
  </conditionalFormatting>
  <conditionalFormatting sqref="Q42">
    <cfRule type="cellIs" dxfId="4291" priority="290" operator="equal">
      <formula>"Y"</formula>
    </cfRule>
  </conditionalFormatting>
  <conditionalFormatting sqref="O43">
    <cfRule type="cellIs" dxfId="4290" priority="288" operator="equal">
      <formula>"U"</formula>
    </cfRule>
    <cfRule type="cellIs" dxfId="4289" priority="289" operator="equal">
      <formula>"S"</formula>
    </cfRule>
  </conditionalFormatting>
  <conditionalFormatting sqref="Q43">
    <cfRule type="cellIs" dxfId="4288" priority="287" operator="equal">
      <formula>"Y"</formula>
    </cfRule>
  </conditionalFormatting>
  <conditionalFormatting sqref="O44">
    <cfRule type="cellIs" dxfId="4287" priority="282" operator="equal">
      <formula>"NY"</formula>
    </cfRule>
    <cfRule type="cellIs" dxfId="4286" priority="283" operator="equal">
      <formula>"DM"</formula>
    </cfRule>
    <cfRule type="cellIs" dxfId="4285" priority="284" operator="equal">
      <formula>"PM"</formula>
    </cfRule>
    <cfRule type="cellIs" dxfId="4284" priority="285" operator="equal">
      <formula>"LM"</formula>
    </cfRule>
    <cfRule type="cellIs" dxfId="4283" priority="286" operator="equal">
      <formula>"FM"</formula>
    </cfRule>
  </conditionalFormatting>
  <conditionalFormatting sqref="Q44">
    <cfRule type="cellIs" dxfId="4282" priority="281" operator="equal">
      <formula>"Y"</formula>
    </cfRule>
  </conditionalFormatting>
  <conditionalFormatting sqref="O45">
    <cfRule type="cellIs" dxfId="4281" priority="276" operator="equal">
      <formula>"NY"</formula>
    </cfRule>
    <cfRule type="cellIs" dxfId="4280" priority="277" operator="equal">
      <formula>"DM"</formula>
    </cfRule>
    <cfRule type="cellIs" dxfId="4279" priority="278" operator="equal">
      <formula>"PM"</formula>
    </cfRule>
    <cfRule type="cellIs" dxfId="4278" priority="279" operator="equal">
      <formula>"LM"</formula>
    </cfRule>
    <cfRule type="cellIs" dxfId="4277" priority="280" operator="equal">
      <formula>"FM"</formula>
    </cfRule>
  </conditionalFormatting>
  <conditionalFormatting sqref="I45:J45">
    <cfRule type="cellIs" dxfId="4276" priority="274" operator="equal">
      <formula>"No"</formula>
    </cfRule>
    <cfRule type="cellIs" dxfId="4275" priority="275" operator="equal">
      <formula>"Yes"</formula>
    </cfRule>
  </conditionalFormatting>
  <conditionalFormatting sqref="Q45">
    <cfRule type="cellIs" dxfId="4274" priority="273" operator="equal">
      <formula>"Y"</formula>
    </cfRule>
  </conditionalFormatting>
  <conditionalFormatting sqref="I46">
    <cfRule type="cellIs" dxfId="4273" priority="271" operator="equal">
      <formula>"No"</formula>
    </cfRule>
    <cfRule type="cellIs" dxfId="4272" priority="272" operator="equal">
      <formula>"Yes"</formula>
    </cfRule>
  </conditionalFormatting>
  <conditionalFormatting sqref="Q46">
    <cfRule type="cellIs" dxfId="4271" priority="270" operator="equal">
      <formula>"Y"</formula>
    </cfRule>
  </conditionalFormatting>
  <conditionalFormatting sqref="I47">
    <cfRule type="cellIs" dxfId="4270" priority="268" operator="equal">
      <formula>"No"</formula>
    </cfRule>
    <cfRule type="cellIs" dxfId="4269" priority="269" operator="equal">
      <formula>"Yes"</formula>
    </cfRule>
  </conditionalFormatting>
  <conditionalFormatting sqref="Q47">
    <cfRule type="cellIs" dxfId="4268" priority="267" operator="equal">
      <formula>"Y"</formula>
    </cfRule>
  </conditionalFormatting>
  <conditionalFormatting sqref="O48">
    <cfRule type="cellIs" dxfId="4267" priority="262" operator="equal">
      <formula>"NY"</formula>
    </cfRule>
    <cfRule type="cellIs" dxfId="4266" priority="263" operator="equal">
      <formula>"DM"</formula>
    </cfRule>
    <cfRule type="cellIs" dxfId="4265" priority="264" operator="equal">
      <formula>"PM"</formula>
    </cfRule>
    <cfRule type="cellIs" dxfId="4264" priority="265" operator="equal">
      <formula>"LM"</formula>
    </cfRule>
    <cfRule type="cellIs" dxfId="4263" priority="266" operator="equal">
      <formula>"FM"</formula>
    </cfRule>
  </conditionalFormatting>
  <conditionalFormatting sqref="Q48">
    <cfRule type="cellIs" dxfId="4262" priority="261" operator="equal">
      <formula>"Y"</formula>
    </cfRule>
  </conditionalFormatting>
  <conditionalFormatting sqref="O49">
    <cfRule type="cellIs" dxfId="4261" priority="256" operator="equal">
      <formula>"NY"</formula>
    </cfRule>
    <cfRule type="cellIs" dxfId="4260" priority="257" operator="equal">
      <formula>"DM"</formula>
    </cfRule>
    <cfRule type="cellIs" dxfId="4259" priority="258" operator="equal">
      <formula>"PM"</formula>
    </cfRule>
    <cfRule type="cellIs" dxfId="4258" priority="259" operator="equal">
      <formula>"LM"</formula>
    </cfRule>
    <cfRule type="cellIs" dxfId="4257" priority="260" operator="equal">
      <formula>"FM"</formula>
    </cfRule>
  </conditionalFormatting>
  <conditionalFormatting sqref="I49:J49">
    <cfRule type="cellIs" dxfId="4256" priority="254" operator="equal">
      <formula>"No"</formula>
    </cfRule>
    <cfRule type="cellIs" dxfId="4255" priority="255" operator="equal">
      <formula>"Yes"</formula>
    </cfRule>
  </conditionalFormatting>
  <conditionalFormatting sqref="Q49">
    <cfRule type="cellIs" dxfId="4254" priority="253" operator="equal">
      <formula>"Y"</formula>
    </cfRule>
  </conditionalFormatting>
  <conditionalFormatting sqref="I50">
    <cfRule type="cellIs" dxfId="4253" priority="251" operator="equal">
      <formula>"No"</formula>
    </cfRule>
    <cfRule type="cellIs" dxfId="4252" priority="252" operator="equal">
      <formula>"Yes"</formula>
    </cfRule>
  </conditionalFormatting>
  <conditionalFormatting sqref="Q50">
    <cfRule type="cellIs" dxfId="4251" priority="250" operator="equal">
      <formula>"Y"</formula>
    </cfRule>
  </conditionalFormatting>
  <conditionalFormatting sqref="I51">
    <cfRule type="cellIs" dxfId="4250" priority="248" operator="equal">
      <formula>"No"</formula>
    </cfRule>
    <cfRule type="cellIs" dxfId="4249" priority="249" operator="equal">
      <formula>"Yes"</formula>
    </cfRule>
  </conditionalFormatting>
  <conditionalFormatting sqref="Q51">
    <cfRule type="cellIs" dxfId="4248" priority="247" operator="equal">
      <formula>"Y"</formula>
    </cfRule>
  </conditionalFormatting>
  <conditionalFormatting sqref="O52">
    <cfRule type="cellIs" dxfId="4247" priority="242" operator="equal">
      <formula>"NY"</formula>
    </cfRule>
    <cfRule type="cellIs" dxfId="4246" priority="243" operator="equal">
      <formula>"DM"</formula>
    </cfRule>
    <cfRule type="cellIs" dxfId="4245" priority="244" operator="equal">
      <formula>"PM"</formula>
    </cfRule>
    <cfRule type="cellIs" dxfId="4244" priority="245" operator="equal">
      <formula>"LM"</formula>
    </cfRule>
    <cfRule type="cellIs" dxfId="4243" priority="246" operator="equal">
      <formula>"FM"</formula>
    </cfRule>
  </conditionalFormatting>
  <conditionalFormatting sqref="Q52">
    <cfRule type="cellIs" dxfId="4242" priority="241" operator="equal">
      <formula>"Y"</formula>
    </cfRule>
  </conditionalFormatting>
  <conditionalFormatting sqref="O53">
    <cfRule type="cellIs" dxfId="4241" priority="236" operator="equal">
      <formula>"NY"</formula>
    </cfRule>
    <cfRule type="cellIs" dxfId="4240" priority="237" operator="equal">
      <formula>"DM"</formula>
    </cfRule>
    <cfRule type="cellIs" dxfId="4239" priority="238" operator="equal">
      <formula>"PM"</formula>
    </cfRule>
    <cfRule type="cellIs" dxfId="4238" priority="239" operator="equal">
      <formula>"LM"</formula>
    </cfRule>
    <cfRule type="cellIs" dxfId="4237" priority="240" operator="equal">
      <formula>"FM"</formula>
    </cfRule>
  </conditionalFormatting>
  <conditionalFormatting sqref="I53:J53">
    <cfRule type="cellIs" dxfId="4236" priority="234" operator="equal">
      <formula>"No"</formula>
    </cfRule>
    <cfRule type="cellIs" dxfId="4235" priority="235" operator="equal">
      <formula>"Yes"</formula>
    </cfRule>
  </conditionalFormatting>
  <conditionalFormatting sqref="Q53">
    <cfRule type="cellIs" dxfId="4234" priority="233" operator="equal">
      <formula>"Y"</formula>
    </cfRule>
  </conditionalFormatting>
  <conditionalFormatting sqref="I54">
    <cfRule type="cellIs" dxfId="4233" priority="231" operator="equal">
      <formula>"No"</formula>
    </cfRule>
    <cfRule type="cellIs" dxfId="4232" priority="232" operator="equal">
      <formula>"Yes"</formula>
    </cfRule>
  </conditionalFormatting>
  <conditionalFormatting sqref="Q54">
    <cfRule type="cellIs" dxfId="4231" priority="230" operator="equal">
      <formula>"Y"</formula>
    </cfRule>
  </conditionalFormatting>
  <conditionalFormatting sqref="I55">
    <cfRule type="cellIs" dxfId="4230" priority="228" operator="equal">
      <formula>"No"</formula>
    </cfRule>
    <cfRule type="cellIs" dxfId="4229" priority="229" operator="equal">
      <formula>"Yes"</formula>
    </cfRule>
  </conditionalFormatting>
  <conditionalFormatting sqref="Q55">
    <cfRule type="cellIs" dxfId="4228" priority="227" operator="equal">
      <formula>"Y"</formula>
    </cfRule>
  </conditionalFormatting>
  <conditionalFormatting sqref="O56">
    <cfRule type="cellIs" dxfId="4227" priority="222" operator="equal">
      <formula>"NY"</formula>
    </cfRule>
    <cfRule type="cellIs" dxfId="4226" priority="223" operator="equal">
      <formula>"DM"</formula>
    </cfRule>
    <cfRule type="cellIs" dxfId="4225" priority="224" operator="equal">
      <formula>"PM"</formula>
    </cfRule>
    <cfRule type="cellIs" dxfId="4224" priority="225" operator="equal">
      <formula>"LM"</formula>
    </cfRule>
    <cfRule type="cellIs" dxfId="4223" priority="226" operator="equal">
      <formula>"FM"</formula>
    </cfRule>
  </conditionalFormatting>
  <conditionalFormatting sqref="Q56">
    <cfRule type="cellIs" dxfId="4222" priority="221" operator="equal">
      <formula>"Y"</formula>
    </cfRule>
  </conditionalFormatting>
  <conditionalFormatting sqref="O57">
    <cfRule type="cellIs" dxfId="4221" priority="216" operator="equal">
      <formula>"NY"</formula>
    </cfRule>
    <cfRule type="cellIs" dxfId="4220" priority="217" operator="equal">
      <formula>"DM"</formula>
    </cfRule>
    <cfRule type="cellIs" dxfId="4219" priority="218" operator="equal">
      <formula>"PM"</formula>
    </cfRule>
    <cfRule type="cellIs" dxfId="4218" priority="219" operator="equal">
      <formula>"LM"</formula>
    </cfRule>
    <cfRule type="cellIs" dxfId="4217" priority="220" operator="equal">
      <formula>"FM"</formula>
    </cfRule>
  </conditionalFormatting>
  <conditionalFormatting sqref="I57:J57">
    <cfRule type="cellIs" dxfId="4216" priority="214" operator="equal">
      <formula>"No"</formula>
    </cfRule>
    <cfRule type="cellIs" dxfId="4215" priority="215" operator="equal">
      <formula>"Yes"</formula>
    </cfRule>
  </conditionalFormatting>
  <conditionalFormatting sqref="Q57">
    <cfRule type="cellIs" dxfId="4214" priority="213" operator="equal">
      <formula>"Y"</formula>
    </cfRule>
  </conditionalFormatting>
  <conditionalFormatting sqref="I58">
    <cfRule type="cellIs" dxfId="4213" priority="211" operator="equal">
      <formula>"No"</formula>
    </cfRule>
    <cfRule type="cellIs" dxfId="4212" priority="212" operator="equal">
      <formula>"Yes"</formula>
    </cfRule>
  </conditionalFormatting>
  <conditionalFormatting sqref="Q58">
    <cfRule type="cellIs" dxfId="4211" priority="210" operator="equal">
      <formula>"Y"</formula>
    </cfRule>
  </conditionalFormatting>
  <conditionalFormatting sqref="I59">
    <cfRule type="cellIs" dxfId="4210" priority="208" operator="equal">
      <formula>"No"</formula>
    </cfRule>
    <cfRule type="cellIs" dxfId="4209" priority="209" operator="equal">
      <formula>"Yes"</formula>
    </cfRule>
  </conditionalFormatting>
  <conditionalFormatting sqref="Q59">
    <cfRule type="cellIs" dxfId="4208" priority="207" operator="equal">
      <formula>"Y"</formula>
    </cfRule>
  </conditionalFormatting>
  <conditionalFormatting sqref="O60">
    <cfRule type="cellIs" dxfId="4207" priority="202" operator="equal">
      <formula>"NY"</formula>
    </cfRule>
    <cfRule type="cellIs" dxfId="4206" priority="203" operator="equal">
      <formula>"DM"</formula>
    </cfRule>
    <cfRule type="cellIs" dxfId="4205" priority="204" operator="equal">
      <formula>"PM"</formula>
    </cfRule>
    <cfRule type="cellIs" dxfId="4204" priority="205" operator="equal">
      <formula>"LM"</formula>
    </cfRule>
    <cfRule type="cellIs" dxfId="4203" priority="206" operator="equal">
      <formula>"FM"</formula>
    </cfRule>
  </conditionalFormatting>
  <conditionalFormatting sqref="Q60">
    <cfRule type="cellIs" dxfId="4202" priority="201" operator="equal">
      <formula>"Y"</formula>
    </cfRule>
  </conditionalFormatting>
  <conditionalFormatting sqref="O61">
    <cfRule type="cellIs" dxfId="4201" priority="196" operator="equal">
      <formula>"NY"</formula>
    </cfRule>
    <cfRule type="cellIs" dxfId="4200" priority="197" operator="equal">
      <formula>"DM"</formula>
    </cfRule>
    <cfRule type="cellIs" dxfId="4199" priority="198" operator="equal">
      <formula>"PM"</formula>
    </cfRule>
    <cfRule type="cellIs" dxfId="4198" priority="199" operator="equal">
      <formula>"LM"</formula>
    </cfRule>
    <cfRule type="cellIs" dxfId="4197" priority="200" operator="equal">
      <formula>"FM"</formula>
    </cfRule>
  </conditionalFormatting>
  <conditionalFormatting sqref="I61:J61">
    <cfRule type="cellIs" dxfId="4196" priority="194" operator="equal">
      <formula>"No"</formula>
    </cfRule>
    <cfRule type="cellIs" dxfId="4195" priority="195" operator="equal">
      <formula>"Yes"</formula>
    </cfRule>
  </conditionalFormatting>
  <conditionalFormatting sqref="Q61">
    <cfRule type="cellIs" dxfId="4194" priority="193" operator="equal">
      <formula>"Y"</formula>
    </cfRule>
  </conditionalFormatting>
  <conditionalFormatting sqref="I62">
    <cfRule type="cellIs" dxfId="4193" priority="191" operator="equal">
      <formula>"No"</formula>
    </cfRule>
    <cfRule type="cellIs" dxfId="4192" priority="192" operator="equal">
      <formula>"Yes"</formula>
    </cfRule>
  </conditionalFormatting>
  <conditionalFormatting sqref="Q62">
    <cfRule type="cellIs" dxfId="4191" priority="190" operator="equal">
      <formula>"Y"</formula>
    </cfRule>
  </conditionalFormatting>
  <conditionalFormatting sqref="I63">
    <cfRule type="cellIs" dxfId="4190" priority="188" operator="equal">
      <formula>"No"</formula>
    </cfRule>
    <cfRule type="cellIs" dxfId="4189" priority="189" operator="equal">
      <formula>"Yes"</formula>
    </cfRule>
  </conditionalFormatting>
  <conditionalFormatting sqref="Q63">
    <cfRule type="cellIs" dxfId="4188" priority="187" operator="equal">
      <formula>"Y"</formula>
    </cfRule>
  </conditionalFormatting>
  <conditionalFormatting sqref="O64">
    <cfRule type="cellIs" dxfId="4187" priority="182" operator="equal">
      <formula>"NY"</formula>
    </cfRule>
    <cfRule type="cellIs" dxfId="4186" priority="183" operator="equal">
      <formula>"DM"</formula>
    </cfRule>
    <cfRule type="cellIs" dxfId="4185" priority="184" operator="equal">
      <formula>"PM"</formula>
    </cfRule>
    <cfRule type="cellIs" dxfId="4184" priority="185" operator="equal">
      <formula>"LM"</formula>
    </cfRule>
    <cfRule type="cellIs" dxfId="4183" priority="186" operator="equal">
      <formula>"FM"</formula>
    </cfRule>
  </conditionalFormatting>
  <conditionalFormatting sqref="Q64">
    <cfRule type="cellIs" dxfId="4182" priority="181" operator="equal">
      <formula>"Y"</formula>
    </cfRule>
  </conditionalFormatting>
  <conditionalFormatting sqref="O65">
    <cfRule type="cellIs" dxfId="4181" priority="176" operator="equal">
      <formula>"NY"</formula>
    </cfRule>
    <cfRule type="cellIs" dxfId="4180" priority="177" operator="equal">
      <formula>"DM"</formula>
    </cfRule>
    <cfRule type="cellIs" dxfId="4179" priority="178" operator="equal">
      <formula>"PM"</formula>
    </cfRule>
    <cfRule type="cellIs" dxfId="4178" priority="179" operator="equal">
      <formula>"LM"</formula>
    </cfRule>
    <cfRule type="cellIs" dxfId="4177" priority="180" operator="equal">
      <formula>"FM"</formula>
    </cfRule>
  </conditionalFormatting>
  <conditionalFormatting sqref="I65:J65">
    <cfRule type="cellIs" dxfId="4176" priority="174" operator="equal">
      <formula>"No"</formula>
    </cfRule>
    <cfRule type="cellIs" dxfId="4175" priority="175" operator="equal">
      <formula>"Yes"</formula>
    </cfRule>
  </conditionalFormatting>
  <conditionalFormatting sqref="Q65">
    <cfRule type="cellIs" dxfId="4174" priority="173" operator="equal">
      <formula>"Y"</formula>
    </cfRule>
  </conditionalFormatting>
  <conditionalFormatting sqref="I66">
    <cfRule type="cellIs" dxfId="4173" priority="171" operator="equal">
      <formula>"No"</formula>
    </cfRule>
    <cfRule type="cellIs" dxfId="4172" priority="172" operator="equal">
      <formula>"Yes"</formula>
    </cfRule>
  </conditionalFormatting>
  <conditionalFormatting sqref="Q66">
    <cfRule type="cellIs" dxfId="4171" priority="170" operator="equal">
      <formula>"Y"</formula>
    </cfRule>
  </conditionalFormatting>
  <conditionalFormatting sqref="I67">
    <cfRule type="cellIs" dxfId="4170" priority="168" operator="equal">
      <formula>"No"</formula>
    </cfRule>
    <cfRule type="cellIs" dxfId="4169" priority="169" operator="equal">
      <formula>"Yes"</formula>
    </cfRule>
  </conditionalFormatting>
  <conditionalFormatting sqref="Q67">
    <cfRule type="cellIs" dxfId="4168" priority="167" operator="equal">
      <formula>"Y"</formula>
    </cfRule>
  </conditionalFormatting>
  <conditionalFormatting sqref="O68">
    <cfRule type="cellIs" dxfId="4167" priority="165" operator="equal">
      <formula>"U"</formula>
    </cfRule>
    <cfRule type="cellIs" dxfId="4166" priority="166" operator="equal">
      <formula>"S"</formula>
    </cfRule>
  </conditionalFormatting>
  <conditionalFormatting sqref="Q68">
    <cfRule type="cellIs" dxfId="4165" priority="164" operator="equal">
      <formula>"Y"</formula>
    </cfRule>
  </conditionalFormatting>
  <conditionalFormatting sqref="O69">
    <cfRule type="cellIs" dxfId="4164" priority="159" operator="equal">
      <formula>"NY"</formula>
    </cfRule>
    <cfRule type="cellIs" dxfId="4163" priority="160" operator="equal">
      <formula>"DM"</formula>
    </cfRule>
    <cfRule type="cellIs" dxfId="4162" priority="161" operator="equal">
      <formula>"PM"</formula>
    </cfRule>
    <cfRule type="cellIs" dxfId="4161" priority="162" operator="equal">
      <formula>"LM"</formula>
    </cfRule>
    <cfRule type="cellIs" dxfId="4160" priority="163" operator="equal">
      <formula>"FM"</formula>
    </cfRule>
  </conditionalFormatting>
  <conditionalFormatting sqref="Q69">
    <cfRule type="cellIs" dxfId="4159" priority="158" operator="equal">
      <formula>"Y"</formula>
    </cfRule>
  </conditionalFormatting>
  <conditionalFormatting sqref="O70">
    <cfRule type="cellIs" dxfId="4158" priority="153" operator="equal">
      <formula>"NY"</formula>
    </cfRule>
    <cfRule type="cellIs" dxfId="4157" priority="154" operator="equal">
      <formula>"DM"</formula>
    </cfRule>
    <cfRule type="cellIs" dxfId="4156" priority="155" operator="equal">
      <formula>"PM"</formula>
    </cfRule>
    <cfRule type="cellIs" dxfId="4155" priority="156" operator="equal">
      <formula>"LM"</formula>
    </cfRule>
    <cfRule type="cellIs" dxfId="4154" priority="157" operator="equal">
      <formula>"FM"</formula>
    </cfRule>
  </conditionalFormatting>
  <conditionalFormatting sqref="I70:J70">
    <cfRule type="cellIs" dxfId="4153" priority="151" operator="equal">
      <formula>"No"</formula>
    </cfRule>
    <cfRule type="cellIs" dxfId="4152" priority="152" operator="equal">
      <formula>"Yes"</formula>
    </cfRule>
  </conditionalFormatting>
  <conditionalFormatting sqref="Q70">
    <cfRule type="cellIs" dxfId="4151" priority="150" operator="equal">
      <formula>"Y"</formula>
    </cfRule>
  </conditionalFormatting>
  <conditionalFormatting sqref="I71">
    <cfRule type="cellIs" dxfId="4150" priority="148" operator="equal">
      <formula>"No"</formula>
    </cfRule>
    <cfRule type="cellIs" dxfId="4149" priority="149" operator="equal">
      <formula>"Yes"</formula>
    </cfRule>
  </conditionalFormatting>
  <conditionalFormatting sqref="Q71">
    <cfRule type="cellIs" dxfId="4148" priority="147" operator="equal">
      <formula>"Y"</formula>
    </cfRule>
  </conditionalFormatting>
  <conditionalFormatting sqref="I72">
    <cfRule type="cellIs" dxfId="4147" priority="145" operator="equal">
      <formula>"No"</formula>
    </cfRule>
    <cfRule type="cellIs" dxfId="4146" priority="146" operator="equal">
      <formula>"Yes"</formula>
    </cfRule>
  </conditionalFormatting>
  <conditionalFormatting sqref="Q72">
    <cfRule type="cellIs" dxfId="4145" priority="144" operator="equal">
      <formula>"Y"</formula>
    </cfRule>
  </conditionalFormatting>
  <conditionalFormatting sqref="O73">
    <cfRule type="cellIs" dxfId="4144" priority="139" operator="equal">
      <formula>"NY"</formula>
    </cfRule>
    <cfRule type="cellIs" dxfId="4143" priority="140" operator="equal">
      <formula>"DM"</formula>
    </cfRule>
    <cfRule type="cellIs" dxfId="4142" priority="141" operator="equal">
      <formula>"PM"</formula>
    </cfRule>
    <cfRule type="cellIs" dxfId="4141" priority="142" operator="equal">
      <formula>"LM"</formula>
    </cfRule>
    <cfRule type="cellIs" dxfId="4140" priority="143" operator="equal">
      <formula>"FM"</formula>
    </cfRule>
  </conditionalFormatting>
  <conditionalFormatting sqref="Q73">
    <cfRule type="cellIs" dxfId="4139" priority="138" operator="equal">
      <formula>"Y"</formula>
    </cfRule>
  </conditionalFormatting>
  <conditionalFormatting sqref="O74">
    <cfRule type="cellIs" dxfId="4138" priority="133" operator="equal">
      <formula>"NY"</formula>
    </cfRule>
    <cfRule type="cellIs" dxfId="4137" priority="134" operator="equal">
      <formula>"DM"</formula>
    </cfRule>
    <cfRule type="cellIs" dxfId="4136" priority="135" operator="equal">
      <formula>"PM"</formula>
    </cfRule>
    <cfRule type="cellIs" dxfId="4135" priority="136" operator="equal">
      <formula>"LM"</formula>
    </cfRule>
    <cfRule type="cellIs" dxfId="4134" priority="137" operator="equal">
      <formula>"FM"</formula>
    </cfRule>
  </conditionalFormatting>
  <conditionalFormatting sqref="I74:J74">
    <cfRule type="cellIs" dxfId="4133" priority="131" operator="equal">
      <formula>"No"</formula>
    </cfRule>
    <cfRule type="cellIs" dxfId="4132" priority="132" operator="equal">
      <formula>"Yes"</formula>
    </cfRule>
  </conditionalFormatting>
  <conditionalFormatting sqref="Q74">
    <cfRule type="cellIs" dxfId="4131" priority="130" operator="equal">
      <formula>"Y"</formula>
    </cfRule>
  </conditionalFormatting>
  <conditionalFormatting sqref="I75">
    <cfRule type="cellIs" dxfId="4130" priority="128" operator="equal">
      <formula>"No"</formula>
    </cfRule>
    <cfRule type="cellIs" dxfId="4129" priority="129" operator="equal">
      <formula>"Yes"</formula>
    </cfRule>
  </conditionalFormatting>
  <conditionalFormatting sqref="Q75">
    <cfRule type="cellIs" dxfId="4128" priority="127" operator="equal">
      <formula>"Y"</formula>
    </cfRule>
  </conditionalFormatting>
  <conditionalFormatting sqref="I76">
    <cfRule type="cellIs" dxfId="4127" priority="125" operator="equal">
      <formula>"No"</formula>
    </cfRule>
    <cfRule type="cellIs" dxfId="4126" priority="126" operator="equal">
      <formula>"Yes"</formula>
    </cfRule>
  </conditionalFormatting>
  <conditionalFormatting sqref="Q76">
    <cfRule type="cellIs" dxfId="4125" priority="124" operator="equal">
      <formula>"Y"</formula>
    </cfRule>
  </conditionalFormatting>
  <conditionalFormatting sqref="O77">
    <cfRule type="cellIs" dxfId="4124" priority="119" operator="equal">
      <formula>"NY"</formula>
    </cfRule>
    <cfRule type="cellIs" dxfId="4123" priority="120" operator="equal">
      <formula>"DM"</formula>
    </cfRule>
    <cfRule type="cellIs" dxfId="4122" priority="121" operator="equal">
      <formula>"PM"</formula>
    </cfRule>
    <cfRule type="cellIs" dxfId="4121" priority="122" operator="equal">
      <formula>"LM"</formula>
    </cfRule>
    <cfRule type="cellIs" dxfId="4120" priority="123" operator="equal">
      <formula>"FM"</formula>
    </cfRule>
  </conditionalFormatting>
  <conditionalFormatting sqref="Q77">
    <cfRule type="cellIs" dxfId="4119" priority="118" operator="equal">
      <formula>"Y"</formula>
    </cfRule>
  </conditionalFormatting>
  <conditionalFormatting sqref="O78">
    <cfRule type="cellIs" dxfId="4118" priority="113" operator="equal">
      <formula>"NY"</formula>
    </cfRule>
    <cfRule type="cellIs" dxfId="4117" priority="114" operator="equal">
      <formula>"DM"</formula>
    </cfRule>
    <cfRule type="cellIs" dxfId="4116" priority="115" operator="equal">
      <formula>"PM"</formula>
    </cfRule>
    <cfRule type="cellIs" dxfId="4115" priority="116" operator="equal">
      <formula>"LM"</formula>
    </cfRule>
    <cfRule type="cellIs" dxfId="4114" priority="117" operator="equal">
      <formula>"FM"</formula>
    </cfRule>
  </conditionalFormatting>
  <conditionalFormatting sqref="I78:J78">
    <cfRule type="cellIs" dxfId="4113" priority="111" operator="equal">
      <formula>"No"</formula>
    </cfRule>
    <cfRule type="cellIs" dxfId="4112" priority="112" operator="equal">
      <formula>"Yes"</formula>
    </cfRule>
  </conditionalFormatting>
  <conditionalFormatting sqref="Q78">
    <cfRule type="cellIs" dxfId="4111" priority="110" operator="equal">
      <formula>"Y"</formula>
    </cfRule>
  </conditionalFormatting>
  <conditionalFormatting sqref="I79">
    <cfRule type="cellIs" dxfId="4110" priority="108" operator="equal">
      <formula>"No"</formula>
    </cfRule>
    <cfRule type="cellIs" dxfId="4109" priority="109" operator="equal">
      <formula>"Yes"</formula>
    </cfRule>
  </conditionalFormatting>
  <conditionalFormatting sqref="Q79">
    <cfRule type="cellIs" dxfId="4108" priority="107" operator="equal">
      <formula>"Y"</formula>
    </cfRule>
  </conditionalFormatting>
  <conditionalFormatting sqref="I80">
    <cfRule type="cellIs" dxfId="4107" priority="105" operator="equal">
      <formula>"No"</formula>
    </cfRule>
    <cfRule type="cellIs" dxfId="4106" priority="106" operator="equal">
      <formula>"Yes"</formula>
    </cfRule>
  </conditionalFormatting>
  <conditionalFormatting sqref="Q80">
    <cfRule type="cellIs" dxfId="4105" priority="104" operator="equal">
      <formula>"Y"</formula>
    </cfRule>
  </conditionalFormatting>
  <conditionalFormatting sqref="O81">
    <cfRule type="cellIs" dxfId="4104" priority="99" operator="equal">
      <formula>"NY"</formula>
    </cfRule>
    <cfRule type="cellIs" dxfId="4103" priority="100" operator="equal">
      <formula>"DM"</formula>
    </cfRule>
    <cfRule type="cellIs" dxfId="4102" priority="101" operator="equal">
      <formula>"PM"</formula>
    </cfRule>
    <cfRule type="cellIs" dxfId="4101" priority="102" operator="equal">
      <formula>"LM"</formula>
    </cfRule>
    <cfRule type="cellIs" dxfId="4100" priority="103" operator="equal">
      <formula>"FM"</formula>
    </cfRule>
  </conditionalFormatting>
  <conditionalFormatting sqref="Q81">
    <cfRule type="cellIs" dxfId="4099" priority="98" operator="equal">
      <formula>"Y"</formula>
    </cfRule>
  </conditionalFormatting>
  <conditionalFormatting sqref="O82">
    <cfRule type="cellIs" dxfId="4098" priority="93" operator="equal">
      <formula>"NY"</formula>
    </cfRule>
    <cfRule type="cellIs" dxfId="4097" priority="94" operator="equal">
      <formula>"DM"</formula>
    </cfRule>
    <cfRule type="cellIs" dxfId="4096" priority="95" operator="equal">
      <formula>"PM"</formula>
    </cfRule>
    <cfRule type="cellIs" dxfId="4095" priority="96" operator="equal">
      <formula>"LM"</formula>
    </cfRule>
    <cfRule type="cellIs" dxfId="4094" priority="97" operator="equal">
      <formula>"FM"</formula>
    </cfRule>
  </conditionalFormatting>
  <conditionalFormatting sqref="I82:J82">
    <cfRule type="cellIs" dxfId="4093" priority="91" operator="equal">
      <formula>"No"</formula>
    </cfRule>
    <cfRule type="cellIs" dxfId="4092" priority="92" operator="equal">
      <formula>"Yes"</formula>
    </cfRule>
  </conditionalFormatting>
  <conditionalFormatting sqref="Q82">
    <cfRule type="cellIs" dxfId="4091" priority="90" operator="equal">
      <formula>"Y"</formula>
    </cfRule>
  </conditionalFormatting>
  <conditionalFormatting sqref="I83">
    <cfRule type="cellIs" dxfId="4090" priority="88" operator="equal">
      <formula>"No"</formula>
    </cfRule>
    <cfRule type="cellIs" dxfId="4089" priority="89" operator="equal">
      <formula>"Yes"</formula>
    </cfRule>
  </conditionalFormatting>
  <conditionalFormatting sqref="Q83">
    <cfRule type="cellIs" dxfId="4088" priority="87" operator="equal">
      <formula>"Y"</formula>
    </cfRule>
  </conditionalFormatting>
  <conditionalFormatting sqref="I84">
    <cfRule type="cellIs" dxfId="4087" priority="85" operator="equal">
      <formula>"No"</formula>
    </cfRule>
    <cfRule type="cellIs" dxfId="4086" priority="86" operator="equal">
      <formula>"Yes"</formula>
    </cfRule>
  </conditionalFormatting>
  <conditionalFormatting sqref="Q84">
    <cfRule type="cellIs" dxfId="4085" priority="84" operator="equal">
      <formula>"Y"</formula>
    </cfRule>
  </conditionalFormatting>
  <conditionalFormatting sqref="O85">
    <cfRule type="cellIs" dxfId="4084" priority="79" operator="equal">
      <formula>"NY"</formula>
    </cfRule>
    <cfRule type="cellIs" dxfId="4083" priority="80" operator="equal">
      <formula>"DM"</formula>
    </cfRule>
    <cfRule type="cellIs" dxfId="4082" priority="81" operator="equal">
      <formula>"PM"</formula>
    </cfRule>
    <cfRule type="cellIs" dxfId="4081" priority="82" operator="equal">
      <formula>"LM"</formula>
    </cfRule>
    <cfRule type="cellIs" dxfId="4080" priority="83" operator="equal">
      <formula>"FM"</formula>
    </cfRule>
  </conditionalFormatting>
  <conditionalFormatting sqref="Q85">
    <cfRule type="cellIs" dxfId="4079" priority="78" operator="equal">
      <formula>"Y"</formula>
    </cfRule>
  </conditionalFormatting>
  <conditionalFormatting sqref="O86">
    <cfRule type="cellIs" dxfId="4078" priority="73" operator="equal">
      <formula>"NY"</formula>
    </cfRule>
    <cfRule type="cellIs" dxfId="4077" priority="74" operator="equal">
      <formula>"DM"</formula>
    </cfRule>
    <cfRule type="cellIs" dxfId="4076" priority="75" operator="equal">
      <formula>"PM"</formula>
    </cfRule>
    <cfRule type="cellIs" dxfId="4075" priority="76" operator="equal">
      <formula>"LM"</formula>
    </cfRule>
    <cfRule type="cellIs" dxfId="4074" priority="77" operator="equal">
      <formula>"FM"</formula>
    </cfRule>
  </conditionalFormatting>
  <conditionalFormatting sqref="I86:J86">
    <cfRule type="cellIs" dxfId="4073" priority="71" operator="equal">
      <formula>"No"</formula>
    </cfRule>
    <cfRule type="cellIs" dxfId="4072" priority="72" operator="equal">
      <formula>"Yes"</formula>
    </cfRule>
  </conditionalFormatting>
  <conditionalFormatting sqref="Q86">
    <cfRule type="cellIs" dxfId="4071" priority="70" operator="equal">
      <formula>"Y"</formula>
    </cfRule>
  </conditionalFormatting>
  <conditionalFormatting sqref="I87">
    <cfRule type="cellIs" dxfId="4070" priority="68" operator="equal">
      <formula>"No"</formula>
    </cfRule>
    <cfRule type="cellIs" dxfId="4069" priority="69" operator="equal">
      <formula>"Yes"</formula>
    </cfRule>
  </conditionalFormatting>
  <conditionalFormatting sqref="Q87">
    <cfRule type="cellIs" dxfId="4068" priority="67" operator="equal">
      <formula>"Y"</formula>
    </cfRule>
  </conditionalFormatting>
  <conditionalFormatting sqref="I88">
    <cfRule type="cellIs" dxfId="4067" priority="65" operator="equal">
      <formula>"No"</formula>
    </cfRule>
    <cfRule type="cellIs" dxfId="4066" priority="66" operator="equal">
      <formula>"Yes"</formula>
    </cfRule>
  </conditionalFormatting>
  <conditionalFormatting sqref="Q88">
    <cfRule type="cellIs" dxfId="4065" priority="64" operator="equal">
      <formula>"Y"</formula>
    </cfRule>
  </conditionalFormatting>
  <conditionalFormatting sqref="O89">
    <cfRule type="cellIs" dxfId="4064" priority="62" operator="equal">
      <formula>"U"</formula>
    </cfRule>
    <cfRule type="cellIs" dxfId="4063" priority="63" operator="equal">
      <formula>"S"</formula>
    </cfRule>
  </conditionalFormatting>
  <conditionalFormatting sqref="Q89">
    <cfRule type="cellIs" dxfId="4062" priority="61" operator="equal">
      <formula>"Y"</formula>
    </cfRule>
  </conditionalFormatting>
  <conditionalFormatting sqref="O90">
    <cfRule type="cellIs" dxfId="4061" priority="56" operator="equal">
      <formula>"NY"</formula>
    </cfRule>
    <cfRule type="cellIs" dxfId="4060" priority="57" operator="equal">
      <formula>"DM"</formula>
    </cfRule>
    <cfRule type="cellIs" dxfId="4059" priority="58" operator="equal">
      <formula>"PM"</formula>
    </cfRule>
    <cfRule type="cellIs" dxfId="4058" priority="59" operator="equal">
      <formula>"LM"</formula>
    </cfRule>
    <cfRule type="cellIs" dxfId="4057" priority="60" operator="equal">
      <formula>"FM"</formula>
    </cfRule>
  </conditionalFormatting>
  <conditionalFormatting sqref="Q90">
    <cfRule type="cellIs" dxfId="4056" priority="55" operator="equal">
      <formula>"Y"</formula>
    </cfRule>
  </conditionalFormatting>
  <conditionalFormatting sqref="O91">
    <cfRule type="cellIs" dxfId="4055" priority="50" operator="equal">
      <formula>"NY"</formula>
    </cfRule>
    <cfRule type="cellIs" dxfId="4054" priority="51" operator="equal">
      <formula>"DM"</formula>
    </cfRule>
    <cfRule type="cellIs" dxfId="4053" priority="52" operator="equal">
      <formula>"PM"</formula>
    </cfRule>
    <cfRule type="cellIs" dxfId="4052" priority="53" operator="equal">
      <formula>"LM"</formula>
    </cfRule>
    <cfRule type="cellIs" dxfId="4051" priority="54" operator="equal">
      <formula>"FM"</formula>
    </cfRule>
  </conditionalFormatting>
  <conditionalFormatting sqref="I91:J91">
    <cfRule type="cellIs" dxfId="4050" priority="48" operator="equal">
      <formula>"No"</formula>
    </cfRule>
    <cfRule type="cellIs" dxfId="4049" priority="49" operator="equal">
      <formula>"Yes"</formula>
    </cfRule>
  </conditionalFormatting>
  <conditionalFormatting sqref="Q91">
    <cfRule type="cellIs" dxfId="4048" priority="47" operator="equal">
      <formula>"Y"</formula>
    </cfRule>
  </conditionalFormatting>
  <conditionalFormatting sqref="I92">
    <cfRule type="cellIs" dxfId="4047" priority="45" operator="equal">
      <formula>"No"</formula>
    </cfRule>
    <cfRule type="cellIs" dxfId="4046" priority="46" operator="equal">
      <formula>"Yes"</formula>
    </cfRule>
  </conditionalFormatting>
  <conditionalFormatting sqref="Q92">
    <cfRule type="cellIs" dxfId="4045" priority="44" operator="equal">
      <formula>"Y"</formula>
    </cfRule>
  </conditionalFormatting>
  <conditionalFormatting sqref="I93">
    <cfRule type="cellIs" dxfId="4044" priority="42" operator="equal">
      <formula>"No"</formula>
    </cfRule>
    <cfRule type="cellIs" dxfId="4043" priority="43" operator="equal">
      <formula>"Yes"</formula>
    </cfRule>
  </conditionalFormatting>
  <conditionalFormatting sqref="Q93">
    <cfRule type="cellIs" dxfId="4042" priority="41" operator="equal">
      <formula>"Y"</formula>
    </cfRule>
  </conditionalFormatting>
  <conditionalFormatting sqref="O94">
    <cfRule type="cellIs" dxfId="4041" priority="36" operator="equal">
      <formula>"NY"</formula>
    </cfRule>
    <cfRule type="cellIs" dxfId="4040" priority="37" operator="equal">
      <formula>"DM"</formula>
    </cfRule>
    <cfRule type="cellIs" dxfId="4039" priority="38" operator="equal">
      <formula>"PM"</formula>
    </cfRule>
    <cfRule type="cellIs" dxfId="4038" priority="39" operator="equal">
      <formula>"LM"</formula>
    </cfRule>
    <cfRule type="cellIs" dxfId="4037" priority="40" operator="equal">
      <formula>"FM"</formula>
    </cfRule>
  </conditionalFormatting>
  <conditionalFormatting sqref="Q94">
    <cfRule type="cellIs" dxfId="4036" priority="35" operator="equal">
      <formula>"Y"</formula>
    </cfRule>
  </conditionalFormatting>
  <conditionalFormatting sqref="O95">
    <cfRule type="cellIs" dxfId="4035" priority="30" operator="equal">
      <formula>"NY"</formula>
    </cfRule>
    <cfRule type="cellIs" dxfId="4034" priority="31" operator="equal">
      <formula>"DM"</formula>
    </cfRule>
    <cfRule type="cellIs" dxfId="4033" priority="32" operator="equal">
      <formula>"PM"</formula>
    </cfRule>
    <cfRule type="cellIs" dxfId="4032" priority="33" operator="equal">
      <formula>"LM"</formula>
    </cfRule>
    <cfRule type="cellIs" dxfId="4031" priority="34" operator="equal">
      <formula>"FM"</formula>
    </cfRule>
  </conditionalFormatting>
  <conditionalFormatting sqref="I95:J95">
    <cfRule type="cellIs" dxfId="4030" priority="28" operator="equal">
      <formula>"No"</formula>
    </cfRule>
    <cfRule type="cellIs" dxfId="4029" priority="29" operator="equal">
      <formula>"Yes"</formula>
    </cfRule>
  </conditionalFormatting>
  <conditionalFormatting sqref="Q95">
    <cfRule type="cellIs" dxfId="4028" priority="27" operator="equal">
      <formula>"Y"</formula>
    </cfRule>
  </conditionalFormatting>
  <conditionalFormatting sqref="I96">
    <cfRule type="cellIs" dxfId="4027" priority="25" operator="equal">
      <formula>"No"</formula>
    </cfRule>
    <cfRule type="cellIs" dxfId="4026" priority="26" operator="equal">
      <formula>"Yes"</formula>
    </cfRule>
  </conditionalFormatting>
  <conditionalFormatting sqref="Q96">
    <cfRule type="cellIs" dxfId="4025" priority="24" operator="equal">
      <formula>"Y"</formula>
    </cfRule>
  </conditionalFormatting>
  <conditionalFormatting sqref="I97">
    <cfRule type="cellIs" dxfId="4024" priority="22" operator="equal">
      <formula>"No"</formula>
    </cfRule>
    <cfRule type="cellIs" dxfId="4023" priority="23" operator="equal">
      <formula>"Yes"</formula>
    </cfRule>
  </conditionalFormatting>
  <conditionalFormatting sqref="Q97">
    <cfRule type="cellIs" dxfId="4022" priority="21" operator="equal">
      <formula>"Y"</formula>
    </cfRule>
  </conditionalFormatting>
  <conditionalFormatting sqref="O98">
    <cfRule type="cellIs" dxfId="4021" priority="16" operator="equal">
      <formula>"NY"</formula>
    </cfRule>
    <cfRule type="cellIs" dxfId="4020" priority="17" operator="equal">
      <formula>"DM"</formula>
    </cfRule>
    <cfRule type="cellIs" dxfId="4019" priority="18" operator="equal">
      <formula>"PM"</formula>
    </cfRule>
    <cfRule type="cellIs" dxfId="4018" priority="19" operator="equal">
      <formula>"LM"</formula>
    </cfRule>
    <cfRule type="cellIs" dxfId="4017" priority="20" operator="equal">
      <formula>"FM"</formula>
    </cfRule>
  </conditionalFormatting>
  <conditionalFormatting sqref="Q98">
    <cfRule type="cellIs" dxfId="4016" priority="15" operator="equal">
      <formula>"Y"</formula>
    </cfRule>
  </conditionalFormatting>
  <conditionalFormatting sqref="O99">
    <cfRule type="cellIs" dxfId="4015" priority="10" operator="equal">
      <formula>"NY"</formula>
    </cfRule>
    <cfRule type="cellIs" dxfId="4014" priority="11" operator="equal">
      <formula>"DM"</formula>
    </cfRule>
    <cfRule type="cellIs" dxfId="4013" priority="12" operator="equal">
      <formula>"PM"</formula>
    </cfRule>
    <cfRule type="cellIs" dxfId="4012" priority="13" operator="equal">
      <formula>"LM"</formula>
    </cfRule>
    <cfRule type="cellIs" dxfId="4011" priority="14" operator="equal">
      <formula>"FM"</formula>
    </cfRule>
  </conditionalFormatting>
  <conditionalFormatting sqref="I99:J99">
    <cfRule type="cellIs" dxfId="4010" priority="8" operator="equal">
      <formula>"No"</formula>
    </cfRule>
    <cfRule type="cellIs" dxfId="4009" priority="9" operator="equal">
      <formula>"Yes"</formula>
    </cfRule>
  </conditionalFormatting>
  <conditionalFormatting sqref="Q99">
    <cfRule type="cellIs" dxfId="4008" priority="7" operator="equal">
      <formula>"Y"</formula>
    </cfRule>
  </conditionalFormatting>
  <conditionalFormatting sqref="I100">
    <cfRule type="cellIs" dxfId="4007" priority="5" operator="equal">
      <formula>"No"</formula>
    </cfRule>
    <cfRule type="cellIs" dxfId="4006" priority="6" operator="equal">
      <formula>"Yes"</formula>
    </cfRule>
  </conditionalFormatting>
  <conditionalFormatting sqref="Q100">
    <cfRule type="cellIs" dxfId="4005" priority="4" operator="equal">
      <formula>"Y"</formula>
    </cfRule>
  </conditionalFormatting>
  <conditionalFormatting sqref="I101">
    <cfRule type="cellIs" dxfId="4004" priority="2" operator="equal">
      <formula>"No"</formula>
    </cfRule>
    <cfRule type="cellIs" dxfId="4003" priority="3" operator="equal">
      <formula>"Yes"</formula>
    </cfRule>
  </conditionalFormatting>
  <conditionalFormatting sqref="Q101">
    <cfRule type="cellIs" dxfId="4002" priority="1" operator="equal">
      <formula>"Y"</formula>
    </cfRule>
  </conditionalFormatting>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A2033-32DC-4C88-A7CF-11CBE238C9F8}">
  <sheetPr codeName="Sheet38"/>
  <dimension ref="A1:Q51"/>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1572</v>
      </c>
    </row>
    <row r="2" spans="1:17" s="61" customFormat="1" ht="21">
      <c r="A2" s="60" t="s">
        <v>1972</v>
      </c>
    </row>
    <row r="3" spans="1:17">
      <c r="A3" s="62" t="s">
        <v>1707</v>
      </c>
      <c r="B3" s="63" t="s">
        <v>1573</v>
      </c>
    </row>
    <row r="4" spans="1:17">
      <c r="A4" s="63" t="s">
        <v>1401</v>
      </c>
      <c r="B4" s="63" t="s">
        <v>1973</v>
      </c>
    </row>
    <row r="5" spans="1:17">
      <c r="A5" s="62" t="s">
        <v>1709</v>
      </c>
      <c r="B5" s="63" t="s">
        <v>445</v>
      </c>
    </row>
    <row r="6" spans="1:17">
      <c r="A6" s="63" t="s">
        <v>1402</v>
      </c>
      <c r="B6" s="63" t="s">
        <v>1974</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446</v>
      </c>
      <c r="C10" s="322" t="s">
        <v>1574</v>
      </c>
      <c r="D10" s="322"/>
      <c r="E10" s="322"/>
      <c r="F10" s="322"/>
      <c r="G10" s="322"/>
      <c r="H10" s="322"/>
      <c r="I10" s="20" t="s">
        <v>1975</v>
      </c>
      <c r="J10" s="20" t="s">
        <v>1976</v>
      </c>
      <c r="K10" s="11" t="s">
        <v>1575</v>
      </c>
      <c r="L10" s="11"/>
      <c r="M10" s="11"/>
      <c r="N10" s="11"/>
      <c r="O10" s="9"/>
      <c r="P10" s="10"/>
      <c r="Q10" s="9"/>
    </row>
    <row r="11" spans="1:17" s="58" customFormat="1" ht="13.8">
      <c r="A11" s="54" t="s">
        <v>1391</v>
      </c>
      <c r="B11" s="19" t="s">
        <v>446</v>
      </c>
      <c r="C11" s="326" t="s">
        <v>1905</v>
      </c>
      <c r="D11" s="327"/>
      <c r="E11" s="327"/>
      <c r="F11" s="327"/>
      <c r="G11" s="328"/>
      <c r="H11" s="4" t="s">
        <v>1977</v>
      </c>
      <c r="I11" s="9"/>
      <c r="J11" s="9"/>
      <c r="K11" s="9"/>
      <c r="L11" s="9"/>
      <c r="M11" s="9"/>
      <c r="N11" s="9"/>
      <c r="O11" s="9"/>
      <c r="P11" s="9"/>
      <c r="Q11" s="9"/>
    </row>
    <row r="12" spans="1:17" s="58" customFormat="1" ht="13.8">
      <c r="A12" s="5" t="s">
        <v>1394</v>
      </c>
      <c r="B12" s="5" t="s">
        <v>1905</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1905</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447</v>
      </c>
      <c r="C15" s="322" t="s">
        <v>1576</v>
      </c>
      <c r="D15" s="322"/>
      <c r="E15" s="322"/>
      <c r="F15" s="322"/>
      <c r="G15" s="322"/>
      <c r="H15" s="322"/>
      <c r="I15" s="20" t="s">
        <v>1978</v>
      </c>
      <c r="J15" s="20" t="s">
        <v>1979</v>
      </c>
      <c r="K15" s="11" t="s">
        <v>1980</v>
      </c>
      <c r="L15" s="11"/>
      <c r="M15" s="11"/>
      <c r="N15" s="11"/>
      <c r="O15" s="9"/>
      <c r="P15" s="10"/>
      <c r="Q15" s="9"/>
    </row>
    <row r="16" spans="1:17" s="58" customFormat="1" ht="13.8">
      <c r="A16" s="54" t="s">
        <v>1391</v>
      </c>
      <c r="B16" s="19" t="s">
        <v>447</v>
      </c>
      <c r="C16" s="326" t="s">
        <v>1905</v>
      </c>
      <c r="D16" s="327"/>
      <c r="E16" s="327"/>
      <c r="F16" s="327"/>
      <c r="G16" s="328"/>
      <c r="H16" s="4" t="s">
        <v>1977</v>
      </c>
      <c r="I16" s="9"/>
      <c r="J16" s="9"/>
      <c r="K16" s="9"/>
      <c r="L16" s="9"/>
      <c r="M16" s="9"/>
      <c r="N16" s="9"/>
      <c r="O16" s="9"/>
      <c r="P16" s="9"/>
      <c r="Q16" s="9"/>
    </row>
    <row r="17" spans="1:17" s="58" customFormat="1" ht="13.8">
      <c r="A17" s="5" t="s">
        <v>1394</v>
      </c>
      <c r="B17" s="5" t="s">
        <v>1905</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1905</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448</v>
      </c>
      <c r="C19" s="322" t="s">
        <v>1577</v>
      </c>
      <c r="D19" s="322"/>
      <c r="E19" s="322"/>
      <c r="F19" s="322"/>
      <c r="G19" s="322"/>
      <c r="H19" s="322"/>
      <c r="I19" s="20" t="s">
        <v>1981</v>
      </c>
      <c r="J19" s="20" t="s">
        <v>1982</v>
      </c>
      <c r="K19" s="11" t="s">
        <v>1578</v>
      </c>
      <c r="L19" s="11"/>
      <c r="M19" s="11"/>
      <c r="N19" s="11"/>
      <c r="O19" s="9"/>
      <c r="P19" s="10"/>
      <c r="Q19" s="9"/>
    </row>
    <row r="20" spans="1:17" s="58" customFormat="1" ht="13.8">
      <c r="A20" s="54" t="s">
        <v>1391</v>
      </c>
      <c r="B20" s="19" t="s">
        <v>448</v>
      </c>
      <c r="C20" s="326" t="s">
        <v>1905</v>
      </c>
      <c r="D20" s="327"/>
      <c r="E20" s="327"/>
      <c r="F20" s="327"/>
      <c r="G20" s="328"/>
      <c r="H20" s="4" t="s">
        <v>1977</v>
      </c>
      <c r="I20" s="9"/>
      <c r="J20" s="9"/>
      <c r="K20" s="9"/>
      <c r="L20" s="9"/>
      <c r="M20" s="9"/>
      <c r="N20" s="9"/>
      <c r="O20" s="9"/>
      <c r="P20" s="9"/>
      <c r="Q20" s="9"/>
    </row>
    <row r="21" spans="1:17" s="58" customFormat="1" ht="13.8">
      <c r="A21" s="5" t="s">
        <v>1394</v>
      </c>
      <c r="B21" s="5" t="s">
        <v>1905</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1905</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449</v>
      </c>
      <c r="C23" s="322" t="s">
        <v>1579</v>
      </c>
      <c r="D23" s="322"/>
      <c r="E23" s="322"/>
      <c r="F23" s="322"/>
      <c r="G23" s="322"/>
      <c r="H23" s="322"/>
      <c r="I23" s="20" t="s">
        <v>1983</v>
      </c>
      <c r="J23" s="20" t="s">
        <v>1984</v>
      </c>
      <c r="K23" s="11" t="s">
        <v>1985</v>
      </c>
      <c r="L23" s="11"/>
      <c r="M23" s="11"/>
      <c r="N23" s="11"/>
      <c r="O23" s="9"/>
      <c r="P23" s="10"/>
      <c r="Q23" s="9"/>
    </row>
    <row r="24" spans="1:17" s="58" customFormat="1" ht="13.8">
      <c r="A24" s="54" t="s">
        <v>1391</v>
      </c>
      <c r="B24" s="19" t="s">
        <v>449</v>
      </c>
      <c r="C24" s="326" t="s">
        <v>1905</v>
      </c>
      <c r="D24" s="327"/>
      <c r="E24" s="327"/>
      <c r="F24" s="327"/>
      <c r="G24" s="328"/>
      <c r="H24" s="4" t="s">
        <v>1977</v>
      </c>
      <c r="I24" s="9"/>
      <c r="J24" s="9"/>
      <c r="K24" s="9"/>
      <c r="L24" s="9"/>
      <c r="M24" s="9"/>
      <c r="N24" s="9"/>
      <c r="O24" s="9"/>
      <c r="P24" s="9"/>
      <c r="Q24" s="9"/>
    </row>
    <row r="25" spans="1:17" s="58" customFormat="1" ht="13.8">
      <c r="A25" s="5" t="s">
        <v>1394</v>
      </c>
      <c r="B25" s="5" t="s">
        <v>1905</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1905</v>
      </c>
      <c r="C26" s="59" t="s">
        <v>1395</v>
      </c>
      <c r="D26" s="6" t="s">
        <v>97</v>
      </c>
      <c r="E26" s="6" t="s">
        <v>98</v>
      </c>
      <c r="F26" s="6" t="s">
        <v>1396</v>
      </c>
      <c r="G26" s="6" t="s">
        <v>1397</v>
      </c>
      <c r="H26" s="7"/>
      <c r="I26" s="9"/>
      <c r="J26" s="7"/>
      <c r="K26" s="12"/>
      <c r="L26" s="6"/>
      <c r="M26" s="6"/>
      <c r="N26" s="12"/>
      <c r="O26" s="7"/>
      <c r="P26" s="9"/>
      <c r="Q26" s="9"/>
    </row>
    <row r="27" spans="1:17" s="55" customFormat="1" ht="13.8">
      <c r="A27" s="54" t="s">
        <v>1385</v>
      </c>
      <c r="B27" s="17" t="s">
        <v>29</v>
      </c>
      <c r="C27" s="18"/>
      <c r="D27" s="18"/>
      <c r="E27" s="18"/>
      <c r="F27" s="18"/>
      <c r="G27" s="18"/>
      <c r="H27" s="18"/>
      <c r="I27" s="18"/>
      <c r="J27" s="18"/>
      <c r="K27" s="18"/>
      <c r="L27" s="8"/>
      <c r="M27" s="8"/>
      <c r="N27" s="8"/>
      <c r="O27" s="9"/>
      <c r="P27" s="10"/>
      <c r="Q27" s="9"/>
    </row>
    <row r="28" spans="1:17" s="57" customFormat="1" ht="51.6" customHeight="1">
      <c r="A28" s="56" t="s">
        <v>1386</v>
      </c>
      <c r="B28" s="3" t="s">
        <v>450</v>
      </c>
      <c r="C28" s="322" t="s">
        <v>1580</v>
      </c>
      <c r="D28" s="322"/>
      <c r="E28" s="322"/>
      <c r="F28" s="322"/>
      <c r="G28" s="322"/>
      <c r="H28" s="322"/>
      <c r="I28" s="20" t="s">
        <v>1986</v>
      </c>
      <c r="J28" s="20" t="s">
        <v>1987</v>
      </c>
      <c r="K28" s="11" t="s">
        <v>1581</v>
      </c>
      <c r="L28" s="11"/>
      <c r="M28" s="11"/>
      <c r="N28" s="11"/>
      <c r="O28" s="9"/>
      <c r="P28" s="10"/>
      <c r="Q28" s="9"/>
    </row>
    <row r="29" spans="1:17" s="58" customFormat="1" ht="13.8">
      <c r="A29" s="54" t="s">
        <v>1391</v>
      </c>
      <c r="B29" s="19" t="s">
        <v>450</v>
      </c>
      <c r="C29" s="326" t="s">
        <v>1905</v>
      </c>
      <c r="D29" s="327"/>
      <c r="E29" s="327"/>
      <c r="F29" s="327"/>
      <c r="G29" s="328"/>
      <c r="H29" s="4" t="s">
        <v>1977</v>
      </c>
      <c r="I29" s="9"/>
      <c r="J29" s="9"/>
      <c r="K29" s="9"/>
      <c r="L29" s="9"/>
      <c r="M29" s="9"/>
      <c r="N29" s="9"/>
      <c r="O29" s="9"/>
      <c r="P29" s="9"/>
      <c r="Q29" s="9"/>
    </row>
    <row r="30" spans="1:17" s="58" customFormat="1" ht="13.8">
      <c r="A30" s="5" t="s">
        <v>1394</v>
      </c>
      <c r="B30" s="5" t="s">
        <v>1905</v>
      </c>
      <c r="C30" s="59" t="s">
        <v>1395</v>
      </c>
      <c r="D30" s="6" t="s">
        <v>97</v>
      </c>
      <c r="E30" s="6" t="s">
        <v>98</v>
      </c>
      <c r="F30" s="6" t="s">
        <v>1396</v>
      </c>
      <c r="G30" s="6" t="s">
        <v>1397</v>
      </c>
      <c r="H30" s="7"/>
      <c r="I30" s="9"/>
      <c r="J30" s="7"/>
      <c r="K30" s="12"/>
      <c r="L30" s="6"/>
      <c r="M30" s="6"/>
      <c r="N30" s="12"/>
      <c r="O30" s="7"/>
      <c r="P30" s="9"/>
      <c r="Q30" s="9"/>
    </row>
    <row r="31" spans="1:17" s="58" customFormat="1" ht="13.8">
      <c r="A31" s="5" t="s">
        <v>1394</v>
      </c>
      <c r="B31" s="5" t="s">
        <v>1905</v>
      </c>
      <c r="C31" s="59" t="s">
        <v>1395</v>
      </c>
      <c r="D31" s="6" t="s">
        <v>97</v>
      </c>
      <c r="E31" s="6" t="s">
        <v>98</v>
      </c>
      <c r="F31" s="6" t="s">
        <v>1396</v>
      </c>
      <c r="G31" s="6" t="s">
        <v>1397</v>
      </c>
      <c r="H31" s="7"/>
      <c r="I31" s="9"/>
      <c r="J31" s="7"/>
      <c r="K31" s="12"/>
      <c r="L31" s="6"/>
      <c r="M31" s="6"/>
      <c r="N31" s="12"/>
      <c r="O31" s="7"/>
      <c r="P31" s="9"/>
      <c r="Q31" s="9"/>
    </row>
    <row r="32" spans="1:17" s="57" customFormat="1" ht="51.6" customHeight="1">
      <c r="A32" s="56" t="s">
        <v>1386</v>
      </c>
      <c r="B32" s="3" t="s">
        <v>451</v>
      </c>
      <c r="C32" s="322" t="s">
        <v>1582</v>
      </c>
      <c r="D32" s="322"/>
      <c r="E32" s="322"/>
      <c r="F32" s="322"/>
      <c r="G32" s="322"/>
      <c r="H32" s="322"/>
      <c r="I32" s="20" t="s">
        <v>1988</v>
      </c>
      <c r="J32" s="20" t="s">
        <v>1989</v>
      </c>
      <c r="K32" s="11" t="s">
        <v>1583</v>
      </c>
      <c r="L32" s="11"/>
      <c r="M32" s="11"/>
      <c r="N32" s="11"/>
      <c r="O32" s="9"/>
      <c r="P32" s="10"/>
      <c r="Q32" s="9"/>
    </row>
    <row r="33" spans="1:17" s="58" customFormat="1" ht="13.8">
      <c r="A33" s="54" t="s">
        <v>1391</v>
      </c>
      <c r="B33" s="19" t="s">
        <v>451</v>
      </c>
      <c r="C33" s="326" t="s">
        <v>1905</v>
      </c>
      <c r="D33" s="327"/>
      <c r="E33" s="327"/>
      <c r="F33" s="327"/>
      <c r="G33" s="328"/>
      <c r="H33" s="4" t="s">
        <v>1977</v>
      </c>
      <c r="I33" s="9"/>
      <c r="J33" s="9"/>
      <c r="K33" s="9"/>
      <c r="L33" s="9"/>
      <c r="M33" s="9"/>
      <c r="N33" s="9"/>
      <c r="O33" s="9"/>
      <c r="P33" s="9"/>
      <c r="Q33" s="9"/>
    </row>
    <row r="34" spans="1:17" s="58" customFormat="1" ht="13.8">
      <c r="A34" s="5" t="s">
        <v>1394</v>
      </c>
      <c r="B34" s="5" t="s">
        <v>1905</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1905</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452</v>
      </c>
      <c r="C36" s="322" t="s">
        <v>1584</v>
      </c>
      <c r="D36" s="322"/>
      <c r="E36" s="322"/>
      <c r="F36" s="322"/>
      <c r="G36" s="322"/>
      <c r="H36" s="322"/>
      <c r="I36" s="20" t="s">
        <v>1990</v>
      </c>
      <c r="J36" s="20" t="s">
        <v>1991</v>
      </c>
      <c r="K36" s="11" t="s">
        <v>1585</v>
      </c>
      <c r="L36" s="11"/>
      <c r="M36" s="11"/>
      <c r="N36" s="11"/>
      <c r="O36" s="9"/>
      <c r="P36" s="10"/>
      <c r="Q36" s="9"/>
    </row>
    <row r="37" spans="1:17" s="58" customFormat="1" ht="13.8">
      <c r="A37" s="54" t="s">
        <v>1391</v>
      </c>
      <c r="B37" s="19" t="s">
        <v>452</v>
      </c>
      <c r="C37" s="326" t="s">
        <v>1905</v>
      </c>
      <c r="D37" s="327"/>
      <c r="E37" s="327"/>
      <c r="F37" s="327"/>
      <c r="G37" s="328"/>
      <c r="H37" s="4" t="s">
        <v>1977</v>
      </c>
      <c r="I37" s="9"/>
      <c r="J37" s="9"/>
      <c r="K37" s="9"/>
      <c r="L37" s="9"/>
      <c r="M37" s="9"/>
      <c r="N37" s="9"/>
      <c r="O37" s="9"/>
      <c r="P37" s="9"/>
      <c r="Q37" s="9"/>
    </row>
    <row r="38" spans="1:17" s="58" customFormat="1" ht="13.8">
      <c r="A38" s="5" t="s">
        <v>1394</v>
      </c>
      <c r="B38" s="5" t="s">
        <v>1905</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1905</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453</v>
      </c>
      <c r="C40" s="322" t="s">
        <v>1586</v>
      </c>
      <c r="D40" s="322"/>
      <c r="E40" s="322"/>
      <c r="F40" s="322"/>
      <c r="G40" s="322"/>
      <c r="H40" s="322"/>
      <c r="I40" s="20" t="s">
        <v>1992</v>
      </c>
      <c r="J40" s="20" t="s">
        <v>1993</v>
      </c>
      <c r="K40" s="11" t="s">
        <v>1587</v>
      </c>
      <c r="L40" s="11"/>
      <c r="M40" s="11"/>
      <c r="N40" s="11"/>
      <c r="O40" s="9"/>
      <c r="P40" s="10"/>
      <c r="Q40" s="9"/>
    </row>
    <row r="41" spans="1:17" s="58" customFormat="1" ht="13.8">
      <c r="A41" s="54" t="s">
        <v>1391</v>
      </c>
      <c r="B41" s="19" t="s">
        <v>453</v>
      </c>
      <c r="C41" s="326" t="s">
        <v>1905</v>
      </c>
      <c r="D41" s="327"/>
      <c r="E41" s="327"/>
      <c r="F41" s="327"/>
      <c r="G41" s="328"/>
      <c r="H41" s="4" t="s">
        <v>1977</v>
      </c>
      <c r="I41" s="9"/>
      <c r="J41" s="9"/>
      <c r="K41" s="9"/>
      <c r="L41" s="9"/>
      <c r="M41" s="9"/>
      <c r="N41" s="9"/>
      <c r="O41" s="9"/>
      <c r="P41" s="9"/>
      <c r="Q41" s="9"/>
    </row>
    <row r="42" spans="1:17" s="58" customFormat="1" ht="13.8">
      <c r="A42" s="5" t="s">
        <v>1394</v>
      </c>
      <c r="B42" s="5" t="s">
        <v>1905</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1905</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454</v>
      </c>
      <c r="C44" s="322" t="s">
        <v>1588</v>
      </c>
      <c r="D44" s="322"/>
      <c r="E44" s="322"/>
      <c r="F44" s="322"/>
      <c r="G44" s="322"/>
      <c r="H44" s="322"/>
      <c r="I44" s="20" t="s">
        <v>1994</v>
      </c>
      <c r="J44" s="20" t="s">
        <v>1995</v>
      </c>
      <c r="K44" s="11" t="s">
        <v>1585</v>
      </c>
      <c r="L44" s="11"/>
      <c r="M44" s="11"/>
      <c r="N44" s="11"/>
      <c r="O44" s="9"/>
      <c r="P44" s="10"/>
      <c r="Q44" s="9"/>
    </row>
    <row r="45" spans="1:17" s="58" customFormat="1" ht="13.8">
      <c r="A45" s="54" t="s">
        <v>1391</v>
      </c>
      <c r="B45" s="19" t="s">
        <v>454</v>
      </c>
      <c r="C45" s="326" t="s">
        <v>1905</v>
      </c>
      <c r="D45" s="327"/>
      <c r="E45" s="327"/>
      <c r="F45" s="327"/>
      <c r="G45" s="328"/>
      <c r="H45" s="4" t="s">
        <v>1977</v>
      </c>
      <c r="I45" s="9"/>
      <c r="J45" s="9"/>
      <c r="K45" s="9"/>
      <c r="L45" s="9"/>
      <c r="M45" s="9"/>
      <c r="N45" s="9"/>
      <c r="O45" s="9"/>
      <c r="P45" s="9"/>
      <c r="Q45" s="9"/>
    </row>
    <row r="46" spans="1:17" s="58" customFormat="1" ht="13.8">
      <c r="A46" s="5" t="s">
        <v>1394</v>
      </c>
      <c r="B46" s="5" t="s">
        <v>1905</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1905</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455</v>
      </c>
      <c r="C48" s="322" t="s">
        <v>1996</v>
      </c>
      <c r="D48" s="322"/>
      <c r="E48" s="322"/>
      <c r="F48" s="322"/>
      <c r="G48" s="322"/>
      <c r="H48" s="322"/>
      <c r="I48" s="20" t="s">
        <v>1997</v>
      </c>
      <c r="J48" s="20" t="s">
        <v>1998</v>
      </c>
      <c r="K48" s="11" t="s">
        <v>1589</v>
      </c>
      <c r="L48" s="11"/>
      <c r="M48" s="11"/>
      <c r="N48" s="11"/>
      <c r="O48" s="9"/>
      <c r="P48" s="10"/>
      <c r="Q48" s="9"/>
    </row>
    <row r="49" spans="1:17" s="58" customFormat="1" ht="13.8">
      <c r="A49" s="54" t="s">
        <v>1391</v>
      </c>
      <c r="B49" s="19" t="s">
        <v>455</v>
      </c>
      <c r="C49" s="326" t="s">
        <v>1905</v>
      </c>
      <c r="D49" s="327"/>
      <c r="E49" s="327"/>
      <c r="F49" s="327"/>
      <c r="G49" s="328"/>
      <c r="H49" s="4" t="s">
        <v>1977</v>
      </c>
      <c r="I49" s="9"/>
      <c r="J49" s="9"/>
      <c r="K49" s="9"/>
      <c r="L49" s="9"/>
      <c r="M49" s="9"/>
      <c r="N49" s="9"/>
      <c r="O49" s="9"/>
      <c r="P49" s="9"/>
      <c r="Q49" s="9"/>
    </row>
    <row r="50" spans="1:17" s="58" customFormat="1" ht="13.8">
      <c r="A50" s="5" t="s">
        <v>1394</v>
      </c>
      <c r="B50" s="5" t="s">
        <v>1905</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1905</v>
      </c>
      <c r="C51" s="59" t="s">
        <v>1395</v>
      </c>
      <c r="D51" s="6" t="s">
        <v>97</v>
      </c>
      <c r="E51" s="6" t="s">
        <v>98</v>
      </c>
      <c r="F51" s="6" t="s">
        <v>1396</v>
      </c>
      <c r="G51" s="6" t="s">
        <v>1397</v>
      </c>
      <c r="H51" s="7"/>
      <c r="I51" s="9"/>
      <c r="J51" s="7"/>
      <c r="K51" s="12"/>
      <c r="L51" s="6"/>
      <c r="M51" s="6"/>
      <c r="N51" s="12"/>
      <c r="O51" s="7"/>
      <c r="P51" s="9"/>
      <c r="Q51" s="9"/>
    </row>
  </sheetData>
  <mergeCells count="20">
    <mergeCell ref="C33:G33"/>
    <mergeCell ref="C10:H10"/>
    <mergeCell ref="C11:G11"/>
    <mergeCell ref="C15:H15"/>
    <mergeCell ref="C16:G16"/>
    <mergeCell ref="C19:H19"/>
    <mergeCell ref="C20:G20"/>
    <mergeCell ref="C23:H23"/>
    <mergeCell ref="C24:G24"/>
    <mergeCell ref="C28:H28"/>
    <mergeCell ref="C29:G29"/>
    <mergeCell ref="C32:H32"/>
    <mergeCell ref="C48:H48"/>
    <mergeCell ref="C49:G49"/>
    <mergeCell ref="C36:H36"/>
    <mergeCell ref="C37:G37"/>
    <mergeCell ref="C40:H40"/>
    <mergeCell ref="C41:G41"/>
    <mergeCell ref="C44:H44"/>
    <mergeCell ref="C45:G45"/>
  </mergeCells>
  <conditionalFormatting sqref="O9">
    <cfRule type="cellIs" dxfId="4001" priority="208" operator="equal">
      <formula>"U"</formula>
    </cfRule>
    <cfRule type="cellIs" dxfId="4000" priority="209" operator="equal">
      <formula>"S"</formula>
    </cfRule>
  </conditionalFormatting>
  <conditionalFormatting sqref="Q9">
    <cfRule type="cellIs" dxfId="3999" priority="207" operator="equal">
      <formula>"Y"</formula>
    </cfRule>
  </conditionalFormatting>
  <conditionalFormatting sqref="O10">
    <cfRule type="cellIs" dxfId="3998" priority="202" operator="equal">
      <formula>"NY"</formula>
    </cfRule>
    <cfRule type="cellIs" dxfId="3997" priority="203" operator="equal">
      <formula>"DM"</formula>
    </cfRule>
    <cfRule type="cellIs" dxfId="3996" priority="204" operator="equal">
      <formula>"PM"</formula>
    </cfRule>
    <cfRule type="cellIs" dxfId="3995" priority="205" operator="equal">
      <formula>"LM"</formula>
    </cfRule>
    <cfRule type="cellIs" dxfId="3994" priority="206" operator="equal">
      <formula>"FM"</formula>
    </cfRule>
  </conditionalFormatting>
  <conditionalFormatting sqref="Q10">
    <cfRule type="cellIs" dxfId="3993" priority="201" operator="equal">
      <formula>"Y"</formula>
    </cfRule>
  </conditionalFormatting>
  <conditionalFormatting sqref="O11">
    <cfRule type="cellIs" dxfId="3992" priority="196" operator="equal">
      <formula>"NY"</formula>
    </cfRule>
    <cfRule type="cellIs" dxfId="3991" priority="197" operator="equal">
      <formula>"DM"</formula>
    </cfRule>
    <cfRule type="cellIs" dxfId="3990" priority="198" operator="equal">
      <formula>"PM"</formula>
    </cfRule>
    <cfRule type="cellIs" dxfId="3989" priority="199" operator="equal">
      <formula>"LM"</formula>
    </cfRule>
    <cfRule type="cellIs" dxfId="3988" priority="200" operator="equal">
      <formula>"FM"</formula>
    </cfRule>
  </conditionalFormatting>
  <conditionalFormatting sqref="I11:J11">
    <cfRule type="cellIs" dxfId="3987" priority="194" operator="equal">
      <formula>"No"</formula>
    </cfRule>
    <cfRule type="cellIs" dxfId="3986" priority="195" operator="equal">
      <formula>"Yes"</formula>
    </cfRule>
  </conditionalFormatting>
  <conditionalFormatting sqref="Q11">
    <cfRule type="cellIs" dxfId="3985" priority="193" operator="equal">
      <formula>"Y"</formula>
    </cfRule>
  </conditionalFormatting>
  <conditionalFormatting sqref="I12">
    <cfRule type="cellIs" dxfId="3984" priority="191" operator="equal">
      <formula>"No"</formula>
    </cfRule>
    <cfRule type="cellIs" dxfId="3983" priority="192" operator="equal">
      <formula>"Yes"</formula>
    </cfRule>
  </conditionalFormatting>
  <conditionalFormatting sqref="Q12">
    <cfRule type="cellIs" dxfId="3982" priority="190" operator="equal">
      <formula>"Y"</formula>
    </cfRule>
  </conditionalFormatting>
  <conditionalFormatting sqref="I13">
    <cfRule type="cellIs" dxfId="3981" priority="188" operator="equal">
      <formula>"No"</formula>
    </cfRule>
    <cfRule type="cellIs" dxfId="3980" priority="189" operator="equal">
      <formula>"Yes"</formula>
    </cfRule>
  </conditionalFormatting>
  <conditionalFormatting sqref="Q13">
    <cfRule type="cellIs" dxfId="3979" priority="187" operator="equal">
      <formula>"Y"</formula>
    </cfRule>
  </conditionalFormatting>
  <conditionalFormatting sqref="O14">
    <cfRule type="cellIs" dxfId="3978" priority="185" operator="equal">
      <formula>"U"</formula>
    </cfRule>
    <cfRule type="cellIs" dxfId="3977" priority="186" operator="equal">
      <formula>"S"</formula>
    </cfRule>
  </conditionalFormatting>
  <conditionalFormatting sqref="Q14">
    <cfRule type="cellIs" dxfId="3976" priority="184" operator="equal">
      <formula>"Y"</formula>
    </cfRule>
  </conditionalFormatting>
  <conditionalFormatting sqref="O15">
    <cfRule type="cellIs" dxfId="3975" priority="179" operator="equal">
      <formula>"NY"</formula>
    </cfRule>
    <cfRule type="cellIs" dxfId="3974" priority="180" operator="equal">
      <formula>"DM"</formula>
    </cfRule>
    <cfRule type="cellIs" dxfId="3973" priority="181" operator="equal">
      <formula>"PM"</formula>
    </cfRule>
    <cfRule type="cellIs" dxfId="3972" priority="182" operator="equal">
      <formula>"LM"</formula>
    </cfRule>
    <cfRule type="cellIs" dxfId="3971" priority="183" operator="equal">
      <formula>"FM"</formula>
    </cfRule>
  </conditionalFormatting>
  <conditionalFormatting sqref="Q15">
    <cfRule type="cellIs" dxfId="3970" priority="178" operator="equal">
      <formula>"Y"</formula>
    </cfRule>
  </conditionalFormatting>
  <conditionalFormatting sqref="O16">
    <cfRule type="cellIs" dxfId="3969" priority="173" operator="equal">
      <formula>"NY"</formula>
    </cfRule>
    <cfRule type="cellIs" dxfId="3968" priority="174" operator="equal">
      <formula>"DM"</formula>
    </cfRule>
    <cfRule type="cellIs" dxfId="3967" priority="175" operator="equal">
      <formula>"PM"</formula>
    </cfRule>
    <cfRule type="cellIs" dxfId="3966" priority="176" operator="equal">
      <formula>"LM"</formula>
    </cfRule>
    <cfRule type="cellIs" dxfId="3965" priority="177" operator="equal">
      <formula>"FM"</formula>
    </cfRule>
  </conditionalFormatting>
  <conditionalFormatting sqref="I16:J16">
    <cfRule type="cellIs" dxfId="3964" priority="171" operator="equal">
      <formula>"No"</formula>
    </cfRule>
    <cfRule type="cellIs" dxfId="3963" priority="172" operator="equal">
      <formula>"Yes"</formula>
    </cfRule>
  </conditionalFormatting>
  <conditionalFormatting sqref="Q16">
    <cfRule type="cellIs" dxfId="3962" priority="170" operator="equal">
      <formula>"Y"</formula>
    </cfRule>
  </conditionalFormatting>
  <conditionalFormatting sqref="I17">
    <cfRule type="cellIs" dxfId="3961" priority="168" operator="equal">
      <formula>"No"</formula>
    </cfRule>
    <cfRule type="cellIs" dxfId="3960" priority="169" operator="equal">
      <formula>"Yes"</formula>
    </cfRule>
  </conditionalFormatting>
  <conditionalFormatting sqref="Q17">
    <cfRule type="cellIs" dxfId="3959" priority="167" operator="equal">
      <formula>"Y"</formula>
    </cfRule>
  </conditionalFormatting>
  <conditionalFormatting sqref="I18">
    <cfRule type="cellIs" dxfId="3958" priority="165" operator="equal">
      <formula>"No"</formula>
    </cfRule>
    <cfRule type="cellIs" dxfId="3957" priority="166" operator="equal">
      <formula>"Yes"</formula>
    </cfRule>
  </conditionalFormatting>
  <conditionalFormatting sqref="Q18">
    <cfRule type="cellIs" dxfId="3956" priority="164" operator="equal">
      <formula>"Y"</formula>
    </cfRule>
  </conditionalFormatting>
  <conditionalFormatting sqref="O19">
    <cfRule type="cellIs" dxfId="3955" priority="159" operator="equal">
      <formula>"NY"</formula>
    </cfRule>
    <cfRule type="cellIs" dxfId="3954" priority="160" operator="equal">
      <formula>"DM"</formula>
    </cfRule>
    <cfRule type="cellIs" dxfId="3953" priority="161" operator="equal">
      <formula>"PM"</formula>
    </cfRule>
    <cfRule type="cellIs" dxfId="3952" priority="162" operator="equal">
      <formula>"LM"</formula>
    </cfRule>
    <cfRule type="cellIs" dxfId="3951" priority="163" operator="equal">
      <formula>"FM"</formula>
    </cfRule>
  </conditionalFormatting>
  <conditionalFormatting sqref="Q19">
    <cfRule type="cellIs" dxfId="3950" priority="158" operator="equal">
      <formula>"Y"</formula>
    </cfRule>
  </conditionalFormatting>
  <conditionalFormatting sqref="O20">
    <cfRule type="cellIs" dxfId="3949" priority="153" operator="equal">
      <formula>"NY"</formula>
    </cfRule>
    <cfRule type="cellIs" dxfId="3948" priority="154" operator="equal">
      <formula>"DM"</formula>
    </cfRule>
    <cfRule type="cellIs" dxfId="3947" priority="155" operator="equal">
      <formula>"PM"</formula>
    </cfRule>
    <cfRule type="cellIs" dxfId="3946" priority="156" operator="equal">
      <formula>"LM"</formula>
    </cfRule>
    <cfRule type="cellIs" dxfId="3945" priority="157" operator="equal">
      <formula>"FM"</formula>
    </cfRule>
  </conditionalFormatting>
  <conditionalFormatting sqref="I20:J20">
    <cfRule type="cellIs" dxfId="3944" priority="151" operator="equal">
      <formula>"No"</formula>
    </cfRule>
    <cfRule type="cellIs" dxfId="3943" priority="152" operator="equal">
      <formula>"Yes"</formula>
    </cfRule>
  </conditionalFormatting>
  <conditionalFormatting sqref="Q20">
    <cfRule type="cellIs" dxfId="3942" priority="150" operator="equal">
      <formula>"Y"</formula>
    </cfRule>
  </conditionalFormatting>
  <conditionalFormatting sqref="I21">
    <cfRule type="cellIs" dxfId="3941" priority="148" operator="equal">
      <formula>"No"</formula>
    </cfRule>
    <cfRule type="cellIs" dxfId="3940" priority="149" operator="equal">
      <formula>"Yes"</formula>
    </cfRule>
  </conditionalFormatting>
  <conditionalFormatting sqref="Q21">
    <cfRule type="cellIs" dxfId="3939" priority="147" operator="equal">
      <formula>"Y"</formula>
    </cfRule>
  </conditionalFormatting>
  <conditionalFormatting sqref="I22">
    <cfRule type="cellIs" dxfId="3938" priority="145" operator="equal">
      <formula>"No"</formula>
    </cfRule>
    <cfRule type="cellIs" dxfId="3937" priority="146" operator="equal">
      <formula>"Yes"</formula>
    </cfRule>
  </conditionalFormatting>
  <conditionalFormatting sqref="Q22">
    <cfRule type="cellIs" dxfId="3936" priority="144" operator="equal">
      <formula>"Y"</formula>
    </cfRule>
  </conditionalFormatting>
  <conditionalFormatting sqref="O23">
    <cfRule type="cellIs" dxfId="3935" priority="139" operator="equal">
      <formula>"NY"</formula>
    </cfRule>
    <cfRule type="cellIs" dxfId="3934" priority="140" operator="equal">
      <formula>"DM"</formula>
    </cfRule>
    <cfRule type="cellIs" dxfId="3933" priority="141" operator="equal">
      <formula>"PM"</formula>
    </cfRule>
    <cfRule type="cellIs" dxfId="3932" priority="142" operator="equal">
      <formula>"LM"</formula>
    </cfRule>
    <cfRule type="cellIs" dxfId="3931" priority="143" operator="equal">
      <formula>"FM"</formula>
    </cfRule>
  </conditionalFormatting>
  <conditionalFormatting sqref="Q23">
    <cfRule type="cellIs" dxfId="3930" priority="138" operator="equal">
      <formula>"Y"</formula>
    </cfRule>
  </conditionalFormatting>
  <conditionalFormatting sqref="O24">
    <cfRule type="cellIs" dxfId="3929" priority="133" operator="equal">
      <formula>"NY"</formula>
    </cfRule>
    <cfRule type="cellIs" dxfId="3928" priority="134" operator="equal">
      <formula>"DM"</formula>
    </cfRule>
    <cfRule type="cellIs" dxfId="3927" priority="135" operator="equal">
      <formula>"PM"</formula>
    </cfRule>
    <cfRule type="cellIs" dxfId="3926" priority="136" operator="equal">
      <formula>"LM"</formula>
    </cfRule>
    <cfRule type="cellIs" dxfId="3925" priority="137" operator="equal">
      <formula>"FM"</formula>
    </cfRule>
  </conditionalFormatting>
  <conditionalFormatting sqref="I24:J24">
    <cfRule type="cellIs" dxfId="3924" priority="131" operator="equal">
      <formula>"No"</formula>
    </cfRule>
    <cfRule type="cellIs" dxfId="3923" priority="132" operator="equal">
      <formula>"Yes"</formula>
    </cfRule>
  </conditionalFormatting>
  <conditionalFormatting sqref="Q24">
    <cfRule type="cellIs" dxfId="3922" priority="130" operator="equal">
      <formula>"Y"</formula>
    </cfRule>
  </conditionalFormatting>
  <conditionalFormatting sqref="I25">
    <cfRule type="cellIs" dxfId="3921" priority="128" operator="equal">
      <formula>"No"</formula>
    </cfRule>
    <cfRule type="cellIs" dxfId="3920" priority="129" operator="equal">
      <formula>"Yes"</formula>
    </cfRule>
  </conditionalFormatting>
  <conditionalFormatting sqref="Q25">
    <cfRule type="cellIs" dxfId="3919" priority="127" operator="equal">
      <formula>"Y"</formula>
    </cfRule>
  </conditionalFormatting>
  <conditionalFormatting sqref="I26">
    <cfRule type="cellIs" dxfId="3918" priority="125" operator="equal">
      <formula>"No"</formula>
    </cfRule>
    <cfRule type="cellIs" dxfId="3917" priority="126" operator="equal">
      <formula>"Yes"</formula>
    </cfRule>
  </conditionalFormatting>
  <conditionalFormatting sqref="Q26">
    <cfRule type="cellIs" dxfId="3916" priority="124" operator="equal">
      <formula>"Y"</formula>
    </cfRule>
  </conditionalFormatting>
  <conditionalFormatting sqref="O27">
    <cfRule type="cellIs" dxfId="3915" priority="122" operator="equal">
      <formula>"U"</formula>
    </cfRule>
    <cfRule type="cellIs" dxfId="3914" priority="123" operator="equal">
      <formula>"S"</formula>
    </cfRule>
  </conditionalFormatting>
  <conditionalFormatting sqref="Q27">
    <cfRule type="cellIs" dxfId="3913" priority="121" operator="equal">
      <formula>"Y"</formula>
    </cfRule>
  </conditionalFormatting>
  <conditionalFormatting sqref="O28">
    <cfRule type="cellIs" dxfId="3912" priority="116" operator="equal">
      <formula>"NY"</formula>
    </cfRule>
    <cfRule type="cellIs" dxfId="3911" priority="117" operator="equal">
      <formula>"DM"</formula>
    </cfRule>
    <cfRule type="cellIs" dxfId="3910" priority="118" operator="equal">
      <formula>"PM"</formula>
    </cfRule>
    <cfRule type="cellIs" dxfId="3909" priority="119" operator="equal">
      <formula>"LM"</formula>
    </cfRule>
    <cfRule type="cellIs" dxfId="3908" priority="120" operator="equal">
      <formula>"FM"</formula>
    </cfRule>
  </conditionalFormatting>
  <conditionalFormatting sqref="Q28">
    <cfRule type="cellIs" dxfId="3907" priority="115" operator="equal">
      <formula>"Y"</formula>
    </cfRule>
  </conditionalFormatting>
  <conditionalFormatting sqref="O29">
    <cfRule type="cellIs" dxfId="3906" priority="110" operator="equal">
      <formula>"NY"</formula>
    </cfRule>
    <cfRule type="cellIs" dxfId="3905" priority="111" operator="equal">
      <formula>"DM"</formula>
    </cfRule>
    <cfRule type="cellIs" dxfId="3904" priority="112" operator="equal">
      <formula>"PM"</formula>
    </cfRule>
    <cfRule type="cellIs" dxfId="3903" priority="113" operator="equal">
      <formula>"LM"</formula>
    </cfRule>
    <cfRule type="cellIs" dxfId="3902" priority="114" operator="equal">
      <formula>"FM"</formula>
    </cfRule>
  </conditionalFormatting>
  <conditionalFormatting sqref="I29:J29">
    <cfRule type="cellIs" dxfId="3901" priority="108" operator="equal">
      <formula>"No"</formula>
    </cfRule>
    <cfRule type="cellIs" dxfId="3900" priority="109" operator="equal">
      <formula>"Yes"</formula>
    </cfRule>
  </conditionalFormatting>
  <conditionalFormatting sqref="Q29">
    <cfRule type="cellIs" dxfId="3899" priority="107" operator="equal">
      <formula>"Y"</formula>
    </cfRule>
  </conditionalFormatting>
  <conditionalFormatting sqref="I30">
    <cfRule type="cellIs" dxfId="3898" priority="105" operator="equal">
      <formula>"No"</formula>
    </cfRule>
    <cfRule type="cellIs" dxfId="3897" priority="106" operator="equal">
      <formula>"Yes"</formula>
    </cfRule>
  </conditionalFormatting>
  <conditionalFormatting sqref="Q30">
    <cfRule type="cellIs" dxfId="3896" priority="104" operator="equal">
      <formula>"Y"</formula>
    </cfRule>
  </conditionalFormatting>
  <conditionalFormatting sqref="I31">
    <cfRule type="cellIs" dxfId="3895" priority="102" operator="equal">
      <formula>"No"</formula>
    </cfRule>
    <cfRule type="cellIs" dxfId="3894" priority="103" operator="equal">
      <formula>"Yes"</formula>
    </cfRule>
  </conditionalFormatting>
  <conditionalFormatting sqref="Q31">
    <cfRule type="cellIs" dxfId="3893" priority="101" operator="equal">
      <formula>"Y"</formula>
    </cfRule>
  </conditionalFormatting>
  <conditionalFormatting sqref="O32">
    <cfRule type="cellIs" dxfId="3892" priority="96" operator="equal">
      <formula>"NY"</formula>
    </cfRule>
    <cfRule type="cellIs" dxfId="3891" priority="97" operator="equal">
      <formula>"DM"</formula>
    </cfRule>
    <cfRule type="cellIs" dxfId="3890" priority="98" operator="equal">
      <formula>"PM"</formula>
    </cfRule>
    <cfRule type="cellIs" dxfId="3889" priority="99" operator="equal">
      <formula>"LM"</formula>
    </cfRule>
    <cfRule type="cellIs" dxfId="3888" priority="100" operator="equal">
      <formula>"FM"</formula>
    </cfRule>
  </conditionalFormatting>
  <conditionalFormatting sqref="Q32">
    <cfRule type="cellIs" dxfId="3887" priority="95" operator="equal">
      <formula>"Y"</formula>
    </cfRule>
  </conditionalFormatting>
  <conditionalFormatting sqref="O33">
    <cfRule type="cellIs" dxfId="3886" priority="90" operator="equal">
      <formula>"NY"</formula>
    </cfRule>
    <cfRule type="cellIs" dxfId="3885" priority="91" operator="equal">
      <formula>"DM"</formula>
    </cfRule>
    <cfRule type="cellIs" dxfId="3884" priority="92" operator="equal">
      <formula>"PM"</formula>
    </cfRule>
    <cfRule type="cellIs" dxfId="3883" priority="93" operator="equal">
      <formula>"LM"</formula>
    </cfRule>
    <cfRule type="cellIs" dxfId="3882" priority="94" operator="equal">
      <formula>"FM"</formula>
    </cfRule>
  </conditionalFormatting>
  <conditionalFormatting sqref="I33:J33">
    <cfRule type="cellIs" dxfId="3881" priority="88" operator="equal">
      <formula>"No"</formula>
    </cfRule>
    <cfRule type="cellIs" dxfId="3880" priority="89" operator="equal">
      <formula>"Yes"</formula>
    </cfRule>
  </conditionalFormatting>
  <conditionalFormatting sqref="Q33">
    <cfRule type="cellIs" dxfId="3879" priority="87" operator="equal">
      <formula>"Y"</formula>
    </cfRule>
  </conditionalFormatting>
  <conditionalFormatting sqref="I34">
    <cfRule type="cellIs" dxfId="3878" priority="85" operator="equal">
      <formula>"No"</formula>
    </cfRule>
    <cfRule type="cellIs" dxfId="3877" priority="86" operator="equal">
      <formula>"Yes"</formula>
    </cfRule>
  </conditionalFormatting>
  <conditionalFormatting sqref="Q34">
    <cfRule type="cellIs" dxfId="3876" priority="84" operator="equal">
      <formula>"Y"</formula>
    </cfRule>
  </conditionalFormatting>
  <conditionalFormatting sqref="I35">
    <cfRule type="cellIs" dxfId="3875" priority="82" operator="equal">
      <formula>"No"</formula>
    </cfRule>
    <cfRule type="cellIs" dxfId="3874" priority="83" operator="equal">
      <formula>"Yes"</formula>
    </cfRule>
  </conditionalFormatting>
  <conditionalFormatting sqref="Q35">
    <cfRule type="cellIs" dxfId="3873" priority="81" operator="equal">
      <formula>"Y"</formula>
    </cfRule>
  </conditionalFormatting>
  <conditionalFormatting sqref="O36">
    <cfRule type="cellIs" dxfId="3872" priority="76" operator="equal">
      <formula>"NY"</formula>
    </cfRule>
    <cfRule type="cellIs" dxfId="3871" priority="77" operator="equal">
      <formula>"DM"</formula>
    </cfRule>
    <cfRule type="cellIs" dxfId="3870" priority="78" operator="equal">
      <formula>"PM"</formula>
    </cfRule>
    <cfRule type="cellIs" dxfId="3869" priority="79" operator="equal">
      <formula>"LM"</formula>
    </cfRule>
    <cfRule type="cellIs" dxfId="3868" priority="80" operator="equal">
      <formula>"FM"</formula>
    </cfRule>
  </conditionalFormatting>
  <conditionalFormatting sqref="Q36">
    <cfRule type="cellIs" dxfId="3867" priority="75" operator="equal">
      <formula>"Y"</formula>
    </cfRule>
  </conditionalFormatting>
  <conditionalFormatting sqref="O37">
    <cfRule type="cellIs" dxfId="3866" priority="70" operator="equal">
      <formula>"NY"</formula>
    </cfRule>
    <cfRule type="cellIs" dxfId="3865" priority="71" operator="equal">
      <formula>"DM"</formula>
    </cfRule>
    <cfRule type="cellIs" dxfId="3864" priority="72" operator="equal">
      <formula>"PM"</formula>
    </cfRule>
    <cfRule type="cellIs" dxfId="3863" priority="73" operator="equal">
      <formula>"LM"</formula>
    </cfRule>
    <cfRule type="cellIs" dxfId="3862" priority="74" operator="equal">
      <formula>"FM"</formula>
    </cfRule>
  </conditionalFormatting>
  <conditionalFormatting sqref="I37:J37">
    <cfRule type="cellIs" dxfId="3861" priority="68" operator="equal">
      <formula>"No"</formula>
    </cfRule>
    <cfRule type="cellIs" dxfId="3860" priority="69" operator="equal">
      <formula>"Yes"</formula>
    </cfRule>
  </conditionalFormatting>
  <conditionalFormatting sqref="Q37">
    <cfRule type="cellIs" dxfId="3859" priority="67" operator="equal">
      <formula>"Y"</formula>
    </cfRule>
  </conditionalFormatting>
  <conditionalFormatting sqref="I38">
    <cfRule type="cellIs" dxfId="3858" priority="65" operator="equal">
      <formula>"No"</formula>
    </cfRule>
    <cfRule type="cellIs" dxfId="3857" priority="66" operator="equal">
      <formula>"Yes"</formula>
    </cfRule>
  </conditionalFormatting>
  <conditionalFormatting sqref="Q38">
    <cfRule type="cellIs" dxfId="3856" priority="64" operator="equal">
      <formula>"Y"</formula>
    </cfRule>
  </conditionalFormatting>
  <conditionalFormatting sqref="I39">
    <cfRule type="cellIs" dxfId="3855" priority="62" operator="equal">
      <formula>"No"</formula>
    </cfRule>
    <cfRule type="cellIs" dxfId="3854" priority="63" operator="equal">
      <formula>"Yes"</formula>
    </cfRule>
  </conditionalFormatting>
  <conditionalFormatting sqref="Q39">
    <cfRule type="cellIs" dxfId="3853" priority="61" operator="equal">
      <formula>"Y"</formula>
    </cfRule>
  </conditionalFormatting>
  <conditionalFormatting sqref="O40">
    <cfRule type="cellIs" dxfId="3852" priority="56" operator="equal">
      <formula>"NY"</formula>
    </cfRule>
    <cfRule type="cellIs" dxfId="3851" priority="57" operator="equal">
      <formula>"DM"</formula>
    </cfRule>
    <cfRule type="cellIs" dxfId="3850" priority="58" operator="equal">
      <formula>"PM"</formula>
    </cfRule>
    <cfRule type="cellIs" dxfId="3849" priority="59" operator="equal">
      <formula>"LM"</formula>
    </cfRule>
    <cfRule type="cellIs" dxfId="3848" priority="60" operator="equal">
      <formula>"FM"</formula>
    </cfRule>
  </conditionalFormatting>
  <conditionalFormatting sqref="Q40">
    <cfRule type="cellIs" dxfId="3847" priority="55" operator="equal">
      <formula>"Y"</formula>
    </cfRule>
  </conditionalFormatting>
  <conditionalFormatting sqref="O41">
    <cfRule type="cellIs" dxfId="3846" priority="50" operator="equal">
      <formula>"NY"</formula>
    </cfRule>
    <cfRule type="cellIs" dxfId="3845" priority="51" operator="equal">
      <formula>"DM"</formula>
    </cfRule>
    <cfRule type="cellIs" dxfId="3844" priority="52" operator="equal">
      <formula>"PM"</formula>
    </cfRule>
    <cfRule type="cellIs" dxfId="3843" priority="53" operator="equal">
      <formula>"LM"</formula>
    </cfRule>
    <cfRule type="cellIs" dxfId="3842" priority="54" operator="equal">
      <formula>"FM"</formula>
    </cfRule>
  </conditionalFormatting>
  <conditionalFormatting sqref="I41:J41">
    <cfRule type="cellIs" dxfId="3841" priority="48" operator="equal">
      <formula>"No"</formula>
    </cfRule>
    <cfRule type="cellIs" dxfId="3840" priority="49" operator="equal">
      <formula>"Yes"</formula>
    </cfRule>
  </conditionalFormatting>
  <conditionalFormatting sqref="Q41">
    <cfRule type="cellIs" dxfId="3839" priority="47" operator="equal">
      <formula>"Y"</formula>
    </cfRule>
  </conditionalFormatting>
  <conditionalFormatting sqref="I42">
    <cfRule type="cellIs" dxfId="3838" priority="45" operator="equal">
      <formula>"No"</formula>
    </cfRule>
    <cfRule type="cellIs" dxfId="3837" priority="46" operator="equal">
      <formula>"Yes"</formula>
    </cfRule>
  </conditionalFormatting>
  <conditionalFormatting sqref="Q42">
    <cfRule type="cellIs" dxfId="3836" priority="44" operator="equal">
      <formula>"Y"</formula>
    </cfRule>
  </conditionalFormatting>
  <conditionalFormatting sqref="I43">
    <cfRule type="cellIs" dxfId="3835" priority="42" operator="equal">
      <formula>"No"</formula>
    </cfRule>
    <cfRule type="cellIs" dxfId="3834" priority="43" operator="equal">
      <formula>"Yes"</formula>
    </cfRule>
  </conditionalFormatting>
  <conditionalFormatting sqref="Q43">
    <cfRule type="cellIs" dxfId="3833" priority="41" operator="equal">
      <formula>"Y"</formula>
    </cfRule>
  </conditionalFormatting>
  <conditionalFormatting sqref="O44">
    <cfRule type="cellIs" dxfId="3832" priority="36" operator="equal">
      <formula>"NY"</formula>
    </cfRule>
    <cfRule type="cellIs" dxfId="3831" priority="37" operator="equal">
      <formula>"DM"</formula>
    </cfRule>
    <cfRule type="cellIs" dxfId="3830" priority="38" operator="equal">
      <formula>"PM"</formula>
    </cfRule>
    <cfRule type="cellIs" dxfId="3829" priority="39" operator="equal">
      <formula>"LM"</formula>
    </cfRule>
    <cfRule type="cellIs" dxfId="3828" priority="40" operator="equal">
      <formula>"FM"</formula>
    </cfRule>
  </conditionalFormatting>
  <conditionalFormatting sqref="Q44">
    <cfRule type="cellIs" dxfId="3827" priority="35" operator="equal">
      <formula>"Y"</formula>
    </cfRule>
  </conditionalFormatting>
  <conditionalFormatting sqref="O45">
    <cfRule type="cellIs" dxfId="3826" priority="30" operator="equal">
      <formula>"NY"</formula>
    </cfRule>
    <cfRule type="cellIs" dxfId="3825" priority="31" operator="equal">
      <formula>"DM"</formula>
    </cfRule>
    <cfRule type="cellIs" dxfId="3824" priority="32" operator="equal">
      <formula>"PM"</formula>
    </cfRule>
    <cfRule type="cellIs" dxfId="3823" priority="33" operator="equal">
      <formula>"LM"</formula>
    </cfRule>
    <cfRule type="cellIs" dxfId="3822" priority="34" operator="equal">
      <formula>"FM"</formula>
    </cfRule>
  </conditionalFormatting>
  <conditionalFormatting sqref="I45:J45">
    <cfRule type="cellIs" dxfId="3821" priority="28" operator="equal">
      <formula>"No"</formula>
    </cfRule>
    <cfRule type="cellIs" dxfId="3820" priority="29" operator="equal">
      <formula>"Yes"</formula>
    </cfRule>
  </conditionalFormatting>
  <conditionalFormatting sqref="Q45">
    <cfRule type="cellIs" dxfId="3819" priority="27" operator="equal">
      <formula>"Y"</formula>
    </cfRule>
  </conditionalFormatting>
  <conditionalFormatting sqref="I46">
    <cfRule type="cellIs" dxfId="3818" priority="25" operator="equal">
      <formula>"No"</formula>
    </cfRule>
    <cfRule type="cellIs" dxfId="3817" priority="26" operator="equal">
      <formula>"Yes"</formula>
    </cfRule>
  </conditionalFormatting>
  <conditionalFormatting sqref="Q46">
    <cfRule type="cellIs" dxfId="3816" priority="24" operator="equal">
      <formula>"Y"</formula>
    </cfRule>
  </conditionalFormatting>
  <conditionalFormatting sqref="I47">
    <cfRule type="cellIs" dxfId="3815" priority="22" operator="equal">
      <formula>"No"</formula>
    </cfRule>
    <cfRule type="cellIs" dxfId="3814" priority="23" operator="equal">
      <formula>"Yes"</formula>
    </cfRule>
  </conditionalFormatting>
  <conditionalFormatting sqref="Q47">
    <cfRule type="cellIs" dxfId="3813" priority="21" operator="equal">
      <formula>"Y"</formula>
    </cfRule>
  </conditionalFormatting>
  <conditionalFormatting sqref="O48">
    <cfRule type="cellIs" dxfId="3812" priority="16" operator="equal">
      <formula>"NY"</formula>
    </cfRule>
    <cfRule type="cellIs" dxfId="3811" priority="17" operator="equal">
      <formula>"DM"</formula>
    </cfRule>
    <cfRule type="cellIs" dxfId="3810" priority="18" operator="equal">
      <formula>"PM"</formula>
    </cfRule>
    <cfRule type="cellIs" dxfId="3809" priority="19" operator="equal">
      <formula>"LM"</formula>
    </cfRule>
    <cfRule type="cellIs" dxfId="3808" priority="20" operator="equal">
      <formula>"FM"</formula>
    </cfRule>
  </conditionalFormatting>
  <conditionalFormatting sqref="Q48">
    <cfRule type="cellIs" dxfId="3807" priority="15" operator="equal">
      <formula>"Y"</formula>
    </cfRule>
  </conditionalFormatting>
  <conditionalFormatting sqref="O49">
    <cfRule type="cellIs" dxfId="3806" priority="10" operator="equal">
      <formula>"NY"</formula>
    </cfRule>
    <cfRule type="cellIs" dxfId="3805" priority="11" operator="equal">
      <formula>"DM"</formula>
    </cfRule>
    <cfRule type="cellIs" dxfId="3804" priority="12" operator="equal">
      <formula>"PM"</formula>
    </cfRule>
    <cfRule type="cellIs" dxfId="3803" priority="13" operator="equal">
      <formula>"LM"</formula>
    </cfRule>
    <cfRule type="cellIs" dxfId="3802" priority="14" operator="equal">
      <formula>"FM"</formula>
    </cfRule>
  </conditionalFormatting>
  <conditionalFormatting sqref="I49:J49">
    <cfRule type="cellIs" dxfId="3801" priority="8" operator="equal">
      <formula>"No"</formula>
    </cfRule>
    <cfRule type="cellIs" dxfId="3800" priority="9" operator="equal">
      <formula>"Yes"</formula>
    </cfRule>
  </conditionalFormatting>
  <conditionalFormatting sqref="Q49">
    <cfRule type="cellIs" dxfId="3799" priority="7" operator="equal">
      <formula>"Y"</formula>
    </cfRule>
  </conditionalFormatting>
  <conditionalFormatting sqref="I50">
    <cfRule type="cellIs" dxfId="3798" priority="5" operator="equal">
      <formula>"No"</formula>
    </cfRule>
    <cfRule type="cellIs" dxfId="3797" priority="6" operator="equal">
      <formula>"Yes"</formula>
    </cfRule>
  </conditionalFormatting>
  <conditionalFormatting sqref="Q50">
    <cfRule type="cellIs" dxfId="3796" priority="4" operator="equal">
      <formula>"Y"</formula>
    </cfRule>
  </conditionalFormatting>
  <conditionalFormatting sqref="I51">
    <cfRule type="cellIs" dxfId="3795" priority="2" operator="equal">
      <formula>"No"</formula>
    </cfRule>
    <cfRule type="cellIs" dxfId="3794" priority="3" operator="equal">
      <formula>"Yes"</formula>
    </cfRule>
  </conditionalFormatting>
  <conditionalFormatting sqref="Q51">
    <cfRule type="cellIs" dxfId="3793" priority="1" operator="equal">
      <formula>"Y"</formula>
    </cfRule>
  </conditionalFormatting>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112A-6860-4B41-83AC-FD65E4D7B778}">
  <sheetPr codeName="Sheet39"/>
  <dimension ref="A1:Q60"/>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1590</v>
      </c>
    </row>
    <row r="2" spans="1:17" s="61" customFormat="1" ht="21">
      <c r="A2" s="60" t="s">
        <v>1999</v>
      </c>
    </row>
    <row r="3" spans="1:17">
      <c r="A3" s="62" t="s">
        <v>1707</v>
      </c>
      <c r="B3" s="63" t="s">
        <v>1591</v>
      </c>
    </row>
    <row r="4" spans="1:17">
      <c r="A4" s="63" t="s">
        <v>1401</v>
      </c>
      <c r="B4" s="63" t="s">
        <v>2000</v>
      </c>
    </row>
    <row r="5" spans="1:17">
      <c r="A5" s="62" t="s">
        <v>1709</v>
      </c>
      <c r="B5" s="63" t="s">
        <v>370</v>
      </c>
    </row>
    <row r="6" spans="1:17">
      <c r="A6" s="63" t="s">
        <v>1402</v>
      </c>
      <c r="B6" s="63" t="s">
        <v>2001</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373</v>
      </c>
      <c r="C10" s="322" t="s">
        <v>1592</v>
      </c>
      <c r="D10" s="322"/>
      <c r="E10" s="322"/>
      <c r="F10" s="322"/>
      <c r="G10" s="322"/>
      <c r="H10" s="322"/>
      <c r="I10" s="20" t="s">
        <v>2002</v>
      </c>
      <c r="J10" s="20" t="s">
        <v>2003</v>
      </c>
      <c r="K10" s="11" t="s">
        <v>1593</v>
      </c>
      <c r="L10" s="11"/>
      <c r="M10" s="11"/>
      <c r="N10" s="11"/>
      <c r="O10" s="9"/>
      <c r="P10" s="10"/>
      <c r="Q10" s="9"/>
    </row>
    <row r="11" spans="1:17" s="58" customFormat="1" ht="13.8">
      <c r="A11" s="54" t="s">
        <v>1391</v>
      </c>
      <c r="B11" s="19" t="s">
        <v>373</v>
      </c>
      <c r="C11" s="326" t="s">
        <v>1905</v>
      </c>
      <c r="D11" s="327"/>
      <c r="E11" s="327"/>
      <c r="F11" s="327"/>
      <c r="G11" s="328"/>
      <c r="H11" s="4" t="s">
        <v>1977</v>
      </c>
      <c r="I11" s="9"/>
      <c r="J11" s="9"/>
      <c r="K11" s="9"/>
      <c r="L11" s="9"/>
      <c r="M11" s="9"/>
      <c r="N11" s="9"/>
      <c r="O11" s="9"/>
      <c r="P11" s="9"/>
      <c r="Q11" s="9"/>
    </row>
    <row r="12" spans="1:17" s="58" customFormat="1" ht="13.8">
      <c r="A12" s="5" t="s">
        <v>1394</v>
      </c>
      <c r="B12" s="5" t="s">
        <v>1905</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1905</v>
      </c>
      <c r="C13" s="59" t="s">
        <v>1395</v>
      </c>
      <c r="D13" s="6" t="s">
        <v>97</v>
      </c>
      <c r="E13" s="6" t="s">
        <v>98</v>
      </c>
      <c r="F13" s="6" t="s">
        <v>1396</v>
      </c>
      <c r="G13" s="6" t="s">
        <v>1397</v>
      </c>
      <c r="H13" s="7"/>
      <c r="I13" s="9"/>
      <c r="J13" s="7"/>
      <c r="K13" s="12"/>
      <c r="L13" s="6"/>
      <c r="M13" s="6"/>
      <c r="N13" s="12"/>
      <c r="O13" s="7"/>
      <c r="P13" s="9"/>
      <c r="Q13" s="9"/>
    </row>
    <row r="14" spans="1:17" s="57" customFormat="1" ht="51.6" customHeight="1">
      <c r="A14" s="56" t="s">
        <v>1386</v>
      </c>
      <c r="B14" s="3" t="s">
        <v>374</v>
      </c>
      <c r="C14" s="322" t="s">
        <v>1594</v>
      </c>
      <c r="D14" s="322"/>
      <c r="E14" s="322"/>
      <c r="F14" s="322"/>
      <c r="G14" s="322"/>
      <c r="H14" s="322"/>
      <c r="I14" s="20" t="s">
        <v>2004</v>
      </c>
      <c r="J14" s="20" t="s">
        <v>2005</v>
      </c>
      <c r="K14" s="11" t="s">
        <v>1595</v>
      </c>
      <c r="L14" s="11"/>
      <c r="M14" s="11"/>
      <c r="N14" s="11"/>
      <c r="O14" s="9"/>
      <c r="P14" s="10"/>
      <c r="Q14" s="9"/>
    </row>
    <row r="15" spans="1:17" s="58" customFormat="1" ht="13.8">
      <c r="A15" s="54" t="s">
        <v>1391</v>
      </c>
      <c r="B15" s="19" t="s">
        <v>374</v>
      </c>
      <c r="C15" s="326" t="s">
        <v>1905</v>
      </c>
      <c r="D15" s="327"/>
      <c r="E15" s="327"/>
      <c r="F15" s="327"/>
      <c r="G15" s="328"/>
      <c r="H15" s="4" t="s">
        <v>1977</v>
      </c>
      <c r="I15" s="9"/>
      <c r="J15" s="9"/>
      <c r="K15" s="9"/>
      <c r="L15" s="9"/>
      <c r="M15" s="9"/>
      <c r="N15" s="9"/>
      <c r="O15" s="9"/>
      <c r="P15" s="9"/>
      <c r="Q15" s="9"/>
    </row>
    <row r="16" spans="1:17" s="58" customFormat="1" ht="13.8">
      <c r="A16" s="5" t="s">
        <v>1394</v>
      </c>
      <c r="B16" s="5" t="s">
        <v>1905</v>
      </c>
      <c r="C16" s="59" t="s">
        <v>1395</v>
      </c>
      <c r="D16" s="6" t="s">
        <v>97</v>
      </c>
      <c r="E16" s="6" t="s">
        <v>98</v>
      </c>
      <c r="F16" s="6" t="s">
        <v>1396</v>
      </c>
      <c r="G16" s="6" t="s">
        <v>1397</v>
      </c>
      <c r="H16" s="7"/>
      <c r="I16" s="9"/>
      <c r="J16" s="7"/>
      <c r="K16" s="12"/>
      <c r="L16" s="6"/>
      <c r="M16" s="6"/>
      <c r="N16" s="12"/>
      <c r="O16" s="7"/>
      <c r="P16" s="9"/>
      <c r="Q16" s="9"/>
    </row>
    <row r="17" spans="1:17" s="58" customFormat="1" ht="13.8">
      <c r="A17" s="5" t="s">
        <v>1394</v>
      </c>
      <c r="B17" s="5" t="s">
        <v>1905</v>
      </c>
      <c r="C17" s="59" t="s">
        <v>1395</v>
      </c>
      <c r="D17" s="6" t="s">
        <v>97</v>
      </c>
      <c r="E17" s="6" t="s">
        <v>98</v>
      </c>
      <c r="F17" s="6" t="s">
        <v>1396</v>
      </c>
      <c r="G17" s="6" t="s">
        <v>1397</v>
      </c>
      <c r="H17" s="7"/>
      <c r="I17" s="9"/>
      <c r="J17" s="7"/>
      <c r="K17" s="12"/>
      <c r="L17" s="6"/>
      <c r="M17" s="6"/>
      <c r="N17" s="12"/>
      <c r="O17" s="7"/>
      <c r="P17" s="9"/>
      <c r="Q17" s="9"/>
    </row>
    <row r="18" spans="1:17" s="57" customFormat="1" ht="51.6" customHeight="1">
      <c r="A18" s="56" t="s">
        <v>1386</v>
      </c>
      <c r="B18" s="3" t="s">
        <v>375</v>
      </c>
      <c r="C18" s="322" t="s">
        <v>1596</v>
      </c>
      <c r="D18" s="322"/>
      <c r="E18" s="322"/>
      <c r="F18" s="322"/>
      <c r="G18" s="322"/>
      <c r="H18" s="322"/>
      <c r="I18" s="20" t="s">
        <v>2006</v>
      </c>
      <c r="J18" s="20" t="s">
        <v>2007</v>
      </c>
      <c r="K18" s="11" t="s">
        <v>2008</v>
      </c>
      <c r="L18" s="11"/>
      <c r="M18" s="11"/>
      <c r="N18" s="11"/>
      <c r="O18" s="9"/>
      <c r="P18" s="10"/>
      <c r="Q18" s="9"/>
    </row>
    <row r="19" spans="1:17" s="58" customFormat="1" ht="13.8">
      <c r="A19" s="54" t="s">
        <v>1391</v>
      </c>
      <c r="B19" s="19" t="s">
        <v>375</v>
      </c>
      <c r="C19" s="326" t="s">
        <v>1905</v>
      </c>
      <c r="D19" s="327"/>
      <c r="E19" s="327"/>
      <c r="F19" s="327"/>
      <c r="G19" s="328"/>
      <c r="H19" s="4" t="s">
        <v>1977</v>
      </c>
      <c r="I19" s="9"/>
      <c r="J19" s="9"/>
      <c r="K19" s="9"/>
      <c r="L19" s="9"/>
      <c r="M19" s="9"/>
      <c r="N19" s="9"/>
      <c r="O19" s="9"/>
      <c r="P19" s="9"/>
      <c r="Q19" s="9"/>
    </row>
    <row r="20" spans="1:17" s="58" customFormat="1" ht="13.8">
      <c r="A20" s="5" t="s">
        <v>1394</v>
      </c>
      <c r="B20" s="5" t="s">
        <v>1905</v>
      </c>
      <c r="C20" s="59" t="s">
        <v>1395</v>
      </c>
      <c r="D20" s="6" t="s">
        <v>97</v>
      </c>
      <c r="E20" s="6" t="s">
        <v>98</v>
      </c>
      <c r="F20" s="6" t="s">
        <v>1396</v>
      </c>
      <c r="G20" s="6" t="s">
        <v>1397</v>
      </c>
      <c r="H20" s="7"/>
      <c r="I20" s="9"/>
      <c r="J20" s="7"/>
      <c r="K20" s="12"/>
      <c r="L20" s="6"/>
      <c r="M20" s="6"/>
      <c r="N20" s="12"/>
      <c r="O20" s="7"/>
      <c r="P20" s="9"/>
      <c r="Q20" s="9"/>
    </row>
    <row r="21" spans="1:17" s="58" customFormat="1" ht="13.8">
      <c r="A21" s="5" t="s">
        <v>1394</v>
      </c>
      <c r="B21" s="5" t="s">
        <v>1905</v>
      </c>
      <c r="C21" s="59" t="s">
        <v>1395</v>
      </c>
      <c r="D21" s="6" t="s">
        <v>97</v>
      </c>
      <c r="E21" s="6" t="s">
        <v>98</v>
      </c>
      <c r="F21" s="6" t="s">
        <v>1396</v>
      </c>
      <c r="G21" s="6" t="s">
        <v>1397</v>
      </c>
      <c r="H21" s="7"/>
      <c r="I21" s="9"/>
      <c r="J21" s="7"/>
      <c r="K21" s="12"/>
      <c r="L21" s="6"/>
      <c r="M21" s="6"/>
      <c r="N21" s="12"/>
      <c r="O21" s="7"/>
      <c r="P21" s="9"/>
      <c r="Q21" s="9"/>
    </row>
    <row r="22" spans="1:17" s="55" customFormat="1" ht="13.8">
      <c r="A22" s="54" t="s">
        <v>1385</v>
      </c>
      <c r="B22" s="17" t="s">
        <v>28</v>
      </c>
      <c r="C22" s="18"/>
      <c r="D22" s="18"/>
      <c r="E22" s="18"/>
      <c r="F22" s="18"/>
      <c r="G22" s="18"/>
      <c r="H22" s="18"/>
      <c r="I22" s="18"/>
      <c r="J22" s="18"/>
      <c r="K22" s="18"/>
      <c r="L22" s="8"/>
      <c r="M22" s="8"/>
      <c r="N22" s="8"/>
      <c r="O22" s="9"/>
      <c r="P22" s="10"/>
      <c r="Q22" s="9"/>
    </row>
    <row r="23" spans="1:17" s="57" customFormat="1" ht="51.6" customHeight="1">
      <c r="A23" s="56" t="s">
        <v>1386</v>
      </c>
      <c r="B23" s="3" t="s">
        <v>376</v>
      </c>
      <c r="C23" s="322" t="s">
        <v>1597</v>
      </c>
      <c r="D23" s="322"/>
      <c r="E23" s="322"/>
      <c r="F23" s="322"/>
      <c r="G23" s="322"/>
      <c r="H23" s="322"/>
      <c r="I23" s="20" t="s">
        <v>2009</v>
      </c>
      <c r="J23" s="20" t="s">
        <v>2010</v>
      </c>
      <c r="K23" s="11" t="s">
        <v>2011</v>
      </c>
      <c r="L23" s="11"/>
      <c r="M23" s="11"/>
      <c r="N23" s="11"/>
      <c r="O23" s="9"/>
      <c r="P23" s="10"/>
      <c r="Q23" s="9"/>
    </row>
    <row r="24" spans="1:17" s="58" customFormat="1" ht="13.8">
      <c r="A24" s="54" t="s">
        <v>1391</v>
      </c>
      <c r="B24" s="19" t="s">
        <v>376</v>
      </c>
      <c r="C24" s="326" t="s">
        <v>1905</v>
      </c>
      <c r="D24" s="327"/>
      <c r="E24" s="327"/>
      <c r="F24" s="327"/>
      <c r="G24" s="328"/>
      <c r="H24" s="4" t="s">
        <v>1977</v>
      </c>
      <c r="I24" s="9"/>
      <c r="J24" s="9"/>
      <c r="K24" s="9"/>
      <c r="L24" s="9"/>
      <c r="M24" s="9"/>
      <c r="N24" s="9"/>
      <c r="O24" s="9"/>
      <c r="P24" s="9"/>
      <c r="Q24" s="9"/>
    </row>
    <row r="25" spans="1:17" s="58" customFormat="1" ht="13.8">
      <c r="A25" s="5" t="s">
        <v>1394</v>
      </c>
      <c r="B25" s="5" t="s">
        <v>1905</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1905</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377</v>
      </c>
      <c r="C27" s="322" t="s">
        <v>1598</v>
      </c>
      <c r="D27" s="322"/>
      <c r="E27" s="322"/>
      <c r="F27" s="322"/>
      <c r="G27" s="322"/>
      <c r="H27" s="322"/>
      <c r="I27" s="20" t="s">
        <v>2012</v>
      </c>
      <c r="J27" s="20" t="s">
        <v>2013</v>
      </c>
      <c r="K27" s="11" t="s">
        <v>1599</v>
      </c>
      <c r="L27" s="11"/>
      <c r="M27" s="11"/>
      <c r="N27" s="11"/>
      <c r="O27" s="9"/>
      <c r="P27" s="10"/>
      <c r="Q27" s="9"/>
    </row>
    <row r="28" spans="1:17" s="58" customFormat="1" ht="13.8">
      <c r="A28" s="54" t="s">
        <v>1391</v>
      </c>
      <c r="B28" s="19" t="s">
        <v>377</v>
      </c>
      <c r="C28" s="326" t="s">
        <v>1905</v>
      </c>
      <c r="D28" s="327"/>
      <c r="E28" s="327"/>
      <c r="F28" s="327"/>
      <c r="G28" s="328"/>
      <c r="H28" s="4" t="s">
        <v>1977</v>
      </c>
      <c r="I28" s="9"/>
      <c r="J28" s="9"/>
      <c r="K28" s="9"/>
      <c r="L28" s="9"/>
      <c r="M28" s="9"/>
      <c r="N28" s="9"/>
      <c r="O28" s="9"/>
      <c r="P28" s="9"/>
      <c r="Q28" s="9"/>
    </row>
    <row r="29" spans="1:17" s="58" customFormat="1" ht="13.8">
      <c r="A29" s="5" t="s">
        <v>1394</v>
      </c>
      <c r="B29" s="5" t="s">
        <v>1905</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1905</v>
      </c>
      <c r="C30" s="59" t="s">
        <v>1395</v>
      </c>
      <c r="D30" s="6" t="s">
        <v>97</v>
      </c>
      <c r="E30" s="6" t="s">
        <v>98</v>
      </c>
      <c r="F30" s="6" t="s">
        <v>1396</v>
      </c>
      <c r="G30" s="6" t="s">
        <v>1397</v>
      </c>
      <c r="H30" s="7"/>
      <c r="I30" s="9"/>
      <c r="J30" s="7"/>
      <c r="K30" s="12"/>
      <c r="L30" s="6"/>
      <c r="M30" s="6"/>
      <c r="N30" s="12"/>
      <c r="O30" s="7"/>
      <c r="P30" s="9"/>
      <c r="Q30" s="9"/>
    </row>
    <row r="31" spans="1:17" s="55" customFormat="1" ht="13.8">
      <c r="A31" s="54" t="s">
        <v>1385</v>
      </c>
      <c r="B31" s="17" t="s">
        <v>29</v>
      </c>
      <c r="C31" s="18"/>
      <c r="D31" s="18"/>
      <c r="E31" s="18"/>
      <c r="F31" s="18"/>
      <c r="G31" s="18"/>
      <c r="H31" s="18"/>
      <c r="I31" s="18"/>
      <c r="J31" s="18"/>
      <c r="K31" s="18"/>
      <c r="L31" s="8"/>
      <c r="M31" s="8"/>
      <c r="N31" s="8"/>
      <c r="O31" s="9"/>
      <c r="P31" s="10"/>
      <c r="Q31" s="9"/>
    </row>
    <row r="32" spans="1:17" s="57" customFormat="1" ht="51.6" customHeight="1">
      <c r="A32" s="56" t="s">
        <v>1386</v>
      </c>
      <c r="B32" s="3" t="s">
        <v>378</v>
      </c>
      <c r="C32" s="322" t="s">
        <v>1600</v>
      </c>
      <c r="D32" s="322"/>
      <c r="E32" s="322"/>
      <c r="F32" s="322"/>
      <c r="G32" s="322"/>
      <c r="H32" s="322"/>
      <c r="I32" s="20" t="s">
        <v>2014</v>
      </c>
      <c r="J32" s="20" t="s">
        <v>2015</v>
      </c>
      <c r="K32" s="11" t="s">
        <v>1601</v>
      </c>
      <c r="L32" s="11"/>
      <c r="M32" s="11"/>
      <c r="N32" s="11"/>
      <c r="O32" s="9"/>
      <c r="P32" s="10"/>
      <c r="Q32" s="9"/>
    </row>
    <row r="33" spans="1:17" s="58" customFormat="1" ht="13.8">
      <c r="A33" s="54" t="s">
        <v>1391</v>
      </c>
      <c r="B33" s="19" t="s">
        <v>378</v>
      </c>
      <c r="C33" s="326" t="s">
        <v>1905</v>
      </c>
      <c r="D33" s="327"/>
      <c r="E33" s="327"/>
      <c r="F33" s="327"/>
      <c r="G33" s="328"/>
      <c r="H33" s="4" t="s">
        <v>1977</v>
      </c>
      <c r="I33" s="9"/>
      <c r="J33" s="9"/>
      <c r="K33" s="9"/>
      <c r="L33" s="9"/>
      <c r="M33" s="9"/>
      <c r="N33" s="9"/>
      <c r="O33" s="9"/>
      <c r="P33" s="9"/>
      <c r="Q33" s="9"/>
    </row>
    <row r="34" spans="1:17" s="58" customFormat="1" ht="13.8">
      <c r="A34" s="5" t="s">
        <v>1394</v>
      </c>
      <c r="B34" s="5" t="s">
        <v>1905</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1905</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379</v>
      </c>
      <c r="C36" s="322" t="s">
        <v>1602</v>
      </c>
      <c r="D36" s="322"/>
      <c r="E36" s="322"/>
      <c r="F36" s="322"/>
      <c r="G36" s="322"/>
      <c r="H36" s="322"/>
      <c r="I36" s="20" t="s">
        <v>2016</v>
      </c>
      <c r="J36" s="20" t="s">
        <v>2017</v>
      </c>
      <c r="K36" s="11" t="s">
        <v>1603</v>
      </c>
      <c r="L36" s="11"/>
      <c r="M36" s="11"/>
      <c r="N36" s="11"/>
      <c r="O36" s="9"/>
      <c r="P36" s="10"/>
      <c r="Q36" s="9"/>
    </row>
    <row r="37" spans="1:17" s="58" customFormat="1" ht="13.8">
      <c r="A37" s="54" t="s">
        <v>1391</v>
      </c>
      <c r="B37" s="19" t="s">
        <v>379</v>
      </c>
      <c r="C37" s="326" t="s">
        <v>1905</v>
      </c>
      <c r="D37" s="327"/>
      <c r="E37" s="327"/>
      <c r="F37" s="327"/>
      <c r="G37" s="328"/>
      <c r="H37" s="4" t="s">
        <v>1977</v>
      </c>
      <c r="I37" s="9"/>
      <c r="J37" s="9"/>
      <c r="K37" s="9"/>
      <c r="L37" s="9"/>
      <c r="M37" s="9"/>
      <c r="N37" s="9"/>
      <c r="O37" s="9"/>
      <c r="P37" s="9"/>
      <c r="Q37" s="9"/>
    </row>
    <row r="38" spans="1:17" s="58" customFormat="1" ht="13.8">
      <c r="A38" s="5" t="s">
        <v>1394</v>
      </c>
      <c r="B38" s="5" t="s">
        <v>1905</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1905</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380</v>
      </c>
      <c r="C40" s="322" t="s">
        <v>1604</v>
      </c>
      <c r="D40" s="322"/>
      <c r="E40" s="322"/>
      <c r="F40" s="322"/>
      <c r="G40" s="322"/>
      <c r="H40" s="322"/>
      <c r="I40" s="20" t="s">
        <v>2018</v>
      </c>
      <c r="J40" s="20" t="s">
        <v>2019</v>
      </c>
      <c r="K40" s="11" t="s">
        <v>1605</v>
      </c>
      <c r="L40" s="11"/>
      <c r="M40" s="11"/>
      <c r="N40" s="11"/>
      <c r="O40" s="9"/>
      <c r="P40" s="10"/>
      <c r="Q40" s="9"/>
    </row>
    <row r="41" spans="1:17" s="58" customFormat="1" ht="13.8">
      <c r="A41" s="54" t="s">
        <v>1391</v>
      </c>
      <c r="B41" s="19" t="s">
        <v>380</v>
      </c>
      <c r="C41" s="326" t="s">
        <v>1905</v>
      </c>
      <c r="D41" s="327"/>
      <c r="E41" s="327"/>
      <c r="F41" s="327"/>
      <c r="G41" s="328"/>
      <c r="H41" s="4" t="s">
        <v>1977</v>
      </c>
      <c r="I41" s="9"/>
      <c r="J41" s="9"/>
      <c r="K41" s="9"/>
      <c r="L41" s="9"/>
      <c r="M41" s="9"/>
      <c r="N41" s="9"/>
      <c r="O41" s="9"/>
      <c r="P41" s="9"/>
      <c r="Q41" s="9"/>
    </row>
    <row r="42" spans="1:17" s="58" customFormat="1" ht="13.8">
      <c r="A42" s="5" t="s">
        <v>1394</v>
      </c>
      <c r="B42" s="5" t="s">
        <v>1905</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1905</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381</v>
      </c>
      <c r="C44" s="322" t="s">
        <v>1606</v>
      </c>
      <c r="D44" s="322"/>
      <c r="E44" s="322"/>
      <c r="F44" s="322"/>
      <c r="G44" s="322"/>
      <c r="H44" s="322"/>
      <c r="I44" s="20" t="s">
        <v>2020</v>
      </c>
      <c r="J44" s="20" t="s">
        <v>2021</v>
      </c>
      <c r="K44" s="11" t="s">
        <v>1607</v>
      </c>
      <c r="L44" s="11"/>
      <c r="M44" s="11"/>
      <c r="N44" s="11"/>
      <c r="O44" s="9"/>
      <c r="P44" s="10"/>
      <c r="Q44" s="9"/>
    </row>
    <row r="45" spans="1:17" s="58" customFormat="1" ht="13.8">
      <c r="A45" s="54" t="s">
        <v>1391</v>
      </c>
      <c r="B45" s="19" t="s">
        <v>381</v>
      </c>
      <c r="C45" s="326" t="s">
        <v>1905</v>
      </c>
      <c r="D45" s="327"/>
      <c r="E45" s="327"/>
      <c r="F45" s="327"/>
      <c r="G45" s="328"/>
      <c r="H45" s="4" t="s">
        <v>1977</v>
      </c>
      <c r="I45" s="9"/>
      <c r="J45" s="9"/>
      <c r="K45" s="9"/>
      <c r="L45" s="9"/>
      <c r="M45" s="9"/>
      <c r="N45" s="9"/>
      <c r="O45" s="9"/>
      <c r="P45" s="9"/>
      <c r="Q45" s="9"/>
    </row>
    <row r="46" spans="1:17" s="58" customFormat="1" ht="13.8">
      <c r="A46" s="5" t="s">
        <v>1394</v>
      </c>
      <c r="B46" s="5" t="s">
        <v>1905</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1905</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382</v>
      </c>
      <c r="C48" s="322" t="s">
        <v>1608</v>
      </c>
      <c r="D48" s="322"/>
      <c r="E48" s="322"/>
      <c r="F48" s="322"/>
      <c r="G48" s="322"/>
      <c r="H48" s="322"/>
      <c r="I48" s="20" t="s">
        <v>2022</v>
      </c>
      <c r="J48" s="20" t="s">
        <v>2023</v>
      </c>
      <c r="K48" s="11" t="s">
        <v>1609</v>
      </c>
      <c r="L48" s="11"/>
      <c r="M48" s="11"/>
      <c r="N48" s="11"/>
      <c r="O48" s="9"/>
      <c r="P48" s="10"/>
      <c r="Q48" s="9"/>
    </row>
    <row r="49" spans="1:17" s="58" customFormat="1" ht="13.8">
      <c r="A49" s="54" t="s">
        <v>1391</v>
      </c>
      <c r="B49" s="19" t="s">
        <v>382</v>
      </c>
      <c r="C49" s="326" t="s">
        <v>1905</v>
      </c>
      <c r="D49" s="327"/>
      <c r="E49" s="327"/>
      <c r="F49" s="327"/>
      <c r="G49" s="328"/>
      <c r="H49" s="4" t="s">
        <v>1977</v>
      </c>
      <c r="I49" s="9"/>
      <c r="J49" s="9"/>
      <c r="K49" s="9"/>
      <c r="L49" s="9"/>
      <c r="M49" s="9"/>
      <c r="N49" s="9"/>
      <c r="O49" s="9"/>
      <c r="P49" s="9"/>
      <c r="Q49" s="9"/>
    </row>
    <row r="50" spans="1:17" s="58" customFormat="1" ht="13.8">
      <c r="A50" s="5" t="s">
        <v>1394</v>
      </c>
      <c r="B50" s="5" t="s">
        <v>1905</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1905</v>
      </c>
      <c r="C51" s="59" t="s">
        <v>1395</v>
      </c>
      <c r="D51" s="6" t="s">
        <v>97</v>
      </c>
      <c r="E51" s="6" t="s">
        <v>98</v>
      </c>
      <c r="F51" s="6" t="s">
        <v>1396</v>
      </c>
      <c r="G51" s="6" t="s">
        <v>1397</v>
      </c>
      <c r="H51" s="7"/>
      <c r="I51" s="9"/>
      <c r="J51" s="7"/>
      <c r="K51" s="12"/>
      <c r="L51" s="6"/>
      <c r="M51" s="6"/>
      <c r="N51" s="12"/>
      <c r="O51" s="7"/>
      <c r="P51" s="9"/>
      <c r="Q51" s="9"/>
    </row>
    <row r="52" spans="1:17" s="57" customFormat="1" ht="51.6" customHeight="1">
      <c r="A52" s="56" t="s">
        <v>1386</v>
      </c>
      <c r="B52" s="3" t="s">
        <v>383</v>
      </c>
      <c r="C52" s="322" t="s">
        <v>1610</v>
      </c>
      <c r="D52" s="322"/>
      <c r="E52" s="322"/>
      <c r="F52" s="322"/>
      <c r="G52" s="322"/>
      <c r="H52" s="322"/>
      <c r="I52" s="20" t="s">
        <v>2024</v>
      </c>
      <c r="J52" s="20" t="s">
        <v>2025</v>
      </c>
      <c r="K52" s="11" t="s">
        <v>1611</v>
      </c>
      <c r="L52" s="11"/>
      <c r="M52" s="11"/>
      <c r="N52" s="11"/>
      <c r="O52" s="9"/>
      <c r="P52" s="10"/>
      <c r="Q52" s="9"/>
    </row>
    <row r="53" spans="1:17" s="58" customFormat="1" ht="13.8">
      <c r="A53" s="54" t="s">
        <v>1391</v>
      </c>
      <c r="B53" s="19" t="s">
        <v>383</v>
      </c>
      <c r="C53" s="326" t="s">
        <v>1905</v>
      </c>
      <c r="D53" s="327"/>
      <c r="E53" s="327"/>
      <c r="F53" s="327"/>
      <c r="G53" s="328"/>
      <c r="H53" s="4" t="s">
        <v>1977</v>
      </c>
      <c r="I53" s="9"/>
      <c r="J53" s="9"/>
      <c r="K53" s="9"/>
      <c r="L53" s="9"/>
      <c r="M53" s="9"/>
      <c r="N53" s="9"/>
      <c r="O53" s="9"/>
      <c r="P53" s="9"/>
      <c r="Q53" s="9"/>
    </row>
    <row r="54" spans="1:17" s="58" customFormat="1" ht="13.8">
      <c r="A54" s="5" t="s">
        <v>1394</v>
      </c>
      <c r="B54" s="5" t="s">
        <v>1905</v>
      </c>
      <c r="C54" s="59" t="s">
        <v>1395</v>
      </c>
      <c r="D54" s="6" t="s">
        <v>97</v>
      </c>
      <c r="E54" s="6" t="s">
        <v>98</v>
      </c>
      <c r="F54" s="6" t="s">
        <v>1396</v>
      </c>
      <c r="G54" s="6" t="s">
        <v>1397</v>
      </c>
      <c r="H54" s="7"/>
      <c r="I54" s="9"/>
      <c r="J54" s="7"/>
      <c r="K54" s="12"/>
      <c r="L54" s="6"/>
      <c r="M54" s="6"/>
      <c r="N54" s="12"/>
      <c r="O54" s="7"/>
      <c r="P54" s="9"/>
      <c r="Q54" s="9"/>
    </row>
    <row r="55" spans="1:17" s="58" customFormat="1" ht="13.8">
      <c r="A55" s="5" t="s">
        <v>1394</v>
      </c>
      <c r="B55" s="5" t="s">
        <v>1905</v>
      </c>
      <c r="C55" s="59" t="s">
        <v>1395</v>
      </c>
      <c r="D55" s="6" t="s">
        <v>97</v>
      </c>
      <c r="E55" s="6" t="s">
        <v>98</v>
      </c>
      <c r="F55" s="6" t="s">
        <v>1396</v>
      </c>
      <c r="G55" s="6" t="s">
        <v>1397</v>
      </c>
      <c r="H55" s="7"/>
      <c r="I55" s="9"/>
      <c r="J55" s="7"/>
      <c r="K55" s="12"/>
      <c r="L55" s="6"/>
      <c r="M55" s="6"/>
      <c r="N55" s="12"/>
      <c r="O55" s="7"/>
      <c r="P55" s="9"/>
      <c r="Q55" s="9"/>
    </row>
    <row r="56" spans="1:17" s="55" customFormat="1" ht="13.8">
      <c r="A56" s="54" t="s">
        <v>1385</v>
      </c>
      <c r="B56" s="17" t="s">
        <v>371</v>
      </c>
      <c r="C56" s="18"/>
      <c r="D56" s="18"/>
      <c r="E56" s="18"/>
      <c r="F56" s="18"/>
      <c r="G56" s="18"/>
      <c r="H56" s="18"/>
      <c r="I56" s="18"/>
      <c r="J56" s="18"/>
      <c r="K56" s="18"/>
      <c r="L56" s="8"/>
      <c r="M56" s="8"/>
      <c r="N56" s="8"/>
      <c r="O56" s="9"/>
      <c r="P56" s="10"/>
      <c r="Q56" s="9"/>
    </row>
    <row r="57" spans="1:17" s="57" customFormat="1" ht="51.6" customHeight="1">
      <c r="A57" s="56" t="s">
        <v>1386</v>
      </c>
      <c r="B57" s="3" t="s">
        <v>384</v>
      </c>
      <c r="C57" s="322" t="s">
        <v>1612</v>
      </c>
      <c r="D57" s="322"/>
      <c r="E57" s="322"/>
      <c r="F57" s="322"/>
      <c r="G57" s="322"/>
      <c r="H57" s="322"/>
      <c r="I57" s="20" t="s">
        <v>2026</v>
      </c>
      <c r="J57" s="20" t="s">
        <v>2027</v>
      </c>
      <c r="K57" s="11" t="s">
        <v>1613</v>
      </c>
      <c r="L57" s="11"/>
      <c r="M57" s="11"/>
      <c r="N57" s="11"/>
      <c r="O57" s="9"/>
      <c r="P57" s="10"/>
      <c r="Q57" s="9"/>
    </row>
    <row r="58" spans="1:17" s="58" customFormat="1" ht="13.8">
      <c r="A58" s="54" t="s">
        <v>1391</v>
      </c>
      <c r="B58" s="19" t="s">
        <v>384</v>
      </c>
      <c r="C58" s="326" t="s">
        <v>1905</v>
      </c>
      <c r="D58" s="327"/>
      <c r="E58" s="327"/>
      <c r="F58" s="327"/>
      <c r="G58" s="328"/>
      <c r="H58" s="4" t="s">
        <v>1977</v>
      </c>
      <c r="I58" s="9"/>
      <c r="J58" s="9"/>
      <c r="K58" s="9"/>
      <c r="L58" s="9"/>
      <c r="M58" s="9"/>
      <c r="N58" s="9"/>
      <c r="O58" s="9"/>
      <c r="P58" s="9"/>
      <c r="Q58" s="9"/>
    </row>
    <row r="59" spans="1:17" s="58" customFormat="1" ht="13.8">
      <c r="A59" s="5" t="s">
        <v>1394</v>
      </c>
      <c r="B59" s="5" t="s">
        <v>1905</v>
      </c>
      <c r="C59" s="59" t="s">
        <v>1395</v>
      </c>
      <c r="D59" s="6" t="s">
        <v>97</v>
      </c>
      <c r="E59" s="6" t="s">
        <v>98</v>
      </c>
      <c r="F59" s="6" t="s">
        <v>1396</v>
      </c>
      <c r="G59" s="6" t="s">
        <v>1397</v>
      </c>
      <c r="H59" s="7"/>
      <c r="I59" s="9"/>
      <c r="J59" s="7"/>
      <c r="K59" s="12"/>
      <c r="L59" s="6"/>
      <c r="M59" s="6"/>
      <c r="N59" s="12"/>
      <c r="O59" s="7"/>
      <c r="P59" s="9"/>
      <c r="Q59" s="9"/>
    </row>
    <row r="60" spans="1:17" s="58" customFormat="1" ht="13.8">
      <c r="A60" s="5" t="s">
        <v>1394</v>
      </c>
      <c r="B60" s="5" t="s">
        <v>1905</v>
      </c>
      <c r="C60" s="59" t="s">
        <v>1395</v>
      </c>
      <c r="D60" s="6" t="s">
        <v>97</v>
      </c>
      <c r="E60" s="6" t="s">
        <v>98</v>
      </c>
      <c r="F60" s="6" t="s">
        <v>1396</v>
      </c>
      <c r="G60" s="6" t="s">
        <v>1397</v>
      </c>
      <c r="H60" s="7"/>
      <c r="I60" s="9"/>
      <c r="J60" s="7"/>
      <c r="K60" s="12"/>
      <c r="L60" s="6"/>
      <c r="M60" s="6"/>
      <c r="N60" s="12"/>
      <c r="O60" s="7"/>
      <c r="P60" s="9"/>
      <c r="Q60" s="9"/>
    </row>
  </sheetData>
  <mergeCells count="24">
    <mergeCell ref="C33:G33"/>
    <mergeCell ref="C10:H10"/>
    <mergeCell ref="C11:G11"/>
    <mergeCell ref="C14:H14"/>
    <mergeCell ref="C15:G15"/>
    <mergeCell ref="C18:H18"/>
    <mergeCell ref="C19:G19"/>
    <mergeCell ref="C23:H23"/>
    <mergeCell ref="C24:G24"/>
    <mergeCell ref="C27:H27"/>
    <mergeCell ref="C28:G28"/>
    <mergeCell ref="C32:H32"/>
    <mergeCell ref="C58:G58"/>
    <mergeCell ref="C36:H36"/>
    <mergeCell ref="C37:G37"/>
    <mergeCell ref="C40:H40"/>
    <mergeCell ref="C41:G41"/>
    <mergeCell ref="C44:H44"/>
    <mergeCell ref="C45:G45"/>
    <mergeCell ref="C48:H48"/>
    <mergeCell ref="C49:G49"/>
    <mergeCell ref="C52:H52"/>
    <mergeCell ref="C53:G53"/>
    <mergeCell ref="C57:H57"/>
  </mergeCells>
  <conditionalFormatting sqref="O9">
    <cfRule type="cellIs" dxfId="3792" priority="251" operator="equal">
      <formula>"U"</formula>
    </cfRule>
    <cfRule type="cellIs" dxfId="3791" priority="252" operator="equal">
      <formula>"S"</formula>
    </cfRule>
  </conditionalFormatting>
  <conditionalFormatting sqref="Q9">
    <cfRule type="cellIs" dxfId="3790" priority="250" operator="equal">
      <formula>"Y"</formula>
    </cfRule>
  </conditionalFormatting>
  <conditionalFormatting sqref="O10">
    <cfRule type="cellIs" dxfId="3789" priority="245" operator="equal">
      <formula>"NY"</formula>
    </cfRule>
    <cfRule type="cellIs" dxfId="3788" priority="246" operator="equal">
      <formula>"DM"</formula>
    </cfRule>
    <cfRule type="cellIs" dxfId="3787" priority="247" operator="equal">
      <formula>"PM"</formula>
    </cfRule>
    <cfRule type="cellIs" dxfId="3786" priority="248" operator="equal">
      <formula>"LM"</formula>
    </cfRule>
    <cfRule type="cellIs" dxfId="3785" priority="249" operator="equal">
      <formula>"FM"</formula>
    </cfRule>
  </conditionalFormatting>
  <conditionalFormatting sqref="Q10">
    <cfRule type="cellIs" dxfId="3784" priority="244" operator="equal">
      <formula>"Y"</formula>
    </cfRule>
  </conditionalFormatting>
  <conditionalFormatting sqref="O11">
    <cfRule type="cellIs" dxfId="3783" priority="239" operator="equal">
      <formula>"NY"</formula>
    </cfRule>
    <cfRule type="cellIs" dxfId="3782" priority="240" operator="equal">
      <formula>"DM"</formula>
    </cfRule>
    <cfRule type="cellIs" dxfId="3781" priority="241" operator="equal">
      <formula>"PM"</formula>
    </cfRule>
    <cfRule type="cellIs" dxfId="3780" priority="242" operator="equal">
      <formula>"LM"</formula>
    </cfRule>
    <cfRule type="cellIs" dxfId="3779" priority="243" operator="equal">
      <formula>"FM"</formula>
    </cfRule>
  </conditionalFormatting>
  <conditionalFormatting sqref="I11:J11">
    <cfRule type="cellIs" dxfId="3778" priority="237" operator="equal">
      <formula>"No"</formula>
    </cfRule>
    <cfRule type="cellIs" dxfId="3777" priority="238" operator="equal">
      <formula>"Yes"</formula>
    </cfRule>
  </conditionalFormatting>
  <conditionalFormatting sqref="Q11">
    <cfRule type="cellIs" dxfId="3776" priority="236" operator="equal">
      <formula>"Y"</formula>
    </cfRule>
  </conditionalFormatting>
  <conditionalFormatting sqref="I12">
    <cfRule type="cellIs" dxfId="3775" priority="234" operator="equal">
      <formula>"No"</formula>
    </cfRule>
    <cfRule type="cellIs" dxfId="3774" priority="235" operator="equal">
      <formula>"Yes"</formula>
    </cfRule>
  </conditionalFormatting>
  <conditionalFormatting sqref="Q12">
    <cfRule type="cellIs" dxfId="3773" priority="233" operator="equal">
      <formula>"Y"</formula>
    </cfRule>
  </conditionalFormatting>
  <conditionalFormatting sqref="I13">
    <cfRule type="cellIs" dxfId="3772" priority="231" operator="equal">
      <formula>"No"</formula>
    </cfRule>
    <cfRule type="cellIs" dxfId="3771" priority="232" operator="equal">
      <formula>"Yes"</formula>
    </cfRule>
  </conditionalFormatting>
  <conditionalFormatting sqref="Q13">
    <cfRule type="cellIs" dxfId="3770" priority="230" operator="equal">
      <formula>"Y"</formula>
    </cfRule>
  </conditionalFormatting>
  <conditionalFormatting sqref="O14">
    <cfRule type="cellIs" dxfId="3769" priority="225" operator="equal">
      <formula>"NY"</formula>
    </cfRule>
    <cfRule type="cellIs" dxfId="3768" priority="226" operator="equal">
      <formula>"DM"</formula>
    </cfRule>
    <cfRule type="cellIs" dxfId="3767" priority="227" operator="equal">
      <formula>"PM"</formula>
    </cfRule>
    <cfRule type="cellIs" dxfId="3766" priority="228" operator="equal">
      <formula>"LM"</formula>
    </cfRule>
    <cfRule type="cellIs" dxfId="3765" priority="229" operator="equal">
      <formula>"FM"</formula>
    </cfRule>
  </conditionalFormatting>
  <conditionalFormatting sqref="Q14">
    <cfRule type="cellIs" dxfId="3764" priority="224" operator="equal">
      <formula>"Y"</formula>
    </cfRule>
  </conditionalFormatting>
  <conditionalFormatting sqref="O15">
    <cfRule type="cellIs" dxfId="3763" priority="219" operator="equal">
      <formula>"NY"</formula>
    </cfRule>
    <cfRule type="cellIs" dxfId="3762" priority="220" operator="equal">
      <formula>"DM"</formula>
    </cfRule>
    <cfRule type="cellIs" dxfId="3761" priority="221" operator="equal">
      <formula>"PM"</formula>
    </cfRule>
    <cfRule type="cellIs" dxfId="3760" priority="222" operator="equal">
      <formula>"LM"</formula>
    </cfRule>
    <cfRule type="cellIs" dxfId="3759" priority="223" operator="equal">
      <formula>"FM"</formula>
    </cfRule>
  </conditionalFormatting>
  <conditionalFormatting sqref="I15:J15">
    <cfRule type="cellIs" dxfId="3758" priority="217" operator="equal">
      <formula>"No"</formula>
    </cfRule>
    <cfRule type="cellIs" dxfId="3757" priority="218" operator="equal">
      <formula>"Yes"</formula>
    </cfRule>
  </conditionalFormatting>
  <conditionalFormatting sqref="Q15">
    <cfRule type="cellIs" dxfId="3756" priority="216" operator="equal">
      <formula>"Y"</formula>
    </cfRule>
  </conditionalFormatting>
  <conditionalFormatting sqref="I16">
    <cfRule type="cellIs" dxfId="3755" priority="214" operator="equal">
      <formula>"No"</formula>
    </cfRule>
    <cfRule type="cellIs" dxfId="3754" priority="215" operator="equal">
      <formula>"Yes"</formula>
    </cfRule>
  </conditionalFormatting>
  <conditionalFormatting sqref="Q16">
    <cfRule type="cellIs" dxfId="3753" priority="213" operator="equal">
      <formula>"Y"</formula>
    </cfRule>
  </conditionalFormatting>
  <conditionalFormatting sqref="I17">
    <cfRule type="cellIs" dxfId="3752" priority="211" operator="equal">
      <formula>"No"</formula>
    </cfRule>
    <cfRule type="cellIs" dxfId="3751" priority="212" operator="equal">
      <formula>"Yes"</formula>
    </cfRule>
  </conditionalFormatting>
  <conditionalFormatting sqref="Q17">
    <cfRule type="cellIs" dxfId="3750" priority="210" operator="equal">
      <formula>"Y"</formula>
    </cfRule>
  </conditionalFormatting>
  <conditionalFormatting sqref="O18">
    <cfRule type="cellIs" dxfId="3749" priority="205" operator="equal">
      <formula>"NY"</formula>
    </cfRule>
    <cfRule type="cellIs" dxfId="3748" priority="206" operator="equal">
      <formula>"DM"</formula>
    </cfRule>
    <cfRule type="cellIs" dxfId="3747" priority="207" operator="equal">
      <formula>"PM"</formula>
    </cfRule>
    <cfRule type="cellIs" dxfId="3746" priority="208" operator="equal">
      <formula>"LM"</formula>
    </cfRule>
    <cfRule type="cellIs" dxfId="3745" priority="209" operator="equal">
      <formula>"FM"</formula>
    </cfRule>
  </conditionalFormatting>
  <conditionalFormatting sqref="Q18">
    <cfRule type="cellIs" dxfId="3744" priority="204" operator="equal">
      <formula>"Y"</formula>
    </cfRule>
  </conditionalFormatting>
  <conditionalFormatting sqref="O19">
    <cfRule type="cellIs" dxfId="3743" priority="199" operator="equal">
      <formula>"NY"</formula>
    </cfRule>
    <cfRule type="cellIs" dxfId="3742" priority="200" operator="equal">
      <formula>"DM"</formula>
    </cfRule>
    <cfRule type="cellIs" dxfId="3741" priority="201" operator="equal">
      <formula>"PM"</formula>
    </cfRule>
    <cfRule type="cellIs" dxfId="3740" priority="202" operator="equal">
      <formula>"LM"</formula>
    </cfRule>
    <cfRule type="cellIs" dxfId="3739" priority="203" operator="equal">
      <formula>"FM"</formula>
    </cfRule>
  </conditionalFormatting>
  <conditionalFormatting sqref="I19:J19">
    <cfRule type="cellIs" dxfId="3738" priority="197" operator="equal">
      <formula>"No"</formula>
    </cfRule>
    <cfRule type="cellIs" dxfId="3737" priority="198" operator="equal">
      <formula>"Yes"</formula>
    </cfRule>
  </conditionalFormatting>
  <conditionalFormatting sqref="Q19">
    <cfRule type="cellIs" dxfId="3736" priority="196" operator="equal">
      <formula>"Y"</formula>
    </cfRule>
  </conditionalFormatting>
  <conditionalFormatting sqref="I20">
    <cfRule type="cellIs" dxfId="3735" priority="194" operator="equal">
      <formula>"No"</formula>
    </cfRule>
    <cfRule type="cellIs" dxfId="3734" priority="195" operator="equal">
      <formula>"Yes"</formula>
    </cfRule>
  </conditionalFormatting>
  <conditionalFormatting sqref="Q20">
    <cfRule type="cellIs" dxfId="3733" priority="193" operator="equal">
      <formula>"Y"</formula>
    </cfRule>
  </conditionalFormatting>
  <conditionalFormatting sqref="I21">
    <cfRule type="cellIs" dxfId="3732" priority="191" operator="equal">
      <formula>"No"</formula>
    </cfRule>
    <cfRule type="cellIs" dxfId="3731" priority="192" operator="equal">
      <formula>"Yes"</formula>
    </cfRule>
  </conditionalFormatting>
  <conditionalFormatting sqref="Q21">
    <cfRule type="cellIs" dxfId="3730" priority="190" operator="equal">
      <formula>"Y"</formula>
    </cfRule>
  </conditionalFormatting>
  <conditionalFormatting sqref="O22">
    <cfRule type="cellIs" dxfId="3729" priority="188" operator="equal">
      <formula>"U"</formula>
    </cfRule>
    <cfRule type="cellIs" dxfId="3728" priority="189" operator="equal">
      <formula>"S"</formula>
    </cfRule>
  </conditionalFormatting>
  <conditionalFormatting sqref="Q22">
    <cfRule type="cellIs" dxfId="3727" priority="187" operator="equal">
      <formula>"Y"</formula>
    </cfRule>
  </conditionalFormatting>
  <conditionalFormatting sqref="O23">
    <cfRule type="cellIs" dxfId="3726" priority="182" operator="equal">
      <formula>"NY"</formula>
    </cfRule>
    <cfRule type="cellIs" dxfId="3725" priority="183" operator="equal">
      <formula>"DM"</formula>
    </cfRule>
    <cfRule type="cellIs" dxfId="3724" priority="184" operator="equal">
      <formula>"PM"</formula>
    </cfRule>
    <cfRule type="cellIs" dxfId="3723" priority="185" operator="equal">
      <formula>"LM"</formula>
    </cfRule>
    <cfRule type="cellIs" dxfId="3722" priority="186" operator="equal">
      <formula>"FM"</formula>
    </cfRule>
  </conditionalFormatting>
  <conditionalFormatting sqref="Q23">
    <cfRule type="cellIs" dxfId="3721" priority="181" operator="equal">
      <formula>"Y"</formula>
    </cfRule>
  </conditionalFormatting>
  <conditionalFormatting sqref="O24">
    <cfRule type="cellIs" dxfId="3720" priority="176" operator="equal">
      <formula>"NY"</formula>
    </cfRule>
    <cfRule type="cellIs" dxfId="3719" priority="177" operator="equal">
      <formula>"DM"</formula>
    </cfRule>
    <cfRule type="cellIs" dxfId="3718" priority="178" operator="equal">
      <formula>"PM"</formula>
    </cfRule>
    <cfRule type="cellIs" dxfId="3717" priority="179" operator="equal">
      <formula>"LM"</formula>
    </cfRule>
    <cfRule type="cellIs" dxfId="3716" priority="180" operator="equal">
      <formula>"FM"</formula>
    </cfRule>
  </conditionalFormatting>
  <conditionalFormatting sqref="I24:J24">
    <cfRule type="cellIs" dxfId="3715" priority="174" operator="equal">
      <formula>"No"</formula>
    </cfRule>
    <cfRule type="cellIs" dxfId="3714" priority="175" operator="equal">
      <formula>"Yes"</formula>
    </cfRule>
  </conditionalFormatting>
  <conditionalFormatting sqref="Q24">
    <cfRule type="cellIs" dxfId="3713" priority="173" operator="equal">
      <formula>"Y"</formula>
    </cfRule>
  </conditionalFormatting>
  <conditionalFormatting sqref="I25">
    <cfRule type="cellIs" dxfId="3712" priority="171" operator="equal">
      <formula>"No"</formula>
    </cfRule>
    <cfRule type="cellIs" dxfId="3711" priority="172" operator="equal">
      <formula>"Yes"</formula>
    </cfRule>
  </conditionalFormatting>
  <conditionalFormatting sqref="Q25">
    <cfRule type="cellIs" dxfId="3710" priority="170" operator="equal">
      <formula>"Y"</formula>
    </cfRule>
  </conditionalFormatting>
  <conditionalFormatting sqref="I26">
    <cfRule type="cellIs" dxfId="3709" priority="168" operator="equal">
      <formula>"No"</formula>
    </cfRule>
    <cfRule type="cellIs" dxfId="3708" priority="169" operator="equal">
      <formula>"Yes"</formula>
    </cfRule>
  </conditionalFormatting>
  <conditionalFormatting sqref="Q26">
    <cfRule type="cellIs" dxfId="3707" priority="167" operator="equal">
      <formula>"Y"</formula>
    </cfRule>
  </conditionalFormatting>
  <conditionalFormatting sqref="O27">
    <cfRule type="cellIs" dxfId="3706" priority="162" operator="equal">
      <formula>"NY"</formula>
    </cfRule>
    <cfRule type="cellIs" dxfId="3705" priority="163" operator="equal">
      <formula>"DM"</formula>
    </cfRule>
    <cfRule type="cellIs" dxfId="3704" priority="164" operator="equal">
      <formula>"PM"</formula>
    </cfRule>
    <cfRule type="cellIs" dxfId="3703" priority="165" operator="equal">
      <formula>"LM"</formula>
    </cfRule>
    <cfRule type="cellIs" dxfId="3702" priority="166" operator="equal">
      <formula>"FM"</formula>
    </cfRule>
  </conditionalFormatting>
  <conditionalFormatting sqref="Q27">
    <cfRule type="cellIs" dxfId="3701" priority="161" operator="equal">
      <formula>"Y"</formula>
    </cfRule>
  </conditionalFormatting>
  <conditionalFormatting sqref="O28">
    <cfRule type="cellIs" dxfId="3700" priority="156" operator="equal">
      <formula>"NY"</formula>
    </cfRule>
    <cfRule type="cellIs" dxfId="3699" priority="157" operator="equal">
      <formula>"DM"</formula>
    </cfRule>
    <cfRule type="cellIs" dxfId="3698" priority="158" operator="equal">
      <formula>"PM"</formula>
    </cfRule>
    <cfRule type="cellIs" dxfId="3697" priority="159" operator="equal">
      <formula>"LM"</formula>
    </cfRule>
    <cfRule type="cellIs" dxfId="3696" priority="160" operator="equal">
      <formula>"FM"</formula>
    </cfRule>
  </conditionalFormatting>
  <conditionalFormatting sqref="I28:J28">
    <cfRule type="cellIs" dxfId="3695" priority="154" operator="equal">
      <formula>"No"</formula>
    </cfRule>
    <cfRule type="cellIs" dxfId="3694" priority="155" operator="equal">
      <formula>"Yes"</formula>
    </cfRule>
  </conditionalFormatting>
  <conditionalFormatting sqref="Q28">
    <cfRule type="cellIs" dxfId="3693" priority="153" operator="equal">
      <formula>"Y"</formula>
    </cfRule>
  </conditionalFormatting>
  <conditionalFormatting sqref="I29">
    <cfRule type="cellIs" dxfId="3692" priority="151" operator="equal">
      <formula>"No"</formula>
    </cfRule>
    <cfRule type="cellIs" dxfId="3691" priority="152" operator="equal">
      <formula>"Yes"</formula>
    </cfRule>
  </conditionalFormatting>
  <conditionalFormatting sqref="Q29">
    <cfRule type="cellIs" dxfId="3690" priority="150" operator="equal">
      <formula>"Y"</formula>
    </cfRule>
  </conditionalFormatting>
  <conditionalFormatting sqref="I30">
    <cfRule type="cellIs" dxfId="3689" priority="148" operator="equal">
      <formula>"No"</formula>
    </cfRule>
    <cfRule type="cellIs" dxfId="3688" priority="149" operator="equal">
      <formula>"Yes"</formula>
    </cfRule>
  </conditionalFormatting>
  <conditionalFormatting sqref="Q30">
    <cfRule type="cellIs" dxfId="3687" priority="147" operator="equal">
      <formula>"Y"</formula>
    </cfRule>
  </conditionalFormatting>
  <conditionalFormatting sqref="O31">
    <cfRule type="cellIs" dxfId="3686" priority="145" operator="equal">
      <formula>"U"</formula>
    </cfRule>
    <cfRule type="cellIs" dxfId="3685" priority="146" operator="equal">
      <formula>"S"</formula>
    </cfRule>
  </conditionalFormatting>
  <conditionalFormatting sqref="Q31">
    <cfRule type="cellIs" dxfId="3684" priority="144" operator="equal">
      <formula>"Y"</formula>
    </cfRule>
  </conditionalFormatting>
  <conditionalFormatting sqref="O32">
    <cfRule type="cellIs" dxfId="3683" priority="139" operator="equal">
      <formula>"NY"</formula>
    </cfRule>
    <cfRule type="cellIs" dxfId="3682" priority="140" operator="equal">
      <formula>"DM"</formula>
    </cfRule>
    <cfRule type="cellIs" dxfId="3681" priority="141" operator="equal">
      <formula>"PM"</formula>
    </cfRule>
    <cfRule type="cellIs" dxfId="3680" priority="142" operator="equal">
      <formula>"LM"</formula>
    </cfRule>
    <cfRule type="cellIs" dxfId="3679" priority="143" operator="equal">
      <formula>"FM"</formula>
    </cfRule>
  </conditionalFormatting>
  <conditionalFormatting sqref="Q32">
    <cfRule type="cellIs" dxfId="3678" priority="138" operator="equal">
      <formula>"Y"</formula>
    </cfRule>
  </conditionalFormatting>
  <conditionalFormatting sqref="O33">
    <cfRule type="cellIs" dxfId="3677" priority="133" operator="equal">
      <formula>"NY"</formula>
    </cfRule>
    <cfRule type="cellIs" dxfId="3676" priority="134" operator="equal">
      <formula>"DM"</formula>
    </cfRule>
    <cfRule type="cellIs" dxfId="3675" priority="135" operator="equal">
      <formula>"PM"</formula>
    </cfRule>
    <cfRule type="cellIs" dxfId="3674" priority="136" operator="equal">
      <formula>"LM"</formula>
    </cfRule>
    <cfRule type="cellIs" dxfId="3673" priority="137" operator="equal">
      <formula>"FM"</formula>
    </cfRule>
  </conditionalFormatting>
  <conditionalFormatting sqref="I33:J33">
    <cfRule type="cellIs" dxfId="3672" priority="131" operator="equal">
      <formula>"No"</formula>
    </cfRule>
    <cfRule type="cellIs" dxfId="3671" priority="132" operator="equal">
      <formula>"Yes"</formula>
    </cfRule>
  </conditionalFormatting>
  <conditionalFormatting sqref="Q33">
    <cfRule type="cellIs" dxfId="3670" priority="130" operator="equal">
      <formula>"Y"</formula>
    </cfRule>
  </conditionalFormatting>
  <conditionalFormatting sqref="I34">
    <cfRule type="cellIs" dxfId="3669" priority="128" operator="equal">
      <formula>"No"</formula>
    </cfRule>
    <cfRule type="cellIs" dxfId="3668" priority="129" operator="equal">
      <formula>"Yes"</formula>
    </cfRule>
  </conditionalFormatting>
  <conditionalFormatting sqref="Q34">
    <cfRule type="cellIs" dxfId="3667" priority="127" operator="equal">
      <formula>"Y"</formula>
    </cfRule>
  </conditionalFormatting>
  <conditionalFormatting sqref="I35">
    <cfRule type="cellIs" dxfId="3666" priority="125" operator="equal">
      <formula>"No"</formula>
    </cfRule>
    <cfRule type="cellIs" dxfId="3665" priority="126" operator="equal">
      <formula>"Yes"</formula>
    </cfRule>
  </conditionalFormatting>
  <conditionalFormatting sqref="Q35">
    <cfRule type="cellIs" dxfId="3664" priority="124" operator="equal">
      <formula>"Y"</formula>
    </cfRule>
  </conditionalFormatting>
  <conditionalFormatting sqref="O36">
    <cfRule type="cellIs" dxfId="3663" priority="119" operator="equal">
      <formula>"NY"</formula>
    </cfRule>
    <cfRule type="cellIs" dxfId="3662" priority="120" operator="equal">
      <formula>"DM"</formula>
    </cfRule>
    <cfRule type="cellIs" dxfId="3661" priority="121" operator="equal">
      <formula>"PM"</formula>
    </cfRule>
    <cfRule type="cellIs" dxfId="3660" priority="122" operator="equal">
      <formula>"LM"</formula>
    </cfRule>
    <cfRule type="cellIs" dxfId="3659" priority="123" operator="equal">
      <formula>"FM"</formula>
    </cfRule>
  </conditionalFormatting>
  <conditionalFormatting sqref="Q36">
    <cfRule type="cellIs" dxfId="3658" priority="118" operator="equal">
      <formula>"Y"</formula>
    </cfRule>
  </conditionalFormatting>
  <conditionalFormatting sqref="O37">
    <cfRule type="cellIs" dxfId="3657" priority="113" operator="equal">
      <formula>"NY"</formula>
    </cfRule>
    <cfRule type="cellIs" dxfId="3656" priority="114" operator="equal">
      <formula>"DM"</formula>
    </cfRule>
    <cfRule type="cellIs" dxfId="3655" priority="115" operator="equal">
      <formula>"PM"</formula>
    </cfRule>
    <cfRule type="cellIs" dxfId="3654" priority="116" operator="equal">
      <formula>"LM"</formula>
    </cfRule>
    <cfRule type="cellIs" dxfId="3653" priority="117" operator="equal">
      <formula>"FM"</formula>
    </cfRule>
  </conditionalFormatting>
  <conditionalFormatting sqref="I37:J37">
    <cfRule type="cellIs" dxfId="3652" priority="111" operator="equal">
      <formula>"No"</formula>
    </cfRule>
    <cfRule type="cellIs" dxfId="3651" priority="112" operator="equal">
      <formula>"Yes"</formula>
    </cfRule>
  </conditionalFormatting>
  <conditionalFormatting sqref="Q37">
    <cfRule type="cellIs" dxfId="3650" priority="110" operator="equal">
      <formula>"Y"</formula>
    </cfRule>
  </conditionalFormatting>
  <conditionalFormatting sqref="I38">
    <cfRule type="cellIs" dxfId="3649" priority="108" operator="equal">
      <formula>"No"</formula>
    </cfRule>
    <cfRule type="cellIs" dxfId="3648" priority="109" operator="equal">
      <formula>"Yes"</formula>
    </cfRule>
  </conditionalFormatting>
  <conditionalFormatting sqref="Q38">
    <cfRule type="cellIs" dxfId="3647" priority="107" operator="equal">
      <formula>"Y"</formula>
    </cfRule>
  </conditionalFormatting>
  <conditionalFormatting sqref="I39">
    <cfRule type="cellIs" dxfId="3646" priority="105" operator="equal">
      <formula>"No"</formula>
    </cfRule>
    <cfRule type="cellIs" dxfId="3645" priority="106" operator="equal">
      <formula>"Yes"</formula>
    </cfRule>
  </conditionalFormatting>
  <conditionalFormatting sqref="Q39">
    <cfRule type="cellIs" dxfId="3644" priority="104" operator="equal">
      <formula>"Y"</formula>
    </cfRule>
  </conditionalFormatting>
  <conditionalFormatting sqref="O40">
    <cfRule type="cellIs" dxfId="3643" priority="99" operator="equal">
      <formula>"NY"</formula>
    </cfRule>
    <cfRule type="cellIs" dxfId="3642" priority="100" operator="equal">
      <formula>"DM"</formula>
    </cfRule>
    <cfRule type="cellIs" dxfId="3641" priority="101" operator="equal">
      <formula>"PM"</formula>
    </cfRule>
    <cfRule type="cellIs" dxfId="3640" priority="102" operator="equal">
      <formula>"LM"</formula>
    </cfRule>
    <cfRule type="cellIs" dxfId="3639" priority="103" operator="equal">
      <formula>"FM"</formula>
    </cfRule>
  </conditionalFormatting>
  <conditionalFormatting sqref="Q40">
    <cfRule type="cellIs" dxfId="3638" priority="98" operator="equal">
      <formula>"Y"</formula>
    </cfRule>
  </conditionalFormatting>
  <conditionalFormatting sqref="O41">
    <cfRule type="cellIs" dxfId="3637" priority="93" operator="equal">
      <formula>"NY"</formula>
    </cfRule>
    <cfRule type="cellIs" dxfId="3636" priority="94" operator="equal">
      <formula>"DM"</formula>
    </cfRule>
    <cfRule type="cellIs" dxfId="3635" priority="95" operator="equal">
      <formula>"PM"</formula>
    </cfRule>
    <cfRule type="cellIs" dxfId="3634" priority="96" operator="equal">
      <formula>"LM"</formula>
    </cfRule>
    <cfRule type="cellIs" dxfId="3633" priority="97" operator="equal">
      <formula>"FM"</formula>
    </cfRule>
  </conditionalFormatting>
  <conditionalFormatting sqref="I41:J41">
    <cfRule type="cellIs" dxfId="3632" priority="91" operator="equal">
      <formula>"No"</formula>
    </cfRule>
    <cfRule type="cellIs" dxfId="3631" priority="92" operator="equal">
      <formula>"Yes"</formula>
    </cfRule>
  </conditionalFormatting>
  <conditionalFormatting sqref="Q41">
    <cfRule type="cellIs" dxfId="3630" priority="90" operator="equal">
      <formula>"Y"</formula>
    </cfRule>
  </conditionalFormatting>
  <conditionalFormatting sqref="I42">
    <cfRule type="cellIs" dxfId="3629" priority="88" operator="equal">
      <formula>"No"</formula>
    </cfRule>
    <cfRule type="cellIs" dxfId="3628" priority="89" operator="equal">
      <formula>"Yes"</formula>
    </cfRule>
  </conditionalFormatting>
  <conditionalFormatting sqref="Q42">
    <cfRule type="cellIs" dxfId="3627" priority="87" operator="equal">
      <formula>"Y"</formula>
    </cfRule>
  </conditionalFormatting>
  <conditionalFormatting sqref="I43">
    <cfRule type="cellIs" dxfId="3626" priority="85" operator="equal">
      <formula>"No"</formula>
    </cfRule>
    <cfRule type="cellIs" dxfId="3625" priority="86" operator="equal">
      <formula>"Yes"</formula>
    </cfRule>
  </conditionalFormatting>
  <conditionalFormatting sqref="Q43">
    <cfRule type="cellIs" dxfId="3624" priority="84" operator="equal">
      <formula>"Y"</formula>
    </cfRule>
  </conditionalFormatting>
  <conditionalFormatting sqref="O44">
    <cfRule type="cellIs" dxfId="3623" priority="79" operator="equal">
      <formula>"NY"</formula>
    </cfRule>
    <cfRule type="cellIs" dxfId="3622" priority="80" operator="equal">
      <formula>"DM"</formula>
    </cfRule>
    <cfRule type="cellIs" dxfId="3621" priority="81" operator="equal">
      <formula>"PM"</formula>
    </cfRule>
    <cfRule type="cellIs" dxfId="3620" priority="82" operator="equal">
      <formula>"LM"</formula>
    </cfRule>
    <cfRule type="cellIs" dxfId="3619" priority="83" operator="equal">
      <formula>"FM"</formula>
    </cfRule>
  </conditionalFormatting>
  <conditionalFormatting sqref="Q44">
    <cfRule type="cellIs" dxfId="3618" priority="78" operator="equal">
      <formula>"Y"</formula>
    </cfRule>
  </conditionalFormatting>
  <conditionalFormatting sqref="O45">
    <cfRule type="cellIs" dxfId="3617" priority="73" operator="equal">
      <formula>"NY"</formula>
    </cfRule>
    <cfRule type="cellIs" dxfId="3616" priority="74" operator="equal">
      <formula>"DM"</formula>
    </cfRule>
    <cfRule type="cellIs" dxfId="3615" priority="75" operator="equal">
      <formula>"PM"</formula>
    </cfRule>
    <cfRule type="cellIs" dxfId="3614" priority="76" operator="equal">
      <formula>"LM"</formula>
    </cfRule>
    <cfRule type="cellIs" dxfId="3613" priority="77" operator="equal">
      <formula>"FM"</formula>
    </cfRule>
  </conditionalFormatting>
  <conditionalFormatting sqref="I45:J45">
    <cfRule type="cellIs" dxfId="3612" priority="71" operator="equal">
      <formula>"No"</formula>
    </cfRule>
    <cfRule type="cellIs" dxfId="3611" priority="72" operator="equal">
      <formula>"Yes"</formula>
    </cfRule>
  </conditionalFormatting>
  <conditionalFormatting sqref="Q45">
    <cfRule type="cellIs" dxfId="3610" priority="70" operator="equal">
      <formula>"Y"</formula>
    </cfRule>
  </conditionalFormatting>
  <conditionalFormatting sqref="I46">
    <cfRule type="cellIs" dxfId="3609" priority="68" operator="equal">
      <formula>"No"</formula>
    </cfRule>
    <cfRule type="cellIs" dxfId="3608" priority="69" operator="equal">
      <formula>"Yes"</formula>
    </cfRule>
  </conditionalFormatting>
  <conditionalFormatting sqref="Q46">
    <cfRule type="cellIs" dxfId="3607" priority="67" operator="equal">
      <formula>"Y"</formula>
    </cfRule>
  </conditionalFormatting>
  <conditionalFormatting sqref="I47">
    <cfRule type="cellIs" dxfId="3606" priority="65" operator="equal">
      <formula>"No"</formula>
    </cfRule>
    <cfRule type="cellIs" dxfId="3605" priority="66" operator="equal">
      <formula>"Yes"</formula>
    </cfRule>
  </conditionalFormatting>
  <conditionalFormatting sqref="Q47">
    <cfRule type="cellIs" dxfId="3604" priority="64" operator="equal">
      <formula>"Y"</formula>
    </cfRule>
  </conditionalFormatting>
  <conditionalFormatting sqref="O48">
    <cfRule type="cellIs" dxfId="3603" priority="59" operator="equal">
      <formula>"NY"</formula>
    </cfRule>
    <cfRule type="cellIs" dxfId="3602" priority="60" operator="equal">
      <formula>"DM"</formula>
    </cfRule>
    <cfRule type="cellIs" dxfId="3601" priority="61" operator="equal">
      <formula>"PM"</formula>
    </cfRule>
    <cfRule type="cellIs" dxfId="3600" priority="62" operator="equal">
      <formula>"LM"</formula>
    </cfRule>
    <cfRule type="cellIs" dxfId="3599" priority="63" operator="equal">
      <formula>"FM"</formula>
    </cfRule>
  </conditionalFormatting>
  <conditionalFormatting sqref="Q48">
    <cfRule type="cellIs" dxfId="3598" priority="58" operator="equal">
      <formula>"Y"</formula>
    </cfRule>
  </conditionalFormatting>
  <conditionalFormatting sqref="O49">
    <cfRule type="cellIs" dxfId="3597" priority="53" operator="equal">
      <formula>"NY"</formula>
    </cfRule>
    <cfRule type="cellIs" dxfId="3596" priority="54" operator="equal">
      <formula>"DM"</formula>
    </cfRule>
    <cfRule type="cellIs" dxfId="3595" priority="55" operator="equal">
      <formula>"PM"</formula>
    </cfRule>
    <cfRule type="cellIs" dxfId="3594" priority="56" operator="equal">
      <formula>"LM"</formula>
    </cfRule>
    <cfRule type="cellIs" dxfId="3593" priority="57" operator="equal">
      <formula>"FM"</formula>
    </cfRule>
  </conditionalFormatting>
  <conditionalFormatting sqref="I49:J49">
    <cfRule type="cellIs" dxfId="3592" priority="51" operator="equal">
      <formula>"No"</formula>
    </cfRule>
    <cfRule type="cellIs" dxfId="3591" priority="52" operator="equal">
      <formula>"Yes"</formula>
    </cfRule>
  </conditionalFormatting>
  <conditionalFormatting sqref="Q49">
    <cfRule type="cellIs" dxfId="3590" priority="50" operator="equal">
      <formula>"Y"</formula>
    </cfRule>
  </conditionalFormatting>
  <conditionalFormatting sqref="I50">
    <cfRule type="cellIs" dxfId="3589" priority="48" operator="equal">
      <formula>"No"</formula>
    </cfRule>
    <cfRule type="cellIs" dxfId="3588" priority="49" operator="equal">
      <formula>"Yes"</formula>
    </cfRule>
  </conditionalFormatting>
  <conditionalFormatting sqref="Q50">
    <cfRule type="cellIs" dxfId="3587" priority="47" operator="equal">
      <formula>"Y"</formula>
    </cfRule>
  </conditionalFormatting>
  <conditionalFormatting sqref="I51">
    <cfRule type="cellIs" dxfId="3586" priority="45" operator="equal">
      <formula>"No"</formula>
    </cfRule>
    <cfRule type="cellIs" dxfId="3585" priority="46" operator="equal">
      <formula>"Yes"</formula>
    </cfRule>
  </conditionalFormatting>
  <conditionalFormatting sqref="Q51">
    <cfRule type="cellIs" dxfId="3584" priority="44" operator="equal">
      <formula>"Y"</formula>
    </cfRule>
  </conditionalFormatting>
  <conditionalFormatting sqref="O52">
    <cfRule type="cellIs" dxfId="3583" priority="39" operator="equal">
      <formula>"NY"</formula>
    </cfRule>
    <cfRule type="cellIs" dxfId="3582" priority="40" operator="equal">
      <formula>"DM"</formula>
    </cfRule>
    <cfRule type="cellIs" dxfId="3581" priority="41" operator="equal">
      <formula>"PM"</formula>
    </cfRule>
    <cfRule type="cellIs" dxfId="3580" priority="42" operator="equal">
      <formula>"LM"</formula>
    </cfRule>
    <cfRule type="cellIs" dxfId="3579" priority="43" operator="equal">
      <formula>"FM"</formula>
    </cfRule>
  </conditionalFormatting>
  <conditionalFormatting sqref="Q52">
    <cfRule type="cellIs" dxfId="3578" priority="38" operator="equal">
      <formula>"Y"</formula>
    </cfRule>
  </conditionalFormatting>
  <conditionalFormatting sqref="O53">
    <cfRule type="cellIs" dxfId="3577" priority="33" operator="equal">
      <formula>"NY"</formula>
    </cfRule>
    <cfRule type="cellIs" dxfId="3576" priority="34" operator="equal">
      <formula>"DM"</formula>
    </cfRule>
    <cfRule type="cellIs" dxfId="3575" priority="35" operator="equal">
      <formula>"PM"</formula>
    </cfRule>
    <cfRule type="cellIs" dxfId="3574" priority="36" operator="equal">
      <formula>"LM"</formula>
    </cfRule>
    <cfRule type="cellIs" dxfId="3573" priority="37" operator="equal">
      <formula>"FM"</formula>
    </cfRule>
  </conditionalFormatting>
  <conditionalFormatting sqref="I53:J53">
    <cfRule type="cellIs" dxfId="3572" priority="31" operator="equal">
      <formula>"No"</formula>
    </cfRule>
    <cfRule type="cellIs" dxfId="3571" priority="32" operator="equal">
      <formula>"Yes"</formula>
    </cfRule>
  </conditionalFormatting>
  <conditionalFormatting sqref="Q53">
    <cfRule type="cellIs" dxfId="3570" priority="30" operator="equal">
      <formula>"Y"</formula>
    </cfRule>
  </conditionalFormatting>
  <conditionalFormatting sqref="I54">
    <cfRule type="cellIs" dxfId="3569" priority="28" operator="equal">
      <formula>"No"</formula>
    </cfRule>
    <cfRule type="cellIs" dxfId="3568" priority="29" operator="equal">
      <formula>"Yes"</formula>
    </cfRule>
  </conditionalFormatting>
  <conditionalFormatting sqref="Q54">
    <cfRule type="cellIs" dxfId="3567" priority="27" operator="equal">
      <formula>"Y"</formula>
    </cfRule>
  </conditionalFormatting>
  <conditionalFormatting sqref="I55">
    <cfRule type="cellIs" dxfId="3566" priority="25" operator="equal">
      <formula>"No"</formula>
    </cfRule>
    <cfRule type="cellIs" dxfId="3565" priority="26" operator="equal">
      <formula>"Yes"</formula>
    </cfRule>
  </conditionalFormatting>
  <conditionalFormatting sqref="Q55">
    <cfRule type="cellIs" dxfId="3564" priority="24" operator="equal">
      <formula>"Y"</formula>
    </cfRule>
  </conditionalFormatting>
  <conditionalFormatting sqref="O56">
    <cfRule type="cellIs" dxfId="3563" priority="22" operator="equal">
      <formula>"U"</formula>
    </cfRule>
    <cfRule type="cellIs" dxfId="3562" priority="23" operator="equal">
      <formula>"S"</formula>
    </cfRule>
  </conditionalFormatting>
  <conditionalFormatting sqref="Q56">
    <cfRule type="cellIs" dxfId="3561" priority="21" operator="equal">
      <formula>"Y"</formula>
    </cfRule>
  </conditionalFormatting>
  <conditionalFormatting sqref="O57">
    <cfRule type="cellIs" dxfId="3560" priority="16" operator="equal">
      <formula>"NY"</formula>
    </cfRule>
    <cfRule type="cellIs" dxfId="3559" priority="17" operator="equal">
      <formula>"DM"</formula>
    </cfRule>
    <cfRule type="cellIs" dxfId="3558" priority="18" operator="equal">
      <formula>"PM"</formula>
    </cfRule>
    <cfRule type="cellIs" dxfId="3557" priority="19" operator="equal">
      <formula>"LM"</formula>
    </cfRule>
    <cfRule type="cellIs" dxfId="3556" priority="20" operator="equal">
      <formula>"FM"</formula>
    </cfRule>
  </conditionalFormatting>
  <conditionalFormatting sqref="Q57">
    <cfRule type="cellIs" dxfId="3555" priority="15" operator="equal">
      <formula>"Y"</formula>
    </cfRule>
  </conditionalFormatting>
  <conditionalFormatting sqref="O58">
    <cfRule type="cellIs" dxfId="3554" priority="10" operator="equal">
      <formula>"NY"</formula>
    </cfRule>
    <cfRule type="cellIs" dxfId="3553" priority="11" operator="equal">
      <formula>"DM"</formula>
    </cfRule>
    <cfRule type="cellIs" dxfId="3552" priority="12" operator="equal">
      <formula>"PM"</formula>
    </cfRule>
    <cfRule type="cellIs" dxfId="3551" priority="13" operator="equal">
      <formula>"LM"</formula>
    </cfRule>
    <cfRule type="cellIs" dxfId="3550" priority="14" operator="equal">
      <formula>"FM"</formula>
    </cfRule>
  </conditionalFormatting>
  <conditionalFormatting sqref="I58:J58">
    <cfRule type="cellIs" dxfId="3549" priority="8" operator="equal">
      <formula>"No"</formula>
    </cfRule>
    <cfRule type="cellIs" dxfId="3548" priority="9" operator="equal">
      <formula>"Yes"</formula>
    </cfRule>
  </conditionalFormatting>
  <conditionalFormatting sqref="Q58">
    <cfRule type="cellIs" dxfId="3547" priority="7" operator="equal">
      <formula>"Y"</formula>
    </cfRule>
  </conditionalFormatting>
  <conditionalFormatting sqref="I59">
    <cfRule type="cellIs" dxfId="3546" priority="5" operator="equal">
      <formula>"No"</formula>
    </cfRule>
    <cfRule type="cellIs" dxfId="3545" priority="6" operator="equal">
      <formula>"Yes"</formula>
    </cfRule>
  </conditionalFormatting>
  <conditionalFormatting sqref="Q59">
    <cfRule type="cellIs" dxfId="3544" priority="4" operator="equal">
      <formula>"Y"</formula>
    </cfRule>
  </conditionalFormatting>
  <conditionalFormatting sqref="I60">
    <cfRule type="cellIs" dxfId="3543" priority="2" operator="equal">
      <formula>"No"</formula>
    </cfRule>
    <cfRule type="cellIs" dxfId="3542" priority="3" operator="equal">
      <formula>"Yes"</formula>
    </cfRule>
  </conditionalFormatting>
  <conditionalFormatting sqref="Q60">
    <cfRule type="cellIs" dxfId="3541" priority="1" operator="equal">
      <formula>"Y"</formula>
    </cfRule>
  </conditionalFormatting>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1D25-B002-4337-A908-F79FAAC708AE}">
  <sheetPr codeName="Sheet40"/>
  <dimension ref="A1:Q43"/>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1614</v>
      </c>
    </row>
    <row r="2" spans="1:17" s="61" customFormat="1" ht="21">
      <c r="A2" s="60" t="s">
        <v>2028</v>
      </c>
    </row>
    <row r="3" spans="1:17">
      <c r="A3" s="62" t="s">
        <v>1707</v>
      </c>
      <c r="B3" s="63" t="s">
        <v>1615</v>
      </c>
    </row>
    <row r="4" spans="1:17">
      <c r="A4" s="63" t="s">
        <v>1401</v>
      </c>
      <c r="B4" s="63" t="s">
        <v>2029</v>
      </c>
    </row>
    <row r="5" spans="1:17">
      <c r="A5" s="62" t="s">
        <v>1709</v>
      </c>
      <c r="B5" s="63" t="s">
        <v>1616</v>
      </c>
    </row>
    <row r="6" spans="1:17">
      <c r="A6" s="63" t="s">
        <v>1402</v>
      </c>
      <c r="B6" s="63" t="s">
        <v>2030</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639</v>
      </c>
      <c r="C10" s="322" t="s">
        <v>1617</v>
      </c>
      <c r="D10" s="322"/>
      <c r="E10" s="322"/>
      <c r="F10" s="322"/>
      <c r="G10" s="322"/>
      <c r="H10" s="322"/>
      <c r="I10" s="20" t="s">
        <v>2031</v>
      </c>
      <c r="J10" s="20" t="s">
        <v>2032</v>
      </c>
      <c r="K10" s="11" t="s">
        <v>1618</v>
      </c>
      <c r="L10" s="11"/>
      <c r="M10" s="11"/>
      <c r="N10" s="11"/>
      <c r="O10" s="9"/>
      <c r="P10" s="10"/>
      <c r="Q10" s="9"/>
    </row>
    <row r="11" spans="1:17" s="58" customFormat="1" ht="13.8">
      <c r="A11" s="54" t="s">
        <v>1391</v>
      </c>
      <c r="B11" s="19" t="s">
        <v>639</v>
      </c>
      <c r="C11" s="326" t="s">
        <v>2033</v>
      </c>
      <c r="D11" s="327"/>
      <c r="E11" s="327"/>
      <c r="F11" s="327"/>
      <c r="G11" s="328"/>
      <c r="H11" s="4" t="s">
        <v>2034</v>
      </c>
      <c r="I11" s="9"/>
      <c r="J11" s="9"/>
      <c r="K11" s="9"/>
      <c r="L11" s="9"/>
      <c r="M11" s="9"/>
      <c r="N11" s="9"/>
      <c r="O11" s="9"/>
      <c r="P11" s="9"/>
      <c r="Q11" s="9"/>
    </row>
    <row r="12" spans="1:17" s="58" customFormat="1" ht="13.8">
      <c r="A12" s="5" t="s">
        <v>1394</v>
      </c>
      <c r="B12" s="5" t="s">
        <v>2033</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2033</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640</v>
      </c>
      <c r="C15" s="322" t="s">
        <v>1619</v>
      </c>
      <c r="D15" s="322"/>
      <c r="E15" s="322"/>
      <c r="F15" s="322"/>
      <c r="G15" s="322"/>
      <c r="H15" s="322"/>
      <c r="I15" s="20" t="s">
        <v>2035</v>
      </c>
      <c r="J15" s="20" t="s">
        <v>2036</v>
      </c>
      <c r="K15" s="11" t="s">
        <v>1620</v>
      </c>
      <c r="L15" s="11"/>
      <c r="M15" s="11"/>
      <c r="N15" s="11"/>
      <c r="O15" s="9"/>
      <c r="P15" s="10"/>
      <c r="Q15" s="9"/>
    </row>
    <row r="16" spans="1:17" s="58" customFormat="1" ht="13.8">
      <c r="A16" s="54" t="s">
        <v>1391</v>
      </c>
      <c r="B16" s="19" t="s">
        <v>640</v>
      </c>
      <c r="C16" s="326" t="s">
        <v>2033</v>
      </c>
      <c r="D16" s="327"/>
      <c r="E16" s="327"/>
      <c r="F16" s="327"/>
      <c r="G16" s="328"/>
      <c r="H16" s="4" t="s">
        <v>2034</v>
      </c>
      <c r="I16" s="9"/>
      <c r="J16" s="9"/>
      <c r="K16" s="9"/>
      <c r="L16" s="9"/>
      <c r="M16" s="9"/>
      <c r="N16" s="9"/>
      <c r="O16" s="9"/>
      <c r="P16" s="9"/>
      <c r="Q16" s="9"/>
    </row>
    <row r="17" spans="1:17" s="58" customFormat="1" ht="13.8">
      <c r="A17" s="5" t="s">
        <v>1394</v>
      </c>
      <c r="B17" s="5" t="s">
        <v>2033</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2033</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641</v>
      </c>
      <c r="C19" s="322" t="s">
        <v>1621</v>
      </c>
      <c r="D19" s="322"/>
      <c r="E19" s="322"/>
      <c r="F19" s="322"/>
      <c r="G19" s="322"/>
      <c r="H19" s="322"/>
      <c r="I19" s="20" t="s">
        <v>2037</v>
      </c>
      <c r="J19" s="20" t="s">
        <v>2038</v>
      </c>
      <c r="K19" s="11" t="s">
        <v>1622</v>
      </c>
      <c r="L19" s="11"/>
      <c r="M19" s="11"/>
      <c r="N19" s="11"/>
      <c r="O19" s="9"/>
      <c r="P19" s="10"/>
      <c r="Q19" s="9"/>
    </row>
    <row r="20" spans="1:17" s="58" customFormat="1" ht="13.8">
      <c r="A20" s="54" t="s">
        <v>1391</v>
      </c>
      <c r="B20" s="19" t="s">
        <v>641</v>
      </c>
      <c r="C20" s="326" t="s">
        <v>2033</v>
      </c>
      <c r="D20" s="327"/>
      <c r="E20" s="327"/>
      <c r="F20" s="327"/>
      <c r="G20" s="328"/>
      <c r="H20" s="4" t="s">
        <v>2034</v>
      </c>
      <c r="I20" s="9"/>
      <c r="J20" s="9"/>
      <c r="K20" s="9"/>
      <c r="L20" s="9"/>
      <c r="M20" s="9"/>
      <c r="N20" s="9"/>
      <c r="O20" s="9"/>
      <c r="P20" s="9"/>
      <c r="Q20" s="9"/>
    </row>
    <row r="21" spans="1:17" s="58" customFormat="1" ht="13.8">
      <c r="A21" s="5" t="s">
        <v>1394</v>
      </c>
      <c r="B21" s="5" t="s">
        <v>2033</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2033</v>
      </c>
      <c r="C22" s="59" t="s">
        <v>1395</v>
      </c>
      <c r="D22" s="6" t="s">
        <v>97</v>
      </c>
      <c r="E22" s="6" t="s">
        <v>98</v>
      </c>
      <c r="F22" s="6" t="s">
        <v>1396</v>
      </c>
      <c r="G22" s="6" t="s">
        <v>1397</v>
      </c>
      <c r="H22" s="7"/>
      <c r="I22" s="9"/>
      <c r="J22" s="7"/>
      <c r="K22" s="12"/>
      <c r="L22" s="6"/>
      <c r="M22" s="6"/>
      <c r="N22" s="12"/>
      <c r="O22" s="7"/>
      <c r="P22" s="9"/>
      <c r="Q22" s="9"/>
    </row>
    <row r="23" spans="1:17" s="55" customFormat="1" ht="13.8">
      <c r="A23" s="54" t="s">
        <v>1385</v>
      </c>
      <c r="B23" s="17" t="s">
        <v>29</v>
      </c>
      <c r="C23" s="18"/>
      <c r="D23" s="18"/>
      <c r="E23" s="18"/>
      <c r="F23" s="18"/>
      <c r="G23" s="18"/>
      <c r="H23" s="18"/>
      <c r="I23" s="18"/>
      <c r="J23" s="18"/>
      <c r="K23" s="18"/>
      <c r="L23" s="8"/>
      <c r="M23" s="8"/>
      <c r="N23" s="8"/>
      <c r="O23" s="9"/>
      <c r="P23" s="10"/>
      <c r="Q23" s="9"/>
    </row>
    <row r="24" spans="1:17" s="57" customFormat="1" ht="51.6" customHeight="1">
      <c r="A24" s="56" t="s">
        <v>1386</v>
      </c>
      <c r="B24" s="3" t="s">
        <v>642</v>
      </c>
      <c r="C24" s="322" t="s">
        <v>1623</v>
      </c>
      <c r="D24" s="322"/>
      <c r="E24" s="322"/>
      <c r="F24" s="322"/>
      <c r="G24" s="322"/>
      <c r="H24" s="322"/>
      <c r="I24" s="20" t="s">
        <v>2039</v>
      </c>
      <c r="J24" s="20" t="s">
        <v>2040</v>
      </c>
      <c r="K24" s="11" t="s">
        <v>1624</v>
      </c>
      <c r="L24" s="11"/>
      <c r="M24" s="11"/>
      <c r="N24" s="11"/>
      <c r="O24" s="9"/>
      <c r="P24" s="10"/>
      <c r="Q24" s="9"/>
    </row>
    <row r="25" spans="1:17" s="58" customFormat="1" ht="13.8">
      <c r="A25" s="54" t="s">
        <v>1391</v>
      </c>
      <c r="B25" s="19" t="s">
        <v>642</v>
      </c>
      <c r="C25" s="326" t="s">
        <v>2033</v>
      </c>
      <c r="D25" s="327"/>
      <c r="E25" s="327"/>
      <c r="F25" s="327"/>
      <c r="G25" s="328"/>
      <c r="H25" s="4" t="s">
        <v>2034</v>
      </c>
      <c r="I25" s="9"/>
      <c r="J25" s="9"/>
      <c r="K25" s="9"/>
      <c r="L25" s="9"/>
      <c r="M25" s="9"/>
      <c r="N25" s="9"/>
      <c r="O25" s="9"/>
      <c r="P25" s="9"/>
      <c r="Q25" s="9"/>
    </row>
    <row r="26" spans="1:17" s="58" customFormat="1" ht="13.8">
      <c r="A26" s="5" t="s">
        <v>1394</v>
      </c>
      <c r="B26" s="5" t="s">
        <v>2033</v>
      </c>
      <c r="C26" s="59" t="s">
        <v>1395</v>
      </c>
      <c r="D26" s="6" t="s">
        <v>97</v>
      </c>
      <c r="E26" s="6" t="s">
        <v>98</v>
      </c>
      <c r="F26" s="6" t="s">
        <v>1396</v>
      </c>
      <c r="G26" s="6" t="s">
        <v>1397</v>
      </c>
      <c r="H26" s="7"/>
      <c r="I26" s="9"/>
      <c r="J26" s="7"/>
      <c r="K26" s="12"/>
      <c r="L26" s="6"/>
      <c r="M26" s="6"/>
      <c r="N26" s="12"/>
      <c r="O26" s="7"/>
      <c r="P26" s="9"/>
      <c r="Q26" s="9"/>
    </row>
    <row r="27" spans="1:17" s="58" customFormat="1" ht="13.8">
      <c r="A27" s="5" t="s">
        <v>1394</v>
      </c>
      <c r="B27" s="5" t="s">
        <v>2033</v>
      </c>
      <c r="C27" s="59" t="s">
        <v>1395</v>
      </c>
      <c r="D27" s="6" t="s">
        <v>97</v>
      </c>
      <c r="E27" s="6" t="s">
        <v>98</v>
      </c>
      <c r="F27" s="6" t="s">
        <v>1396</v>
      </c>
      <c r="G27" s="6" t="s">
        <v>1397</v>
      </c>
      <c r="H27" s="7"/>
      <c r="I27" s="9"/>
      <c r="J27" s="7"/>
      <c r="K27" s="12"/>
      <c r="L27" s="6"/>
      <c r="M27" s="6"/>
      <c r="N27" s="12"/>
      <c r="O27" s="7"/>
      <c r="P27" s="9"/>
      <c r="Q27" s="9"/>
    </row>
    <row r="28" spans="1:17" s="57" customFormat="1" ht="51.6" customHeight="1">
      <c r="A28" s="56" t="s">
        <v>1386</v>
      </c>
      <c r="B28" s="3" t="s">
        <v>643</v>
      </c>
      <c r="C28" s="322" t="s">
        <v>2041</v>
      </c>
      <c r="D28" s="322"/>
      <c r="E28" s="322"/>
      <c r="F28" s="322"/>
      <c r="G28" s="322"/>
      <c r="H28" s="322"/>
      <c r="I28" s="20" t="s">
        <v>2042</v>
      </c>
      <c r="J28" s="20" t="s">
        <v>2043</v>
      </c>
      <c r="K28" s="11" t="s">
        <v>1625</v>
      </c>
      <c r="L28" s="11"/>
      <c r="M28" s="11"/>
      <c r="N28" s="11"/>
      <c r="O28" s="9"/>
      <c r="P28" s="10"/>
      <c r="Q28" s="9"/>
    </row>
    <row r="29" spans="1:17" s="58" customFormat="1" ht="13.8">
      <c r="A29" s="54" t="s">
        <v>1391</v>
      </c>
      <c r="B29" s="19" t="s">
        <v>643</v>
      </c>
      <c r="C29" s="326" t="s">
        <v>2033</v>
      </c>
      <c r="D29" s="327"/>
      <c r="E29" s="327"/>
      <c r="F29" s="327"/>
      <c r="G29" s="328"/>
      <c r="H29" s="4" t="s">
        <v>2034</v>
      </c>
      <c r="I29" s="9"/>
      <c r="J29" s="9"/>
      <c r="K29" s="9"/>
      <c r="L29" s="9"/>
      <c r="M29" s="9"/>
      <c r="N29" s="9"/>
      <c r="O29" s="9"/>
      <c r="P29" s="9"/>
      <c r="Q29" s="9"/>
    </row>
    <row r="30" spans="1:17" s="58" customFormat="1" ht="13.8">
      <c r="A30" s="5" t="s">
        <v>1394</v>
      </c>
      <c r="B30" s="5" t="s">
        <v>2033</v>
      </c>
      <c r="C30" s="59" t="s">
        <v>1395</v>
      </c>
      <c r="D30" s="6" t="s">
        <v>97</v>
      </c>
      <c r="E30" s="6" t="s">
        <v>98</v>
      </c>
      <c r="F30" s="6" t="s">
        <v>1396</v>
      </c>
      <c r="G30" s="6" t="s">
        <v>1397</v>
      </c>
      <c r="H30" s="7"/>
      <c r="I30" s="9"/>
      <c r="J30" s="7"/>
      <c r="K30" s="12"/>
      <c r="L30" s="6"/>
      <c r="M30" s="6"/>
      <c r="N30" s="12"/>
      <c r="O30" s="7"/>
      <c r="P30" s="9"/>
      <c r="Q30" s="9"/>
    </row>
    <row r="31" spans="1:17" s="58" customFormat="1" ht="13.8">
      <c r="A31" s="5" t="s">
        <v>1394</v>
      </c>
      <c r="B31" s="5" t="s">
        <v>2033</v>
      </c>
      <c r="C31" s="59" t="s">
        <v>1395</v>
      </c>
      <c r="D31" s="6" t="s">
        <v>97</v>
      </c>
      <c r="E31" s="6" t="s">
        <v>98</v>
      </c>
      <c r="F31" s="6" t="s">
        <v>1396</v>
      </c>
      <c r="G31" s="6" t="s">
        <v>1397</v>
      </c>
      <c r="H31" s="7"/>
      <c r="I31" s="9"/>
      <c r="J31" s="7"/>
      <c r="K31" s="12"/>
      <c r="L31" s="6"/>
      <c r="M31" s="6"/>
      <c r="N31" s="12"/>
      <c r="O31" s="7"/>
      <c r="P31" s="9"/>
      <c r="Q31" s="9"/>
    </row>
    <row r="32" spans="1:17" s="57" customFormat="1" ht="51.6" customHeight="1">
      <c r="A32" s="56" t="s">
        <v>1386</v>
      </c>
      <c r="B32" s="3" t="s">
        <v>644</v>
      </c>
      <c r="C32" s="322" t="s">
        <v>1626</v>
      </c>
      <c r="D32" s="322"/>
      <c r="E32" s="322"/>
      <c r="F32" s="322"/>
      <c r="G32" s="322"/>
      <c r="H32" s="322"/>
      <c r="I32" s="20" t="s">
        <v>2044</v>
      </c>
      <c r="J32" s="20" t="s">
        <v>2045</v>
      </c>
      <c r="K32" s="11" t="s">
        <v>1627</v>
      </c>
      <c r="L32" s="11"/>
      <c r="M32" s="11"/>
      <c r="N32" s="11"/>
      <c r="O32" s="9"/>
      <c r="P32" s="10"/>
      <c r="Q32" s="9"/>
    </row>
    <row r="33" spans="1:17" s="58" customFormat="1" ht="13.8">
      <c r="A33" s="54" t="s">
        <v>1391</v>
      </c>
      <c r="B33" s="19" t="s">
        <v>644</v>
      </c>
      <c r="C33" s="326" t="s">
        <v>2033</v>
      </c>
      <c r="D33" s="327"/>
      <c r="E33" s="327"/>
      <c r="F33" s="327"/>
      <c r="G33" s="328"/>
      <c r="H33" s="4" t="s">
        <v>2034</v>
      </c>
      <c r="I33" s="9"/>
      <c r="J33" s="9"/>
      <c r="K33" s="9"/>
      <c r="L33" s="9"/>
      <c r="M33" s="9"/>
      <c r="N33" s="9"/>
      <c r="O33" s="9"/>
      <c r="P33" s="9"/>
      <c r="Q33" s="9"/>
    </row>
    <row r="34" spans="1:17" s="58" customFormat="1" ht="13.8">
      <c r="A34" s="5" t="s">
        <v>1394</v>
      </c>
      <c r="B34" s="5" t="s">
        <v>2033</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2033</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645</v>
      </c>
      <c r="C36" s="322" t="s">
        <v>1628</v>
      </c>
      <c r="D36" s="322"/>
      <c r="E36" s="322"/>
      <c r="F36" s="322"/>
      <c r="G36" s="322"/>
      <c r="H36" s="322"/>
      <c r="I36" s="20" t="s">
        <v>2046</v>
      </c>
      <c r="J36" s="20" t="s">
        <v>2047</v>
      </c>
      <c r="K36" s="11" t="s">
        <v>1629</v>
      </c>
      <c r="L36" s="11"/>
      <c r="M36" s="11"/>
      <c r="N36" s="11"/>
      <c r="O36" s="9"/>
      <c r="P36" s="10"/>
      <c r="Q36" s="9"/>
    </row>
    <row r="37" spans="1:17" s="58" customFormat="1" ht="13.8">
      <c r="A37" s="54" t="s">
        <v>1391</v>
      </c>
      <c r="B37" s="19" t="s">
        <v>645</v>
      </c>
      <c r="C37" s="326" t="s">
        <v>2033</v>
      </c>
      <c r="D37" s="327"/>
      <c r="E37" s="327"/>
      <c r="F37" s="327"/>
      <c r="G37" s="328"/>
      <c r="H37" s="4" t="s">
        <v>2034</v>
      </c>
      <c r="I37" s="9"/>
      <c r="J37" s="9"/>
      <c r="K37" s="9"/>
      <c r="L37" s="9"/>
      <c r="M37" s="9"/>
      <c r="N37" s="9"/>
      <c r="O37" s="9"/>
      <c r="P37" s="9"/>
      <c r="Q37" s="9"/>
    </row>
    <row r="38" spans="1:17" s="58" customFormat="1" ht="13.8">
      <c r="A38" s="5" t="s">
        <v>1394</v>
      </c>
      <c r="B38" s="5" t="s">
        <v>2033</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2033</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646</v>
      </c>
      <c r="C40" s="322" t="s">
        <v>1630</v>
      </c>
      <c r="D40" s="322"/>
      <c r="E40" s="322"/>
      <c r="F40" s="322"/>
      <c r="G40" s="322"/>
      <c r="H40" s="322"/>
      <c r="I40" s="20" t="s">
        <v>2048</v>
      </c>
      <c r="J40" s="20" t="s">
        <v>2049</v>
      </c>
      <c r="K40" s="11" t="s">
        <v>1631</v>
      </c>
      <c r="L40" s="11"/>
      <c r="M40" s="11"/>
      <c r="N40" s="11"/>
      <c r="O40" s="9"/>
      <c r="P40" s="10"/>
      <c r="Q40" s="9"/>
    </row>
    <row r="41" spans="1:17" s="58" customFormat="1" ht="13.8">
      <c r="A41" s="54" t="s">
        <v>1391</v>
      </c>
      <c r="B41" s="19" t="s">
        <v>646</v>
      </c>
      <c r="C41" s="326" t="s">
        <v>2033</v>
      </c>
      <c r="D41" s="327"/>
      <c r="E41" s="327"/>
      <c r="F41" s="327"/>
      <c r="G41" s="328"/>
      <c r="H41" s="4" t="s">
        <v>2034</v>
      </c>
      <c r="I41" s="9"/>
      <c r="J41" s="9"/>
      <c r="K41" s="9"/>
      <c r="L41" s="9"/>
      <c r="M41" s="9"/>
      <c r="N41" s="9"/>
      <c r="O41" s="9"/>
      <c r="P41" s="9"/>
      <c r="Q41" s="9"/>
    </row>
    <row r="42" spans="1:17" s="58" customFormat="1" ht="13.8">
      <c r="A42" s="5" t="s">
        <v>1394</v>
      </c>
      <c r="B42" s="5" t="s">
        <v>2033</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2033</v>
      </c>
      <c r="C43" s="59" t="s">
        <v>1395</v>
      </c>
      <c r="D43" s="6" t="s">
        <v>97</v>
      </c>
      <c r="E43" s="6" t="s">
        <v>98</v>
      </c>
      <c r="F43" s="6" t="s">
        <v>1396</v>
      </c>
      <c r="G43" s="6" t="s">
        <v>1397</v>
      </c>
      <c r="H43" s="7"/>
      <c r="I43" s="9"/>
      <c r="J43" s="7"/>
      <c r="K43" s="12"/>
      <c r="L43" s="6"/>
      <c r="M43" s="6"/>
      <c r="N43" s="12"/>
      <c r="O43" s="7"/>
      <c r="P43" s="9"/>
      <c r="Q43" s="9"/>
    </row>
  </sheetData>
  <mergeCells count="16">
    <mergeCell ref="C20:G20"/>
    <mergeCell ref="C10:H10"/>
    <mergeCell ref="C11:G11"/>
    <mergeCell ref="C15:H15"/>
    <mergeCell ref="C16:G16"/>
    <mergeCell ref="C19:H19"/>
    <mergeCell ref="C36:H36"/>
    <mergeCell ref="C37:G37"/>
    <mergeCell ref="C40:H40"/>
    <mergeCell ref="C41:G41"/>
    <mergeCell ref="C24:H24"/>
    <mergeCell ref="C25:G25"/>
    <mergeCell ref="C28:H28"/>
    <mergeCell ref="C29:G29"/>
    <mergeCell ref="C32:H32"/>
    <mergeCell ref="C33:G33"/>
  </mergeCells>
  <conditionalFormatting sqref="O9">
    <cfRule type="cellIs" dxfId="3540" priority="168" operator="equal">
      <formula>"U"</formula>
    </cfRule>
    <cfRule type="cellIs" dxfId="3539" priority="169" operator="equal">
      <formula>"S"</formula>
    </cfRule>
  </conditionalFormatting>
  <conditionalFormatting sqref="Q9">
    <cfRule type="cellIs" dxfId="3538" priority="167" operator="equal">
      <formula>"Y"</formula>
    </cfRule>
  </conditionalFormatting>
  <conditionalFormatting sqref="O10">
    <cfRule type="cellIs" dxfId="3537" priority="162" operator="equal">
      <formula>"NY"</formula>
    </cfRule>
    <cfRule type="cellIs" dxfId="3536" priority="163" operator="equal">
      <formula>"DM"</formula>
    </cfRule>
    <cfRule type="cellIs" dxfId="3535" priority="164" operator="equal">
      <formula>"PM"</formula>
    </cfRule>
    <cfRule type="cellIs" dxfId="3534" priority="165" operator="equal">
      <formula>"LM"</formula>
    </cfRule>
    <cfRule type="cellIs" dxfId="3533" priority="166" operator="equal">
      <formula>"FM"</formula>
    </cfRule>
  </conditionalFormatting>
  <conditionalFormatting sqref="Q10">
    <cfRule type="cellIs" dxfId="3532" priority="161" operator="equal">
      <formula>"Y"</formula>
    </cfRule>
  </conditionalFormatting>
  <conditionalFormatting sqref="O11">
    <cfRule type="cellIs" dxfId="3531" priority="156" operator="equal">
      <formula>"NY"</formula>
    </cfRule>
    <cfRule type="cellIs" dxfId="3530" priority="157" operator="equal">
      <formula>"DM"</formula>
    </cfRule>
    <cfRule type="cellIs" dxfId="3529" priority="158" operator="equal">
      <formula>"PM"</formula>
    </cfRule>
    <cfRule type="cellIs" dxfId="3528" priority="159" operator="equal">
      <formula>"LM"</formula>
    </cfRule>
    <cfRule type="cellIs" dxfId="3527" priority="160" operator="equal">
      <formula>"FM"</formula>
    </cfRule>
  </conditionalFormatting>
  <conditionalFormatting sqref="I11:J11">
    <cfRule type="cellIs" dxfId="3526" priority="154" operator="equal">
      <formula>"No"</formula>
    </cfRule>
    <cfRule type="cellIs" dxfId="3525" priority="155" operator="equal">
      <formula>"Yes"</formula>
    </cfRule>
  </conditionalFormatting>
  <conditionalFormatting sqref="Q11">
    <cfRule type="cellIs" dxfId="3524" priority="153" operator="equal">
      <formula>"Y"</formula>
    </cfRule>
  </conditionalFormatting>
  <conditionalFormatting sqref="I12">
    <cfRule type="cellIs" dxfId="3523" priority="151" operator="equal">
      <formula>"No"</formula>
    </cfRule>
    <cfRule type="cellIs" dxfId="3522" priority="152" operator="equal">
      <formula>"Yes"</formula>
    </cfRule>
  </conditionalFormatting>
  <conditionalFormatting sqref="Q12">
    <cfRule type="cellIs" dxfId="3521" priority="150" operator="equal">
      <formula>"Y"</formula>
    </cfRule>
  </conditionalFormatting>
  <conditionalFormatting sqref="I13">
    <cfRule type="cellIs" dxfId="3520" priority="148" operator="equal">
      <formula>"No"</formula>
    </cfRule>
    <cfRule type="cellIs" dxfId="3519" priority="149" operator="equal">
      <formula>"Yes"</formula>
    </cfRule>
  </conditionalFormatting>
  <conditionalFormatting sqref="Q13">
    <cfRule type="cellIs" dxfId="3518" priority="147" operator="equal">
      <formula>"Y"</formula>
    </cfRule>
  </conditionalFormatting>
  <conditionalFormatting sqref="O14">
    <cfRule type="cellIs" dxfId="3517" priority="145" operator="equal">
      <formula>"U"</formula>
    </cfRule>
    <cfRule type="cellIs" dxfId="3516" priority="146" operator="equal">
      <formula>"S"</formula>
    </cfRule>
  </conditionalFormatting>
  <conditionalFormatting sqref="Q14">
    <cfRule type="cellIs" dxfId="3515" priority="144" operator="equal">
      <formula>"Y"</formula>
    </cfRule>
  </conditionalFormatting>
  <conditionalFormatting sqref="O15">
    <cfRule type="cellIs" dxfId="3514" priority="139" operator="equal">
      <formula>"NY"</formula>
    </cfRule>
    <cfRule type="cellIs" dxfId="3513" priority="140" operator="equal">
      <formula>"DM"</formula>
    </cfRule>
    <cfRule type="cellIs" dxfId="3512" priority="141" operator="equal">
      <formula>"PM"</formula>
    </cfRule>
    <cfRule type="cellIs" dxfId="3511" priority="142" operator="equal">
      <formula>"LM"</formula>
    </cfRule>
    <cfRule type="cellIs" dxfId="3510" priority="143" operator="equal">
      <formula>"FM"</formula>
    </cfRule>
  </conditionalFormatting>
  <conditionalFormatting sqref="Q15">
    <cfRule type="cellIs" dxfId="3509" priority="138" operator="equal">
      <formula>"Y"</formula>
    </cfRule>
  </conditionalFormatting>
  <conditionalFormatting sqref="O16">
    <cfRule type="cellIs" dxfId="3508" priority="133" operator="equal">
      <formula>"NY"</formula>
    </cfRule>
    <cfRule type="cellIs" dxfId="3507" priority="134" operator="equal">
      <formula>"DM"</formula>
    </cfRule>
    <cfRule type="cellIs" dxfId="3506" priority="135" operator="equal">
      <formula>"PM"</formula>
    </cfRule>
    <cfRule type="cellIs" dxfId="3505" priority="136" operator="equal">
      <formula>"LM"</formula>
    </cfRule>
    <cfRule type="cellIs" dxfId="3504" priority="137" operator="equal">
      <formula>"FM"</formula>
    </cfRule>
  </conditionalFormatting>
  <conditionalFormatting sqref="I16:J16">
    <cfRule type="cellIs" dxfId="3503" priority="131" operator="equal">
      <formula>"No"</formula>
    </cfRule>
    <cfRule type="cellIs" dxfId="3502" priority="132" operator="equal">
      <formula>"Yes"</formula>
    </cfRule>
  </conditionalFormatting>
  <conditionalFormatting sqref="Q16">
    <cfRule type="cellIs" dxfId="3501" priority="130" operator="equal">
      <formula>"Y"</formula>
    </cfRule>
  </conditionalFormatting>
  <conditionalFormatting sqref="I17">
    <cfRule type="cellIs" dxfId="3500" priority="128" operator="equal">
      <formula>"No"</formula>
    </cfRule>
    <cfRule type="cellIs" dxfId="3499" priority="129" operator="equal">
      <formula>"Yes"</formula>
    </cfRule>
  </conditionalFormatting>
  <conditionalFormatting sqref="Q17">
    <cfRule type="cellIs" dxfId="3498" priority="127" operator="equal">
      <formula>"Y"</formula>
    </cfRule>
  </conditionalFormatting>
  <conditionalFormatting sqref="I18">
    <cfRule type="cellIs" dxfId="3497" priority="125" operator="equal">
      <formula>"No"</formula>
    </cfRule>
    <cfRule type="cellIs" dxfId="3496" priority="126" operator="equal">
      <formula>"Yes"</formula>
    </cfRule>
  </conditionalFormatting>
  <conditionalFormatting sqref="Q18">
    <cfRule type="cellIs" dxfId="3495" priority="124" operator="equal">
      <formula>"Y"</formula>
    </cfRule>
  </conditionalFormatting>
  <conditionalFormatting sqref="O19">
    <cfRule type="cellIs" dxfId="3494" priority="119" operator="equal">
      <formula>"NY"</formula>
    </cfRule>
    <cfRule type="cellIs" dxfId="3493" priority="120" operator="equal">
      <formula>"DM"</formula>
    </cfRule>
    <cfRule type="cellIs" dxfId="3492" priority="121" operator="equal">
      <formula>"PM"</formula>
    </cfRule>
    <cfRule type="cellIs" dxfId="3491" priority="122" operator="equal">
      <formula>"LM"</formula>
    </cfRule>
    <cfRule type="cellIs" dxfId="3490" priority="123" operator="equal">
      <formula>"FM"</formula>
    </cfRule>
  </conditionalFormatting>
  <conditionalFormatting sqref="Q19">
    <cfRule type="cellIs" dxfId="3489" priority="118" operator="equal">
      <formula>"Y"</formula>
    </cfRule>
  </conditionalFormatting>
  <conditionalFormatting sqref="O20">
    <cfRule type="cellIs" dxfId="3488" priority="113" operator="equal">
      <formula>"NY"</formula>
    </cfRule>
    <cfRule type="cellIs" dxfId="3487" priority="114" operator="equal">
      <formula>"DM"</formula>
    </cfRule>
    <cfRule type="cellIs" dxfId="3486" priority="115" operator="equal">
      <formula>"PM"</formula>
    </cfRule>
    <cfRule type="cellIs" dxfId="3485" priority="116" operator="equal">
      <formula>"LM"</formula>
    </cfRule>
    <cfRule type="cellIs" dxfId="3484" priority="117" operator="equal">
      <formula>"FM"</formula>
    </cfRule>
  </conditionalFormatting>
  <conditionalFormatting sqref="I20:J20">
    <cfRule type="cellIs" dxfId="3483" priority="111" operator="equal">
      <formula>"No"</formula>
    </cfRule>
    <cfRule type="cellIs" dxfId="3482" priority="112" operator="equal">
      <formula>"Yes"</formula>
    </cfRule>
  </conditionalFormatting>
  <conditionalFormatting sqref="Q20">
    <cfRule type="cellIs" dxfId="3481" priority="110" operator="equal">
      <formula>"Y"</formula>
    </cfRule>
  </conditionalFormatting>
  <conditionalFormatting sqref="I21">
    <cfRule type="cellIs" dxfId="3480" priority="108" operator="equal">
      <formula>"No"</formula>
    </cfRule>
    <cfRule type="cellIs" dxfId="3479" priority="109" operator="equal">
      <formula>"Yes"</formula>
    </cfRule>
  </conditionalFormatting>
  <conditionalFormatting sqref="Q21">
    <cfRule type="cellIs" dxfId="3478" priority="107" operator="equal">
      <formula>"Y"</formula>
    </cfRule>
  </conditionalFormatting>
  <conditionalFormatting sqref="I22">
    <cfRule type="cellIs" dxfId="3477" priority="105" operator="equal">
      <formula>"No"</formula>
    </cfRule>
    <cfRule type="cellIs" dxfId="3476" priority="106" operator="equal">
      <formula>"Yes"</formula>
    </cfRule>
  </conditionalFormatting>
  <conditionalFormatting sqref="Q22">
    <cfRule type="cellIs" dxfId="3475" priority="104" operator="equal">
      <formula>"Y"</formula>
    </cfRule>
  </conditionalFormatting>
  <conditionalFormatting sqref="O23">
    <cfRule type="cellIs" dxfId="3474" priority="102" operator="equal">
      <formula>"U"</formula>
    </cfRule>
    <cfRule type="cellIs" dxfId="3473" priority="103" operator="equal">
      <formula>"S"</formula>
    </cfRule>
  </conditionalFormatting>
  <conditionalFormatting sqref="Q23">
    <cfRule type="cellIs" dxfId="3472" priority="101" operator="equal">
      <formula>"Y"</formula>
    </cfRule>
  </conditionalFormatting>
  <conditionalFormatting sqref="O24">
    <cfRule type="cellIs" dxfId="3471" priority="96" operator="equal">
      <formula>"NY"</formula>
    </cfRule>
    <cfRule type="cellIs" dxfId="3470" priority="97" operator="equal">
      <formula>"DM"</formula>
    </cfRule>
    <cfRule type="cellIs" dxfId="3469" priority="98" operator="equal">
      <formula>"PM"</formula>
    </cfRule>
    <cfRule type="cellIs" dxfId="3468" priority="99" operator="equal">
      <formula>"LM"</formula>
    </cfRule>
    <cfRule type="cellIs" dxfId="3467" priority="100" operator="equal">
      <formula>"FM"</formula>
    </cfRule>
  </conditionalFormatting>
  <conditionalFormatting sqref="Q24">
    <cfRule type="cellIs" dxfId="3466" priority="95" operator="equal">
      <formula>"Y"</formula>
    </cfRule>
  </conditionalFormatting>
  <conditionalFormatting sqref="O25">
    <cfRule type="cellIs" dxfId="3465" priority="90" operator="equal">
      <formula>"NY"</formula>
    </cfRule>
    <cfRule type="cellIs" dxfId="3464" priority="91" operator="equal">
      <formula>"DM"</formula>
    </cfRule>
    <cfRule type="cellIs" dxfId="3463" priority="92" operator="equal">
      <formula>"PM"</formula>
    </cfRule>
    <cfRule type="cellIs" dxfId="3462" priority="93" operator="equal">
      <formula>"LM"</formula>
    </cfRule>
    <cfRule type="cellIs" dxfId="3461" priority="94" operator="equal">
      <formula>"FM"</formula>
    </cfRule>
  </conditionalFormatting>
  <conditionalFormatting sqref="I25:J25">
    <cfRule type="cellIs" dxfId="3460" priority="88" operator="equal">
      <formula>"No"</formula>
    </cfRule>
    <cfRule type="cellIs" dxfId="3459" priority="89" operator="equal">
      <formula>"Yes"</formula>
    </cfRule>
  </conditionalFormatting>
  <conditionalFormatting sqref="Q25">
    <cfRule type="cellIs" dxfId="3458" priority="87" operator="equal">
      <formula>"Y"</formula>
    </cfRule>
  </conditionalFormatting>
  <conditionalFormatting sqref="I26">
    <cfRule type="cellIs" dxfId="3457" priority="85" operator="equal">
      <formula>"No"</formula>
    </cfRule>
    <cfRule type="cellIs" dxfId="3456" priority="86" operator="equal">
      <formula>"Yes"</formula>
    </cfRule>
  </conditionalFormatting>
  <conditionalFormatting sqref="Q26">
    <cfRule type="cellIs" dxfId="3455" priority="84" operator="equal">
      <formula>"Y"</formula>
    </cfRule>
  </conditionalFormatting>
  <conditionalFormatting sqref="I27">
    <cfRule type="cellIs" dxfId="3454" priority="82" operator="equal">
      <formula>"No"</formula>
    </cfRule>
    <cfRule type="cellIs" dxfId="3453" priority="83" operator="equal">
      <formula>"Yes"</formula>
    </cfRule>
  </conditionalFormatting>
  <conditionalFormatting sqref="Q27">
    <cfRule type="cellIs" dxfId="3452" priority="81" operator="equal">
      <formula>"Y"</formula>
    </cfRule>
  </conditionalFormatting>
  <conditionalFormatting sqref="O28">
    <cfRule type="cellIs" dxfId="3451" priority="76" operator="equal">
      <formula>"NY"</formula>
    </cfRule>
    <cfRule type="cellIs" dxfId="3450" priority="77" operator="equal">
      <formula>"DM"</formula>
    </cfRule>
    <cfRule type="cellIs" dxfId="3449" priority="78" operator="equal">
      <formula>"PM"</formula>
    </cfRule>
    <cfRule type="cellIs" dxfId="3448" priority="79" operator="equal">
      <formula>"LM"</formula>
    </cfRule>
    <cfRule type="cellIs" dxfId="3447" priority="80" operator="equal">
      <formula>"FM"</formula>
    </cfRule>
  </conditionalFormatting>
  <conditionalFormatting sqref="Q28">
    <cfRule type="cellIs" dxfId="3446" priority="75" operator="equal">
      <formula>"Y"</formula>
    </cfRule>
  </conditionalFormatting>
  <conditionalFormatting sqref="O29">
    <cfRule type="cellIs" dxfId="3445" priority="70" operator="equal">
      <formula>"NY"</formula>
    </cfRule>
    <cfRule type="cellIs" dxfId="3444" priority="71" operator="equal">
      <formula>"DM"</formula>
    </cfRule>
    <cfRule type="cellIs" dxfId="3443" priority="72" operator="equal">
      <formula>"PM"</formula>
    </cfRule>
    <cfRule type="cellIs" dxfId="3442" priority="73" operator="equal">
      <formula>"LM"</formula>
    </cfRule>
    <cfRule type="cellIs" dxfId="3441" priority="74" operator="equal">
      <formula>"FM"</formula>
    </cfRule>
  </conditionalFormatting>
  <conditionalFormatting sqref="I29:J29">
    <cfRule type="cellIs" dxfId="3440" priority="68" operator="equal">
      <formula>"No"</formula>
    </cfRule>
    <cfRule type="cellIs" dxfId="3439" priority="69" operator="equal">
      <formula>"Yes"</formula>
    </cfRule>
  </conditionalFormatting>
  <conditionalFormatting sqref="Q29">
    <cfRule type="cellIs" dxfId="3438" priority="67" operator="equal">
      <formula>"Y"</formula>
    </cfRule>
  </conditionalFormatting>
  <conditionalFormatting sqref="I30">
    <cfRule type="cellIs" dxfId="3437" priority="65" operator="equal">
      <formula>"No"</formula>
    </cfRule>
    <cfRule type="cellIs" dxfId="3436" priority="66" operator="equal">
      <formula>"Yes"</formula>
    </cfRule>
  </conditionalFormatting>
  <conditionalFormatting sqref="Q30">
    <cfRule type="cellIs" dxfId="3435" priority="64" operator="equal">
      <formula>"Y"</formula>
    </cfRule>
  </conditionalFormatting>
  <conditionalFormatting sqref="I31">
    <cfRule type="cellIs" dxfId="3434" priority="62" operator="equal">
      <formula>"No"</formula>
    </cfRule>
    <cfRule type="cellIs" dxfId="3433" priority="63" operator="equal">
      <formula>"Yes"</formula>
    </cfRule>
  </conditionalFormatting>
  <conditionalFormatting sqref="Q31">
    <cfRule type="cellIs" dxfId="3432" priority="61" operator="equal">
      <formula>"Y"</formula>
    </cfRule>
  </conditionalFormatting>
  <conditionalFormatting sqref="O32">
    <cfRule type="cellIs" dxfId="3431" priority="56" operator="equal">
      <formula>"NY"</formula>
    </cfRule>
    <cfRule type="cellIs" dxfId="3430" priority="57" operator="equal">
      <formula>"DM"</formula>
    </cfRule>
    <cfRule type="cellIs" dxfId="3429" priority="58" operator="equal">
      <formula>"PM"</formula>
    </cfRule>
    <cfRule type="cellIs" dxfId="3428" priority="59" operator="equal">
      <formula>"LM"</formula>
    </cfRule>
    <cfRule type="cellIs" dxfId="3427" priority="60" operator="equal">
      <formula>"FM"</formula>
    </cfRule>
  </conditionalFormatting>
  <conditionalFormatting sqref="Q32">
    <cfRule type="cellIs" dxfId="3426" priority="55" operator="equal">
      <formula>"Y"</formula>
    </cfRule>
  </conditionalFormatting>
  <conditionalFormatting sqref="O33">
    <cfRule type="cellIs" dxfId="3425" priority="50" operator="equal">
      <formula>"NY"</formula>
    </cfRule>
    <cfRule type="cellIs" dxfId="3424" priority="51" operator="equal">
      <formula>"DM"</formula>
    </cfRule>
    <cfRule type="cellIs" dxfId="3423" priority="52" operator="equal">
      <formula>"PM"</formula>
    </cfRule>
    <cfRule type="cellIs" dxfId="3422" priority="53" operator="equal">
      <formula>"LM"</formula>
    </cfRule>
    <cfRule type="cellIs" dxfId="3421" priority="54" operator="equal">
      <formula>"FM"</formula>
    </cfRule>
  </conditionalFormatting>
  <conditionalFormatting sqref="I33:J33">
    <cfRule type="cellIs" dxfId="3420" priority="48" operator="equal">
      <formula>"No"</formula>
    </cfRule>
    <cfRule type="cellIs" dxfId="3419" priority="49" operator="equal">
      <formula>"Yes"</formula>
    </cfRule>
  </conditionalFormatting>
  <conditionalFormatting sqref="Q33">
    <cfRule type="cellIs" dxfId="3418" priority="47" operator="equal">
      <formula>"Y"</formula>
    </cfRule>
  </conditionalFormatting>
  <conditionalFormatting sqref="I34">
    <cfRule type="cellIs" dxfId="3417" priority="45" operator="equal">
      <formula>"No"</formula>
    </cfRule>
    <cfRule type="cellIs" dxfId="3416" priority="46" operator="equal">
      <formula>"Yes"</formula>
    </cfRule>
  </conditionalFormatting>
  <conditionalFormatting sqref="Q34">
    <cfRule type="cellIs" dxfId="3415" priority="44" operator="equal">
      <formula>"Y"</formula>
    </cfRule>
  </conditionalFormatting>
  <conditionalFormatting sqref="I35">
    <cfRule type="cellIs" dxfId="3414" priority="42" operator="equal">
      <formula>"No"</formula>
    </cfRule>
    <cfRule type="cellIs" dxfId="3413" priority="43" operator="equal">
      <formula>"Yes"</formula>
    </cfRule>
  </conditionalFormatting>
  <conditionalFormatting sqref="Q35">
    <cfRule type="cellIs" dxfId="3412" priority="41" operator="equal">
      <formula>"Y"</formula>
    </cfRule>
  </conditionalFormatting>
  <conditionalFormatting sqref="O36">
    <cfRule type="cellIs" dxfId="3411" priority="36" operator="equal">
      <formula>"NY"</formula>
    </cfRule>
    <cfRule type="cellIs" dxfId="3410" priority="37" operator="equal">
      <formula>"DM"</formula>
    </cfRule>
    <cfRule type="cellIs" dxfId="3409" priority="38" operator="equal">
      <formula>"PM"</formula>
    </cfRule>
    <cfRule type="cellIs" dxfId="3408" priority="39" operator="equal">
      <formula>"LM"</formula>
    </cfRule>
    <cfRule type="cellIs" dxfId="3407" priority="40" operator="equal">
      <formula>"FM"</formula>
    </cfRule>
  </conditionalFormatting>
  <conditionalFormatting sqref="Q36">
    <cfRule type="cellIs" dxfId="3406" priority="35" operator="equal">
      <formula>"Y"</formula>
    </cfRule>
  </conditionalFormatting>
  <conditionalFormatting sqref="O37">
    <cfRule type="cellIs" dxfId="3405" priority="30" operator="equal">
      <formula>"NY"</formula>
    </cfRule>
    <cfRule type="cellIs" dxfId="3404" priority="31" operator="equal">
      <formula>"DM"</formula>
    </cfRule>
    <cfRule type="cellIs" dxfId="3403" priority="32" operator="equal">
      <formula>"PM"</formula>
    </cfRule>
    <cfRule type="cellIs" dxfId="3402" priority="33" operator="equal">
      <formula>"LM"</formula>
    </cfRule>
    <cfRule type="cellIs" dxfId="3401" priority="34" operator="equal">
      <formula>"FM"</formula>
    </cfRule>
  </conditionalFormatting>
  <conditionalFormatting sqref="I37:J37">
    <cfRule type="cellIs" dxfId="3400" priority="28" operator="equal">
      <formula>"No"</formula>
    </cfRule>
    <cfRule type="cellIs" dxfId="3399" priority="29" operator="equal">
      <formula>"Yes"</formula>
    </cfRule>
  </conditionalFormatting>
  <conditionalFormatting sqref="Q37">
    <cfRule type="cellIs" dxfId="3398" priority="27" operator="equal">
      <formula>"Y"</formula>
    </cfRule>
  </conditionalFormatting>
  <conditionalFormatting sqref="I38">
    <cfRule type="cellIs" dxfId="3397" priority="25" operator="equal">
      <formula>"No"</formula>
    </cfRule>
    <cfRule type="cellIs" dxfId="3396" priority="26" operator="equal">
      <formula>"Yes"</formula>
    </cfRule>
  </conditionalFormatting>
  <conditionalFormatting sqref="Q38">
    <cfRule type="cellIs" dxfId="3395" priority="24" operator="equal">
      <formula>"Y"</formula>
    </cfRule>
  </conditionalFormatting>
  <conditionalFormatting sqref="I39">
    <cfRule type="cellIs" dxfId="3394" priority="22" operator="equal">
      <formula>"No"</formula>
    </cfRule>
    <cfRule type="cellIs" dxfId="3393" priority="23" operator="equal">
      <formula>"Yes"</formula>
    </cfRule>
  </conditionalFormatting>
  <conditionalFormatting sqref="Q39">
    <cfRule type="cellIs" dxfId="3392" priority="21" operator="equal">
      <formula>"Y"</formula>
    </cfRule>
  </conditionalFormatting>
  <conditionalFormatting sqref="O40">
    <cfRule type="cellIs" dxfId="3391" priority="16" operator="equal">
      <formula>"NY"</formula>
    </cfRule>
    <cfRule type="cellIs" dxfId="3390" priority="17" operator="equal">
      <formula>"DM"</formula>
    </cfRule>
    <cfRule type="cellIs" dxfId="3389" priority="18" operator="equal">
      <formula>"PM"</formula>
    </cfRule>
    <cfRule type="cellIs" dxfId="3388" priority="19" operator="equal">
      <formula>"LM"</formula>
    </cfRule>
    <cfRule type="cellIs" dxfId="3387" priority="20" operator="equal">
      <formula>"FM"</formula>
    </cfRule>
  </conditionalFormatting>
  <conditionalFormatting sqref="Q40">
    <cfRule type="cellIs" dxfId="3386" priority="15" operator="equal">
      <formula>"Y"</formula>
    </cfRule>
  </conditionalFormatting>
  <conditionalFormatting sqref="O41">
    <cfRule type="cellIs" dxfId="3385" priority="10" operator="equal">
      <formula>"NY"</formula>
    </cfRule>
    <cfRule type="cellIs" dxfId="3384" priority="11" operator="equal">
      <formula>"DM"</formula>
    </cfRule>
    <cfRule type="cellIs" dxfId="3383" priority="12" operator="equal">
      <formula>"PM"</formula>
    </cfRule>
    <cfRule type="cellIs" dxfId="3382" priority="13" operator="equal">
      <formula>"LM"</formula>
    </cfRule>
    <cfRule type="cellIs" dxfId="3381" priority="14" operator="equal">
      <formula>"FM"</formula>
    </cfRule>
  </conditionalFormatting>
  <conditionalFormatting sqref="I41:J41">
    <cfRule type="cellIs" dxfId="3380" priority="8" operator="equal">
      <formula>"No"</formula>
    </cfRule>
    <cfRule type="cellIs" dxfId="3379" priority="9" operator="equal">
      <formula>"Yes"</formula>
    </cfRule>
  </conditionalFormatting>
  <conditionalFormatting sqref="Q41">
    <cfRule type="cellIs" dxfId="3378" priority="7" operator="equal">
      <formula>"Y"</formula>
    </cfRule>
  </conditionalFormatting>
  <conditionalFormatting sqref="I42">
    <cfRule type="cellIs" dxfId="3377" priority="5" operator="equal">
      <formula>"No"</formula>
    </cfRule>
    <cfRule type="cellIs" dxfId="3376" priority="6" operator="equal">
      <formula>"Yes"</formula>
    </cfRule>
  </conditionalFormatting>
  <conditionalFormatting sqref="Q42">
    <cfRule type="cellIs" dxfId="3375" priority="4" operator="equal">
      <formula>"Y"</formula>
    </cfRule>
  </conditionalFormatting>
  <conditionalFormatting sqref="I43">
    <cfRule type="cellIs" dxfId="3374" priority="2" operator="equal">
      <formula>"No"</formula>
    </cfRule>
    <cfRule type="cellIs" dxfId="3373" priority="3" operator="equal">
      <formula>"Yes"</formula>
    </cfRule>
  </conditionalFormatting>
  <conditionalFormatting sqref="Q43">
    <cfRule type="cellIs" dxfId="3372" priority="1" operator="equal">
      <formula>"Y"</formula>
    </cfRule>
  </conditionalFormatting>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CFAFE-13EE-4A33-8192-D442F333D7AB}">
  <sheetPr codeName="Sheet41"/>
  <dimension ref="A1:Q47"/>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1507</v>
      </c>
    </row>
    <row r="2" spans="1:17" s="61" customFormat="1" ht="21">
      <c r="A2" s="60" t="s">
        <v>2050</v>
      </c>
    </row>
    <row r="3" spans="1:17">
      <c r="A3" s="62" t="s">
        <v>1707</v>
      </c>
      <c r="B3" s="63" t="s">
        <v>1508</v>
      </c>
    </row>
    <row r="4" spans="1:17">
      <c r="A4" s="63" t="s">
        <v>1401</v>
      </c>
      <c r="B4" s="63" t="s">
        <v>2051</v>
      </c>
    </row>
    <row r="5" spans="1:17">
      <c r="A5" s="62" t="s">
        <v>1709</v>
      </c>
      <c r="B5" s="63" t="s">
        <v>689</v>
      </c>
    </row>
    <row r="6" spans="1:17">
      <c r="A6" s="63" t="s">
        <v>1402</v>
      </c>
      <c r="B6" s="63" t="s">
        <v>2052</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690</v>
      </c>
      <c r="C10" s="322" t="s">
        <v>1509</v>
      </c>
      <c r="D10" s="322"/>
      <c r="E10" s="322"/>
      <c r="F10" s="322"/>
      <c r="G10" s="322"/>
      <c r="H10" s="322"/>
      <c r="I10" s="20" t="s">
        <v>2053</v>
      </c>
      <c r="J10" s="20" t="s">
        <v>2054</v>
      </c>
      <c r="K10" s="11" t="s">
        <v>1510</v>
      </c>
      <c r="L10" s="11"/>
      <c r="M10" s="11"/>
      <c r="N10" s="11"/>
      <c r="O10" s="9"/>
      <c r="P10" s="10"/>
      <c r="Q10" s="9"/>
    </row>
    <row r="11" spans="1:17" s="58" customFormat="1" ht="13.8">
      <c r="A11" s="54" t="s">
        <v>1391</v>
      </c>
      <c r="B11" s="19" t="s">
        <v>690</v>
      </c>
      <c r="C11" s="326" t="s">
        <v>2055</v>
      </c>
      <c r="D11" s="327"/>
      <c r="E11" s="327"/>
      <c r="F11" s="327"/>
      <c r="G11" s="328"/>
      <c r="H11" s="4" t="s">
        <v>2056</v>
      </c>
      <c r="I11" s="9"/>
      <c r="J11" s="9"/>
      <c r="K11" s="9"/>
      <c r="L11" s="9"/>
      <c r="M11" s="9"/>
      <c r="N11" s="9"/>
      <c r="O11" s="9"/>
      <c r="P11" s="9"/>
      <c r="Q11" s="9"/>
    </row>
    <row r="12" spans="1:17" s="58" customFormat="1" ht="13.8">
      <c r="A12" s="5" t="s">
        <v>1394</v>
      </c>
      <c r="B12" s="5" t="s">
        <v>2055</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2055</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691</v>
      </c>
      <c r="C15" s="322" t="s">
        <v>1511</v>
      </c>
      <c r="D15" s="322"/>
      <c r="E15" s="322"/>
      <c r="F15" s="322"/>
      <c r="G15" s="322"/>
      <c r="H15" s="322"/>
      <c r="I15" s="20" t="s">
        <v>2057</v>
      </c>
      <c r="J15" s="20" t="s">
        <v>2058</v>
      </c>
      <c r="K15" s="11" t="s">
        <v>1512</v>
      </c>
      <c r="L15" s="11"/>
      <c r="M15" s="11"/>
      <c r="N15" s="11"/>
      <c r="O15" s="9"/>
      <c r="P15" s="10"/>
      <c r="Q15" s="9"/>
    </row>
    <row r="16" spans="1:17" s="58" customFormat="1" ht="13.8">
      <c r="A16" s="54" t="s">
        <v>1391</v>
      </c>
      <c r="B16" s="19" t="s">
        <v>691</v>
      </c>
      <c r="C16" s="326" t="s">
        <v>2055</v>
      </c>
      <c r="D16" s="327"/>
      <c r="E16" s="327"/>
      <c r="F16" s="327"/>
      <c r="G16" s="328"/>
      <c r="H16" s="4" t="s">
        <v>2056</v>
      </c>
      <c r="I16" s="9"/>
      <c r="J16" s="9"/>
      <c r="K16" s="9"/>
      <c r="L16" s="9"/>
      <c r="M16" s="9"/>
      <c r="N16" s="9"/>
      <c r="O16" s="9"/>
      <c r="P16" s="9"/>
      <c r="Q16" s="9"/>
    </row>
    <row r="17" spans="1:17" s="58" customFormat="1" ht="13.8">
      <c r="A17" s="5" t="s">
        <v>1394</v>
      </c>
      <c r="B17" s="5" t="s">
        <v>2055</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2055</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692</v>
      </c>
      <c r="C19" s="322" t="s">
        <v>2059</v>
      </c>
      <c r="D19" s="322"/>
      <c r="E19" s="322"/>
      <c r="F19" s="322"/>
      <c r="G19" s="322"/>
      <c r="H19" s="322"/>
      <c r="I19" s="20" t="s">
        <v>2060</v>
      </c>
      <c r="J19" s="20" t="s">
        <v>2061</v>
      </c>
      <c r="K19" s="11" t="s">
        <v>1513</v>
      </c>
      <c r="L19" s="11"/>
      <c r="M19" s="11"/>
      <c r="N19" s="11"/>
      <c r="O19" s="9"/>
      <c r="P19" s="10"/>
      <c r="Q19" s="9"/>
    </row>
    <row r="20" spans="1:17" s="58" customFormat="1" ht="13.8">
      <c r="A20" s="54" t="s">
        <v>1391</v>
      </c>
      <c r="B20" s="19" t="s">
        <v>692</v>
      </c>
      <c r="C20" s="326" t="s">
        <v>2055</v>
      </c>
      <c r="D20" s="327"/>
      <c r="E20" s="327"/>
      <c r="F20" s="327"/>
      <c r="G20" s="328"/>
      <c r="H20" s="4" t="s">
        <v>2056</v>
      </c>
      <c r="I20" s="9"/>
      <c r="J20" s="9"/>
      <c r="K20" s="9"/>
      <c r="L20" s="9"/>
      <c r="M20" s="9"/>
      <c r="N20" s="9"/>
      <c r="O20" s="9"/>
      <c r="P20" s="9"/>
      <c r="Q20" s="9"/>
    </row>
    <row r="21" spans="1:17" s="58" customFormat="1" ht="13.8">
      <c r="A21" s="5" t="s">
        <v>1394</v>
      </c>
      <c r="B21" s="5" t="s">
        <v>2055</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2055</v>
      </c>
      <c r="C22" s="59" t="s">
        <v>1395</v>
      </c>
      <c r="D22" s="6" t="s">
        <v>97</v>
      </c>
      <c r="E22" s="6" t="s">
        <v>98</v>
      </c>
      <c r="F22" s="6" t="s">
        <v>1396</v>
      </c>
      <c r="G22" s="6" t="s">
        <v>1397</v>
      </c>
      <c r="H22" s="7"/>
      <c r="I22" s="9"/>
      <c r="J22" s="7"/>
      <c r="K22" s="12"/>
      <c r="L22" s="6"/>
      <c r="M22" s="6"/>
      <c r="N22" s="12"/>
      <c r="O22" s="7"/>
      <c r="P22" s="9"/>
      <c r="Q22" s="9"/>
    </row>
    <row r="23" spans="1:17" s="55" customFormat="1" ht="13.8">
      <c r="A23" s="54" t="s">
        <v>1385</v>
      </c>
      <c r="B23" s="17" t="s">
        <v>29</v>
      </c>
      <c r="C23" s="18"/>
      <c r="D23" s="18"/>
      <c r="E23" s="18"/>
      <c r="F23" s="18"/>
      <c r="G23" s="18"/>
      <c r="H23" s="18"/>
      <c r="I23" s="18"/>
      <c r="J23" s="18"/>
      <c r="K23" s="18"/>
      <c r="L23" s="8"/>
      <c r="M23" s="8"/>
      <c r="N23" s="8"/>
      <c r="O23" s="9"/>
      <c r="P23" s="10"/>
      <c r="Q23" s="9"/>
    </row>
    <row r="24" spans="1:17" s="57" customFormat="1" ht="51.6" customHeight="1">
      <c r="A24" s="56" t="s">
        <v>1386</v>
      </c>
      <c r="B24" s="3" t="s">
        <v>693</v>
      </c>
      <c r="C24" s="322" t="s">
        <v>2062</v>
      </c>
      <c r="D24" s="322"/>
      <c r="E24" s="322"/>
      <c r="F24" s="322"/>
      <c r="G24" s="322"/>
      <c r="H24" s="322"/>
      <c r="I24" s="20" t="s">
        <v>2063</v>
      </c>
      <c r="J24" s="20" t="s">
        <v>2064</v>
      </c>
      <c r="K24" s="11" t="s">
        <v>2065</v>
      </c>
      <c r="L24" s="11"/>
      <c r="M24" s="11"/>
      <c r="N24" s="11"/>
      <c r="O24" s="9"/>
      <c r="P24" s="10"/>
      <c r="Q24" s="9"/>
    </row>
    <row r="25" spans="1:17" s="58" customFormat="1" ht="13.8">
      <c r="A25" s="54" t="s">
        <v>1391</v>
      </c>
      <c r="B25" s="19" t="s">
        <v>693</v>
      </c>
      <c r="C25" s="326" t="s">
        <v>2055</v>
      </c>
      <c r="D25" s="327"/>
      <c r="E25" s="327"/>
      <c r="F25" s="327"/>
      <c r="G25" s="328"/>
      <c r="H25" s="4" t="s">
        <v>2056</v>
      </c>
      <c r="I25" s="9"/>
      <c r="J25" s="9"/>
      <c r="K25" s="9"/>
      <c r="L25" s="9"/>
      <c r="M25" s="9"/>
      <c r="N25" s="9"/>
      <c r="O25" s="9"/>
      <c r="P25" s="9"/>
      <c r="Q25" s="9"/>
    </row>
    <row r="26" spans="1:17" s="58" customFormat="1" ht="13.8">
      <c r="A26" s="5" t="s">
        <v>1394</v>
      </c>
      <c r="B26" s="5" t="s">
        <v>2055</v>
      </c>
      <c r="C26" s="59" t="s">
        <v>1395</v>
      </c>
      <c r="D26" s="6" t="s">
        <v>97</v>
      </c>
      <c r="E26" s="6" t="s">
        <v>98</v>
      </c>
      <c r="F26" s="6" t="s">
        <v>1396</v>
      </c>
      <c r="G26" s="6" t="s">
        <v>1397</v>
      </c>
      <c r="H26" s="7"/>
      <c r="I26" s="9"/>
      <c r="J26" s="7"/>
      <c r="K26" s="12"/>
      <c r="L26" s="6"/>
      <c r="M26" s="6"/>
      <c r="N26" s="12"/>
      <c r="O26" s="7"/>
      <c r="P26" s="9"/>
      <c r="Q26" s="9"/>
    </row>
    <row r="27" spans="1:17" s="58" customFormat="1" ht="13.8">
      <c r="A27" s="5" t="s">
        <v>1394</v>
      </c>
      <c r="B27" s="5" t="s">
        <v>2055</v>
      </c>
      <c r="C27" s="59" t="s">
        <v>1395</v>
      </c>
      <c r="D27" s="6" t="s">
        <v>97</v>
      </c>
      <c r="E27" s="6" t="s">
        <v>98</v>
      </c>
      <c r="F27" s="6" t="s">
        <v>1396</v>
      </c>
      <c r="G27" s="6" t="s">
        <v>1397</v>
      </c>
      <c r="H27" s="7"/>
      <c r="I27" s="9"/>
      <c r="J27" s="7"/>
      <c r="K27" s="12"/>
      <c r="L27" s="6"/>
      <c r="M27" s="6"/>
      <c r="N27" s="12"/>
      <c r="O27" s="7"/>
      <c r="P27" s="9"/>
      <c r="Q27" s="9"/>
    </row>
    <row r="28" spans="1:17" s="57" customFormat="1" ht="51.6" customHeight="1">
      <c r="A28" s="56" t="s">
        <v>1386</v>
      </c>
      <c r="B28" s="3" t="s">
        <v>694</v>
      </c>
      <c r="C28" s="322" t="s">
        <v>1514</v>
      </c>
      <c r="D28" s="322"/>
      <c r="E28" s="322"/>
      <c r="F28" s="322"/>
      <c r="G28" s="322"/>
      <c r="H28" s="322"/>
      <c r="I28" s="20" t="s">
        <v>2066</v>
      </c>
      <c r="J28" s="20" t="s">
        <v>2067</v>
      </c>
      <c r="K28" s="11" t="s">
        <v>1515</v>
      </c>
      <c r="L28" s="11"/>
      <c r="M28" s="11"/>
      <c r="N28" s="11"/>
      <c r="O28" s="9"/>
      <c r="P28" s="10"/>
      <c r="Q28" s="9"/>
    </row>
    <row r="29" spans="1:17" s="58" customFormat="1" ht="13.8">
      <c r="A29" s="54" t="s">
        <v>1391</v>
      </c>
      <c r="B29" s="19" t="s">
        <v>694</v>
      </c>
      <c r="C29" s="326" t="s">
        <v>2055</v>
      </c>
      <c r="D29" s="327"/>
      <c r="E29" s="327"/>
      <c r="F29" s="327"/>
      <c r="G29" s="328"/>
      <c r="H29" s="4" t="s">
        <v>2056</v>
      </c>
      <c r="I29" s="9"/>
      <c r="J29" s="9"/>
      <c r="K29" s="9"/>
      <c r="L29" s="9"/>
      <c r="M29" s="9"/>
      <c r="N29" s="9"/>
      <c r="O29" s="9"/>
      <c r="P29" s="9"/>
      <c r="Q29" s="9"/>
    </row>
    <row r="30" spans="1:17" s="58" customFormat="1" ht="13.8">
      <c r="A30" s="5" t="s">
        <v>1394</v>
      </c>
      <c r="B30" s="5" t="s">
        <v>2055</v>
      </c>
      <c r="C30" s="59" t="s">
        <v>1395</v>
      </c>
      <c r="D30" s="6" t="s">
        <v>97</v>
      </c>
      <c r="E30" s="6" t="s">
        <v>98</v>
      </c>
      <c r="F30" s="6" t="s">
        <v>1396</v>
      </c>
      <c r="G30" s="6" t="s">
        <v>1397</v>
      </c>
      <c r="H30" s="7"/>
      <c r="I30" s="9"/>
      <c r="J30" s="7"/>
      <c r="K30" s="12"/>
      <c r="L30" s="6"/>
      <c r="M30" s="6"/>
      <c r="N30" s="12"/>
      <c r="O30" s="7"/>
      <c r="P30" s="9"/>
      <c r="Q30" s="9"/>
    </row>
    <row r="31" spans="1:17" s="58" customFormat="1" ht="13.8">
      <c r="A31" s="5" t="s">
        <v>1394</v>
      </c>
      <c r="B31" s="5" t="s">
        <v>2055</v>
      </c>
      <c r="C31" s="59" t="s">
        <v>1395</v>
      </c>
      <c r="D31" s="6" t="s">
        <v>97</v>
      </c>
      <c r="E31" s="6" t="s">
        <v>98</v>
      </c>
      <c r="F31" s="6" t="s">
        <v>1396</v>
      </c>
      <c r="G31" s="6" t="s">
        <v>1397</v>
      </c>
      <c r="H31" s="7"/>
      <c r="I31" s="9"/>
      <c r="J31" s="7"/>
      <c r="K31" s="12"/>
      <c r="L31" s="6"/>
      <c r="M31" s="6"/>
      <c r="N31" s="12"/>
      <c r="O31" s="7"/>
      <c r="P31" s="9"/>
      <c r="Q31" s="9"/>
    </row>
    <row r="32" spans="1:17" s="57" customFormat="1" ht="51.6" customHeight="1">
      <c r="A32" s="56" t="s">
        <v>1386</v>
      </c>
      <c r="B32" s="3" t="s">
        <v>695</v>
      </c>
      <c r="C32" s="322" t="s">
        <v>2068</v>
      </c>
      <c r="D32" s="322"/>
      <c r="E32" s="322"/>
      <c r="F32" s="322"/>
      <c r="G32" s="322"/>
      <c r="H32" s="322"/>
      <c r="I32" s="20" t="s">
        <v>2069</v>
      </c>
      <c r="J32" s="20" t="s">
        <v>2070</v>
      </c>
      <c r="K32" s="11" t="s">
        <v>1516</v>
      </c>
      <c r="L32" s="11"/>
      <c r="M32" s="11"/>
      <c r="N32" s="11"/>
      <c r="O32" s="9"/>
      <c r="P32" s="10"/>
      <c r="Q32" s="9"/>
    </row>
    <row r="33" spans="1:17" s="58" customFormat="1" ht="13.8">
      <c r="A33" s="54" t="s">
        <v>1391</v>
      </c>
      <c r="B33" s="19" t="s">
        <v>695</v>
      </c>
      <c r="C33" s="326" t="s">
        <v>2055</v>
      </c>
      <c r="D33" s="327"/>
      <c r="E33" s="327"/>
      <c r="F33" s="327"/>
      <c r="G33" s="328"/>
      <c r="H33" s="4" t="s">
        <v>2056</v>
      </c>
      <c r="I33" s="9"/>
      <c r="J33" s="9"/>
      <c r="K33" s="9"/>
      <c r="L33" s="9"/>
      <c r="M33" s="9"/>
      <c r="N33" s="9"/>
      <c r="O33" s="9"/>
      <c r="P33" s="9"/>
      <c r="Q33" s="9"/>
    </row>
    <row r="34" spans="1:17" s="58" customFormat="1" ht="13.8">
      <c r="A34" s="5" t="s">
        <v>1394</v>
      </c>
      <c r="B34" s="5" t="s">
        <v>2055</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2055</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696</v>
      </c>
      <c r="C36" s="322" t="s">
        <v>1517</v>
      </c>
      <c r="D36" s="322"/>
      <c r="E36" s="322"/>
      <c r="F36" s="322"/>
      <c r="G36" s="322"/>
      <c r="H36" s="322"/>
      <c r="I36" s="20" t="s">
        <v>2071</v>
      </c>
      <c r="J36" s="20" t="s">
        <v>2072</v>
      </c>
      <c r="K36" s="11" t="s">
        <v>1518</v>
      </c>
      <c r="L36" s="11"/>
      <c r="M36" s="11"/>
      <c r="N36" s="11"/>
      <c r="O36" s="9"/>
      <c r="P36" s="10"/>
      <c r="Q36" s="9"/>
    </row>
    <row r="37" spans="1:17" s="58" customFormat="1" ht="13.8">
      <c r="A37" s="54" t="s">
        <v>1391</v>
      </c>
      <c r="B37" s="19" t="s">
        <v>696</v>
      </c>
      <c r="C37" s="326" t="s">
        <v>2055</v>
      </c>
      <c r="D37" s="327"/>
      <c r="E37" s="327"/>
      <c r="F37" s="327"/>
      <c r="G37" s="328"/>
      <c r="H37" s="4" t="s">
        <v>2056</v>
      </c>
      <c r="I37" s="9"/>
      <c r="J37" s="9"/>
      <c r="K37" s="9"/>
      <c r="L37" s="9"/>
      <c r="M37" s="9"/>
      <c r="N37" s="9"/>
      <c r="O37" s="9"/>
      <c r="P37" s="9"/>
      <c r="Q37" s="9"/>
    </row>
    <row r="38" spans="1:17" s="58" customFormat="1" ht="13.8">
      <c r="A38" s="5" t="s">
        <v>1394</v>
      </c>
      <c r="B38" s="5" t="s">
        <v>2055</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2055</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697</v>
      </c>
      <c r="C40" s="322" t="s">
        <v>1519</v>
      </c>
      <c r="D40" s="322"/>
      <c r="E40" s="322"/>
      <c r="F40" s="322"/>
      <c r="G40" s="322"/>
      <c r="H40" s="322"/>
      <c r="I40" s="20" t="s">
        <v>2073</v>
      </c>
      <c r="J40" s="20" t="s">
        <v>2074</v>
      </c>
      <c r="K40" s="11" t="s">
        <v>1520</v>
      </c>
      <c r="L40" s="11"/>
      <c r="M40" s="11"/>
      <c r="N40" s="11"/>
      <c r="O40" s="9"/>
      <c r="P40" s="10"/>
      <c r="Q40" s="9"/>
    </row>
    <row r="41" spans="1:17" s="58" customFormat="1" ht="13.8">
      <c r="A41" s="54" t="s">
        <v>1391</v>
      </c>
      <c r="B41" s="19" t="s">
        <v>697</v>
      </c>
      <c r="C41" s="326" t="s">
        <v>2055</v>
      </c>
      <c r="D41" s="327"/>
      <c r="E41" s="327"/>
      <c r="F41" s="327"/>
      <c r="G41" s="328"/>
      <c r="H41" s="4" t="s">
        <v>2056</v>
      </c>
      <c r="I41" s="9"/>
      <c r="J41" s="9"/>
      <c r="K41" s="9"/>
      <c r="L41" s="9"/>
      <c r="M41" s="9"/>
      <c r="N41" s="9"/>
      <c r="O41" s="9"/>
      <c r="P41" s="9"/>
      <c r="Q41" s="9"/>
    </row>
    <row r="42" spans="1:17" s="58" customFormat="1" ht="13.8">
      <c r="A42" s="5" t="s">
        <v>1394</v>
      </c>
      <c r="B42" s="5" t="s">
        <v>2055</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2055</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698</v>
      </c>
      <c r="C44" s="322" t="s">
        <v>1521</v>
      </c>
      <c r="D44" s="322"/>
      <c r="E44" s="322"/>
      <c r="F44" s="322"/>
      <c r="G44" s="322"/>
      <c r="H44" s="322"/>
      <c r="I44" s="20" t="s">
        <v>2075</v>
      </c>
      <c r="J44" s="20" t="s">
        <v>2076</v>
      </c>
      <c r="K44" s="11" t="s">
        <v>1522</v>
      </c>
      <c r="L44" s="11"/>
      <c r="M44" s="11"/>
      <c r="N44" s="11"/>
      <c r="O44" s="9"/>
      <c r="P44" s="10"/>
      <c r="Q44" s="9"/>
    </row>
    <row r="45" spans="1:17" s="58" customFormat="1" ht="13.8">
      <c r="A45" s="54" t="s">
        <v>1391</v>
      </c>
      <c r="B45" s="19" t="s">
        <v>698</v>
      </c>
      <c r="C45" s="326" t="s">
        <v>2055</v>
      </c>
      <c r="D45" s="327"/>
      <c r="E45" s="327"/>
      <c r="F45" s="327"/>
      <c r="G45" s="328"/>
      <c r="H45" s="4" t="s">
        <v>2056</v>
      </c>
      <c r="I45" s="9"/>
      <c r="J45" s="9"/>
      <c r="K45" s="9"/>
      <c r="L45" s="9"/>
      <c r="M45" s="9"/>
      <c r="N45" s="9"/>
      <c r="O45" s="9"/>
      <c r="P45" s="9"/>
      <c r="Q45" s="9"/>
    </row>
    <row r="46" spans="1:17" s="58" customFormat="1" ht="13.8">
      <c r="A46" s="5" t="s">
        <v>1394</v>
      </c>
      <c r="B46" s="5" t="s">
        <v>2055</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2055</v>
      </c>
      <c r="C47" s="59" t="s">
        <v>1395</v>
      </c>
      <c r="D47" s="6" t="s">
        <v>97</v>
      </c>
      <c r="E47" s="6" t="s">
        <v>98</v>
      </c>
      <c r="F47" s="6" t="s">
        <v>1396</v>
      </c>
      <c r="G47" s="6" t="s">
        <v>1397</v>
      </c>
      <c r="H47" s="7"/>
      <c r="I47" s="9"/>
      <c r="J47" s="7"/>
      <c r="K47" s="12"/>
      <c r="L47" s="6"/>
      <c r="M47" s="6"/>
      <c r="N47" s="12"/>
      <c r="O47" s="7"/>
      <c r="P47" s="9"/>
      <c r="Q47" s="9"/>
    </row>
  </sheetData>
  <mergeCells count="18">
    <mergeCell ref="C20:G20"/>
    <mergeCell ref="C10:H10"/>
    <mergeCell ref="C11:G11"/>
    <mergeCell ref="C15:H15"/>
    <mergeCell ref="C16:G16"/>
    <mergeCell ref="C19:H19"/>
    <mergeCell ref="C45:G45"/>
    <mergeCell ref="C24:H24"/>
    <mergeCell ref="C25:G25"/>
    <mergeCell ref="C28:H28"/>
    <mergeCell ref="C29:G29"/>
    <mergeCell ref="C32:H32"/>
    <mergeCell ref="C33:G33"/>
    <mergeCell ref="C36:H36"/>
    <mergeCell ref="C37:G37"/>
    <mergeCell ref="C40:H40"/>
    <mergeCell ref="C41:G41"/>
    <mergeCell ref="C44:H44"/>
  </mergeCells>
  <conditionalFormatting sqref="O9">
    <cfRule type="cellIs" dxfId="3371" priority="188" operator="equal">
      <formula>"U"</formula>
    </cfRule>
    <cfRule type="cellIs" dxfId="3370" priority="189" operator="equal">
      <formula>"S"</formula>
    </cfRule>
  </conditionalFormatting>
  <conditionalFormatting sqref="Q9">
    <cfRule type="cellIs" dxfId="3369" priority="187" operator="equal">
      <formula>"Y"</formula>
    </cfRule>
  </conditionalFormatting>
  <conditionalFormatting sqref="O10">
    <cfRule type="cellIs" dxfId="3368" priority="182" operator="equal">
      <formula>"NY"</formula>
    </cfRule>
    <cfRule type="cellIs" dxfId="3367" priority="183" operator="equal">
      <formula>"DM"</formula>
    </cfRule>
    <cfRule type="cellIs" dxfId="3366" priority="184" operator="equal">
      <formula>"PM"</formula>
    </cfRule>
    <cfRule type="cellIs" dxfId="3365" priority="185" operator="equal">
      <formula>"LM"</formula>
    </cfRule>
    <cfRule type="cellIs" dxfId="3364" priority="186" operator="equal">
      <formula>"FM"</formula>
    </cfRule>
  </conditionalFormatting>
  <conditionalFormatting sqref="Q10">
    <cfRule type="cellIs" dxfId="3363" priority="181" operator="equal">
      <formula>"Y"</formula>
    </cfRule>
  </conditionalFormatting>
  <conditionalFormatting sqref="O11">
    <cfRule type="cellIs" dxfId="3362" priority="176" operator="equal">
      <formula>"NY"</formula>
    </cfRule>
    <cfRule type="cellIs" dxfId="3361" priority="177" operator="equal">
      <formula>"DM"</formula>
    </cfRule>
    <cfRule type="cellIs" dxfId="3360" priority="178" operator="equal">
      <formula>"PM"</formula>
    </cfRule>
    <cfRule type="cellIs" dxfId="3359" priority="179" operator="equal">
      <formula>"LM"</formula>
    </cfRule>
    <cfRule type="cellIs" dxfId="3358" priority="180" operator="equal">
      <formula>"FM"</formula>
    </cfRule>
  </conditionalFormatting>
  <conditionalFormatting sqref="I11:J11">
    <cfRule type="cellIs" dxfId="3357" priority="174" operator="equal">
      <formula>"No"</formula>
    </cfRule>
    <cfRule type="cellIs" dxfId="3356" priority="175" operator="equal">
      <formula>"Yes"</formula>
    </cfRule>
  </conditionalFormatting>
  <conditionalFormatting sqref="Q11">
    <cfRule type="cellIs" dxfId="3355" priority="173" operator="equal">
      <formula>"Y"</formula>
    </cfRule>
  </conditionalFormatting>
  <conditionalFormatting sqref="I12">
    <cfRule type="cellIs" dxfId="3354" priority="171" operator="equal">
      <formula>"No"</formula>
    </cfRule>
    <cfRule type="cellIs" dxfId="3353" priority="172" operator="equal">
      <formula>"Yes"</formula>
    </cfRule>
  </conditionalFormatting>
  <conditionalFormatting sqref="Q12">
    <cfRule type="cellIs" dxfId="3352" priority="170" operator="equal">
      <formula>"Y"</formula>
    </cfRule>
  </conditionalFormatting>
  <conditionalFormatting sqref="I13">
    <cfRule type="cellIs" dxfId="3351" priority="168" operator="equal">
      <formula>"No"</formula>
    </cfRule>
    <cfRule type="cellIs" dxfId="3350" priority="169" operator="equal">
      <formula>"Yes"</formula>
    </cfRule>
  </conditionalFormatting>
  <conditionalFormatting sqref="Q13">
    <cfRule type="cellIs" dxfId="3349" priority="167" operator="equal">
      <formula>"Y"</formula>
    </cfRule>
  </conditionalFormatting>
  <conditionalFormatting sqref="O14">
    <cfRule type="cellIs" dxfId="3348" priority="165" operator="equal">
      <formula>"U"</formula>
    </cfRule>
    <cfRule type="cellIs" dxfId="3347" priority="166" operator="equal">
      <formula>"S"</formula>
    </cfRule>
  </conditionalFormatting>
  <conditionalFormatting sqref="Q14">
    <cfRule type="cellIs" dxfId="3346" priority="164" operator="equal">
      <formula>"Y"</formula>
    </cfRule>
  </conditionalFormatting>
  <conditionalFormatting sqref="O15">
    <cfRule type="cellIs" dxfId="3345" priority="159" operator="equal">
      <formula>"NY"</formula>
    </cfRule>
    <cfRule type="cellIs" dxfId="3344" priority="160" operator="equal">
      <formula>"DM"</formula>
    </cfRule>
    <cfRule type="cellIs" dxfId="3343" priority="161" operator="equal">
      <formula>"PM"</formula>
    </cfRule>
    <cfRule type="cellIs" dxfId="3342" priority="162" operator="equal">
      <formula>"LM"</formula>
    </cfRule>
    <cfRule type="cellIs" dxfId="3341" priority="163" operator="equal">
      <formula>"FM"</formula>
    </cfRule>
  </conditionalFormatting>
  <conditionalFormatting sqref="Q15">
    <cfRule type="cellIs" dxfId="3340" priority="158" operator="equal">
      <formula>"Y"</formula>
    </cfRule>
  </conditionalFormatting>
  <conditionalFormatting sqref="O16">
    <cfRule type="cellIs" dxfId="3339" priority="153" operator="equal">
      <formula>"NY"</formula>
    </cfRule>
    <cfRule type="cellIs" dxfId="3338" priority="154" operator="equal">
      <formula>"DM"</formula>
    </cfRule>
    <cfRule type="cellIs" dxfId="3337" priority="155" operator="equal">
      <formula>"PM"</formula>
    </cfRule>
    <cfRule type="cellIs" dxfId="3336" priority="156" operator="equal">
      <formula>"LM"</formula>
    </cfRule>
    <cfRule type="cellIs" dxfId="3335" priority="157" operator="equal">
      <formula>"FM"</formula>
    </cfRule>
  </conditionalFormatting>
  <conditionalFormatting sqref="I16:J16">
    <cfRule type="cellIs" dxfId="3334" priority="151" operator="equal">
      <formula>"No"</formula>
    </cfRule>
    <cfRule type="cellIs" dxfId="3333" priority="152" operator="equal">
      <formula>"Yes"</formula>
    </cfRule>
  </conditionalFormatting>
  <conditionalFormatting sqref="Q16">
    <cfRule type="cellIs" dxfId="3332" priority="150" operator="equal">
      <formula>"Y"</formula>
    </cfRule>
  </conditionalFormatting>
  <conditionalFormatting sqref="I17">
    <cfRule type="cellIs" dxfId="3331" priority="148" operator="equal">
      <formula>"No"</formula>
    </cfRule>
    <cfRule type="cellIs" dxfId="3330" priority="149" operator="equal">
      <formula>"Yes"</formula>
    </cfRule>
  </conditionalFormatting>
  <conditionalFormatting sqref="Q17">
    <cfRule type="cellIs" dxfId="3329" priority="147" operator="equal">
      <formula>"Y"</formula>
    </cfRule>
  </conditionalFormatting>
  <conditionalFormatting sqref="I18">
    <cfRule type="cellIs" dxfId="3328" priority="145" operator="equal">
      <formula>"No"</formula>
    </cfRule>
    <cfRule type="cellIs" dxfId="3327" priority="146" operator="equal">
      <formula>"Yes"</formula>
    </cfRule>
  </conditionalFormatting>
  <conditionalFormatting sqref="Q18">
    <cfRule type="cellIs" dxfId="3326" priority="144" operator="equal">
      <formula>"Y"</formula>
    </cfRule>
  </conditionalFormatting>
  <conditionalFormatting sqref="O19">
    <cfRule type="cellIs" dxfId="3325" priority="139" operator="equal">
      <formula>"NY"</formula>
    </cfRule>
    <cfRule type="cellIs" dxfId="3324" priority="140" operator="equal">
      <formula>"DM"</formula>
    </cfRule>
    <cfRule type="cellIs" dxfId="3323" priority="141" operator="equal">
      <formula>"PM"</formula>
    </cfRule>
    <cfRule type="cellIs" dxfId="3322" priority="142" operator="equal">
      <formula>"LM"</formula>
    </cfRule>
    <cfRule type="cellIs" dxfId="3321" priority="143" operator="equal">
      <formula>"FM"</formula>
    </cfRule>
  </conditionalFormatting>
  <conditionalFormatting sqref="Q19">
    <cfRule type="cellIs" dxfId="3320" priority="138" operator="equal">
      <formula>"Y"</formula>
    </cfRule>
  </conditionalFormatting>
  <conditionalFormatting sqref="O20">
    <cfRule type="cellIs" dxfId="3319" priority="133" operator="equal">
      <formula>"NY"</formula>
    </cfRule>
    <cfRule type="cellIs" dxfId="3318" priority="134" operator="equal">
      <formula>"DM"</formula>
    </cfRule>
    <cfRule type="cellIs" dxfId="3317" priority="135" operator="equal">
      <formula>"PM"</formula>
    </cfRule>
    <cfRule type="cellIs" dxfId="3316" priority="136" operator="equal">
      <formula>"LM"</formula>
    </cfRule>
    <cfRule type="cellIs" dxfId="3315" priority="137" operator="equal">
      <formula>"FM"</formula>
    </cfRule>
  </conditionalFormatting>
  <conditionalFormatting sqref="I20:J20">
    <cfRule type="cellIs" dxfId="3314" priority="131" operator="equal">
      <formula>"No"</formula>
    </cfRule>
    <cfRule type="cellIs" dxfId="3313" priority="132" operator="equal">
      <formula>"Yes"</formula>
    </cfRule>
  </conditionalFormatting>
  <conditionalFormatting sqref="Q20">
    <cfRule type="cellIs" dxfId="3312" priority="130" operator="equal">
      <formula>"Y"</formula>
    </cfRule>
  </conditionalFormatting>
  <conditionalFormatting sqref="I21">
    <cfRule type="cellIs" dxfId="3311" priority="128" operator="equal">
      <formula>"No"</formula>
    </cfRule>
    <cfRule type="cellIs" dxfId="3310" priority="129" operator="equal">
      <formula>"Yes"</formula>
    </cfRule>
  </conditionalFormatting>
  <conditionalFormatting sqref="Q21">
    <cfRule type="cellIs" dxfId="3309" priority="127" operator="equal">
      <formula>"Y"</formula>
    </cfRule>
  </conditionalFormatting>
  <conditionalFormatting sqref="I22">
    <cfRule type="cellIs" dxfId="3308" priority="125" operator="equal">
      <formula>"No"</formula>
    </cfRule>
    <cfRule type="cellIs" dxfId="3307" priority="126" operator="equal">
      <formula>"Yes"</formula>
    </cfRule>
  </conditionalFormatting>
  <conditionalFormatting sqref="Q22">
    <cfRule type="cellIs" dxfId="3306" priority="124" operator="equal">
      <formula>"Y"</formula>
    </cfRule>
  </conditionalFormatting>
  <conditionalFormatting sqref="O23">
    <cfRule type="cellIs" dxfId="3305" priority="122" operator="equal">
      <formula>"U"</formula>
    </cfRule>
    <cfRule type="cellIs" dxfId="3304" priority="123" operator="equal">
      <formula>"S"</formula>
    </cfRule>
  </conditionalFormatting>
  <conditionalFormatting sqref="Q23">
    <cfRule type="cellIs" dxfId="3303" priority="121" operator="equal">
      <formula>"Y"</formula>
    </cfRule>
  </conditionalFormatting>
  <conditionalFormatting sqref="O24">
    <cfRule type="cellIs" dxfId="3302" priority="116" operator="equal">
      <formula>"NY"</formula>
    </cfRule>
    <cfRule type="cellIs" dxfId="3301" priority="117" operator="equal">
      <formula>"DM"</formula>
    </cfRule>
    <cfRule type="cellIs" dxfId="3300" priority="118" operator="equal">
      <formula>"PM"</formula>
    </cfRule>
    <cfRule type="cellIs" dxfId="3299" priority="119" operator="equal">
      <formula>"LM"</formula>
    </cfRule>
    <cfRule type="cellIs" dxfId="3298" priority="120" operator="equal">
      <formula>"FM"</formula>
    </cfRule>
  </conditionalFormatting>
  <conditionalFormatting sqref="Q24">
    <cfRule type="cellIs" dxfId="3297" priority="115" operator="equal">
      <formula>"Y"</formula>
    </cfRule>
  </conditionalFormatting>
  <conditionalFormatting sqref="O25">
    <cfRule type="cellIs" dxfId="3296" priority="110" operator="equal">
      <formula>"NY"</formula>
    </cfRule>
    <cfRule type="cellIs" dxfId="3295" priority="111" operator="equal">
      <formula>"DM"</formula>
    </cfRule>
    <cfRule type="cellIs" dxfId="3294" priority="112" operator="equal">
      <formula>"PM"</formula>
    </cfRule>
    <cfRule type="cellIs" dxfId="3293" priority="113" operator="equal">
      <formula>"LM"</formula>
    </cfRule>
    <cfRule type="cellIs" dxfId="3292" priority="114" operator="equal">
      <formula>"FM"</formula>
    </cfRule>
  </conditionalFormatting>
  <conditionalFormatting sqref="I25:J25">
    <cfRule type="cellIs" dxfId="3291" priority="108" operator="equal">
      <formula>"No"</formula>
    </cfRule>
    <cfRule type="cellIs" dxfId="3290" priority="109" operator="equal">
      <formula>"Yes"</formula>
    </cfRule>
  </conditionalFormatting>
  <conditionalFormatting sqref="Q25">
    <cfRule type="cellIs" dxfId="3289" priority="107" operator="equal">
      <formula>"Y"</formula>
    </cfRule>
  </conditionalFormatting>
  <conditionalFormatting sqref="I26">
    <cfRule type="cellIs" dxfId="3288" priority="105" operator="equal">
      <formula>"No"</formula>
    </cfRule>
    <cfRule type="cellIs" dxfId="3287" priority="106" operator="equal">
      <formula>"Yes"</formula>
    </cfRule>
  </conditionalFormatting>
  <conditionalFormatting sqref="Q26">
    <cfRule type="cellIs" dxfId="3286" priority="104" operator="equal">
      <formula>"Y"</formula>
    </cfRule>
  </conditionalFormatting>
  <conditionalFormatting sqref="I27">
    <cfRule type="cellIs" dxfId="3285" priority="102" operator="equal">
      <formula>"No"</formula>
    </cfRule>
    <cfRule type="cellIs" dxfId="3284" priority="103" operator="equal">
      <formula>"Yes"</formula>
    </cfRule>
  </conditionalFormatting>
  <conditionalFormatting sqref="Q27">
    <cfRule type="cellIs" dxfId="3283" priority="101" operator="equal">
      <formula>"Y"</formula>
    </cfRule>
  </conditionalFormatting>
  <conditionalFormatting sqref="O28">
    <cfRule type="cellIs" dxfId="3282" priority="96" operator="equal">
      <formula>"NY"</formula>
    </cfRule>
    <cfRule type="cellIs" dxfId="3281" priority="97" operator="equal">
      <formula>"DM"</formula>
    </cfRule>
    <cfRule type="cellIs" dxfId="3280" priority="98" operator="equal">
      <formula>"PM"</formula>
    </cfRule>
    <cfRule type="cellIs" dxfId="3279" priority="99" operator="equal">
      <formula>"LM"</formula>
    </cfRule>
    <cfRule type="cellIs" dxfId="3278" priority="100" operator="equal">
      <formula>"FM"</formula>
    </cfRule>
  </conditionalFormatting>
  <conditionalFormatting sqref="Q28">
    <cfRule type="cellIs" dxfId="3277" priority="95" operator="equal">
      <formula>"Y"</formula>
    </cfRule>
  </conditionalFormatting>
  <conditionalFormatting sqref="O29">
    <cfRule type="cellIs" dxfId="3276" priority="90" operator="equal">
      <formula>"NY"</formula>
    </cfRule>
    <cfRule type="cellIs" dxfId="3275" priority="91" operator="equal">
      <formula>"DM"</formula>
    </cfRule>
    <cfRule type="cellIs" dxfId="3274" priority="92" operator="equal">
      <formula>"PM"</formula>
    </cfRule>
    <cfRule type="cellIs" dxfId="3273" priority="93" operator="equal">
      <formula>"LM"</formula>
    </cfRule>
    <cfRule type="cellIs" dxfId="3272" priority="94" operator="equal">
      <formula>"FM"</formula>
    </cfRule>
  </conditionalFormatting>
  <conditionalFormatting sqref="I29:J29">
    <cfRule type="cellIs" dxfId="3271" priority="88" operator="equal">
      <formula>"No"</formula>
    </cfRule>
    <cfRule type="cellIs" dxfId="3270" priority="89" operator="equal">
      <formula>"Yes"</formula>
    </cfRule>
  </conditionalFormatting>
  <conditionalFormatting sqref="Q29">
    <cfRule type="cellIs" dxfId="3269" priority="87" operator="equal">
      <formula>"Y"</formula>
    </cfRule>
  </conditionalFormatting>
  <conditionalFormatting sqref="I30">
    <cfRule type="cellIs" dxfId="3268" priority="85" operator="equal">
      <formula>"No"</formula>
    </cfRule>
    <cfRule type="cellIs" dxfId="3267" priority="86" operator="equal">
      <formula>"Yes"</formula>
    </cfRule>
  </conditionalFormatting>
  <conditionalFormatting sqref="Q30">
    <cfRule type="cellIs" dxfId="3266" priority="84" operator="equal">
      <formula>"Y"</formula>
    </cfRule>
  </conditionalFormatting>
  <conditionalFormatting sqref="I31">
    <cfRule type="cellIs" dxfId="3265" priority="82" operator="equal">
      <formula>"No"</formula>
    </cfRule>
    <cfRule type="cellIs" dxfId="3264" priority="83" operator="equal">
      <formula>"Yes"</formula>
    </cfRule>
  </conditionalFormatting>
  <conditionalFormatting sqref="Q31">
    <cfRule type="cellIs" dxfId="3263" priority="81" operator="equal">
      <formula>"Y"</formula>
    </cfRule>
  </conditionalFormatting>
  <conditionalFormatting sqref="O32">
    <cfRule type="cellIs" dxfId="3262" priority="76" operator="equal">
      <formula>"NY"</formula>
    </cfRule>
    <cfRule type="cellIs" dxfId="3261" priority="77" operator="equal">
      <formula>"DM"</formula>
    </cfRule>
    <cfRule type="cellIs" dxfId="3260" priority="78" operator="equal">
      <formula>"PM"</formula>
    </cfRule>
    <cfRule type="cellIs" dxfId="3259" priority="79" operator="equal">
      <formula>"LM"</formula>
    </cfRule>
    <cfRule type="cellIs" dxfId="3258" priority="80" operator="equal">
      <formula>"FM"</formula>
    </cfRule>
  </conditionalFormatting>
  <conditionalFormatting sqref="Q32">
    <cfRule type="cellIs" dxfId="3257" priority="75" operator="equal">
      <formula>"Y"</formula>
    </cfRule>
  </conditionalFormatting>
  <conditionalFormatting sqref="O33">
    <cfRule type="cellIs" dxfId="3256" priority="70" operator="equal">
      <formula>"NY"</formula>
    </cfRule>
    <cfRule type="cellIs" dxfId="3255" priority="71" operator="equal">
      <formula>"DM"</formula>
    </cfRule>
    <cfRule type="cellIs" dxfId="3254" priority="72" operator="equal">
      <formula>"PM"</formula>
    </cfRule>
    <cfRule type="cellIs" dxfId="3253" priority="73" operator="equal">
      <formula>"LM"</formula>
    </cfRule>
    <cfRule type="cellIs" dxfId="3252" priority="74" operator="equal">
      <formula>"FM"</formula>
    </cfRule>
  </conditionalFormatting>
  <conditionalFormatting sqref="I33:J33">
    <cfRule type="cellIs" dxfId="3251" priority="68" operator="equal">
      <formula>"No"</formula>
    </cfRule>
    <cfRule type="cellIs" dxfId="3250" priority="69" operator="equal">
      <formula>"Yes"</formula>
    </cfRule>
  </conditionalFormatting>
  <conditionalFormatting sqref="Q33">
    <cfRule type="cellIs" dxfId="3249" priority="67" operator="equal">
      <formula>"Y"</formula>
    </cfRule>
  </conditionalFormatting>
  <conditionalFormatting sqref="I34">
    <cfRule type="cellIs" dxfId="3248" priority="65" operator="equal">
      <formula>"No"</formula>
    </cfRule>
    <cfRule type="cellIs" dxfId="3247" priority="66" operator="equal">
      <formula>"Yes"</formula>
    </cfRule>
  </conditionalFormatting>
  <conditionalFormatting sqref="Q34">
    <cfRule type="cellIs" dxfId="3246" priority="64" operator="equal">
      <formula>"Y"</formula>
    </cfRule>
  </conditionalFormatting>
  <conditionalFormatting sqref="I35">
    <cfRule type="cellIs" dxfId="3245" priority="62" operator="equal">
      <formula>"No"</formula>
    </cfRule>
    <cfRule type="cellIs" dxfId="3244" priority="63" operator="equal">
      <formula>"Yes"</formula>
    </cfRule>
  </conditionalFormatting>
  <conditionalFormatting sqref="Q35">
    <cfRule type="cellIs" dxfId="3243" priority="61" operator="equal">
      <formula>"Y"</formula>
    </cfRule>
  </conditionalFormatting>
  <conditionalFormatting sqref="O36">
    <cfRule type="cellIs" dxfId="3242" priority="56" operator="equal">
      <formula>"NY"</formula>
    </cfRule>
    <cfRule type="cellIs" dxfId="3241" priority="57" operator="equal">
      <formula>"DM"</formula>
    </cfRule>
    <cfRule type="cellIs" dxfId="3240" priority="58" operator="equal">
      <formula>"PM"</formula>
    </cfRule>
    <cfRule type="cellIs" dxfId="3239" priority="59" operator="equal">
      <formula>"LM"</formula>
    </cfRule>
    <cfRule type="cellIs" dxfId="3238" priority="60" operator="equal">
      <formula>"FM"</formula>
    </cfRule>
  </conditionalFormatting>
  <conditionalFormatting sqref="Q36">
    <cfRule type="cellIs" dxfId="3237" priority="55" operator="equal">
      <formula>"Y"</formula>
    </cfRule>
  </conditionalFormatting>
  <conditionalFormatting sqref="O37">
    <cfRule type="cellIs" dxfId="3236" priority="50" operator="equal">
      <formula>"NY"</formula>
    </cfRule>
    <cfRule type="cellIs" dxfId="3235" priority="51" operator="equal">
      <formula>"DM"</formula>
    </cfRule>
    <cfRule type="cellIs" dxfId="3234" priority="52" operator="equal">
      <formula>"PM"</formula>
    </cfRule>
    <cfRule type="cellIs" dxfId="3233" priority="53" operator="equal">
      <formula>"LM"</formula>
    </cfRule>
    <cfRule type="cellIs" dxfId="3232" priority="54" operator="equal">
      <formula>"FM"</formula>
    </cfRule>
  </conditionalFormatting>
  <conditionalFormatting sqref="I37:J37">
    <cfRule type="cellIs" dxfId="3231" priority="48" operator="equal">
      <formula>"No"</formula>
    </cfRule>
    <cfRule type="cellIs" dxfId="3230" priority="49" operator="equal">
      <formula>"Yes"</formula>
    </cfRule>
  </conditionalFormatting>
  <conditionalFormatting sqref="Q37">
    <cfRule type="cellIs" dxfId="3229" priority="47" operator="equal">
      <formula>"Y"</formula>
    </cfRule>
  </conditionalFormatting>
  <conditionalFormatting sqref="I38">
    <cfRule type="cellIs" dxfId="3228" priority="45" operator="equal">
      <formula>"No"</formula>
    </cfRule>
    <cfRule type="cellIs" dxfId="3227" priority="46" operator="equal">
      <formula>"Yes"</formula>
    </cfRule>
  </conditionalFormatting>
  <conditionalFormatting sqref="Q38">
    <cfRule type="cellIs" dxfId="3226" priority="44" operator="equal">
      <formula>"Y"</formula>
    </cfRule>
  </conditionalFormatting>
  <conditionalFormatting sqref="I39">
    <cfRule type="cellIs" dxfId="3225" priority="42" operator="equal">
      <formula>"No"</formula>
    </cfRule>
    <cfRule type="cellIs" dxfId="3224" priority="43" operator="equal">
      <formula>"Yes"</formula>
    </cfRule>
  </conditionalFormatting>
  <conditionalFormatting sqref="Q39">
    <cfRule type="cellIs" dxfId="3223" priority="41" operator="equal">
      <formula>"Y"</formula>
    </cfRule>
  </conditionalFormatting>
  <conditionalFormatting sqref="O40">
    <cfRule type="cellIs" dxfId="3222" priority="36" operator="equal">
      <formula>"NY"</formula>
    </cfRule>
    <cfRule type="cellIs" dxfId="3221" priority="37" operator="equal">
      <formula>"DM"</formula>
    </cfRule>
    <cfRule type="cellIs" dxfId="3220" priority="38" operator="equal">
      <formula>"PM"</formula>
    </cfRule>
    <cfRule type="cellIs" dxfId="3219" priority="39" operator="equal">
      <formula>"LM"</formula>
    </cfRule>
    <cfRule type="cellIs" dxfId="3218" priority="40" operator="equal">
      <formula>"FM"</formula>
    </cfRule>
  </conditionalFormatting>
  <conditionalFormatting sqref="Q40">
    <cfRule type="cellIs" dxfId="3217" priority="35" operator="equal">
      <formula>"Y"</formula>
    </cfRule>
  </conditionalFormatting>
  <conditionalFormatting sqref="O41">
    <cfRule type="cellIs" dxfId="3216" priority="30" operator="equal">
      <formula>"NY"</formula>
    </cfRule>
    <cfRule type="cellIs" dxfId="3215" priority="31" operator="equal">
      <formula>"DM"</formula>
    </cfRule>
    <cfRule type="cellIs" dxfId="3214" priority="32" operator="equal">
      <formula>"PM"</formula>
    </cfRule>
    <cfRule type="cellIs" dxfId="3213" priority="33" operator="equal">
      <formula>"LM"</formula>
    </cfRule>
    <cfRule type="cellIs" dxfId="3212" priority="34" operator="equal">
      <formula>"FM"</formula>
    </cfRule>
  </conditionalFormatting>
  <conditionalFormatting sqref="I41:J41">
    <cfRule type="cellIs" dxfId="3211" priority="28" operator="equal">
      <formula>"No"</formula>
    </cfRule>
    <cfRule type="cellIs" dxfId="3210" priority="29" operator="equal">
      <formula>"Yes"</formula>
    </cfRule>
  </conditionalFormatting>
  <conditionalFormatting sqref="Q41">
    <cfRule type="cellIs" dxfId="3209" priority="27" operator="equal">
      <formula>"Y"</formula>
    </cfRule>
  </conditionalFormatting>
  <conditionalFormatting sqref="I42">
    <cfRule type="cellIs" dxfId="3208" priority="25" operator="equal">
      <formula>"No"</formula>
    </cfRule>
    <cfRule type="cellIs" dxfId="3207" priority="26" operator="equal">
      <formula>"Yes"</formula>
    </cfRule>
  </conditionalFormatting>
  <conditionalFormatting sqref="Q42">
    <cfRule type="cellIs" dxfId="3206" priority="24" operator="equal">
      <formula>"Y"</formula>
    </cfRule>
  </conditionalFormatting>
  <conditionalFormatting sqref="I43">
    <cfRule type="cellIs" dxfId="3205" priority="22" operator="equal">
      <formula>"No"</formula>
    </cfRule>
    <cfRule type="cellIs" dxfId="3204" priority="23" operator="equal">
      <formula>"Yes"</formula>
    </cfRule>
  </conditionalFormatting>
  <conditionalFormatting sqref="Q43">
    <cfRule type="cellIs" dxfId="3203" priority="21" operator="equal">
      <formula>"Y"</formula>
    </cfRule>
  </conditionalFormatting>
  <conditionalFormatting sqref="O44">
    <cfRule type="cellIs" dxfId="3202" priority="16" operator="equal">
      <formula>"NY"</formula>
    </cfRule>
    <cfRule type="cellIs" dxfId="3201" priority="17" operator="equal">
      <formula>"DM"</formula>
    </cfRule>
    <cfRule type="cellIs" dxfId="3200" priority="18" operator="equal">
      <formula>"PM"</formula>
    </cfRule>
    <cfRule type="cellIs" dxfId="3199" priority="19" operator="equal">
      <formula>"LM"</formula>
    </cfRule>
    <cfRule type="cellIs" dxfId="3198" priority="20" operator="equal">
      <formula>"FM"</formula>
    </cfRule>
  </conditionalFormatting>
  <conditionalFormatting sqref="Q44">
    <cfRule type="cellIs" dxfId="3197" priority="15" operator="equal">
      <formula>"Y"</formula>
    </cfRule>
  </conditionalFormatting>
  <conditionalFormatting sqref="O45">
    <cfRule type="cellIs" dxfId="3196" priority="10" operator="equal">
      <formula>"NY"</formula>
    </cfRule>
    <cfRule type="cellIs" dxfId="3195" priority="11" operator="equal">
      <formula>"DM"</formula>
    </cfRule>
    <cfRule type="cellIs" dxfId="3194" priority="12" operator="equal">
      <formula>"PM"</formula>
    </cfRule>
    <cfRule type="cellIs" dxfId="3193" priority="13" operator="equal">
      <formula>"LM"</formula>
    </cfRule>
    <cfRule type="cellIs" dxfId="3192" priority="14" operator="equal">
      <formula>"FM"</formula>
    </cfRule>
  </conditionalFormatting>
  <conditionalFormatting sqref="I45:J45">
    <cfRule type="cellIs" dxfId="3191" priority="8" operator="equal">
      <formula>"No"</formula>
    </cfRule>
    <cfRule type="cellIs" dxfId="3190" priority="9" operator="equal">
      <formula>"Yes"</formula>
    </cfRule>
  </conditionalFormatting>
  <conditionalFormatting sqref="Q45">
    <cfRule type="cellIs" dxfId="3189" priority="7" operator="equal">
      <formula>"Y"</formula>
    </cfRule>
  </conditionalFormatting>
  <conditionalFormatting sqref="I46">
    <cfRule type="cellIs" dxfId="3188" priority="5" operator="equal">
      <formula>"No"</formula>
    </cfRule>
    <cfRule type="cellIs" dxfId="3187" priority="6" operator="equal">
      <formula>"Yes"</formula>
    </cfRule>
  </conditionalFormatting>
  <conditionalFormatting sqref="Q46">
    <cfRule type="cellIs" dxfId="3186" priority="4" operator="equal">
      <formula>"Y"</formula>
    </cfRule>
  </conditionalFormatting>
  <conditionalFormatting sqref="I47">
    <cfRule type="cellIs" dxfId="3185" priority="2" operator="equal">
      <formula>"No"</formula>
    </cfRule>
    <cfRule type="cellIs" dxfId="3184" priority="3" operator="equal">
      <formula>"Yes"</formula>
    </cfRule>
  </conditionalFormatting>
  <conditionalFormatting sqref="Q47">
    <cfRule type="cellIs" dxfId="3183" priority="1" operator="equal">
      <formula>"Y"</formula>
    </cfRule>
  </conditionalFormatting>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0A8A-8524-4254-8F59-F9E4DFA5CC78}">
  <sheetPr codeName="Sheet42"/>
  <dimension ref="A1:Q35"/>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1436</v>
      </c>
    </row>
    <row r="2" spans="1:17" s="61" customFormat="1" ht="21">
      <c r="A2" s="60" t="s">
        <v>1437</v>
      </c>
    </row>
    <row r="3" spans="1:17">
      <c r="A3" s="62" t="s">
        <v>1707</v>
      </c>
      <c r="B3" s="63" t="s">
        <v>2077</v>
      </c>
    </row>
    <row r="4" spans="1:17">
      <c r="A4" s="63" t="s">
        <v>1401</v>
      </c>
      <c r="B4" s="63" t="s">
        <v>1438</v>
      </c>
    </row>
    <row r="5" spans="1:17">
      <c r="A5" s="62" t="s">
        <v>1709</v>
      </c>
      <c r="B5" s="63" t="s">
        <v>2078</v>
      </c>
    </row>
    <row r="6" spans="1:17">
      <c r="A6" s="63" t="s">
        <v>1402</v>
      </c>
      <c r="B6" s="63" t="s">
        <v>1439</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895</v>
      </c>
      <c r="C10" s="322" t="s">
        <v>2079</v>
      </c>
      <c r="D10" s="322"/>
      <c r="E10" s="322"/>
      <c r="F10" s="322"/>
      <c r="G10" s="322"/>
      <c r="H10" s="322"/>
      <c r="I10" s="20" t="s">
        <v>2080</v>
      </c>
      <c r="J10" s="20" t="s">
        <v>2081</v>
      </c>
      <c r="K10" s="11" t="s">
        <v>2082</v>
      </c>
      <c r="L10" s="11"/>
      <c r="M10" s="11"/>
      <c r="N10" s="11"/>
      <c r="O10" s="9"/>
      <c r="P10" s="10"/>
      <c r="Q10" s="9"/>
    </row>
    <row r="11" spans="1:17" s="58" customFormat="1" ht="13.8">
      <c r="A11" s="54" t="s">
        <v>1391</v>
      </c>
      <c r="B11" s="19" t="s">
        <v>895</v>
      </c>
      <c r="C11" s="326" t="s">
        <v>2033</v>
      </c>
      <c r="D11" s="327"/>
      <c r="E11" s="327"/>
      <c r="F11" s="327"/>
      <c r="G11" s="328"/>
      <c r="H11" s="4" t="s">
        <v>2034</v>
      </c>
      <c r="I11" s="9"/>
      <c r="J11" s="9"/>
      <c r="K11" s="9"/>
      <c r="L11" s="9"/>
      <c r="M11" s="9"/>
      <c r="N11" s="9"/>
      <c r="O11" s="9"/>
      <c r="P11" s="9"/>
      <c r="Q11" s="9"/>
    </row>
    <row r="12" spans="1:17" s="58" customFormat="1" ht="13.8">
      <c r="A12" s="5" t="s">
        <v>1394</v>
      </c>
      <c r="B12" s="5" t="s">
        <v>2033</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2033</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896</v>
      </c>
      <c r="C15" s="322" t="s">
        <v>1440</v>
      </c>
      <c r="D15" s="322"/>
      <c r="E15" s="322"/>
      <c r="F15" s="322"/>
      <c r="G15" s="322"/>
      <c r="H15" s="322"/>
      <c r="I15" s="20" t="s">
        <v>2083</v>
      </c>
      <c r="J15" s="20" t="s">
        <v>2084</v>
      </c>
      <c r="K15" s="11" t="s">
        <v>2085</v>
      </c>
      <c r="L15" s="11"/>
      <c r="M15" s="11"/>
      <c r="N15" s="11"/>
      <c r="O15" s="9"/>
      <c r="P15" s="10"/>
      <c r="Q15" s="9"/>
    </row>
    <row r="16" spans="1:17" s="58" customFormat="1" ht="13.8">
      <c r="A16" s="54" t="s">
        <v>1391</v>
      </c>
      <c r="B16" s="19" t="s">
        <v>896</v>
      </c>
      <c r="C16" s="326" t="s">
        <v>2033</v>
      </c>
      <c r="D16" s="327"/>
      <c r="E16" s="327"/>
      <c r="F16" s="327"/>
      <c r="G16" s="328"/>
      <c r="H16" s="4" t="s">
        <v>2034</v>
      </c>
      <c r="I16" s="9"/>
      <c r="J16" s="9"/>
      <c r="K16" s="9"/>
      <c r="L16" s="9"/>
      <c r="M16" s="9"/>
      <c r="N16" s="9"/>
      <c r="O16" s="9"/>
      <c r="P16" s="9"/>
      <c r="Q16" s="9"/>
    </row>
    <row r="17" spans="1:17" s="58" customFormat="1" ht="13.8">
      <c r="A17" s="5" t="s">
        <v>1394</v>
      </c>
      <c r="B17" s="5" t="s">
        <v>2033</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2033</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897</v>
      </c>
      <c r="C19" s="322" t="s">
        <v>1441</v>
      </c>
      <c r="D19" s="322"/>
      <c r="E19" s="322"/>
      <c r="F19" s="322"/>
      <c r="G19" s="322"/>
      <c r="H19" s="322"/>
      <c r="I19" s="20" t="s">
        <v>2086</v>
      </c>
      <c r="J19" s="20" t="s">
        <v>2087</v>
      </c>
      <c r="K19" s="11" t="s">
        <v>2088</v>
      </c>
      <c r="L19" s="11"/>
      <c r="M19" s="11"/>
      <c r="N19" s="11"/>
      <c r="O19" s="9"/>
      <c r="P19" s="10"/>
      <c r="Q19" s="9"/>
    </row>
    <row r="20" spans="1:17" s="58" customFormat="1" ht="13.8">
      <c r="A20" s="54" t="s">
        <v>1391</v>
      </c>
      <c r="B20" s="19" t="s">
        <v>897</v>
      </c>
      <c r="C20" s="326" t="s">
        <v>2033</v>
      </c>
      <c r="D20" s="327"/>
      <c r="E20" s="327"/>
      <c r="F20" s="327"/>
      <c r="G20" s="328"/>
      <c r="H20" s="4" t="s">
        <v>2034</v>
      </c>
      <c r="I20" s="9"/>
      <c r="J20" s="9"/>
      <c r="K20" s="9"/>
      <c r="L20" s="9"/>
      <c r="M20" s="9"/>
      <c r="N20" s="9"/>
      <c r="O20" s="9"/>
      <c r="P20" s="9"/>
      <c r="Q20" s="9"/>
    </row>
    <row r="21" spans="1:17" s="58" customFormat="1" ht="13.8">
      <c r="A21" s="5" t="s">
        <v>1394</v>
      </c>
      <c r="B21" s="5" t="s">
        <v>2033</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2033</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898</v>
      </c>
      <c r="C23" s="322" t="s">
        <v>2089</v>
      </c>
      <c r="D23" s="322"/>
      <c r="E23" s="322"/>
      <c r="F23" s="322"/>
      <c r="G23" s="322"/>
      <c r="H23" s="322"/>
      <c r="I23" s="20" t="s">
        <v>2090</v>
      </c>
      <c r="J23" s="20" t="s">
        <v>2091</v>
      </c>
      <c r="K23" s="11" t="s">
        <v>2092</v>
      </c>
      <c r="L23" s="11"/>
      <c r="M23" s="11"/>
      <c r="N23" s="11"/>
      <c r="O23" s="9"/>
      <c r="P23" s="10"/>
      <c r="Q23" s="9"/>
    </row>
    <row r="24" spans="1:17" s="58" customFormat="1" ht="13.8">
      <c r="A24" s="54" t="s">
        <v>1391</v>
      </c>
      <c r="B24" s="19" t="s">
        <v>898</v>
      </c>
      <c r="C24" s="326" t="s">
        <v>2033</v>
      </c>
      <c r="D24" s="327"/>
      <c r="E24" s="327"/>
      <c r="F24" s="327"/>
      <c r="G24" s="328"/>
      <c r="H24" s="4" t="s">
        <v>2034</v>
      </c>
      <c r="I24" s="9"/>
      <c r="J24" s="9"/>
      <c r="K24" s="9"/>
      <c r="L24" s="9"/>
      <c r="M24" s="9"/>
      <c r="N24" s="9"/>
      <c r="O24" s="9"/>
      <c r="P24" s="9"/>
      <c r="Q24" s="9"/>
    </row>
    <row r="25" spans="1:17" s="58" customFormat="1" ht="13.8">
      <c r="A25" s="5" t="s">
        <v>1394</v>
      </c>
      <c r="B25" s="5" t="s">
        <v>2033</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2033</v>
      </c>
      <c r="C26" s="59" t="s">
        <v>1395</v>
      </c>
      <c r="D26" s="6" t="s">
        <v>97</v>
      </c>
      <c r="E26" s="6" t="s">
        <v>98</v>
      </c>
      <c r="F26" s="6" t="s">
        <v>1396</v>
      </c>
      <c r="G26" s="6" t="s">
        <v>1397</v>
      </c>
      <c r="H26" s="7"/>
      <c r="I26" s="9"/>
      <c r="J26" s="7"/>
      <c r="K26" s="12"/>
      <c r="L26" s="6"/>
      <c r="M26" s="6"/>
      <c r="N26" s="12"/>
      <c r="O26" s="7"/>
      <c r="P26" s="9"/>
      <c r="Q26" s="9"/>
    </row>
    <row r="27" spans="1:17" s="55" customFormat="1" ht="13.8">
      <c r="A27" s="54" t="s">
        <v>1385</v>
      </c>
      <c r="B27" s="17" t="s">
        <v>29</v>
      </c>
      <c r="C27" s="18"/>
      <c r="D27" s="18"/>
      <c r="E27" s="18"/>
      <c r="F27" s="18"/>
      <c r="G27" s="18"/>
      <c r="H27" s="18"/>
      <c r="I27" s="18"/>
      <c r="J27" s="18"/>
      <c r="K27" s="18"/>
      <c r="L27" s="8"/>
      <c r="M27" s="8"/>
      <c r="N27" s="8"/>
      <c r="O27" s="9"/>
      <c r="P27" s="10"/>
      <c r="Q27" s="9"/>
    </row>
    <row r="28" spans="1:17" s="57" customFormat="1" ht="51.6" customHeight="1">
      <c r="A28" s="56" t="s">
        <v>1386</v>
      </c>
      <c r="B28" s="3" t="s">
        <v>899</v>
      </c>
      <c r="C28" s="322" t="s">
        <v>2093</v>
      </c>
      <c r="D28" s="322"/>
      <c r="E28" s="322"/>
      <c r="F28" s="322"/>
      <c r="G28" s="322"/>
      <c r="H28" s="322"/>
      <c r="I28" s="20" t="s">
        <v>2094</v>
      </c>
      <c r="J28" s="20" t="s">
        <v>2095</v>
      </c>
      <c r="K28" s="11" t="s">
        <v>2096</v>
      </c>
      <c r="L28" s="11"/>
      <c r="M28" s="11"/>
      <c r="N28" s="11"/>
      <c r="O28" s="9"/>
      <c r="P28" s="10"/>
      <c r="Q28" s="9"/>
    </row>
    <row r="29" spans="1:17" s="58" customFormat="1" ht="13.8">
      <c r="A29" s="54" t="s">
        <v>1391</v>
      </c>
      <c r="B29" s="19" t="s">
        <v>899</v>
      </c>
      <c r="C29" s="326" t="s">
        <v>2033</v>
      </c>
      <c r="D29" s="327"/>
      <c r="E29" s="327"/>
      <c r="F29" s="327"/>
      <c r="G29" s="328"/>
      <c r="H29" s="4" t="s">
        <v>2034</v>
      </c>
      <c r="I29" s="9"/>
      <c r="J29" s="9"/>
      <c r="K29" s="9"/>
      <c r="L29" s="9"/>
      <c r="M29" s="9"/>
      <c r="N29" s="9"/>
      <c r="O29" s="9"/>
      <c r="P29" s="9"/>
      <c r="Q29" s="9"/>
    </row>
    <row r="30" spans="1:17" s="58" customFormat="1" ht="13.8">
      <c r="A30" s="5" t="s">
        <v>1394</v>
      </c>
      <c r="B30" s="5" t="s">
        <v>2033</v>
      </c>
      <c r="C30" s="59" t="s">
        <v>1395</v>
      </c>
      <c r="D30" s="6" t="s">
        <v>97</v>
      </c>
      <c r="E30" s="6" t="s">
        <v>98</v>
      </c>
      <c r="F30" s="6" t="s">
        <v>1396</v>
      </c>
      <c r="G30" s="6" t="s">
        <v>1397</v>
      </c>
      <c r="H30" s="7"/>
      <c r="I30" s="9"/>
      <c r="J30" s="7"/>
      <c r="K30" s="12"/>
      <c r="L30" s="6"/>
      <c r="M30" s="6"/>
      <c r="N30" s="12"/>
      <c r="O30" s="7"/>
      <c r="P30" s="9"/>
      <c r="Q30" s="9"/>
    </row>
    <row r="31" spans="1:17" s="58" customFormat="1" ht="13.8">
      <c r="A31" s="5" t="s">
        <v>1394</v>
      </c>
      <c r="B31" s="5" t="s">
        <v>2033</v>
      </c>
      <c r="C31" s="59" t="s">
        <v>1395</v>
      </c>
      <c r="D31" s="6" t="s">
        <v>97</v>
      </c>
      <c r="E31" s="6" t="s">
        <v>98</v>
      </c>
      <c r="F31" s="6" t="s">
        <v>1396</v>
      </c>
      <c r="G31" s="6" t="s">
        <v>1397</v>
      </c>
      <c r="H31" s="7"/>
      <c r="I31" s="9"/>
      <c r="J31" s="7"/>
      <c r="K31" s="12"/>
      <c r="L31" s="6"/>
      <c r="M31" s="6"/>
      <c r="N31" s="12"/>
      <c r="O31" s="7"/>
      <c r="P31" s="9"/>
      <c r="Q31" s="9"/>
    </row>
    <row r="32" spans="1:17" s="57" customFormat="1" ht="51.6" customHeight="1">
      <c r="A32" s="56" t="s">
        <v>1386</v>
      </c>
      <c r="B32" s="3" t="s">
        <v>900</v>
      </c>
      <c r="C32" s="322" t="s">
        <v>2097</v>
      </c>
      <c r="D32" s="322"/>
      <c r="E32" s="322"/>
      <c r="F32" s="322"/>
      <c r="G32" s="322"/>
      <c r="H32" s="322"/>
      <c r="I32" s="20" t="s">
        <v>2098</v>
      </c>
      <c r="J32" s="20" t="s">
        <v>2099</v>
      </c>
      <c r="K32" s="11" t="s">
        <v>2100</v>
      </c>
      <c r="L32" s="11"/>
      <c r="M32" s="11"/>
      <c r="N32" s="11"/>
      <c r="O32" s="9"/>
      <c r="P32" s="10"/>
      <c r="Q32" s="9"/>
    </row>
    <row r="33" spans="1:17" s="58" customFormat="1" ht="13.8">
      <c r="A33" s="54" t="s">
        <v>1391</v>
      </c>
      <c r="B33" s="19" t="s">
        <v>900</v>
      </c>
      <c r="C33" s="326" t="s">
        <v>2033</v>
      </c>
      <c r="D33" s="327"/>
      <c r="E33" s="327"/>
      <c r="F33" s="327"/>
      <c r="G33" s="328"/>
      <c r="H33" s="4" t="s">
        <v>2034</v>
      </c>
      <c r="I33" s="9"/>
      <c r="J33" s="9"/>
      <c r="K33" s="9"/>
      <c r="L33" s="9"/>
      <c r="M33" s="9"/>
      <c r="N33" s="9"/>
      <c r="O33" s="9"/>
      <c r="P33" s="9"/>
      <c r="Q33" s="9"/>
    </row>
    <row r="34" spans="1:17" s="58" customFormat="1" ht="13.8">
      <c r="A34" s="5" t="s">
        <v>1394</v>
      </c>
      <c r="B34" s="5" t="s">
        <v>2033</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2033</v>
      </c>
      <c r="C35" s="59" t="s">
        <v>1395</v>
      </c>
      <c r="D35" s="6" t="s">
        <v>97</v>
      </c>
      <c r="E35" s="6" t="s">
        <v>98</v>
      </c>
      <c r="F35" s="6" t="s">
        <v>1396</v>
      </c>
      <c r="G35" s="6" t="s">
        <v>1397</v>
      </c>
      <c r="H35" s="7"/>
      <c r="I35" s="9"/>
      <c r="J35" s="7"/>
      <c r="K35" s="12"/>
      <c r="L35" s="6"/>
      <c r="M35" s="6"/>
      <c r="N35" s="12"/>
      <c r="O35" s="7"/>
      <c r="P35" s="9"/>
      <c r="Q35" s="9"/>
    </row>
  </sheetData>
  <mergeCells count="12">
    <mergeCell ref="C33:G33"/>
    <mergeCell ref="C10:H10"/>
    <mergeCell ref="C11:G11"/>
    <mergeCell ref="C15:H15"/>
    <mergeCell ref="C16:G16"/>
    <mergeCell ref="C19:H19"/>
    <mergeCell ref="C20:G20"/>
    <mergeCell ref="C23:H23"/>
    <mergeCell ref="C24:G24"/>
    <mergeCell ref="C28:H28"/>
    <mergeCell ref="C29:G29"/>
    <mergeCell ref="C32:H32"/>
  </mergeCells>
  <conditionalFormatting sqref="O9">
    <cfRule type="cellIs" dxfId="3182" priority="128" operator="equal">
      <formula>"U"</formula>
    </cfRule>
    <cfRule type="cellIs" dxfId="3181" priority="129" operator="equal">
      <formula>"S"</formula>
    </cfRule>
  </conditionalFormatting>
  <conditionalFormatting sqref="Q9">
    <cfRule type="cellIs" dxfId="3180" priority="127" operator="equal">
      <formula>"Y"</formula>
    </cfRule>
  </conditionalFormatting>
  <conditionalFormatting sqref="O10">
    <cfRule type="cellIs" dxfId="3179" priority="122" operator="equal">
      <formula>"NY"</formula>
    </cfRule>
    <cfRule type="cellIs" dxfId="3178" priority="123" operator="equal">
      <formula>"DM"</formula>
    </cfRule>
    <cfRule type="cellIs" dxfId="3177" priority="124" operator="equal">
      <formula>"PM"</formula>
    </cfRule>
    <cfRule type="cellIs" dxfId="3176" priority="125" operator="equal">
      <formula>"LM"</formula>
    </cfRule>
    <cfRule type="cellIs" dxfId="3175" priority="126" operator="equal">
      <formula>"FM"</formula>
    </cfRule>
  </conditionalFormatting>
  <conditionalFormatting sqref="Q10">
    <cfRule type="cellIs" dxfId="3174" priority="121" operator="equal">
      <formula>"Y"</formula>
    </cfRule>
  </conditionalFormatting>
  <conditionalFormatting sqref="O11">
    <cfRule type="cellIs" dxfId="3173" priority="116" operator="equal">
      <formula>"NY"</formula>
    </cfRule>
    <cfRule type="cellIs" dxfId="3172" priority="117" operator="equal">
      <formula>"DM"</formula>
    </cfRule>
    <cfRule type="cellIs" dxfId="3171" priority="118" operator="equal">
      <formula>"PM"</formula>
    </cfRule>
    <cfRule type="cellIs" dxfId="3170" priority="119" operator="equal">
      <formula>"LM"</formula>
    </cfRule>
    <cfRule type="cellIs" dxfId="3169" priority="120" operator="equal">
      <formula>"FM"</formula>
    </cfRule>
  </conditionalFormatting>
  <conditionalFormatting sqref="I11:J11">
    <cfRule type="cellIs" dxfId="3168" priority="114" operator="equal">
      <formula>"No"</formula>
    </cfRule>
    <cfRule type="cellIs" dxfId="3167" priority="115" operator="equal">
      <formula>"Yes"</formula>
    </cfRule>
  </conditionalFormatting>
  <conditionalFormatting sqref="Q11">
    <cfRule type="cellIs" dxfId="3166" priority="113" operator="equal">
      <formula>"Y"</formula>
    </cfRule>
  </conditionalFormatting>
  <conditionalFormatting sqref="I12">
    <cfRule type="cellIs" dxfId="3165" priority="111" operator="equal">
      <formula>"No"</formula>
    </cfRule>
    <cfRule type="cellIs" dxfId="3164" priority="112" operator="equal">
      <formula>"Yes"</formula>
    </cfRule>
  </conditionalFormatting>
  <conditionalFormatting sqref="Q12">
    <cfRule type="cellIs" dxfId="3163" priority="110" operator="equal">
      <formula>"Y"</formula>
    </cfRule>
  </conditionalFormatting>
  <conditionalFormatting sqref="I13">
    <cfRule type="cellIs" dxfId="3162" priority="108" operator="equal">
      <formula>"No"</formula>
    </cfRule>
    <cfRule type="cellIs" dxfId="3161" priority="109" operator="equal">
      <formula>"Yes"</formula>
    </cfRule>
  </conditionalFormatting>
  <conditionalFormatting sqref="Q13">
    <cfRule type="cellIs" dxfId="3160" priority="107" operator="equal">
      <formula>"Y"</formula>
    </cfRule>
  </conditionalFormatting>
  <conditionalFormatting sqref="O14">
    <cfRule type="cellIs" dxfId="3159" priority="105" operator="equal">
      <formula>"U"</formula>
    </cfRule>
    <cfRule type="cellIs" dxfId="3158" priority="106" operator="equal">
      <formula>"S"</formula>
    </cfRule>
  </conditionalFormatting>
  <conditionalFormatting sqref="Q14">
    <cfRule type="cellIs" dxfId="3157" priority="104" operator="equal">
      <formula>"Y"</formula>
    </cfRule>
  </conditionalFormatting>
  <conditionalFormatting sqref="O15">
    <cfRule type="cellIs" dxfId="3156" priority="99" operator="equal">
      <formula>"NY"</formula>
    </cfRule>
    <cfRule type="cellIs" dxfId="3155" priority="100" operator="equal">
      <formula>"DM"</formula>
    </cfRule>
    <cfRule type="cellIs" dxfId="3154" priority="101" operator="equal">
      <formula>"PM"</formula>
    </cfRule>
    <cfRule type="cellIs" dxfId="3153" priority="102" operator="equal">
      <formula>"LM"</formula>
    </cfRule>
    <cfRule type="cellIs" dxfId="3152" priority="103" operator="equal">
      <formula>"FM"</formula>
    </cfRule>
  </conditionalFormatting>
  <conditionalFormatting sqref="Q15">
    <cfRule type="cellIs" dxfId="3151" priority="98" operator="equal">
      <formula>"Y"</formula>
    </cfRule>
  </conditionalFormatting>
  <conditionalFormatting sqref="O16">
    <cfRule type="cellIs" dxfId="3150" priority="93" operator="equal">
      <formula>"NY"</formula>
    </cfRule>
    <cfRule type="cellIs" dxfId="3149" priority="94" operator="equal">
      <formula>"DM"</formula>
    </cfRule>
    <cfRule type="cellIs" dxfId="3148" priority="95" operator="equal">
      <formula>"PM"</formula>
    </cfRule>
    <cfRule type="cellIs" dxfId="3147" priority="96" operator="equal">
      <formula>"LM"</formula>
    </cfRule>
    <cfRule type="cellIs" dxfId="3146" priority="97" operator="equal">
      <formula>"FM"</formula>
    </cfRule>
  </conditionalFormatting>
  <conditionalFormatting sqref="I16:J16">
    <cfRule type="cellIs" dxfId="3145" priority="91" operator="equal">
      <formula>"No"</formula>
    </cfRule>
    <cfRule type="cellIs" dxfId="3144" priority="92" operator="equal">
      <formula>"Yes"</formula>
    </cfRule>
  </conditionalFormatting>
  <conditionalFormatting sqref="Q16">
    <cfRule type="cellIs" dxfId="3143" priority="90" operator="equal">
      <formula>"Y"</formula>
    </cfRule>
  </conditionalFormatting>
  <conditionalFormatting sqref="I17">
    <cfRule type="cellIs" dxfId="3142" priority="88" operator="equal">
      <formula>"No"</formula>
    </cfRule>
    <cfRule type="cellIs" dxfId="3141" priority="89" operator="equal">
      <formula>"Yes"</formula>
    </cfRule>
  </conditionalFormatting>
  <conditionalFormatting sqref="Q17">
    <cfRule type="cellIs" dxfId="3140" priority="87" operator="equal">
      <formula>"Y"</formula>
    </cfRule>
  </conditionalFormatting>
  <conditionalFormatting sqref="I18">
    <cfRule type="cellIs" dxfId="3139" priority="85" operator="equal">
      <formula>"No"</formula>
    </cfRule>
    <cfRule type="cellIs" dxfId="3138" priority="86" operator="equal">
      <formula>"Yes"</formula>
    </cfRule>
  </conditionalFormatting>
  <conditionalFormatting sqref="Q18">
    <cfRule type="cellIs" dxfId="3137" priority="84" operator="equal">
      <formula>"Y"</formula>
    </cfRule>
  </conditionalFormatting>
  <conditionalFormatting sqref="O19">
    <cfRule type="cellIs" dxfId="3136" priority="79" operator="equal">
      <formula>"NY"</formula>
    </cfRule>
    <cfRule type="cellIs" dxfId="3135" priority="80" operator="equal">
      <formula>"DM"</formula>
    </cfRule>
    <cfRule type="cellIs" dxfId="3134" priority="81" operator="equal">
      <formula>"PM"</formula>
    </cfRule>
    <cfRule type="cellIs" dxfId="3133" priority="82" operator="equal">
      <formula>"LM"</formula>
    </cfRule>
    <cfRule type="cellIs" dxfId="3132" priority="83" operator="equal">
      <formula>"FM"</formula>
    </cfRule>
  </conditionalFormatting>
  <conditionalFormatting sqref="Q19">
    <cfRule type="cellIs" dxfId="3131" priority="78" operator="equal">
      <formula>"Y"</formula>
    </cfRule>
  </conditionalFormatting>
  <conditionalFormatting sqref="O20">
    <cfRule type="cellIs" dxfId="3130" priority="73" operator="equal">
      <formula>"NY"</formula>
    </cfRule>
    <cfRule type="cellIs" dxfId="3129" priority="74" operator="equal">
      <formula>"DM"</formula>
    </cfRule>
    <cfRule type="cellIs" dxfId="3128" priority="75" operator="equal">
      <formula>"PM"</formula>
    </cfRule>
    <cfRule type="cellIs" dxfId="3127" priority="76" operator="equal">
      <formula>"LM"</formula>
    </cfRule>
    <cfRule type="cellIs" dxfId="3126" priority="77" operator="equal">
      <formula>"FM"</formula>
    </cfRule>
  </conditionalFormatting>
  <conditionalFormatting sqref="I20:J20">
    <cfRule type="cellIs" dxfId="3125" priority="71" operator="equal">
      <formula>"No"</formula>
    </cfRule>
    <cfRule type="cellIs" dxfId="3124" priority="72" operator="equal">
      <formula>"Yes"</formula>
    </cfRule>
  </conditionalFormatting>
  <conditionalFormatting sqref="Q20">
    <cfRule type="cellIs" dxfId="3123" priority="70" operator="equal">
      <formula>"Y"</formula>
    </cfRule>
  </conditionalFormatting>
  <conditionalFormatting sqref="I21">
    <cfRule type="cellIs" dxfId="3122" priority="68" operator="equal">
      <formula>"No"</formula>
    </cfRule>
    <cfRule type="cellIs" dxfId="3121" priority="69" operator="equal">
      <formula>"Yes"</formula>
    </cfRule>
  </conditionalFormatting>
  <conditionalFormatting sqref="Q21">
    <cfRule type="cellIs" dxfId="3120" priority="67" operator="equal">
      <formula>"Y"</formula>
    </cfRule>
  </conditionalFormatting>
  <conditionalFormatting sqref="I22">
    <cfRule type="cellIs" dxfId="3119" priority="65" operator="equal">
      <formula>"No"</formula>
    </cfRule>
    <cfRule type="cellIs" dxfId="3118" priority="66" operator="equal">
      <formula>"Yes"</formula>
    </cfRule>
  </conditionalFormatting>
  <conditionalFormatting sqref="Q22">
    <cfRule type="cellIs" dxfId="3117" priority="64" operator="equal">
      <formula>"Y"</formula>
    </cfRule>
  </conditionalFormatting>
  <conditionalFormatting sqref="O23">
    <cfRule type="cellIs" dxfId="3116" priority="59" operator="equal">
      <formula>"NY"</formula>
    </cfRule>
    <cfRule type="cellIs" dxfId="3115" priority="60" operator="equal">
      <formula>"DM"</formula>
    </cfRule>
    <cfRule type="cellIs" dxfId="3114" priority="61" operator="equal">
      <formula>"PM"</formula>
    </cfRule>
    <cfRule type="cellIs" dxfId="3113" priority="62" operator="equal">
      <formula>"LM"</formula>
    </cfRule>
    <cfRule type="cellIs" dxfId="3112" priority="63" operator="equal">
      <formula>"FM"</formula>
    </cfRule>
  </conditionalFormatting>
  <conditionalFormatting sqref="Q23">
    <cfRule type="cellIs" dxfId="3111" priority="58" operator="equal">
      <formula>"Y"</formula>
    </cfRule>
  </conditionalFormatting>
  <conditionalFormatting sqref="O24">
    <cfRule type="cellIs" dxfId="3110" priority="53" operator="equal">
      <formula>"NY"</formula>
    </cfRule>
    <cfRule type="cellIs" dxfId="3109" priority="54" operator="equal">
      <formula>"DM"</formula>
    </cfRule>
    <cfRule type="cellIs" dxfId="3108" priority="55" operator="equal">
      <formula>"PM"</formula>
    </cfRule>
    <cfRule type="cellIs" dxfId="3107" priority="56" operator="equal">
      <formula>"LM"</formula>
    </cfRule>
    <cfRule type="cellIs" dxfId="3106" priority="57" operator="equal">
      <formula>"FM"</formula>
    </cfRule>
  </conditionalFormatting>
  <conditionalFormatting sqref="I24:J24">
    <cfRule type="cellIs" dxfId="3105" priority="51" operator="equal">
      <formula>"No"</formula>
    </cfRule>
    <cfRule type="cellIs" dxfId="3104" priority="52" operator="equal">
      <formula>"Yes"</formula>
    </cfRule>
  </conditionalFormatting>
  <conditionalFormatting sqref="Q24">
    <cfRule type="cellIs" dxfId="3103" priority="50" operator="equal">
      <formula>"Y"</formula>
    </cfRule>
  </conditionalFormatting>
  <conditionalFormatting sqref="I25">
    <cfRule type="cellIs" dxfId="3102" priority="48" operator="equal">
      <formula>"No"</formula>
    </cfRule>
    <cfRule type="cellIs" dxfId="3101" priority="49" operator="equal">
      <formula>"Yes"</formula>
    </cfRule>
  </conditionalFormatting>
  <conditionalFormatting sqref="Q25">
    <cfRule type="cellIs" dxfId="3100" priority="47" operator="equal">
      <formula>"Y"</formula>
    </cfRule>
  </conditionalFormatting>
  <conditionalFormatting sqref="I26">
    <cfRule type="cellIs" dxfId="3099" priority="45" operator="equal">
      <formula>"No"</formula>
    </cfRule>
    <cfRule type="cellIs" dxfId="3098" priority="46" operator="equal">
      <formula>"Yes"</formula>
    </cfRule>
  </conditionalFormatting>
  <conditionalFormatting sqref="Q26">
    <cfRule type="cellIs" dxfId="3097" priority="44" operator="equal">
      <formula>"Y"</formula>
    </cfRule>
  </conditionalFormatting>
  <conditionalFormatting sqref="O27">
    <cfRule type="cellIs" dxfId="3096" priority="42" operator="equal">
      <formula>"U"</formula>
    </cfRule>
    <cfRule type="cellIs" dxfId="3095" priority="43" operator="equal">
      <formula>"S"</formula>
    </cfRule>
  </conditionalFormatting>
  <conditionalFormatting sqref="Q27">
    <cfRule type="cellIs" dxfId="3094" priority="41" operator="equal">
      <formula>"Y"</formula>
    </cfRule>
  </conditionalFormatting>
  <conditionalFormatting sqref="O28">
    <cfRule type="cellIs" dxfId="3093" priority="36" operator="equal">
      <formula>"NY"</formula>
    </cfRule>
    <cfRule type="cellIs" dxfId="3092" priority="37" operator="equal">
      <formula>"DM"</formula>
    </cfRule>
    <cfRule type="cellIs" dxfId="3091" priority="38" operator="equal">
      <formula>"PM"</formula>
    </cfRule>
    <cfRule type="cellIs" dxfId="3090" priority="39" operator="equal">
      <formula>"LM"</formula>
    </cfRule>
    <cfRule type="cellIs" dxfId="3089" priority="40" operator="equal">
      <formula>"FM"</formula>
    </cfRule>
  </conditionalFormatting>
  <conditionalFormatting sqref="Q28">
    <cfRule type="cellIs" dxfId="3088" priority="35" operator="equal">
      <formula>"Y"</formula>
    </cfRule>
  </conditionalFormatting>
  <conditionalFormatting sqref="O29">
    <cfRule type="cellIs" dxfId="3087" priority="30" operator="equal">
      <formula>"NY"</formula>
    </cfRule>
    <cfRule type="cellIs" dxfId="3086" priority="31" operator="equal">
      <formula>"DM"</formula>
    </cfRule>
    <cfRule type="cellIs" dxfId="3085" priority="32" operator="equal">
      <formula>"PM"</formula>
    </cfRule>
    <cfRule type="cellIs" dxfId="3084" priority="33" operator="equal">
      <formula>"LM"</formula>
    </cfRule>
    <cfRule type="cellIs" dxfId="3083" priority="34" operator="equal">
      <formula>"FM"</formula>
    </cfRule>
  </conditionalFormatting>
  <conditionalFormatting sqref="I29:J29">
    <cfRule type="cellIs" dxfId="3082" priority="28" operator="equal">
      <formula>"No"</formula>
    </cfRule>
    <cfRule type="cellIs" dxfId="3081" priority="29" operator="equal">
      <formula>"Yes"</formula>
    </cfRule>
  </conditionalFormatting>
  <conditionalFormatting sqref="Q29">
    <cfRule type="cellIs" dxfId="3080" priority="27" operator="equal">
      <formula>"Y"</formula>
    </cfRule>
  </conditionalFormatting>
  <conditionalFormatting sqref="I30">
    <cfRule type="cellIs" dxfId="3079" priority="25" operator="equal">
      <formula>"No"</formula>
    </cfRule>
    <cfRule type="cellIs" dxfId="3078" priority="26" operator="equal">
      <formula>"Yes"</formula>
    </cfRule>
  </conditionalFormatting>
  <conditionalFormatting sqref="Q30">
    <cfRule type="cellIs" dxfId="3077" priority="24" operator="equal">
      <formula>"Y"</formula>
    </cfRule>
  </conditionalFormatting>
  <conditionalFormatting sqref="I31">
    <cfRule type="cellIs" dxfId="3076" priority="22" operator="equal">
      <formula>"No"</formula>
    </cfRule>
    <cfRule type="cellIs" dxfId="3075" priority="23" operator="equal">
      <formula>"Yes"</formula>
    </cfRule>
  </conditionalFormatting>
  <conditionalFormatting sqref="Q31">
    <cfRule type="cellIs" dxfId="3074" priority="21" operator="equal">
      <formula>"Y"</formula>
    </cfRule>
  </conditionalFormatting>
  <conditionalFormatting sqref="O32">
    <cfRule type="cellIs" dxfId="3073" priority="16" operator="equal">
      <formula>"NY"</formula>
    </cfRule>
    <cfRule type="cellIs" dxfId="3072" priority="17" operator="equal">
      <formula>"DM"</formula>
    </cfRule>
    <cfRule type="cellIs" dxfId="3071" priority="18" operator="equal">
      <formula>"PM"</formula>
    </cfRule>
    <cfRule type="cellIs" dxfId="3070" priority="19" operator="equal">
      <formula>"LM"</formula>
    </cfRule>
    <cfRule type="cellIs" dxfId="3069" priority="20" operator="equal">
      <formula>"FM"</formula>
    </cfRule>
  </conditionalFormatting>
  <conditionalFormatting sqref="Q32">
    <cfRule type="cellIs" dxfId="3068" priority="15" operator="equal">
      <formula>"Y"</formula>
    </cfRule>
  </conditionalFormatting>
  <conditionalFormatting sqref="O33">
    <cfRule type="cellIs" dxfId="3067" priority="10" operator="equal">
      <formula>"NY"</formula>
    </cfRule>
    <cfRule type="cellIs" dxfId="3066" priority="11" operator="equal">
      <formula>"DM"</formula>
    </cfRule>
    <cfRule type="cellIs" dxfId="3065" priority="12" operator="equal">
      <formula>"PM"</formula>
    </cfRule>
    <cfRule type="cellIs" dxfId="3064" priority="13" operator="equal">
      <formula>"LM"</formula>
    </cfRule>
    <cfRule type="cellIs" dxfId="3063" priority="14" operator="equal">
      <formula>"FM"</formula>
    </cfRule>
  </conditionalFormatting>
  <conditionalFormatting sqref="I33:J33">
    <cfRule type="cellIs" dxfId="3062" priority="8" operator="equal">
      <formula>"No"</formula>
    </cfRule>
    <cfRule type="cellIs" dxfId="3061" priority="9" operator="equal">
      <formula>"Yes"</formula>
    </cfRule>
  </conditionalFormatting>
  <conditionalFormatting sqref="Q33">
    <cfRule type="cellIs" dxfId="3060" priority="7" operator="equal">
      <formula>"Y"</formula>
    </cfRule>
  </conditionalFormatting>
  <conditionalFormatting sqref="I34">
    <cfRule type="cellIs" dxfId="3059" priority="5" operator="equal">
      <formula>"No"</formula>
    </cfRule>
    <cfRule type="cellIs" dxfId="3058" priority="6" operator="equal">
      <formula>"Yes"</formula>
    </cfRule>
  </conditionalFormatting>
  <conditionalFormatting sqref="Q34">
    <cfRule type="cellIs" dxfId="3057" priority="4" operator="equal">
      <formula>"Y"</formula>
    </cfRule>
  </conditionalFormatting>
  <conditionalFormatting sqref="I35">
    <cfRule type="cellIs" dxfId="3056" priority="2" operator="equal">
      <formula>"No"</formula>
    </cfRule>
    <cfRule type="cellIs" dxfId="3055" priority="3" operator="equal">
      <formula>"Yes"</formula>
    </cfRule>
  </conditionalFormatting>
  <conditionalFormatting sqref="Q35">
    <cfRule type="cellIs" dxfId="3054" priority="1" operator="equal">
      <formula>"Y"</formula>
    </cfRule>
  </conditionalFormatting>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2358E-F6AF-4613-A05D-92E16C2B86BF}">
  <sheetPr codeName="Sheet43"/>
  <dimension ref="A1:Q51"/>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1488</v>
      </c>
    </row>
    <row r="2" spans="1:17" s="61" customFormat="1" ht="21">
      <c r="A2" s="60" t="s">
        <v>2101</v>
      </c>
    </row>
    <row r="3" spans="1:17">
      <c r="A3" s="62" t="s">
        <v>1707</v>
      </c>
      <c r="B3" s="63" t="s">
        <v>1489</v>
      </c>
    </row>
    <row r="4" spans="1:17">
      <c r="A4" s="63" t="s">
        <v>1401</v>
      </c>
      <c r="B4" s="63" t="s">
        <v>2102</v>
      </c>
    </row>
    <row r="5" spans="1:17">
      <c r="A5" s="62" t="s">
        <v>1709</v>
      </c>
      <c r="B5" s="63" t="s">
        <v>744</v>
      </c>
    </row>
    <row r="6" spans="1:17">
      <c r="A6" s="63" t="s">
        <v>1402</v>
      </c>
      <c r="B6" s="63" t="s">
        <v>2103</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745</v>
      </c>
      <c r="C10" s="322" t="s">
        <v>1490</v>
      </c>
      <c r="D10" s="322"/>
      <c r="E10" s="322"/>
      <c r="F10" s="322"/>
      <c r="G10" s="322"/>
      <c r="H10" s="322"/>
      <c r="I10" s="20" t="s">
        <v>2104</v>
      </c>
      <c r="J10" s="20" t="s">
        <v>2105</v>
      </c>
      <c r="K10" s="11" t="s">
        <v>1491</v>
      </c>
      <c r="L10" s="11"/>
      <c r="M10" s="11"/>
      <c r="N10" s="11"/>
      <c r="O10" s="9"/>
      <c r="P10" s="10"/>
      <c r="Q10" s="9"/>
    </row>
    <row r="11" spans="1:17" s="58" customFormat="1" ht="13.8">
      <c r="A11" s="54" t="s">
        <v>1391</v>
      </c>
      <c r="B11" s="19" t="s">
        <v>745</v>
      </c>
      <c r="C11" s="326" t="s">
        <v>2033</v>
      </c>
      <c r="D11" s="327"/>
      <c r="E11" s="327"/>
      <c r="F11" s="327"/>
      <c r="G11" s="328"/>
      <c r="H11" s="4" t="s">
        <v>2034</v>
      </c>
      <c r="I11" s="9"/>
      <c r="J11" s="9"/>
      <c r="K11" s="9"/>
      <c r="L11" s="9"/>
      <c r="M11" s="9"/>
      <c r="N11" s="9"/>
      <c r="O11" s="9"/>
      <c r="P11" s="9"/>
      <c r="Q11" s="9"/>
    </row>
    <row r="12" spans="1:17" s="58" customFormat="1" ht="13.8">
      <c r="A12" s="5" t="s">
        <v>1394</v>
      </c>
      <c r="B12" s="5" t="s">
        <v>2033</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2033</v>
      </c>
      <c r="C13" s="59" t="s">
        <v>1395</v>
      </c>
      <c r="D13" s="6" t="s">
        <v>97</v>
      </c>
      <c r="E13" s="6" t="s">
        <v>98</v>
      </c>
      <c r="F13" s="6" t="s">
        <v>1396</v>
      </c>
      <c r="G13" s="6" t="s">
        <v>1397</v>
      </c>
      <c r="H13" s="7"/>
      <c r="I13" s="9"/>
      <c r="J13" s="7"/>
      <c r="K13" s="12"/>
      <c r="L13" s="6"/>
      <c r="M13" s="6"/>
      <c r="N13" s="12"/>
      <c r="O13" s="7"/>
      <c r="P13" s="9"/>
      <c r="Q13" s="9"/>
    </row>
    <row r="14" spans="1:17" s="57" customFormat="1" ht="51.6" customHeight="1">
      <c r="A14" s="56" t="s">
        <v>1386</v>
      </c>
      <c r="B14" s="3" t="s">
        <v>746</v>
      </c>
      <c r="C14" s="322" t="s">
        <v>1492</v>
      </c>
      <c r="D14" s="322"/>
      <c r="E14" s="322"/>
      <c r="F14" s="322"/>
      <c r="G14" s="322"/>
      <c r="H14" s="322"/>
      <c r="I14" s="20" t="s">
        <v>2106</v>
      </c>
      <c r="J14" s="20" t="s">
        <v>2107</v>
      </c>
      <c r="K14" s="11" t="s">
        <v>1493</v>
      </c>
      <c r="L14" s="11"/>
      <c r="M14" s="11"/>
      <c r="N14" s="11"/>
      <c r="O14" s="9"/>
      <c r="P14" s="10"/>
      <c r="Q14" s="9"/>
    </row>
    <row r="15" spans="1:17" s="58" customFormat="1" ht="13.8">
      <c r="A15" s="54" t="s">
        <v>1391</v>
      </c>
      <c r="B15" s="19" t="s">
        <v>746</v>
      </c>
      <c r="C15" s="326" t="s">
        <v>2033</v>
      </c>
      <c r="D15" s="327"/>
      <c r="E15" s="327"/>
      <c r="F15" s="327"/>
      <c r="G15" s="328"/>
      <c r="H15" s="4" t="s">
        <v>2034</v>
      </c>
      <c r="I15" s="9"/>
      <c r="J15" s="9"/>
      <c r="K15" s="9"/>
      <c r="L15" s="9"/>
      <c r="M15" s="9"/>
      <c r="N15" s="9"/>
      <c r="O15" s="9"/>
      <c r="P15" s="9"/>
      <c r="Q15" s="9"/>
    </row>
    <row r="16" spans="1:17" s="58" customFormat="1" ht="13.8">
      <c r="A16" s="5" t="s">
        <v>1394</v>
      </c>
      <c r="B16" s="5" t="s">
        <v>2033</v>
      </c>
      <c r="C16" s="59" t="s">
        <v>1395</v>
      </c>
      <c r="D16" s="6" t="s">
        <v>97</v>
      </c>
      <c r="E16" s="6" t="s">
        <v>98</v>
      </c>
      <c r="F16" s="6" t="s">
        <v>1396</v>
      </c>
      <c r="G16" s="6" t="s">
        <v>1397</v>
      </c>
      <c r="H16" s="7"/>
      <c r="I16" s="9"/>
      <c r="J16" s="7"/>
      <c r="K16" s="12"/>
      <c r="L16" s="6"/>
      <c r="M16" s="6"/>
      <c r="N16" s="12"/>
      <c r="O16" s="7"/>
      <c r="P16" s="9"/>
      <c r="Q16" s="9"/>
    </row>
    <row r="17" spans="1:17" s="58" customFormat="1" ht="13.8">
      <c r="A17" s="5" t="s">
        <v>1394</v>
      </c>
      <c r="B17" s="5" t="s">
        <v>2033</v>
      </c>
      <c r="C17" s="59" t="s">
        <v>1395</v>
      </c>
      <c r="D17" s="6" t="s">
        <v>97</v>
      </c>
      <c r="E17" s="6" t="s">
        <v>98</v>
      </c>
      <c r="F17" s="6" t="s">
        <v>1396</v>
      </c>
      <c r="G17" s="6" t="s">
        <v>1397</v>
      </c>
      <c r="H17" s="7"/>
      <c r="I17" s="9"/>
      <c r="J17" s="7"/>
      <c r="K17" s="12"/>
      <c r="L17" s="6"/>
      <c r="M17" s="6"/>
      <c r="N17" s="12"/>
      <c r="O17" s="7"/>
      <c r="P17" s="9"/>
      <c r="Q17" s="9"/>
    </row>
    <row r="18" spans="1:17" s="55" customFormat="1" ht="13.8">
      <c r="A18" s="54" t="s">
        <v>1385</v>
      </c>
      <c r="B18" s="17" t="s">
        <v>28</v>
      </c>
      <c r="C18" s="18"/>
      <c r="D18" s="18"/>
      <c r="E18" s="18"/>
      <c r="F18" s="18"/>
      <c r="G18" s="18"/>
      <c r="H18" s="18"/>
      <c r="I18" s="18"/>
      <c r="J18" s="18"/>
      <c r="K18" s="18"/>
      <c r="L18" s="8"/>
      <c r="M18" s="8"/>
      <c r="N18" s="8"/>
      <c r="O18" s="9"/>
      <c r="P18" s="10"/>
      <c r="Q18" s="9"/>
    </row>
    <row r="19" spans="1:17" s="57" customFormat="1" ht="51.6" customHeight="1">
      <c r="A19" s="56" t="s">
        <v>1386</v>
      </c>
      <c r="B19" s="3" t="s">
        <v>747</v>
      </c>
      <c r="C19" s="322" t="s">
        <v>1494</v>
      </c>
      <c r="D19" s="322"/>
      <c r="E19" s="322"/>
      <c r="F19" s="322"/>
      <c r="G19" s="322"/>
      <c r="H19" s="322"/>
      <c r="I19" s="20" t="s">
        <v>2108</v>
      </c>
      <c r="J19" s="20" t="s">
        <v>2109</v>
      </c>
      <c r="K19" s="11" t="s">
        <v>1495</v>
      </c>
      <c r="L19" s="11"/>
      <c r="M19" s="11"/>
      <c r="N19" s="11"/>
      <c r="O19" s="9"/>
      <c r="P19" s="10"/>
      <c r="Q19" s="9"/>
    </row>
    <row r="20" spans="1:17" s="58" customFormat="1" ht="13.8">
      <c r="A20" s="54" t="s">
        <v>1391</v>
      </c>
      <c r="B20" s="19" t="s">
        <v>747</v>
      </c>
      <c r="C20" s="326" t="s">
        <v>2033</v>
      </c>
      <c r="D20" s="327"/>
      <c r="E20" s="327"/>
      <c r="F20" s="327"/>
      <c r="G20" s="328"/>
      <c r="H20" s="4" t="s">
        <v>2034</v>
      </c>
      <c r="I20" s="9"/>
      <c r="J20" s="9"/>
      <c r="K20" s="9"/>
      <c r="L20" s="9"/>
      <c r="M20" s="9"/>
      <c r="N20" s="9"/>
      <c r="O20" s="9"/>
      <c r="P20" s="9"/>
      <c r="Q20" s="9"/>
    </row>
    <row r="21" spans="1:17" s="58" customFormat="1" ht="13.8">
      <c r="A21" s="5" t="s">
        <v>1394</v>
      </c>
      <c r="B21" s="5" t="s">
        <v>2033</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2033</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748</v>
      </c>
      <c r="C23" s="322" t="s">
        <v>1496</v>
      </c>
      <c r="D23" s="322"/>
      <c r="E23" s="322"/>
      <c r="F23" s="322"/>
      <c r="G23" s="322"/>
      <c r="H23" s="322"/>
      <c r="I23" s="20" t="s">
        <v>2110</v>
      </c>
      <c r="J23" s="20" t="s">
        <v>2111</v>
      </c>
      <c r="K23" s="11" t="s">
        <v>2112</v>
      </c>
      <c r="L23" s="11"/>
      <c r="M23" s="11"/>
      <c r="N23" s="11"/>
      <c r="O23" s="9"/>
      <c r="P23" s="10"/>
      <c r="Q23" s="9"/>
    </row>
    <row r="24" spans="1:17" s="58" customFormat="1" ht="13.8">
      <c r="A24" s="54" t="s">
        <v>1391</v>
      </c>
      <c r="B24" s="19" t="s">
        <v>748</v>
      </c>
      <c r="C24" s="326" t="s">
        <v>2033</v>
      </c>
      <c r="D24" s="327"/>
      <c r="E24" s="327"/>
      <c r="F24" s="327"/>
      <c r="G24" s="328"/>
      <c r="H24" s="4" t="s">
        <v>2034</v>
      </c>
      <c r="I24" s="9"/>
      <c r="J24" s="9"/>
      <c r="K24" s="9"/>
      <c r="L24" s="9"/>
      <c r="M24" s="9"/>
      <c r="N24" s="9"/>
      <c r="O24" s="9"/>
      <c r="P24" s="9"/>
      <c r="Q24" s="9"/>
    </row>
    <row r="25" spans="1:17" s="58" customFormat="1" ht="13.8">
      <c r="A25" s="5" t="s">
        <v>1394</v>
      </c>
      <c r="B25" s="5" t="s">
        <v>2033</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2033</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749</v>
      </c>
      <c r="C27" s="322" t="s">
        <v>1497</v>
      </c>
      <c r="D27" s="322"/>
      <c r="E27" s="322"/>
      <c r="F27" s="322"/>
      <c r="G27" s="322"/>
      <c r="H27" s="322"/>
      <c r="I27" s="20" t="s">
        <v>2113</v>
      </c>
      <c r="J27" s="20" t="s">
        <v>2114</v>
      </c>
      <c r="K27" s="11" t="s">
        <v>1498</v>
      </c>
      <c r="L27" s="11"/>
      <c r="M27" s="11"/>
      <c r="N27" s="11"/>
      <c r="O27" s="9"/>
      <c r="P27" s="10"/>
      <c r="Q27" s="9"/>
    </row>
    <row r="28" spans="1:17" s="58" customFormat="1" ht="13.8">
      <c r="A28" s="54" t="s">
        <v>1391</v>
      </c>
      <c r="B28" s="19" t="s">
        <v>749</v>
      </c>
      <c r="C28" s="326" t="s">
        <v>2033</v>
      </c>
      <c r="D28" s="327"/>
      <c r="E28" s="327"/>
      <c r="F28" s="327"/>
      <c r="G28" s="328"/>
      <c r="H28" s="4" t="s">
        <v>2034</v>
      </c>
      <c r="I28" s="9"/>
      <c r="J28" s="9"/>
      <c r="K28" s="9"/>
      <c r="L28" s="9"/>
      <c r="M28" s="9"/>
      <c r="N28" s="9"/>
      <c r="O28" s="9"/>
      <c r="P28" s="9"/>
      <c r="Q28" s="9"/>
    </row>
    <row r="29" spans="1:17" s="58" customFormat="1" ht="13.8">
      <c r="A29" s="5" t="s">
        <v>1394</v>
      </c>
      <c r="B29" s="5" t="s">
        <v>2033</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2033</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750</v>
      </c>
      <c r="C31" s="322" t="s">
        <v>1499</v>
      </c>
      <c r="D31" s="322"/>
      <c r="E31" s="322"/>
      <c r="F31" s="322"/>
      <c r="G31" s="322"/>
      <c r="H31" s="322"/>
      <c r="I31" s="20" t="s">
        <v>2115</v>
      </c>
      <c r="J31" s="20" t="s">
        <v>2116</v>
      </c>
      <c r="K31" s="11" t="s">
        <v>1500</v>
      </c>
      <c r="L31" s="11"/>
      <c r="M31" s="11"/>
      <c r="N31" s="11"/>
      <c r="O31" s="9"/>
      <c r="P31" s="10"/>
      <c r="Q31" s="9"/>
    </row>
    <row r="32" spans="1:17" s="58" customFormat="1" ht="13.8">
      <c r="A32" s="54" t="s">
        <v>1391</v>
      </c>
      <c r="B32" s="19" t="s">
        <v>750</v>
      </c>
      <c r="C32" s="326" t="s">
        <v>2033</v>
      </c>
      <c r="D32" s="327"/>
      <c r="E32" s="327"/>
      <c r="F32" s="327"/>
      <c r="G32" s="328"/>
      <c r="H32" s="4" t="s">
        <v>2034</v>
      </c>
      <c r="I32" s="9"/>
      <c r="J32" s="9"/>
      <c r="K32" s="9"/>
      <c r="L32" s="9"/>
      <c r="M32" s="9"/>
      <c r="N32" s="9"/>
      <c r="O32" s="9"/>
      <c r="P32" s="9"/>
      <c r="Q32" s="9"/>
    </row>
    <row r="33" spans="1:17" s="58" customFormat="1" ht="13.8">
      <c r="A33" s="5" t="s">
        <v>1394</v>
      </c>
      <c r="B33" s="5" t="s">
        <v>2033</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2033</v>
      </c>
      <c r="C34" s="59" t="s">
        <v>1395</v>
      </c>
      <c r="D34" s="6" t="s">
        <v>97</v>
      </c>
      <c r="E34" s="6" t="s">
        <v>98</v>
      </c>
      <c r="F34" s="6" t="s">
        <v>1396</v>
      </c>
      <c r="G34" s="6" t="s">
        <v>1397</v>
      </c>
      <c r="H34" s="7"/>
      <c r="I34" s="9"/>
      <c r="J34" s="7"/>
      <c r="K34" s="12"/>
      <c r="L34" s="6"/>
      <c r="M34" s="6"/>
      <c r="N34" s="12"/>
      <c r="O34" s="7"/>
      <c r="P34" s="9"/>
      <c r="Q34" s="9"/>
    </row>
    <row r="35" spans="1:17" s="55" customFormat="1" ht="13.8">
      <c r="A35" s="54" t="s">
        <v>1385</v>
      </c>
      <c r="B35" s="17" t="s">
        <v>29</v>
      </c>
      <c r="C35" s="18"/>
      <c r="D35" s="18"/>
      <c r="E35" s="18"/>
      <c r="F35" s="18"/>
      <c r="G35" s="18"/>
      <c r="H35" s="18"/>
      <c r="I35" s="18"/>
      <c r="J35" s="18"/>
      <c r="K35" s="18"/>
      <c r="L35" s="8"/>
      <c r="M35" s="8"/>
      <c r="N35" s="8"/>
      <c r="O35" s="9"/>
      <c r="P35" s="10"/>
      <c r="Q35" s="9"/>
    </row>
    <row r="36" spans="1:17" s="57" customFormat="1" ht="51.6" customHeight="1">
      <c r="A36" s="56" t="s">
        <v>1386</v>
      </c>
      <c r="B36" s="3" t="s">
        <v>751</v>
      </c>
      <c r="C36" s="322" t="s">
        <v>1501</v>
      </c>
      <c r="D36" s="322"/>
      <c r="E36" s="322"/>
      <c r="F36" s="322"/>
      <c r="G36" s="322"/>
      <c r="H36" s="322"/>
      <c r="I36" s="20" t="s">
        <v>2117</v>
      </c>
      <c r="J36" s="20" t="s">
        <v>2118</v>
      </c>
      <c r="K36" s="11" t="s">
        <v>2119</v>
      </c>
      <c r="L36" s="11"/>
      <c r="M36" s="11"/>
      <c r="N36" s="11"/>
      <c r="O36" s="9"/>
      <c r="P36" s="10"/>
      <c r="Q36" s="9"/>
    </row>
    <row r="37" spans="1:17" s="58" customFormat="1" ht="13.8">
      <c r="A37" s="54" t="s">
        <v>1391</v>
      </c>
      <c r="B37" s="19" t="s">
        <v>751</v>
      </c>
      <c r="C37" s="326" t="s">
        <v>2033</v>
      </c>
      <c r="D37" s="327"/>
      <c r="E37" s="327"/>
      <c r="F37" s="327"/>
      <c r="G37" s="328"/>
      <c r="H37" s="4" t="s">
        <v>2034</v>
      </c>
      <c r="I37" s="9"/>
      <c r="J37" s="9"/>
      <c r="K37" s="9"/>
      <c r="L37" s="9"/>
      <c r="M37" s="9"/>
      <c r="N37" s="9"/>
      <c r="O37" s="9"/>
      <c r="P37" s="9"/>
      <c r="Q37" s="9"/>
    </row>
    <row r="38" spans="1:17" s="58" customFormat="1" ht="13.8">
      <c r="A38" s="5" t="s">
        <v>1394</v>
      </c>
      <c r="B38" s="5" t="s">
        <v>2033</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2033</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752</v>
      </c>
      <c r="C40" s="322" t="s">
        <v>1502</v>
      </c>
      <c r="D40" s="322"/>
      <c r="E40" s="322"/>
      <c r="F40" s="322"/>
      <c r="G40" s="322"/>
      <c r="H40" s="322"/>
      <c r="I40" s="20" t="s">
        <v>2120</v>
      </c>
      <c r="J40" s="20" t="s">
        <v>2121</v>
      </c>
      <c r="K40" s="11" t="s">
        <v>1503</v>
      </c>
      <c r="L40" s="11"/>
      <c r="M40" s="11"/>
      <c r="N40" s="11"/>
      <c r="O40" s="9"/>
      <c r="P40" s="10"/>
      <c r="Q40" s="9"/>
    </row>
    <row r="41" spans="1:17" s="58" customFormat="1" ht="13.8">
      <c r="A41" s="54" t="s">
        <v>1391</v>
      </c>
      <c r="B41" s="19" t="s">
        <v>752</v>
      </c>
      <c r="C41" s="326" t="s">
        <v>2033</v>
      </c>
      <c r="D41" s="327"/>
      <c r="E41" s="327"/>
      <c r="F41" s="327"/>
      <c r="G41" s="328"/>
      <c r="H41" s="4" t="s">
        <v>2034</v>
      </c>
      <c r="I41" s="9"/>
      <c r="J41" s="9"/>
      <c r="K41" s="9"/>
      <c r="L41" s="9"/>
      <c r="M41" s="9"/>
      <c r="N41" s="9"/>
      <c r="O41" s="9"/>
      <c r="P41" s="9"/>
      <c r="Q41" s="9"/>
    </row>
    <row r="42" spans="1:17" s="58" customFormat="1" ht="13.8">
      <c r="A42" s="5" t="s">
        <v>1394</v>
      </c>
      <c r="B42" s="5" t="s">
        <v>2033</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2033</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753</v>
      </c>
      <c r="C44" s="322" t="s">
        <v>1504</v>
      </c>
      <c r="D44" s="322"/>
      <c r="E44" s="322"/>
      <c r="F44" s="322"/>
      <c r="G44" s="322"/>
      <c r="H44" s="322"/>
      <c r="I44" s="20" t="s">
        <v>2122</v>
      </c>
      <c r="J44" s="20" t="s">
        <v>2123</v>
      </c>
      <c r="K44" s="11" t="s">
        <v>1505</v>
      </c>
      <c r="L44" s="11"/>
      <c r="M44" s="11"/>
      <c r="N44" s="11"/>
      <c r="O44" s="9"/>
      <c r="P44" s="10"/>
      <c r="Q44" s="9"/>
    </row>
    <row r="45" spans="1:17" s="58" customFormat="1" ht="13.8">
      <c r="A45" s="54" t="s">
        <v>1391</v>
      </c>
      <c r="B45" s="19" t="s">
        <v>753</v>
      </c>
      <c r="C45" s="326" t="s">
        <v>2033</v>
      </c>
      <c r="D45" s="327"/>
      <c r="E45" s="327"/>
      <c r="F45" s="327"/>
      <c r="G45" s="328"/>
      <c r="H45" s="4" t="s">
        <v>2034</v>
      </c>
      <c r="I45" s="9"/>
      <c r="J45" s="9"/>
      <c r="K45" s="9"/>
      <c r="L45" s="9"/>
      <c r="M45" s="9"/>
      <c r="N45" s="9"/>
      <c r="O45" s="9"/>
      <c r="P45" s="9"/>
      <c r="Q45" s="9"/>
    </row>
    <row r="46" spans="1:17" s="58" customFormat="1" ht="13.8">
      <c r="A46" s="5" t="s">
        <v>1394</v>
      </c>
      <c r="B46" s="5" t="s">
        <v>2033</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2033</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754</v>
      </c>
      <c r="C48" s="322" t="s">
        <v>1506</v>
      </c>
      <c r="D48" s="322"/>
      <c r="E48" s="322"/>
      <c r="F48" s="322"/>
      <c r="G48" s="322"/>
      <c r="H48" s="322"/>
      <c r="I48" s="20" t="s">
        <v>2124</v>
      </c>
      <c r="J48" s="20" t="s">
        <v>2125</v>
      </c>
      <c r="K48" s="11" t="s">
        <v>2126</v>
      </c>
      <c r="L48" s="11"/>
      <c r="M48" s="11"/>
      <c r="N48" s="11"/>
      <c r="O48" s="9"/>
      <c r="P48" s="10"/>
      <c r="Q48" s="9"/>
    </row>
    <row r="49" spans="1:17" s="58" customFormat="1" ht="13.8">
      <c r="A49" s="54" t="s">
        <v>1391</v>
      </c>
      <c r="B49" s="19" t="s">
        <v>754</v>
      </c>
      <c r="C49" s="326" t="s">
        <v>2033</v>
      </c>
      <c r="D49" s="327"/>
      <c r="E49" s="327"/>
      <c r="F49" s="327"/>
      <c r="G49" s="328"/>
      <c r="H49" s="4" t="s">
        <v>2034</v>
      </c>
      <c r="I49" s="9"/>
      <c r="J49" s="9"/>
      <c r="K49" s="9"/>
      <c r="L49" s="9"/>
      <c r="M49" s="9"/>
      <c r="N49" s="9"/>
      <c r="O49" s="9"/>
      <c r="P49" s="9"/>
      <c r="Q49" s="9"/>
    </row>
    <row r="50" spans="1:17" s="58" customFormat="1" ht="13.8">
      <c r="A50" s="5" t="s">
        <v>1394</v>
      </c>
      <c r="B50" s="5" t="s">
        <v>2033</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2033</v>
      </c>
      <c r="C51" s="59" t="s">
        <v>1395</v>
      </c>
      <c r="D51" s="6" t="s">
        <v>97</v>
      </c>
      <c r="E51" s="6" t="s">
        <v>98</v>
      </c>
      <c r="F51" s="6" t="s">
        <v>1396</v>
      </c>
      <c r="G51" s="6" t="s">
        <v>1397</v>
      </c>
      <c r="H51" s="7"/>
      <c r="I51" s="9"/>
      <c r="J51" s="7"/>
      <c r="K51" s="12"/>
      <c r="L51" s="6"/>
      <c r="M51" s="6"/>
      <c r="N51" s="12"/>
      <c r="O51" s="7"/>
      <c r="P51" s="9"/>
      <c r="Q51" s="9"/>
    </row>
  </sheetData>
  <mergeCells count="20">
    <mergeCell ref="C32:G32"/>
    <mergeCell ref="C10:H10"/>
    <mergeCell ref="C11:G11"/>
    <mergeCell ref="C14:H14"/>
    <mergeCell ref="C15:G15"/>
    <mergeCell ref="C19:H19"/>
    <mergeCell ref="C20:G20"/>
    <mergeCell ref="C23:H23"/>
    <mergeCell ref="C24:G24"/>
    <mergeCell ref="C27:H27"/>
    <mergeCell ref="C28:G28"/>
    <mergeCell ref="C31:H31"/>
    <mergeCell ref="C48:H48"/>
    <mergeCell ref="C49:G49"/>
    <mergeCell ref="C36:H36"/>
    <mergeCell ref="C37:G37"/>
    <mergeCell ref="C40:H40"/>
    <mergeCell ref="C41:G41"/>
    <mergeCell ref="C44:H44"/>
    <mergeCell ref="C45:G45"/>
  </mergeCells>
  <conditionalFormatting sqref="O9">
    <cfRule type="cellIs" dxfId="3053" priority="208" operator="equal">
      <formula>"U"</formula>
    </cfRule>
    <cfRule type="cellIs" dxfId="3052" priority="209" operator="equal">
      <formula>"S"</formula>
    </cfRule>
  </conditionalFormatting>
  <conditionalFormatting sqref="Q9">
    <cfRule type="cellIs" dxfId="3051" priority="207" operator="equal">
      <formula>"Y"</formula>
    </cfRule>
  </conditionalFormatting>
  <conditionalFormatting sqref="O10">
    <cfRule type="cellIs" dxfId="3050" priority="202" operator="equal">
      <formula>"NY"</formula>
    </cfRule>
    <cfRule type="cellIs" dxfId="3049" priority="203" operator="equal">
      <formula>"DM"</formula>
    </cfRule>
    <cfRule type="cellIs" dxfId="3048" priority="204" operator="equal">
      <formula>"PM"</formula>
    </cfRule>
    <cfRule type="cellIs" dxfId="3047" priority="205" operator="equal">
      <formula>"LM"</formula>
    </cfRule>
    <cfRule type="cellIs" dxfId="3046" priority="206" operator="equal">
      <formula>"FM"</formula>
    </cfRule>
  </conditionalFormatting>
  <conditionalFormatting sqref="Q10">
    <cfRule type="cellIs" dxfId="3045" priority="201" operator="equal">
      <formula>"Y"</formula>
    </cfRule>
  </conditionalFormatting>
  <conditionalFormatting sqref="O11">
    <cfRule type="cellIs" dxfId="3044" priority="196" operator="equal">
      <formula>"NY"</formula>
    </cfRule>
    <cfRule type="cellIs" dxfId="3043" priority="197" operator="equal">
      <formula>"DM"</formula>
    </cfRule>
    <cfRule type="cellIs" dxfId="3042" priority="198" operator="equal">
      <formula>"PM"</formula>
    </cfRule>
    <cfRule type="cellIs" dxfId="3041" priority="199" operator="equal">
      <formula>"LM"</formula>
    </cfRule>
    <cfRule type="cellIs" dxfId="3040" priority="200" operator="equal">
      <formula>"FM"</formula>
    </cfRule>
  </conditionalFormatting>
  <conditionalFormatting sqref="I11:J11">
    <cfRule type="cellIs" dxfId="3039" priority="194" operator="equal">
      <formula>"No"</formula>
    </cfRule>
    <cfRule type="cellIs" dxfId="3038" priority="195" operator="equal">
      <formula>"Yes"</formula>
    </cfRule>
  </conditionalFormatting>
  <conditionalFormatting sqref="Q11">
    <cfRule type="cellIs" dxfId="3037" priority="193" operator="equal">
      <formula>"Y"</formula>
    </cfRule>
  </conditionalFormatting>
  <conditionalFormatting sqref="I12">
    <cfRule type="cellIs" dxfId="3036" priority="191" operator="equal">
      <formula>"No"</formula>
    </cfRule>
    <cfRule type="cellIs" dxfId="3035" priority="192" operator="equal">
      <formula>"Yes"</formula>
    </cfRule>
  </conditionalFormatting>
  <conditionalFormatting sqref="Q12">
    <cfRule type="cellIs" dxfId="3034" priority="190" operator="equal">
      <formula>"Y"</formula>
    </cfRule>
  </conditionalFormatting>
  <conditionalFormatting sqref="I13">
    <cfRule type="cellIs" dxfId="3033" priority="188" operator="equal">
      <formula>"No"</formula>
    </cfRule>
    <cfRule type="cellIs" dxfId="3032" priority="189" operator="equal">
      <formula>"Yes"</formula>
    </cfRule>
  </conditionalFormatting>
  <conditionalFormatting sqref="Q13">
    <cfRule type="cellIs" dxfId="3031" priority="187" operator="equal">
      <formula>"Y"</formula>
    </cfRule>
  </conditionalFormatting>
  <conditionalFormatting sqref="O14">
    <cfRule type="cellIs" dxfId="3030" priority="182" operator="equal">
      <formula>"NY"</formula>
    </cfRule>
    <cfRule type="cellIs" dxfId="3029" priority="183" operator="equal">
      <formula>"DM"</formula>
    </cfRule>
    <cfRule type="cellIs" dxfId="3028" priority="184" operator="equal">
      <formula>"PM"</formula>
    </cfRule>
    <cfRule type="cellIs" dxfId="3027" priority="185" operator="equal">
      <formula>"LM"</formula>
    </cfRule>
    <cfRule type="cellIs" dxfId="3026" priority="186" operator="equal">
      <formula>"FM"</formula>
    </cfRule>
  </conditionalFormatting>
  <conditionalFormatting sqref="Q14">
    <cfRule type="cellIs" dxfId="3025" priority="181" operator="equal">
      <formula>"Y"</formula>
    </cfRule>
  </conditionalFormatting>
  <conditionalFormatting sqref="O15">
    <cfRule type="cellIs" dxfId="3024" priority="176" operator="equal">
      <formula>"NY"</formula>
    </cfRule>
    <cfRule type="cellIs" dxfId="3023" priority="177" operator="equal">
      <formula>"DM"</formula>
    </cfRule>
    <cfRule type="cellIs" dxfId="3022" priority="178" operator="equal">
      <formula>"PM"</formula>
    </cfRule>
    <cfRule type="cellIs" dxfId="3021" priority="179" operator="equal">
      <formula>"LM"</formula>
    </cfRule>
    <cfRule type="cellIs" dxfId="3020" priority="180" operator="equal">
      <formula>"FM"</formula>
    </cfRule>
  </conditionalFormatting>
  <conditionalFormatting sqref="I15:J15">
    <cfRule type="cellIs" dxfId="3019" priority="174" operator="equal">
      <formula>"No"</formula>
    </cfRule>
    <cfRule type="cellIs" dxfId="3018" priority="175" operator="equal">
      <formula>"Yes"</formula>
    </cfRule>
  </conditionalFormatting>
  <conditionalFormatting sqref="Q15">
    <cfRule type="cellIs" dxfId="3017" priority="173" operator="equal">
      <formula>"Y"</formula>
    </cfRule>
  </conditionalFormatting>
  <conditionalFormatting sqref="I16">
    <cfRule type="cellIs" dxfId="3016" priority="171" operator="equal">
      <formula>"No"</formula>
    </cfRule>
    <cfRule type="cellIs" dxfId="3015" priority="172" operator="equal">
      <formula>"Yes"</formula>
    </cfRule>
  </conditionalFormatting>
  <conditionalFormatting sqref="Q16">
    <cfRule type="cellIs" dxfId="3014" priority="170" operator="equal">
      <formula>"Y"</formula>
    </cfRule>
  </conditionalFormatting>
  <conditionalFormatting sqref="I17">
    <cfRule type="cellIs" dxfId="3013" priority="168" operator="equal">
      <formula>"No"</formula>
    </cfRule>
    <cfRule type="cellIs" dxfId="3012" priority="169" operator="equal">
      <formula>"Yes"</formula>
    </cfRule>
  </conditionalFormatting>
  <conditionalFormatting sqref="Q17">
    <cfRule type="cellIs" dxfId="3011" priority="167" operator="equal">
      <formula>"Y"</formula>
    </cfRule>
  </conditionalFormatting>
  <conditionalFormatting sqref="O18">
    <cfRule type="cellIs" dxfId="3010" priority="165" operator="equal">
      <formula>"U"</formula>
    </cfRule>
    <cfRule type="cellIs" dxfId="3009" priority="166" operator="equal">
      <formula>"S"</formula>
    </cfRule>
  </conditionalFormatting>
  <conditionalFormatting sqref="Q18">
    <cfRule type="cellIs" dxfId="3008" priority="164" operator="equal">
      <formula>"Y"</formula>
    </cfRule>
  </conditionalFormatting>
  <conditionalFormatting sqref="O19">
    <cfRule type="cellIs" dxfId="3007" priority="159" operator="equal">
      <formula>"NY"</formula>
    </cfRule>
    <cfRule type="cellIs" dxfId="3006" priority="160" operator="equal">
      <formula>"DM"</formula>
    </cfRule>
    <cfRule type="cellIs" dxfId="3005" priority="161" operator="equal">
      <formula>"PM"</formula>
    </cfRule>
    <cfRule type="cellIs" dxfId="3004" priority="162" operator="equal">
      <formula>"LM"</formula>
    </cfRule>
    <cfRule type="cellIs" dxfId="3003" priority="163" operator="equal">
      <formula>"FM"</formula>
    </cfRule>
  </conditionalFormatting>
  <conditionalFormatting sqref="Q19">
    <cfRule type="cellIs" dxfId="3002" priority="158" operator="equal">
      <formula>"Y"</formula>
    </cfRule>
  </conditionalFormatting>
  <conditionalFormatting sqref="O20">
    <cfRule type="cellIs" dxfId="3001" priority="153" operator="equal">
      <formula>"NY"</formula>
    </cfRule>
    <cfRule type="cellIs" dxfId="3000" priority="154" operator="equal">
      <formula>"DM"</formula>
    </cfRule>
    <cfRule type="cellIs" dxfId="2999" priority="155" operator="equal">
      <formula>"PM"</formula>
    </cfRule>
    <cfRule type="cellIs" dxfId="2998" priority="156" operator="equal">
      <formula>"LM"</formula>
    </cfRule>
    <cfRule type="cellIs" dxfId="2997" priority="157" operator="equal">
      <formula>"FM"</formula>
    </cfRule>
  </conditionalFormatting>
  <conditionalFormatting sqref="I20:J20">
    <cfRule type="cellIs" dxfId="2996" priority="151" operator="equal">
      <formula>"No"</formula>
    </cfRule>
    <cfRule type="cellIs" dxfId="2995" priority="152" operator="equal">
      <formula>"Yes"</formula>
    </cfRule>
  </conditionalFormatting>
  <conditionalFormatting sqref="Q20">
    <cfRule type="cellIs" dxfId="2994" priority="150" operator="equal">
      <formula>"Y"</formula>
    </cfRule>
  </conditionalFormatting>
  <conditionalFormatting sqref="I21">
    <cfRule type="cellIs" dxfId="2993" priority="148" operator="equal">
      <formula>"No"</formula>
    </cfRule>
    <cfRule type="cellIs" dxfId="2992" priority="149" operator="equal">
      <formula>"Yes"</formula>
    </cfRule>
  </conditionalFormatting>
  <conditionalFormatting sqref="Q21">
    <cfRule type="cellIs" dxfId="2991" priority="147" operator="equal">
      <formula>"Y"</formula>
    </cfRule>
  </conditionalFormatting>
  <conditionalFormatting sqref="I22">
    <cfRule type="cellIs" dxfId="2990" priority="145" operator="equal">
      <formula>"No"</formula>
    </cfRule>
    <cfRule type="cellIs" dxfId="2989" priority="146" operator="equal">
      <formula>"Yes"</formula>
    </cfRule>
  </conditionalFormatting>
  <conditionalFormatting sqref="Q22">
    <cfRule type="cellIs" dxfId="2988" priority="144" operator="equal">
      <formula>"Y"</formula>
    </cfRule>
  </conditionalFormatting>
  <conditionalFormatting sqref="O23">
    <cfRule type="cellIs" dxfId="2987" priority="139" operator="equal">
      <formula>"NY"</formula>
    </cfRule>
    <cfRule type="cellIs" dxfId="2986" priority="140" operator="equal">
      <formula>"DM"</formula>
    </cfRule>
    <cfRule type="cellIs" dxfId="2985" priority="141" operator="equal">
      <formula>"PM"</formula>
    </cfRule>
    <cfRule type="cellIs" dxfId="2984" priority="142" operator="equal">
      <formula>"LM"</formula>
    </cfRule>
    <cfRule type="cellIs" dxfId="2983" priority="143" operator="equal">
      <formula>"FM"</formula>
    </cfRule>
  </conditionalFormatting>
  <conditionalFormatting sqref="Q23">
    <cfRule type="cellIs" dxfId="2982" priority="138" operator="equal">
      <formula>"Y"</formula>
    </cfRule>
  </conditionalFormatting>
  <conditionalFormatting sqref="O24">
    <cfRule type="cellIs" dxfId="2981" priority="133" operator="equal">
      <formula>"NY"</formula>
    </cfRule>
    <cfRule type="cellIs" dxfId="2980" priority="134" operator="equal">
      <formula>"DM"</formula>
    </cfRule>
    <cfRule type="cellIs" dxfId="2979" priority="135" operator="equal">
      <formula>"PM"</formula>
    </cfRule>
    <cfRule type="cellIs" dxfId="2978" priority="136" operator="equal">
      <formula>"LM"</formula>
    </cfRule>
    <cfRule type="cellIs" dxfId="2977" priority="137" operator="equal">
      <formula>"FM"</formula>
    </cfRule>
  </conditionalFormatting>
  <conditionalFormatting sqref="I24:J24">
    <cfRule type="cellIs" dxfId="2976" priority="131" operator="equal">
      <formula>"No"</formula>
    </cfRule>
    <cfRule type="cellIs" dxfId="2975" priority="132" operator="equal">
      <formula>"Yes"</formula>
    </cfRule>
  </conditionalFormatting>
  <conditionalFormatting sqref="Q24">
    <cfRule type="cellIs" dxfId="2974" priority="130" operator="equal">
      <formula>"Y"</formula>
    </cfRule>
  </conditionalFormatting>
  <conditionalFormatting sqref="I25">
    <cfRule type="cellIs" dxfId="2973" priority="128" operator="equal">
      <formula>"No"</formula>
    </cfRule>
    <cfRule type="cellIs" dxfId="2972" priority="129" operator="equal">
      <formula>"Yes"</formula>
    </cfRule>
  </conditionalFormatting>
  <conditionalFormatting sqref="Q25">
    <cfRule type="cellIs" dxfId="2971" priority="127" operator="equal">
      <formula>"Y"</formula>
    </cfRule>
  </conditionalFormatting>
  <conditionalFormatting sqref="I26">
    <cfRule type="cellIs" dxfId="2970" priority="125" operator="equal">
      <formula>"No"</formula>
    </cfRule>
    <cfRule type="cellIs" dxfId="2969" priority="126" operator="equal">
      <formula>"Yes"</formula>
    </cfRule>
  </conditionalFormatting>
  <conditionalFormatting sqref="Q26">
    <cfRule type="cellIs" dxfId="2968" priority="124" operator="equal">
      <formula>"Y"</formula>
    </cfRule>
  </conditionalFormatting>
  <conditionalFormatting sqref="O27">
    <cfRule type="cellIs" dxfId="2967" priority="119" operator="equal">
      <formula>"NY"</formula>
    </cfRule>
    <cfRule type="cellIs" dxfId="2966" priority="120" operator="equal">
      <formula>"DM"</formula>
    </cfRule>
    <cfRule type="cellIs" dxfId="2965" priority="121" operator="equal">
      <formula>"PM"</formula>
    </cfRule>
    <cfRule type="cellIs" dxfId="2964" priority="122" operator="equal">
      <formula>"LM"</formula>
    </cfRule>
    <cfRule type="cellIs" dxfId="2963" priority="123" operator="equal">
      <formula>"FM"</formula>
    </cfRule>
  </conditionalFormatting>
  <conditionalFormatting sqref="Q27">
    <cfRule type="cellIs" dxfId="2962" priority="118" operator="equal">
      <formula>"Y"</formula>
    </cfRule>
  </conditionalFormatting>
  <conditionalFormatting sqref="O28">
    <cfRule type="cellIs" dxfId="2961" priority="113" operator="equal">
      <formula>"NY"</formula>
    </cfRule>
    <cfRule type="cellIs" dxfId="2960" priority="114" operator="equal">
      <formula>"DM"</formula>
    </cfRule>
    <cfRule type="cellIs" dxfId="2959" priority="115" operator="equal">
      <formula>"PM"</formula>
    </cfRule>
    <cfRule type="cellIs" dxfId="2958" priority="116" operator="equal">
      <formula>"LM"</formula>
    </cfRule>
    <cfRule type="cellIs" dxfId="2957" priority="117" operator="equal">
      <formula>"FM"</formula>
    </cfRule>
  </conditionalFormatting>
  <conditionalFormatting sqref="I28:J28">
    <cfRule type="cellIs" dxfId="2956" priority="111" operator="equal">
      <formula>"No"</formula>
    </cfRule>
    <cfRule type="cellIs" dxfId="2955" priority="112" operator="equal">
      <formula>"Yes"</formula>
    </cfRule>
  </conditionalFormatting>
  <conditionalFormatting sqref="Q28">
    <cfRule type="cellIs" dxfId="2954" priority="110" operator="equal">
      <formula>"Y"</formula>
    </cfRule>
  </conditionalFormatting>
  <conditionalFormatting sqref="I29">
    <cfRule type="cellIs" dxfId="2953" priority="108" operator="equal">
      <formula>"No"</formula>
    </cfRule>
    <cfRule type="cellIs" dxfId="2952" priority="109" operator="equal">
      <formula>"Yes"</formula>
    </cfRule>
  </conditionalFormatting>
  <conditionalFormatting sqref="Q29">
    <cfRule type="cellIs" dxfId="2951" priority="107" operator="equal">
      <formula>"Y"</formula>
    </cfRule>
  </conditionalFormatting>
  <conditionalFormatting sqref="I30">
    <cfRule type="cellIs" dxfId="2950" priority="105" operator="equal">
      <formula>"No"</formula>
    </cfRule>
    <cfRule type="cellIs" dxfId="2949" priority="106" operator="equal">
      <formula>"Yes"</formula>
    </cfRule>
  </conditionalFormatting>
  <conditionalFormatting sqref="Q30">
    <cfRule type="cellIs" dxfId="2948" priority="104" operator="equal">
      <formula>"Y"</formula>
    </cfRule>
  </conditionalFormatting>
  <conditionalFormatting sqref="O31">
    <cfRule type="cellIs" dxfId="2947" priority="99" operator="equal">
      <formula>"NY"</formula>
    </cfRule>
    <cfRule type="cellIs" dxfId="2946" priority="100" operator="equal">
      <formula>"DM"</formula>
    </cfRule>
    <cfRule type="cellIs" dxfId="2945" priority="101" operator="equal">
      <formula>"PM"</formula>
    </cfRule>
    <cfRule type="cellIs" dxfId="2944" priority="102" operator="equal">
      <formula>"LM"</formula>
    </cfRule>
    <cfRule type="cellIs" dxfId="2943" priority="103" operator="equal">
      <formula>"FM"</formula>
    </cfRule>
  </conditionalFormatting>
  <conditionalFormatting sqref="Q31">
    <cfRule type="cellIs" dxfId="2942" priority="98" operator="equal">
      <formula>"Y"</formula>
    </cfRule>
  </conditionalFormatting>
  <conditionalFormatting sqref="O32">
    <cfRule type="cellIs" dxfId="2941" priority="93" operator="equal">
      <formula>"NY"</formula>
    </cfRule>
    <cfRule type="cellIs" dxfId="2940" priority="94" operator="equal">
      <formula>"DM"</formula>
    </cfRule>
    <cfRule type="cellIs" dxfId="2939" priority="95" operator="equal">
      <formula>"PM"</formula>
    </cfRule>
    <cfRule type="cellIs" dxfId="2938" priority="96" operator="equal">
      <formula>"LM"</formula>
    </cfRule>
    <cfRule type="cellIs" dxfId="2937" priority="97" operator="equal">
      <formula>"FM"</formula>
    </cfRule>
  </conditionalFormatting>
  <conditionalFormatting sqref="I32:J32">
    <cfRule type="cellIs" dxfId="2936" priority="91" operator="equal">
      <formula>"No"</formula>
    </cfRule>
    <cfRule type="cellIs" dxfId="2935" priority="92" operator="equal">
      <formula>"Yes"</formula>
    </cfRule>
  </conditionalFormatting>
  <conditionalFormatting sqref="Q32">
    <cfRule type="cellIs" dxfId="2934" priority="90" operator="equal">
      <formula>"Y"</formula>
    </cfRule>
  </conditionalFormatting>
  <conditionalFormatting sqref="I33">
    <cfRule type="cellIs" dxfId="2933" priority="88" operator="equal">
      <formula>"No"</formula>
    </cfRule>
    <cfRule type="cellIs" dxfId="2932" priority="89" operator="equal">
      <formula>"Yes"</formula>
    </cfRule>
  </conditionalFormatting>
  <conditionalFormatting sqref="Q33">
    <cfRule type="cellIs" dxfId="2931" priority="87" operator="equal">
      <formula>"Y"</formula>
    </cfRule>
  </conditionalFormatting>
  <conditionalFormatting sqref="I34">
    <cfRule type="cellIs" dxfId="2930" priority="85" operator="equal">
      <formula>"No"</formula>
    </cfRule>
    <cfRule type="cellIs" dxfId="2929" priority="86" operator="equal">
      <formula>"Yes"</formula>
    </cfRule>
  </conditionalFormatting>
  <conditionalFormatting sqref="Q34">
    <cfRule type="cellIs" dxfId="2928" priority="84" operator="equal">
      <formula>"Y"</formula>
    </cfRule>
  </conditionalFormatting>
  <conditionalFormatting sqref="O35">
    <cfRule type="cellIs" dxfId="2927" priority="82" operator="equal">
      <formula>"U"</formula>
    </cfRule>
    <cfRule type="cellIs" dxfId="2926" priority="83" operator="equal">
      <formula>"S"</formula>
    </cfRule>
  </conditionalFormatting>
  <conditionalFormatting sqref="Q35">
    <cfRule type="cellIs" dxfId="2925" priority="81" operator="equal">
      <formula>"Y"</formula>
    </cfRule>
  </conditionalFormatting>
  <conditionalFormatting sqref="O36">
    <cfRule type="cellIs" dxfId="2924" priority="76" operator="equal">
      <formula>"NY"</formula>
    </cfRule>
    <cfRule type="cellIs" dxfId="2923" priority="77" operator="equal">
      <formula>"DM"</formula>
    </cfRule>
    <cfRule type="cellIs" dxfId="2922" priority="78" operator="equal">
      <formula>"PM"</formula>
    </cfRule>
    <cfRule type="cellIs" dxfId="2921" priority="79" operator="equal">
      <formula>"LM"</formula>
    </cfRule>
    <cfRule type="cellIs" dxfId="2920" priority="80" operator="equal">
      <formula>"FM"</formula>
    </cfRule>
  </conditionalFormatting>
  <conditionalFormatting sqref="Q36">
    <cfRule type="cellIs" dxfId="2919" priority="75" operator="equal">
      <formula>"Y"</formula>
    </cfRule>
  </conditionalFormatting>
  <conditionalFormatting sqref="O37">
    <cfRule type="cellIs" dxfId="2918" priority="70" operator="equal">
      <formula>"NY"</formula>
    </cfRule>
    <cfRule type="cellIs" dxfId="2917" priority="71" operator="equal">
      <formula>"DM"</formula>
    </cfRule>
    <cfRule type="cellIs" dxfId="2916" priority="72" operator="equal">
      <formula>"PM"</formula>
    </cfRule>
    <cfRule type="cellIs" dxfId="2915" priority="73" operator="equal">
      <formula>"LM"</formula>
    </cfRule>
    <cfRule type="cellIs" dxfId="2914" priority="74" operator="equal">
      <formula>"FM"</formula>
    </cfRule>
  </conditionalFormatting>
  <conditionalFormatting sqref="I37:J37">
    <cfRule type="cellIs" dxfId="2913" priority="68" operator="equal">
      <formula>"No"</formula>
    </cfRule>
    <cfRule type="cellIs" dxfId="2912" priority="69" operator="equal">
      <formula>"Yes"</formula>
    </cfRule>
  </conditionalFormatting>
  <conditionalFormatting sqref="Q37">
    <cfRule type="cellIs" dxfId="2911" priority="67" operator="equal">
      <formula>"Y"</formula>
    </cfRule>
  </conditionalFormatting>
  <conditionalFormatting sqref="I38">
    <cfRule type="cellIs" dxfId="2910" priority="65" operator="equal">
      <formula>"No"</formula>
    </cfRule>
    <cfRule type="cellIs" dxfId="2909" priority="66" operator="equal">
      <formula>"Yes"</formula>
    </cfRule>
  </conditionalFormatting>
  <conditionalFormatting sqref="Q38">
    <cfRule type="cellIs" dxfId="2908" priority="64" operator="equal">
      <formula>"Y"</formula>
    </cfRule>
  </conditionalFormatting>
  <conditionalFormatting sqref="I39">
    <cfRule type="cellIs" dxfId="2907" priority="62" operator="equal">
      <formula>"No"</formula>
    </cfRule>
    <cfRule type="cellIs" dxfId="2906" priority="63" operator="equal">
      <formula>"Yes"</formula>
    </cfRule>
  </conditionalFormatting>
  <conditionalFormatting sqref="Q39">
    <cfRule type="cellIs" dxfId="2905" priority="61" operator="equal">
      <formula>"Y"</formula>
    </cfRule>
  </conditionalFormatting>
  <conditionalFormatting sqref="O40">
    <cfRule type="cellIs" dxfId="2904" priority="56" operator="equal">
      <formula>"NY"</formula>
    </cfRule>
    <cfRule type="cellIs" dxfId="2903" priority="57" operator="equal">
      <formula>"DM"</formula>
    </cfRule>
    <cfRule type="cellIs" dxfId="2902" priority="58" operator="equal">
      <formula>"PM"</formula>
    </cfRule>
    <cfRule type="cellIs" dxfId="2901" priority="59" operator="equal">
      <formula>"LM"</formula>
    </cfRule>
    <cfRule type="cellIs" dxfId="2900" priority="60" operator="equal">
      <formula>"FM"</formula>
    </cfRule>
  </conditionalFormatting>
  <conditionalFormatting sqref="Q40">
    <cfRule type="cellIs" dxfId="2899" priority="55" operator="equal">
      <formula>"Y"</formula>
    </cfRule>
  </conditionalFormatting>
  <conditionalFormatting sqref="O41">
    <cfRule type="cellIs" dxfId="2898" priority="50" operator="equal">
      <formula>"NY"</formula>
    </cfRule>
    <cfRule type="cellIs" dxfId="2897" priority="51" operator="equal">
      <formula>"DM"</formula>
    </cfRule>
    <cfRule type="cellIs" dxfId="2896" priority="52" operator="equal">
      <formula>"PM"</formula>
    </cfRule>
    <cfRule type="cellIs" dxfId="2895" priority="53" operator="equal">
      <formula>"LM"</formula>
    </cfRule>
    <cfRule type="cellIs" dxfId="2894" priority="54" operator="equal">
      <formula>"FM"</formula>
    </cfRule>
  </conditionalFormatting>
  <conditionalFormatting sqref="I41:J41">
    <cfRule type="cellIs" dxfId="2893" priority="48" operator="equal">
      <formula>"No"</formula>
    </cfRule>
    <cfRule type="cellIs" dxfId="2892" priority="49" operator="equal">
      <formula>"Yes"</formula>
    </cfRule>
  </conditionalFormatting>
  <conditionalFormatting sqref="Q41">
    <cfRule type="cellIs" dxfId="2891" priority="47" operator="equal">
      <formula>"Y"</formula>
    </cfRule>
  </conditionalFormatting>
  <conditionalFormatting sqref="I42">
    <cfRule type="cellIs" dxfId="2890" priority="45" operator="equal">
      <formula>"No"</formula>
    </cfRule>
    <cfRule type="cellIs" dxfId="2889" priority="46" operator="equal">
      <formula>"Yes"</formula>
    </cfRule>
  </conditionalFormatting>
  <conditionalFormatting sqref="Q42">
    <cfRule type="cellIs" dxfId="2888" priority="44" operator="equal">
      <formula>"Y"</formula>
    </cfRule>
  </conditionalFormatting>
  <conditionalFormatting sqref="I43">
    <cfRule type="cellIs" dxfId="2887" priority="42" operator="equal">
      <formula>"No"</formula>
    </cfRule>
    <cfRule type="cellIs" dxfId="2886" priority="43" operator="equal">
      <formula>"Yes"</formula>
    </cfRule>
  </conditionalFormatting>
  <conditionalFormatting sqref="Q43">
    <cfRule type="cellIs" dxfId="2885" priority="41" operator="equal">
      <formula>"Y"</formula>
    </cfRule>
  </conditionalFormatting>
  <conditionalFormatting sqref="O44">
    <cfRule type="cellIs" dxfId="2884" priority="36" operator="equal">
      <formula>"NY"</formula>
    </cfRule>
    <cfRule type="cellIs" dxfId="2883" priority="37" operator="equal">
      <formula>"DM"</formula>
    </cfRule>
    <cfRule type="cellIs" dxfId="2882" priority="38" operator="equal">
      <formula>"PM"</formula>
    </cfRule>
    <cfRule type="cellIs" dxfId="2881" priority="39" operator="equal">
      <formula>"LM"</formula>
    </cfRule>
    <cfRule type="cellIs" dxfId="2880" priority="40" operator="equal">
      <formula>"FM"</formula>
    </cfRule>
  </conditionalFormatting>
  <conditionalFormatting sqref="Q44">
    <cfRule type="cellIs" dxfId="2879" priority="35" operator="equal">
      <formula>"Y"</formula>
    </cfRule>
  </conditionalFormatting>
  <conditionalFormatting sqref="O45">
    <cfRule type="cellIs" dxfId="2878" priority="30" operator="equal">
      <formula>"NY"</formula>
    </cfRule>
    <cfRule type="cellIs" dxfId="2877" priority="31" operator="equal">
      <formula>"DM"</formula>
    </cfRule>
    <cfRule type="cellIs" dxfId="2876" priority="32" operator="equal">
      <formula>"PM"</formula>
    </cfRule>
    <cfRule type="cellIs" dxfId="2875" priority="33" operator="equal">
      <formula>"LM"</formula>
    </cfRule>
    <cfRule type="cellIs" dxfId="2874" priority="34" operator="equal">
      <formula>"FM"</formula>
    </cfRule>
  </conditionalFormatting>
  <conditionalFormatting sqref="I45:J45">
    <cfRule type="cellIs" dxfId="2873" priority="28" operator="equal">
      <formula>"No"</formula>
    </cfRule>
    <cfRule type="cellIs" dxfId="2872" priority="29" operator="equal">
      <formula>"Yes"</formula>
    </cfRule>
  </conditionalFormatting>
  <conditionalFormatting sqref="Q45">
    <cfRule type="cellIs" dxfId="2871" priority="27" operator="equal">
      <formula>"Y"</formula>
    </cfRule>
  </conditionalFormatting>
  <conditionalFormatting sqref="I46">
    <cfRule type="cellIs" dxfId="2870" priority="25" operator="equal">
      <formula>"No"</formula>
    </cfRule>
    <cfRule type="cellIs" dxfId="2869" priority="26" operator="equal">
      <formula>"Yes"</formula>
    </cfRule>
  </conditionalFormatting>
  <conditionalFormatting sqref="Q46">
    <cfRule type="cellIs" dxfId="2868" priority="24" operator="equal">
      <formula>"Y"</formula>
    </cfRule>
  </conditionalFormatting>
  <conditionalFormatting sqref="I47">
    <cfRule type="cellIs" dxfId="2867" priority="22" operator="equal">
      <formula>"No"</formula>
    </cfRule>
    <cfRule type="cellIs" dxfId="2866" priority="23" operator="equal">
      <formula>"Yes"</formula>
    </cfRule>
  </conditionalFormatting>
  <conditionalFormatting sqref="Q47">
    <cfRule type="cellIs" dxfId="2865" priority="21" operator="equal">
      <formula>"Y"</formula>
    </cfRule>
  </conditionalFormatting>
  <conditionalFormatting sqref="O48">
    <cfRule type="cellIs" dxfId="2864" priority="16" operator="equal">
      <formula>"NY"</formula>
    </cfRule>
    <cfRule type="cellIs" dxfId="2863" priority="17" operator="equal">
      <formula>"DM"</formula>
    </cfRule>
    <cfRule type="cellIs" dxfId="2862" priority="18" operator="equal">
      <formula>"PM"</formula>
    </cfRule>
    <cfRule type="cellIs" dxfId="2861" priority="19" operator="equal">
      <formula>"LM"</formula>
    </cfRule>
    <cfRule type="cellIs" dxfId="2860" priority="20" operator="equal">
      <formula>"FM"</formula>
    </cfRule>
  </conditionalFormatting>
  <conditionalFormatting sqref="Q48">
    <cfRule type="cellIs" dxfId="2859" priority="15" operator="equal">
      <formula>"Y"</formula>
    </cfRule>
  </conditionalFormatting>
  <conditionalFormatting sqref="O49">
    <cfRule type="cellIs" dxfId="2858" priority="10" operator="equal">
      <formula>"NY"</formula>
    </cfRule>
    <cfRule type="cellIs" dxfId="2857" priority="11" operator="equal">
      <formula>"DM"</formula>
    </cfRule>
    <cfRule type="cellIs" dxfId="2856" priority="12" operator="equal">
      <formula>"PM"</formula>
    </cfRule>
    <cfRule type="cellIs" dxfId="2855" priority="13" operator="equal">
      <formula>"LM"</formula>
    </cfRule>
    <cfRule type="cellIs" dxfId="2854" priority="14" operator="equal">
      <formula>"FM"</formula>
    </cfRule>
  </conditionalFormatting>
  <conditionalFormatting sqref="I49:J49">
    <cfRule type="cellIs" dxfId="2853" priority="8" operator="equal">
      <formula>"No"</formula>
    </cfRule>
    <cfRule type="cellIs" dxfId="2852" priority="9" operator="equal">
      <formula>"Yes"</formula>
    </cfRule>
  </conditionalFormatting>
  <conditionalFormatting sqref="Q49">
    <cfRule type="cellIs" dxfId="2851" priority="7" operator="equal">
      <formula>"Y"</formula>
    </cfRule>
  </conditionalFormatting>
  <conditionalFormatting sqref="I50">
    <cfRule type="cellIs" dxfId="2850" priority="5" operator="equal">
      <formula>"No"</formula>
    </cfRule>
    <cfRule type="cellIs" dxfId="2849" priority="6" operator="equal">
      <formula>"Yes"</formula>
    </cfRule>
  </conditionalFormatting>
  <conditionalFormatting sqref="Q50">
    <cfRule type="cellIs" dxfId="2848" priority="4" operator="equal">
      <formula>"Y"</formula>
    </cfRule>
  </conditionalFormatting>
  <conditionalFormatting sqref="I51">
    <cfRule type="cellIs" dxfId="2847" priority="2" operator="equal">
      <formula>"No"</formula>
    </cfRule>
    <cfRule type="cellIs" dxfId="2846" priority="3" operator="equal">
      <formula>"Yes"</formula>
    </cfRule>
  </conditionalFormatting>
  <conditionalFormatting sqref="Q51">
    <cfRule type="cellIs" dxfId="2845" priority="1" operator="equal">
      <formula>"Y"</formula>
    </cfRule>
  </conditionalFormatting>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DAFF-9516-45F3-9B7C-B1FFBD6BA125}">
  <sheetPr codeName="Sheet46"/>
  <dimension ref="A1:Q72"/>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1536</v>
      </c>
    </row>
    <row r="2" spans="1:17" s="61" customFormat="1" ht="21">
      <c r="A2" s="60" t="s">
        <v>2127</v>
      </c>
    </row>
    <row r="3" spans="1:17" ht="409.6">
      <c r="A3" s="62" t="s">
        <v>1707</v>
      </c>
      <c r="B3" s="313" t="s">
        <v>1537</v>
      </c>
    </row>
    <row r="4" spans="1:17">
      <c r="A4" s="63" t="s">
        <v>1401</v>
      </c>
      <c r="B4" s="63" t="s">
        <v>2128</v>
      </c>
    </row>
    <row r="5" spans="1:17">
      <c r="A5" s="62" t="s">
        <v>1709</v>
      </c>
      <c r="B5" s="63" t="s">
        <v>805</v>
      </c>
    </row>
    <row r="6" spans="1:17">
      <c r="A6" s="63" t="s">
        <v>1402</v>
      </c>
      <c r="B6" s="63" t="s">
        <v>2129</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806</v>
      </c>
      <c r="C10" s="322" t="s">
        <v>1538</v>
      </c>
      <c r="D10" s="322"/>
      <c r="E10" s="322"/>
      <c r="F10" s="322"/>
      <c r="G10" s="322"/>
      <c r="H10" s="322"/>
      <c r="I10" s="20" t="s">
        <v>2130</v>
      </c>
      <c r="J10" s="20" t="s">
        <v>2131</v>
      </c>
      <c r="K10" s="11" t="s">
        <v>1539</v>
      </c>
      <c r="L10" s="11"/>
      <c r="M10" s="11"/>
      <c r="N10" s="11"/>
      <c r="O10" s="9"/>
      <c r="P10" s="10"/>
      <c r="Q10" s="9"/>
    </row>
    <row r="11" spans="1:17" s="58" customFormat="1" ht="13.8">
      <c r="A11" s="54" t="s">
        <v>1391</v>
      </c>
      <c r="B11" s="19" t="s">
        <v>806</v>
      </c>
      <c r="C11" s="326" t="s">
        <v>2033</v>
      </c>
      <c r="D11" s="327"/>
      <c r="E11" s="327"/>
      <c r="F11" s="327"/>
      <c r="G11" s="328"/>
      <c r="H11" s="4" t="s">
        <v>2034</v>
      </c>
      <c r="I11" s="9"/>
      <c r="J11" s="9"/>
      <c r="K11" s="9"/>
      <c r="L11" s="9"/>
      <c r="M11" s="9"/>
      <c r="N11" s="9"/>
      <c r="O11" s="9"/>
      <c r="P11" s="9"/>
      <c r="Q11" s="9"/>
    </row>
    <row r="12" spans="1:17" s="58" customFormat="1" ht="13.8">
      <c r="A12" s="5" t="s">
        <v>1394</v>
      </c>
      <c r="B12" s="5" t="s">
        <v>2033</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2033</v>
      </c>
      <c r="C13" s="59" t="s">
        <v>1395</v>
      </c>
      <c r="D13" s="6" t="s">
        <v>97</v>
      </c>
      <c r="E13" s="6" t="s">
        <v>98</v>
      </c>
      <c r="F13" s="6" t="s">
        <v>1396</v>
      </c>
      <c r="G13" s="6" t="s">
        <v>1397</v>
      </c>
      <c r="H13" s="7"/>
      <c r="I13" s="9"/>
      <c r="J13" s="7"/>
      <c r="K13" s="12"/>
      <c r="L13" s="6"/>
      <c r="M13" s="6"/>
      <c r="N13" s="12"/>
      <c r="O13" s="7"/>
      <c r="P13" s="9"/>
      <c r="Q13" s="9"/>
    </row>
    <row r="14" spans="1:17" s="57" customFormat="1" ht="51.6" customHeight="1">
      <c r="A14" s="56" t="s">
        <v>1386</v>
      </c>
      <c r="B14" s="3" t="s">
        <v>807</v>
      </c>
      <c r="C14" s="322" t="s">
        <v>1540</v>
      </c>
      <c r="D14" s="322"/>
      <c r="E14" s="322"/>
      <c r="F14" s="322"/>
      <c r="G14" s="322"/>
      <c r="H14" s="322"/>
      <c r="I14" s="20" t="s">
        <v>2132</v>
      </c>
      <c r="J14" s="20" t="s">
        <v>2133</v>
      </c>
      <c r="K14" s="11" t="s">
        <v>1541</v>
      </c>
      <c r="L14" s="11"/>
      <c r="M14" s="11"/>
      <c r="N14" s="11"/>
      <c r="O14" s="9"/>
      <c r="P14" s="10"/>
      <c r="Q14" s="9"/>
    </row>
    <row r="15" spans="1:17" s="58" customFormat="1" ht="13.8">
      <c r="A15" s="54" t="s">
        <v>1391</v>
      </c>
      <c r="B15" s="19" t="s">
        <v>807</v>
      </c>
      <c r="C15" s="326" t="s">
        <v>2033</v>
      </c>
      <c r="D15" s="327"/>
      <c r="E15" s="327"/>
      <c r="F15" s="327"/>
      <c r="G15" s="328"/>
      <c r="H15" s="4" t="s">
        <v>2034</v>
      </c>
      <c r="I15" s="9"/>
      <c r="J15" s="9"/>
      <c r="K15" s="9"/>
      <c r="L15" s="9"/>
      <c r="M15" s="9"/>
      <c r="N15" s="9"/>
      <c r="O15" s="9"/>
      <c r="P15" s="9"/>
      <c r="Q15" s="9"/>
    </row>
    <row r="16" spans="1:17" s="58" customFormat="1" ht="13.8">
      <c r="A16" s="5" t="s">
        <v>1394</v>
      </c>
      <c r="B16" s="5" t="s">
        <v>2033</v>
      </c>
      <c r="C16" s="59" t="s">
        <v>1395</v>
      </c>
      <c r="D16" s="6" t="s">
        <v>97</v>
      </c>
      <c r="E16" s="6" t="s">
        <v>98</v>
      </c>
      <c r="F16" s="6" t="s">
        <v>1396</v>
      </c>
      <c r="G16" s="6" t="s">
        <v>1397</v>
      </c>
      <c r="H16" s="7"/>
      <c r="I16" s="9"/>
      <c r="J16" s="7"/>
      <c r="K16" s="12"/>
      <c r="L16" s="6"/>
      <c r="M16" s="6"/>
      <c r="N16" s="12"/>
      <c r="O16" s="7"/>
      <c r="P16" s="9"/>
      <c r="Q16" s="9"/>
    </row>
    <row r="17" spans="1:17" s="58" customFormat="1" ht="13.8">
      <c r="A17" s="5" t="s">
        <v>1394</v>
      </c>
      <c r="B17" s="5" t="s">
        <v>2033</v>
      </c>
      <c r="C17" s="59" t="s">
        <v>1395</v>
      </c>
      <c r="D17" s="6" t="s">
        <v>97</v>
      </c>
      <c r="E17" s="6" t="s">
        <v>98</v>
      </c>
      <c r="F17" s="6" t="s">
        <v>1396</v>
      </c>
      <c r="G17" s="6" t="s">
        <v>1397</v>
      </c>
      <c r="H17" s="7"/>
      <c r="I17" s="9"/>
      <c r="J17" s="7"/>
      <c r="K17" s="12"/>
      <c r="L17" s="6"/>
      <c r="M17" s="6"/>
      <c r="N17" s="12"/>
      <c r="O17" s="7"/>
      <c r="P17" s="9"/>
      <c r="Q17" s="9"/>
    </row>
    <row r="18" spans="1:17" s="55" customFormat="1" ht="13.8">
      <c r="A18" s="54" t="s">
        <v>1385</v>
      </c>
      <c r="B18" s="17" t="s">
        <v>28</v>
      </c>
      <c r="C18" s="18"/>
      <c r="D18" s="18"/>
      <c r="E18" s="18"/>
      <c r="F18" s="18"/>
      <c r="G18" s="18"/>
      <c r="H18" s="18"/>
      <c r="I18" s="18"/>
      <c r="J18" s="18"/>
      <c r="K18" s="18"/>
      <c r="L18" s="8"/>
      <c r="M18" s="8"/>
      <c r="N18" s="8"/>
      <c r="O18" s="9"/>
      <c r="P18" s="10"/>
      <c r="Q18" s="9"/>
    </row>
    <row r="19" spans="1:17" s="57" customFormat="1" ht="51.6" customHeight="1">
      <c r="A19" s="56" t="s">
        <v>1386</v>
      </c>
      <c r="B19" s="3" t="s">
        <v>808</v>
      </c>
      <c r="C19" s="322" t="s">
        <v>1542</v>
      </c>
      <c r="D19" s="322"/>
      <c r="E19" s="322"/>
      <c r="F19" s="322"/>
      <c r="G19" s="322"/>
      <c r="H19" s="322"/>
      <c r="I19" s="20" t="s">
        <v>2134</v>
      </c>
      <c r="J19" s="20" t="s">
        <v>2135</v>
      </c>
      <c r="K19" s="11" t="s">
        <v>1543</v>
      </c>
      <c r="L19" s="11"/>
      <c r="M19" s="11"/>
      <c r="N19" s="11"/>
      <c r="O19" s="9"/>
      <c r="P19" s="10"/>
      <c r="Q19" s="9"/>
    </row>
    <row r="20" spans="1:17" s="58" customFormat="1" ht="13.8">
      <c r="A20" s="54" t="s">
        <v>1391</v>
      </c>
      <c r="B20" s="19" t="s">
        <v>808</v>
      </c>
      <c r="C20" s="326" t="s">
        <v>2033</v>
      </c>
      <c r="D20" s="327"/>
      <c r="E20" s="327"/>
      <c r="F20" s="327"/>
      <c r="G20" s="328"/>
      <c r="H20" s="4" t="s">
        <v>2034</v>
      </c>
      <c r="I20" s="9"/>
      <c r="J20" s="9"/>
      <c r="K20" s="9"/>
      <c r="L20" s="9"/>
      <c r="M20" s="9"/>
      <c r="N20" s="9"/>
      <c r="O20" s="9"/>
      <c r="P20" s="9"/>
      <c r="Q20" s="9"/>
    </row>
    <row r="21" spans="1:17" s="58" customFormat="1" ht="13.8">
      <c r="A21" s="5" t="s">
        <v>1394</v>
      </c>
      <c r="B21" s="5" t="s">
        <v>2033</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2033</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809</v>
      </c>
      <c r="C23" s="322" t="s">
        <v>1544</v>
      </c>
      <c r="D23" s="322"/>
      <c r="E23" s="322"/>
      <c r="F23" s="322"/>
      <c r="G23" s="322"/>
      <c r="H23" s="322"/>
      <c r="I23" s="20" t="s">
        <v>2136</v>
      </c>
      <c r="J23" s="20" t="s">
        <v>2137</v>
      </c>
      <c r="K23" s="11" t="s">
        <v>1545</v>
      </c>
      <c r="L23" s="11"/>
      <c r="M23" s="11"/>
      <c r="N23" s="11"/>
      <c r="O23" s="9"/>
      <c r="P23" s="10"/>
      <c r="Q23" s="9"/>
    </row>
    <row r="24" spans="1:17" s="58" customFormat="1" ht="13.8">
      <c r="A24" s="54" t="s">
        <v>1391</v>
      </c>
      <c r="B24" s="19" t="s">
        <v>809</v>
      </c>
      <c r="C24" s="326" t="s">
        <v>2033</v>
      </c>
      <c r="D24" s="327"/>
      <c r="E24" s="327"/>
      <c r="F24" s="327"/>
      <c r="G24" s="328"/>
      <c r="H24" s="4" t="s">
        <v>2034</v>
      </c>
      <c r="I24" s="9"/>
      <c r="J24" s="9"/>
      <c r="K24" s="9"/>
      <c r="L24" s="9"/>
      <c r="M24" s="9"/>
      <c r="N24" s="9"/>
      <c r="O24" s="9"/>
      <c r="P24" s="9"/>
      <c r="Q24" s="9"/>
    </row>
    <row r="25" spans="1:17" s="58" customFormat="1" ht="13.8">
      <c r="A25" s="5" t="s">
        <v>1394</v>
      </c>
      <c r="B25" s="5" t="s">
        <v>2033</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2033</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810</v>
      </c>
      <c r="C27" s="322" t="s">
        <v>1546</v>
      </c>
      <c r="D27" s="322"/>
      <c r="E27" s="322"/>
      <c r="F27" s="322"/>
      <c r="G27" s="322"/>
      <c r="H27" s="322"/>
      <c r="I27" s="20" t="s">
        <v>2138</v>
      </c>
      <c r="J27" s="20" t="s">
        <v>2139</v>
      </c>
      <c r="K27" s="11" t="s">
        <v>1547</v>
      </c>
      <c r="L27" s="11"/>
      <c r="M27" s="11"/>
      <c r="N27" s="11"/>
      <c r="O27" s="9"/>
      <c r="P27" s="10"/>
      <c r="Q27" s="9"/>
    </row>
    <row r="28" spans="1:17" s="58" customFormat="1" ht="13.8">
      <c r="A28" s="54" t="s">
        <v>1391</v>
      </c>
      <c r="B28" s="19" t="s">
        <v>810</v>
      </c>
      <c r="C28" s="326" t="s">
        <v>2033</v>
      </c>
      <c r="D28" s="327"/>
      <c r="E28" s="327"/>
      <c r="F28" s="327"/>
      <c r="G28" s="328"/>
      <c r="H28" s="4" t="s">
        <v>2034</v>
      </c>
      <c r="I28" s="9"/>
      <c r="J28" s="9"/>
      <c r="K28" s="9"/>
      <c r="L28" s="9"/>
      <c r="M28" s="9"/>
      <c r="N28" s="9"/>
      <c r="O28" s="9"/>
      <c r="P28" s="9"/>
      <c r="Q28" s="9"/>
    </row>
    <row r="29" spans="1:17" s="58" customFormat="1" ht="13.8">
      <c r="A29" s="5" t="s">
        <v>1394</v>
      </c>
      <c r="B29" s="5" t="s">
        <v>2033</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2033</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811</v>
      </c>
      <c r="C31" s="322" t="s">
        <v>1548</v>
      </c>
      <c r="D31" s="322"/>
      <c r="E31" s="322"/>
      <c r="F31" s="322"/>
      <c r="G31" s="322"/>
      <c r="H31" s="322"/>
      <c r="I31" s="20" t="s">
        <v>2140</v>
      </c>
      <c r="J31" s="20" t="s">
        <v>2141</v>
      </c>
      <c r="K31" s="11" t="s">
        <v>1549</v>
      </c>
      <c r="L31" s="11"/>
      <c r="M31" s="11"/>
      <c r="N31" s="11"/>
      <c r="O31" s="9"/>
      <c r="P31" s="10"/>
      <c r="Q31" s="9"/>
    </row>
    <row r="32" spans="1:17" s="58" customFormat="1" ht="13.8">
      <c r="A32" s="54" t="s">
        <v>1391</v>
      </c>
      <c r="B32" s="19" t="s">
        <v>811</v>
      </c>
      <c r="C32" s="326" t="s">
        <v>2033</v>
      </c>
      <c r="D32" s="327"/>
      <c r="E32" s="327"/>
      <c r="F32" s="327"/>
      <c r="G32" s="328"/>
      <c r="H32" s="4" t="s">
        <v>2034</v>
      </c>
      <c r="I32" s="9"/>
      <c r="J32" s="9"/>
      <c r="K32" s="9"/>
      <c r="L32" s="9"/>
      <c r="M32" s="9"/>
      <c r="N32" s="9"/>
      <c r="O32" s="9"/>
      <c r="P32" s="9"/>
      <c r="Q32" s="9"/>
    </row>
    <row r="33" spans="1:17" s="58" customFormat="1" ht="13.8">
      <c r="A33" s="5" t="s">
        <v>1394</v>
      </c>
      <c r="B33" s="5" t="s">
        <v>2033</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2033</v>
      </c>
      <c r="C34" s="59" t="s">
        <v>1395</v>
      </c>
      <c r="D34" s="6" t="s">
        <v>97</v>
      </c>
      <c r="E34" s="6" t="s">
        <v>98</v>
      </c>
      <c r="F34" s="6" t="s">
        <v>1396</v>
      </c>
      <c r="G34" s="6" t="s">
        <v>1397</v>
      </c>
      <c r="H34" s="7"/>
      <c r="I34" s="9"/>
      <c r="J34" s="7"/>
      <c r="K34" s="12"/>
      <c r="L34" s="6"/>
      <c r="M34" s="6"/>
      <c r="N34" s="12"/>
      <c r="O34" s="7"/>
      <c r="P34" s="9"/>
      <c r="Q34" s="9"/>
    </row>
    <row r="35" spans="1:17" s="57" customFormat="1" ht="51.6" customHeight="1">
      <c r="A35" s="56" t="s">
        <v>1386</v>
      </c>
      <c r="B35" s="3" t="s">
        <v>812</v>
      </c>
      <c r="C35" s="322" t="s">
        <v>1550</v>
      </c>
      <c r="D35" s="322"/>
      <c r="E35" s="322"/>
      <c r="F35" s="322"/>
      <c r="G35" s="322"/>
      <c r="H35" s="322"/>
      <c r="I35" s="20" t="s">
        <v>2142</v>
      </c>
      <c r="J35" s="20" t="s">
        <v>2143</v>
      </c>
      <c r="K35" s="11" t="s">
        <v>1551</v>
      </c>
      <c r="L35" s="11"/>
      <c r="M35" s="11"/>
      <c r="N35" s="11"/>
      <c r="O35" s="9"/>
      <c r="P35" s="10"/>
      <c r="Q35" s="9"/>
    </row>
    <row r="36" spans="1:17" s="58" customFormat="1" ht="13.8">
      <c r="A36" s="54" t="s">
        <v>1391</v>
      </c>
      <c r="B36" s="19" t="s">
        <v>812</v>
      </c>
      <c r="C36" s="326" t="s">
        <v>2033</v>
      </c>
      <c r="D36" s="327"/>
      <c r="E36" s="327"/>
      <c r="F36" s="327"/>
      <c r="G36" s="328"/>
      <c r="H36" s="4" t="s">
        <v>2034</v>
      </c>
      <c r="I36" s="9"/>
      <c r="J36" s="9"/>
      <c r="K36" s="9"/>
      <c r="L36" s="9"/>
      <c r="M36" s="9"/>
      <c r="N36" s="9"/>
      <c r="O36" s="9"/>
      <c r="P36" s="9"/>
      <c r="Q36" s="9"/>
    </row>
    <row r="37" spans="1:17" s="58" customFormat="1" ht="13.8">
      <c r="A37" s="5" t="s">
        <v>1394</v>
      </c>
      <c r="B37" s="5" t="s">
        <v>2033</v>
      </c>
      <c r="C37" s="59" t="s">
        <v>1395</v>
      </c>
      <c r="D37" s="6" t="s">
        <v>97</v>
      </c>
      <c r="E37" s="6" t="s">
        <v>98</v>
      </c>
      <c r="F37" s="6" t="s">
        <v>1396</v>
      </c>
      <c r="G37" s="6" t="s">
        <v>1397</v>
      </c>
      <c r="H37" s="7"/>
      <c r="I37" s="9"/>
      <c r="J37" s="7"/>
      <c r="K37" s="12"/>
      <c r="L37" s="6"/>
      <c r="M37" s="6"/>
      <c r="N37" s="12"/>
      <c r="O37" s="7"/>
      <c r="P37" s="9"/>
      <c r="Q37" s="9"/>
    </row>
    <row r="38" spans="1:17" s="58" customFormat="1" ht="13.8">
      <c r="A38" s="5" t="s">
        <v>1394</v>
      </c>
      <c r="B38" s="5" t="s">
        <v>2033</v>
      </c>
      <c r="C38" s="59" t="s">
        <v>1395</v>
      </c>
      <c r="D38" s="6" t="s">
        <v>97</v>
      </c>
      <c r="E38" s="6" t="s">
        <v>98</v>
      </c>
      <c r="F38" s="6" t="s">
        <v>1396</v>
      </c>
      <c r="G38" s="6" t="s">
        <v>1397</v>
      </c>
      <c r="H38" s="7"/>
      <c r="I38" s="9"/>
      <c r="J38" s="7"/>
      <c r="K38" s="12"/>
      <c r="L38" s="6"/>
      <c r="M38" s="6"/>
      <c r="N38" s="12"/>
      <c r="O38" s="7"/>
      <c r="P38" s="9"/>
      <c r="Q38" s="9"/>
    </row>
    <row r="39" spans="1:17" s="57" customFormat="1" ht="51.6" customHeight="1">
      <c r="A39" s="56" t="s">
        <v>1386</v>
      </c>
      <c r="B39" s="3" t="s">
        <v>813</v>
      </c>
      <c r="C39" s="322" t="s">
        <v>2144</v>
      </c>
      <c r="D39" s="322"/>
      <c r="E39" s="322"/>
      <c r="F39" s="322"/>
      <c r="G39" s="322"/>
      <c r="H39" s="322"/>
      <c r="I39" s="20" t="s">
        <v>2145</v>
      </c>
      <c r="J39" s="20" t="s">
        <v>2146</v>
      </c>
      <c r="K39" s="11" t="s">
        <v>1552</v>
      </c>
      <c r="L39" s="11"/>
      <c r="M39" s="11"/>
      <c r="N39" s="11"/>
      <c r="O39" s="9"/>
      <c r="P39" s="10"/>
      <c r="Q39" s="9"/>
    </row>
    <row r="40" spans="1:17" s="58" customFormat="1" ht="13.8">
      <c r="A40" s="54" t="s">
        <v>1391</v>
      </c>
      <c r="B40" s="19" t="s">
        <v>813</v>
      </c>
      <c r="C40" s="326" t="s">
        <v>2033</v>
      </c>
      <c r="D40" s="327"/>
      <c r="E40" s="327"/>
      <c r="F40" s="327"/>
      <c r="G40" s="328"/>
      <c r="H40" s="4" t="s">
        <v>2034</v>
      </c>
      <c r="I40" s="9"/>
      <c r="J40" s="9"/>
      <c r="K40" s="9"/>
      <c r="L40" s="9"/>
      <c r="M40" s="9"/>
      <c r="N40" s="9"/>
      <c r="O40" s="9"/>
      <c r="P40" s="9"/>
      <c r="Q40" s="9"/>
    </row>
    <row r="41" spans="1:17" s="58" customFormat="1" ht="13.8">
      <c r="A41" s="5" t="s">
        <v>1394</v>
      </c>
      <c r="B41" s="5" t="s">
        <v>2033</v>
      </c>
      <c r="C41" s="59" t="s">
        <v>1395</v>
      </c>
      <c r="D41" s="6" t="s">
        <v>97</v>
      </c>
      <c r="E41" s="6" t="s">
        <v>98</v>
      </c>
      <c r="F41" s="6" t="s">
        <v>1396</v>
      </c>
      <c r="G41" s="6" t="s">
        <v>1397</v>
      </c>
      <c r="H41" s="7"/>
      <c r="I41" s="9"/>
      <c r="J41" s="7"/>
      <c r="K41" s="12"/>
      <c r="L41" s="6"/>
      <c r="M41" s="6"/>
      <c r="N41" s="12"/>
      <c r="O41" s="7"/>
      <c r="P41" s="9"/>
      <c r="Q41" s="9"/>
    </row>
    <row r="42" spans="1:17" s="58" customFormat="1" ht="13.8">
      <c r="A42" s="5" t="s">
        <v>1394</v>
      </c>
      <c r="B42" s="5" t="s">
        <v>2033</v>
      </c>
      <c r="C42" s="59" t="s">
        <v>1395</v>
      </c>
      <c r="D42" s="6" t="s">
        <v>97</v>
      </c>
      <c r="E42" s="6" t="s">
        <v>98</v>
      </c>
      <c r="F42" s="6" t="s">
        <v>1396</v>
      </c>
      <c r="G42" s="6" t="s">
        <v>1397</v>
      </c>
      <c r="H42" s="7"/>
      <c r="I42" s="9"/>
      <c r="J42" s="7"/>
      <c r="K42" s="12"/>
      <c r="L42" s="6"/>
      <c r="M42" s="6"/>
      <c r="N42" s="12"/>
      <c r="O42" s="7"/>
      <c r="P42" s="9"/>
      <c r="Q42" s="9"/>
    </row>
    <row r="43" spans="1:17" s="57" customFormat="1" ht="51.6" customHeight="1">
      <c r="A43" s="56" t="s">
        <v>1386</v>
      </c>
      <c r="B43" s="3" t="s">
        <v>814</v>
      </c>
      <c r="C43" s="322" t="s">
        <v>1553</v>
      </c>
      <c r="D43" s="322"/>
      <c r="E43" s="322"/>
      <c r="F43" s="322"/>
      <c r="G43" s="322"/>
      <c r="H43" s="322"/>
      <c r="I43" s="20" t="s">
        <v>2147</v>
      </c>
      <c r="J43" s="20" t="s">
        <v>2148</v>
      </c>
      <c r="K43" s="11" t="s">
        <v>1554</v>
      </c>
      <c r="L43" s="11"/>
      <c r="M43" s="11"/>
      <c r="N43" s="11"/>
      <c r="O43" s="9"/>
      <c r="P43" s="10"/>
      <c r="Q43" s="9"/>
    </row>
    <row r="44" spans="1:17" s="58" customFormat="1" ht="13.8">
      <c r="A44" s="54" t="s">
        <v>1391</v>
      </c>
      <c r="B44" s="19" t="s">
        <v>814</v>
      </c>
      <c r="C44" s="326" t="s">
        <v>2033</v>
      </c>
      <c r="D44" s="327"/>
      <c r="E44" s="327"/>
      <c r="F44" s="327"/>
      <c r="G44" s="328"/>
      <c r="H44" s="4" t="s">
        <v>2034</v>
      </c>
      <c r="I44" s="9"/>
      <c r="J44" s="9"/>
      <c r="K44" s="9"/>
      <c r="L44" s="9"/>
      <c r="M44" s="9"/>
      <c r="N44" s="9"/>
      <c r="O44" s="9"/>
      <c r="P44" s="9"/>
      <c r="Q44" s="9"/>
    </row>
    <row r="45" spans="1:17" s="58" customFormat="1" ht="13.8">
      <c r="A45" s="5" t="s">
        <v>1394</v>
      </c>
      <c r="B45" s="5" t="s">
        <v>2033</v>
      </c>
      <c r="C45" s="59" t="s">
        <v>1395</v>
      </c>
      <c r="D45" s="6" t="s">
        <v>97</v>
      </c>
      <c r="E45" s="6" t="s">
        <v>98</v>
      </c>
      <c r="F45" s="6" t="s">
        <v>1396</v>
      </c>
      <c r="G45" s="6" t="s">
        <v>1397</v>
      </c>
      <c r="H45" s="7"/>
      <c r="I45" s="9"/>
      <c r="J45" s="7"/>
      <c r="K45" s="12"/>
      <c r="L45" s="6"/>
      <c r="M45" s="6"/>
      <c r="N45" s="12"/>
      <c r="O45" s="7"/>
      <c r="P45" s="9"/>
      <c r="Q45" s="9"/>
    </row>
    <row r="46" spans="1:17" s="58" customFormat="1" ht="13.8">
      <c r="A46" s="5" t="s">
        <v>1394</v>
      </c>
      <c r="B46" s="5" t="s">
        <v>2033</v>
      </c>
      <c r="C46" s="59" t="s">
        <v>1395</v>
      </c>
      <c r="D46" s="6" t="s">
        <v>97</v>
      </c>
      <c r="E46" s="6" t="s">
        <v>98</v>
      </c>
      <c r="F46" s="6" t="s">
        <v>1396</v>
      </c>
      <c r="G46" s="6" t="s">
        <v>1397</v>
      </c>
      <c r="H46" s="7"/>
      <c r="I46" s="9"/>
      <c r="J46" s="7"/>
      <c r="K46" s="12"/>
      <c r="L46" s="6"/>
      <c r="M46" s="6"/>
      <c r="N46" s="12"/>
      <c r="O46" s="7"/>
      <c r="P46" s="9"/>
      <c r="Q46" s="9"/>
    </row>
    <row r="47" spans="1:17" s="57" customFormat="1" ht="51.6" customHeight="1">
      <c r="A47" s="56" t="s">
        <v>1386</v>
      </c>
      <c r="B47" s="3" t="s">
        <v>815</v>
      </c>
      <c r="C47" s="322" t="s">
        <v>2149</v>
      </c>
      <c r="D47" s="322"/>
      <c r="E47" s="322"/>
      <c r="F47" s="322"/>
      <c r="G47" s="322"/>
      <c r="H47" s="322"/>
      <c r="I47" s="20" t="s">
        <v>2150</v>
      </c>
      <c r="J47" s="20" t="s">
        <v>2151</v>
      </c>
      <c r="K47" s="11" t="s">
        <v>1555</v>
      </c>
      <c r="L47" s="11"/>
      <c r="M47" s="11"/>
      <c r="N47" s="11"/>
      <c r="O47" s="9"/>
      <c r="P47" s="10"/>
      <c r="Q47" s="9"/>
    </row>
    <row r="48" spans="1:17" s="58" customFormat="1" ht="13.8">
      <c r="A48" s="54" t="s">
        <v>1391</v>
      </c>
      <c r="B48" s="19" t="s">
        <v>815</v>
      </c>
      <c r="C48" s="326" t="s">
        <v>2033</v>
      </c>
      <c r="D48" s="327"/>
      <c r="E48" s="327"/>
      <c r="F48" s="327"/>
      <c r="G48" s="328"/>
      <c r="H48" s="4" t="s">
        <v>2034</v>
      </c>
      <c r="I48" s="9"/>
      <c r="J48" s="9"/>
      <c r="K48" s="9"/>
      <c r="L48" s="9"/>
      <c r="M48" s="9"/>
      <c r="N48" s="9"/>
      <c r="O48" s="9"/>
      <c r="P48" s="9"/>
      <c r="Q48" s="9"/>
    </row>
    <row r="49" spans="1:17" s="58" customFormat="1" ht="13.8">
      <c r="A49" s="5" t="s">
        <v>1394</v>
      </c>
      <c r="B49" s="5" t="s">
        <v>2033</v>
      </c>
      <c r="C49" s="59" t="s">
        <v>1395</v>
      </c>
      <c r="D49" s="6" t="s">
        <v>97</v>
      </c>
      <c r="E49" s="6" t="s">
        <v>98</v>
      </c>
      <c r="F49" s="6" t="s">
        <v>1396</v>
      </c>
      <c r="G49" s="6" t="s">
        <v>1397</v>
      </c>
      <c r="H49" s="7"/>
      <c r="I49" s="9"/>
      <c r="J49" s="7"/>
      <c r="K49" s="12"/>
      <c r="L49" s="6"/>
      <c r="M49" s="6"/>
      <c r="N49" s="12"/>
      <c r="O49" s="7"/>
      <c r="P49" s="9"/>
      <c r="Q49" s="9"/>
    </row>
    <row r="50" spans="1:17" s="58" customFormat="1" ht="13.8">
      <c r="A50" s="5" t="s">
        <v>1394</v>
      </c>
      <c r="B50" s="5" t="s">
        <v>2033</v>
      </c>
      <c r="C50" s="59" t="s">
        <v>1395</v>
      </c>
      <c r="D50" s="6" t="s">
        <v>97</v>
      </c>
      <c r="E50" s="6" t="s">
        <v>98</v>
      </c>
      <c r="F50" s="6" t="s">
        <v>1396</v>
      </c>
      <c r="G50" s="6" t="s">
        <v>1397</v>
      </c>
      <c r="H50" s="7"/>
      <c r="I50" s="9"/>
      <c r="J50" s="7"/>
      <c r="K50" s="12"/>
      <c r="L50" s="6"/>
      <c r="M50" s="6"/>
      <c r="N50" s="12"/>
      <c r="O50" s="7"/>
      <c r="P50" s="9"/>
      <c r="Q50" s="9"/>
    </row>
    <row r="51" spans="1:17" s="55" customFormat="1" ht="13.8">
      <c r="A51" s="54" t="s">
        <v>1385</v>
      </c>
      <c r="B51" s="17" t="s">
        <v>29</v>
      </c>
      <c r="C51" s="18"/>
      <c r="D51" s="18"/>
      <c r="E51" s="18"/>
      <c r="F51" s="18"/>
      <c r="G51" s="18"/>
      <c r="H51" s="18"/>
      <c r="I51" s="18"/>
      <c r="J51" s="18"/>
      <c r="K51" s="18"/>
      <c r="L51" s="8"/>
      <c r="M51" s="8"/>
      <c r="N51" s="8"/>
      <c r="O51" s="9"/>
      <c r="P51" s="10"/>
      <c r="Q51" s="9"/>
    </row>
    <row r="52" spans="1:17" s="57" customFormat="1" ht="51.6" customHeight="1">
      <c r="A52" s="56" t="s">
        <v>1386</v>
      </c>
      <c r="B52" s="3" t="s">
        <v>816</v>
      </c>
      <c r="C52" s="322" t="s">
        <v>1556</v>
      </c>
      <c r="D52" s="322"/>
      <c r="E52" s="322"/>
      <c r="F52" s="322"/>
      <c r="G52" s="322"/>
      <c r="H52" s="322"/>
      <c r="I52" s="20" t="s">
        <v>2152</v>
      </c>
      <c r="J52" s="20" t="s">
        <v>2153</v>
      </c>
      <c r="K52" s="11" t="s">
        <v>2154</v>
      </c>
      <c r="L52" s="11"/>
      <c r="M52" s="11"/>
      <c r="N52" s="11"/>
      <c r="O52" s="9"/>
      <c r="P52" s="10"/>
      <c r="Q52" s="9"/>
    </row>
    <row r="53" spans="1:17" s="58" customFormat="1" ht="13.8">
      <c r="A53" s="54" t="s">
        <v>1391</v>
      </c>
      <c r="B53" s="19" t="s">
        <v>816</v>
      </c>
      <c r="C53" s="326" t="s">
        <v>2033</v>
      </c>
      <c r="D53" s="327"/>
      <c r="E53" s="327"/>
      <c r="F53" s="327"/>
      <c r="G53" s="328"/>
      <c r="H53" s="4" t="s">
        <v>2034</v>
      </c>
      <c r="I53" s="9"/>
      <c r="J53" s="9"/>
      <c r="K53" s="9"/>
      <c r="L53" s="9"/>
      <c r="M53" s="9"/>
      <c r="N53" s="9"/>
      <c r="O53" s="9"/>
      <c r="P53" s="9"/>
      <c r="Q53" s="9"/>
    </row>
    <row r="54" spans="1:17" s="58" customFormat="1" ht="13.8">
      <c r="A54" s="5" t="s">
        <v>1394</v>
      </c>
      <c r="B54" s="5" t="s">
        <v>2033</v>
      </c>
      <c r="C54" s="59" t="s">
        <v>1395</v>
      </c>
      <c r="D54" s="6" t="s">
        <v>97</v>
      </c>
      <c r="E54" s="6" t="s">
        <v>98</v>
      </c>
      <c r="F54" s="6" t="s">
        <v>1396</v>
      </c>
      <c r="G54" s="6" t="s">
        <v>1397</v>
      </c>
      <c r="H54" s="7"/>
      <c r="I54" s="9"/>
      <c r="J54" s="7"/>
      <c r="K54" s="12"/>
      <c r="L54" s="6"/>
      <c r="M54" s="6"/>
      <c r="N54" s="12"/>
      <c r="O54" s="7"/>
      <c r="P54" s="9"/>
      <c r="Q54" s="9"/>
    </row>
    <row r="55" spans="1:17" s="58" customFormat="1" ht="13.8">
      <c r="A55" s="5" t="s">
        <v>1394</v>
      </c>
      <c r="B55" s="5" t="s">
        <v>2033</v>
      </c>
      <c r="C55" s="59" t="s">
        <v>1395</v>
      </c>
      <c r="D55" s="6" t="s">
        <v>97</v>
      </c>
      <c r="E55" s="6" t="s">
        <v>98</v>
      </c>
      <c r="F55" s="6" t="s">
        <v>1396</v>
      </c>
      <c r="G55" s="6" t="s">
        <v>1397</v>
      </c>
      <c r="H55" s="7"/>
      <c r="I55" s="9"/>
      <c r="J55" s="7"/>
      <c r="K55" s="12"/>
      <c r="L55" s="6"/>
      <c r="M55" s="6"/>
      <c r="N55" s="12"/>
      <c r="O55" s="7"/>
      <c r="P55" s="9"/>
      <c r="Q55" s="9"/>
    </row>
    <row r="56" spans="1:17" s="57" customFormat="1" ht="51.6" customHeight="1">
      <c r="A56" s="56" t="s">
        <v>1386</v>
      </c>
      <c r="B56" s="3" t="s">
        <v>817</v>
      </c>
      <c r="C56" s="322" t="s">
        <v>1557</v>
      </c>
      <c r="D56" s="322"/>
      <c r="E56" s="322"/>
      <c r="F56" s="322"/>
      <c r="G56" s="322"/>
      <c r="H56" s="322"/>
      <c r="I56" s="20" t="s">
        <v>2155</v>
      </c>
      <c r="J56" s="20" t="s">
        <v>2156</v>
      </c>
      <c r="K56" s="11" t="s">
        <v>1558</v>
      </c>
      <c r="L56" s="11"/>
      <c r="M56" s="11"/>
      <c r="N56" s="11"/>
      <c r="O56" s="9"/>
      <c r="P56" s="10"/>
      <c r="Q56" s="9"/>
    </row>
    <row r="57" spans="1:17" s="58" customFormat="1" ht="13.8">
      <c r="A57" s="54" t="s">
        <v>1391</v>
      </c>
      <c r="B57" s="19" t="s">
        <v>817</v>
      </c>
      <c r="C57" s="326" t="s">
        <v>2033</v>
      </c>
      <c r="D57" s="327"/>
      <c r="E57" s="327"/>
      <c r="F57" s="327"/>
      <c r="G57" s="328"/>
      <c r="H57" s="4" t="s">
        <v>2034</v>
      </c>
      <c r="I57" s="9"/>
      <c r="J57" s="9"/>
      <c r="K57" s="9"/>
      <c r="L57" s="9"/>
      <c r="M57" s="9"/>
      <c r="N57" s="9"/>
      <c r="O57" s="9"/>
      <c r="P57" s="9"/>
      <c r="Q57" s="9"/>
    </row>
    <row r="58" spans="1:17" s="58" customFormat="1" ht="13.8">
      <c r="A58" s="5" t="s">
        <v>1394</v>
      </c>
      <c r="B58" s="5" t="s">
        <v>2033</v>
      </c>
      <c r="C58" s="59" t="s">
        <v>1395</v>
      </c>
      <c r="D58" s="6" t="s">
        <v>97</v>
      </c>
      <c r="E58" s="6" t="s">
        <v>98</v>
      </c>
      <c r="F58" s="6" t="s">
        <v>1396</v>
      </c>
      <c r="G58" s="6" t="s">
        <v>1397</v>
      </c>
      <c r="H58" s="7"/>
      <c r="I58" s="9"/>
      <c r="J58" s="7"/>
      <c r="K58" s="12"/>
      <c r="L58" s="6"/>
      <c r="M58" s="6"/>
      <c r="N58" s="12"/>
      <c r="O58" s="7"/>
      <c r="P58" s="9"/>
      <c r="Q58" s="9"/>
    </row>
    <row r="59" spans="1:17" s="58" customFormat="1" ht="13.8">
      <c r="A59" s="5" t="s">
        <v>1394</v>
      </c>
      <c r="B59" s="5" t="s">
        <v>2033</v>
      </c>
      <c r="C59" s="59" t="s">
        <v>1395</v>
      </c>
      <c r="D59" s="6" t="s">
        <v>97</v>
      </c>
      <c r="E59" s="6" t="s">
        <v>98</v>
      </c>
      <c r="F59" s="6" t="s">
        <v>1396</v>
      </c>
      <c r="G59" s="6" t="s">
        <v>1397</v>
      </c>
      <c r="H59" s="7"/>
      <c r="I59" s="9"/>
      <c r="J59" s="7"/>
      <c r="K59" s="12"/>
      <c r="L59" s="6"/>
      <c r="M59" s="6"/>
      <c r="N59" s="12"/>
      <c r="O59" s="7"/>
      <c r="P59" s="9"/>
      <c r="Q59" s="9"/>
    </row>
    <row r="60" spans="1:17" s="57" customFormat="1" ht="51.6" customHeight="1">
      <c r="A60" s="56" t="s">
        <v>1386</v>
      </c>
      <c r="B60" s="3" t="s">
        <v>818</v>
      </c>
      <c r="C60" s="322" t="s">
        <v>1559</v>
      </c>
      <c r="D60" s="322"/>
      <c r="E60" s="322"/>
      <c r="F60" s="322"/>
      <c r="G60" s="322"/>
      <c r="H60" s="322"/>
      <c r="I60" s="20" t="s">
        <v>2157</v>
      </c>
      <c r="J60" s="20" t="s">
        <v>2158</v>
      </c>
      <c r="K60" s="11" t="s">
        <v>1560</v>
      </c>
      <c r="L60" s="11"/>
      <c r="M60" s="11"/>
      <c r="N60" s="11"/>
      <c r="O60" s="9"/>
      <c r="P60" s="10"/>
      <c r="Q60" s="9"/>
    </row>
    <row r="61" spans="1:17" s="58" customFormat="1" ht="13.8">
      <c r="A61" s="54" t="s">
        <v>1391</v>
      </c>
      <c r="B61" s="19" t="s">
        <v>818</v>
      </c>
      <c r="C61" s="326" t="s">
        <v>2033</v>
      </c>
      <c r="D61" s="327"/>
      <c r="E61" s="327"/>
      <c r="F61" s="327"/>
      <c r="G61" s="328"/>
      <c r="H61" s="4" t="s">
        <v>2034</v>
      </c>
      <c r="I61" s="9"/>
      <c r="J61" s="9"/>
      <c r="K61" s="9"/>
      <c r="L61" s="9"/>
      <c r="M61" s="9"/>
      <c r="N61" s="9"/>
      <c r="O61" s="9"/>
      <c r="P61" s="9"/>
      <c r="Q61" s="9"/>
    </row>
    <row r="62" spans="1:17" s="58" customFormat="1" ht="13.8">
      <c r="A62" s="5" t="s">
        <v>1394</v>
      </c>
      <c r="B62" s="5" t="s">
        <v>2033</v>
      </c>
      <c r="C62" s="59" t="s">
        <v>1395</v>
      </c>
      <c r="D62" s="6" t="s">
        <v>97</v>
      </c>
      <c r="E62" s="6" t="s">
        <v>98</v>
      </c>
      <c r="F62" s="6" t="s">
        <v>1396</v>
      </c>
      <c r="G62" s="6" t="s">
        <v>1397</v>
      </c>
      <c r="H62" s="7"/>
      <c r="I62" s="9"/>
      <c r="J62" s="7"/>
      <c r="K62" s="12"/>
      <c r="L62" s="6"/>
      <c r="M62" s="6"/>
      <c r="N62" s="12"/>
      <c r="O62" s="7"/>
      <c r="P62" s="9"/>
      <c r="Q62" s="9"/>
    </row>
    <row r="63" spans="1:17" s="58" customFormat="1" ht="13.8">
      <c r="A63" s="5" t="s">
        <v>1394</v>
      </c>
      <c r="B63" s="5" t="s">
        <v>2033</v>
      </c>
      <c r="C63" s="59" t="s">
        <v>1395</v>
      </c>
      <c r="D63" s="6" t="s">
        <v>97</v>
      </c>
      <c r="E63" s="6" t="s">
        <v>98</v>
      </c>
      <c r="F63" s="6" t="s">
        <v>1396</v>
      </c>
      <c r="G63" s="6" t="s">
        <v>1397</v>
      </c>
      <c r="H63" s="7"/>
      <c r="I63" s="9"/>
      <c r="J63" s="7"/>
      <c r="K63" s="12"/>
      <c r="L63" s="6"/>
      <c r="M63" s="6"/>
      <c r="N63" s="12"/>
      <c r="O63" s="7"/>
      <c r="P63" s="9"/>
      <c r="Q63" s="9"/>
    </row>
    <row r="64" spans="1:17" s="57" customFormat="1" ht="51.6" customHeight="1">
      <c r="A64" s="56" t="s">
        <v>1386</v>
      </c>
      <c r="B64" s="3" t="s">
        <v>819</v>
      </c>
      <c r="C64" s="322" t="s">
        <v>1561</v>
      </c>
      <c r="D64" s="322"/>
      <c r="E64" s="322"/>
      <c r="F64" s="322"/>
      <c r="G64" s="322"/>
      <c r="H64" s="322"/>
      <c r="I64" s="20" t="s">
        <v>2159</v>
      </c>
      <c r="J64" s="20" t="s">
        <v>2160</v>
      </c>
      <c r="K64" s="11" t="s">
        <v>1562</v>
      </c>
      <c r="L64" s="11"/>
      <c r="M64" s="11"/>
      <c r="N64" s="11"/>
      <c r="O64" s="9"/>
      <c r="P64" s="10"/>
      <c r="Q64" s="9"/>
    </row>
    <row r="65" spans="1:17" s="58" customFormat="1" ht="13.8">
      <c r="A65" s="54" t="s">
        <v>1391</v>
      </c>
      <c r="B65" s="19" t="s">
        <v>819</v>
      </c>
      <c r="C65" s="326" t="s">
        <v>2033</v>
      </c>
      <c r="D65" s="327"/>
      <c r="E65" s="327"/>
      <c r="F65" s="327"/>
      <c r="G65" s="328"/>
      <c r="H65" s="4" t="s">
        <v>2034</v>
      </c>
      <c r="I65" s="9"/>
      <c r="J65" s="9"/>
      <c r="K65" s="9"/>
      <c r="L65" s="9"/>
      <c r="M65" s="9"/>
      <c r="N65" s="9"/>
      <c r="O65" s="9"/>
      <c r="P65" s="9"/>
      <c r="Q65" s="9"/>
    </row>
    <row r="66" spans="1:17" s="58" customFormat="1" ht="13.8">
      <c r="A66" s="5" t="s">
        <v>1394</v>
      </c>
      <c r="B66" s="5" t="s">
        <v>2033</v>
      </c>
      <c r="C66" s="59" t="s">
        <v>1395</v>
      </c>
      <c r="D66" s="6" t="s">
        <v>97</v>
      </c>
      <c r="E66" s="6" t="s">
        <v>98</v>
      </c>
      <c r="F66" s="6" t="s">
        <v>1396</v>
      </c>
      <c r="G66" s="6" t="s">
        <v>1397</v>
      </c>
      <c r="H66" s="7"/>
      <c r="I66" s="9"/>
      <c r="J66" s="7"/>
      <c r="K66" s="12"/>
      <c r="L66" s="6"/>
      <c r="M66" s="6"/>
      <c r="N66" s="12"/>
      <c r="O66" s="7"/>
      <c r="P66" s="9"/>
      <c r="Q66" s="9"/>
    </row>
    <row r="67" spans="1:17" s="58" customFormat="1" ht="13.8">
      <c r="A67" s="5" t="s">
        <v>1394</v>
      </c>
      <c r="B67" s="5" t="s">
        <v>2033</v>
      </c>
      <c r="C67" s="59" t="s">
        <v>1395</v>
      </c>
      <c r="D67" s="6" t="s">
        <v>97</v>
      </c>
      <c r="E67" s="6" t="s">
        <v>98</v>
      </c>
      <c r="F67" s="6" t="s">
        <v>1396</v>
      </c>
      <c r="G67" s="6" t="s">
        <v>1397</v>
      </c>
      <c r="H67" s="7"/>
      <c r="I67" s="9"/>
      <c r="J67" s="7"/>
      <c r="K67" s="12"/>
      <c r="L67" s="6"/>
      <c r="M67" s="6"/>
      <c r="N67" s="12"/>
      <c r="O67" s="7"/>
      <c r="P67" s="9"/>
      <c r="Q67" s="9"/>
    </row>
    <row r="68" spans="1:17" s="55" customFormat="1" ht="13.8">
      <c r="A68" s="54" t="s">
        <v>1385</v>
      </c>
      <c r="B68" s="17" t="s">
        <v>371</v>
      </c>
      <c r="C68" s="18"/>
      <c r="D68" s="18"/>
      <c r="E68" s="18"/>
      <c r="F68" s="18"/>
      <c r="G68" s="18"/>
      <c r="H68" s="18"/>
      <c r="I68" s="18"/>
      <c r="J68" s="18"/>
      <c r="K68" s="18"/>
      <c r="L68" s="8"/>
      <c r="M68" s="8"/>
      <c r="N68" s="8"/>
      <c r="O68" s="9"/>
      <c r="P68" s="10"/>
      <c r="Q68" s="9"/>
    </row>
    <row r="69" spans="1:17" s="57" customFormat="1" ht="51.6" customHeight="1">
      <c r="A69" s="56" t="s">
        <v>1386</v>
      </c>
      <c r="B69" s="3" t="s">
        <v>820</v>
      </c>
      <c r="C69" s="322" t="s">
        <v>2161</v>
      </c>
      <c r="D69" s="322"/>
      <c r="E69" s="322"/>
      <c r="F69" s="322"/>
      <c r="G69" s="322"/>
      <c r="H69" s="322"/>
      <c r="I69" s="20" t="s">
        <v>2162</v>
      </c>
      <c r="J69" s="20" t="s">
        <v>2163</v>
      </c>
      <c r="K69" s="11" t="s">
        <v>1563</v>
      </c>
      <c r="L69" s="11"/>
      <c r="M69" s="11"/>
      <c r="N69" s="11"/>
      <c r="O69" s="9"/>
      <c r="P69" s="10"/>
      <c r="Q69" s="9"/>
    </row>
    <row r="70" spans="1:17" s="58" customFormat="1" ht="13.8">
      <c r="A70" s="54" t="s">
        <v>1391</v>
      </c>
      <c r="B70" s="19" t="s">
        <v>820</v>
      </c>
      <c r="C70" s="326" t="s">
        <v>2033</v>
      </c>
      <c r="D70" s="327"/>
      <c r="E70" s="327"/>
      <c r="F70" s="327"/>
      <c r="G70" s="328"/>
      <c r="H70" s="4" t="s">
        <v>2034</v>
      </c>
      <c r="I70" s="9"/>
      <c r="J70" s="9"/>
      <c r="K70" s="9"/>
      <c r="L70" s="9"/>
      <c r="M70" s="9"/>
      <c r="N70" s="9"/>
      <c r="O70" s="9"/>
      <c r="P70" s="9"/>
      <c r="Q70" s="9"/>
    </row>
    <row r="71" spans="1:17" s="58" customFormat="1" ht="13.8">
      <c r="A71" s="5" t="s">
        <v>1394</v>
      </c>
      <c r="B71" s="5" t="s">
        <v>2033</v>
      </c>
      <c r="C71" s="59" t="s">
        <v>1395</v>
      </c>
      <c r="D71" s="6" t="s">
        <v>97</v>
      </c>
      <c r="E71" s="6" t="s">
        <v>98</v>
      </c>
      <c r="F71" s="6" t="s">
        <v>1396</v>
      </c>
      <c r="G71" s="6" t="s">
        <v>1397</v>
      </c>
      <c r="H71" s="7"/>
      <c r="I71" s="9"/>
      <c r="J71" s="7"/>
      <c r="K71" s="12"/>
      <c r="L71" s="6"/>
      <c r="M71" s="6"/>
      <c r="N71" s="12"/>
      <c r="O71" s="7"/>
      <c r="P71" s="9"/>
      <c r="Q71" s="9"/>
    </row>
    <row r="72" spans="1:17" s="58" customFormat="1" ht="13.8">
      <c r="A72" s="5" t="s">
        <v>1394</v>
      </c>
      <c r="B72" s="5" t="s">
        <v>2033</v>
      </c>
      <c r="C72" s="59" t="s">
        <v>1395</v>
      </c>
      <c r="D72" s="6" t="s">
        <v>97</v>
      </c>
      <c r="E72" s="6" t="s">
        <v>98</v>
      </c>
      <c r="F72" s="6" t="s">
        <v>1396</v>
      </c>
      <c r="G72" s="6" t="s">
        <v>1397</v>
      </c>
      <c r="H72" s="7"/>
      <c r="I72" s="9"/>
      <c r="J72" s="7"/>
      <c r="K72" s="12"/>
      <c r="L72" s="6"/>
      <c r="M72" s="6"/>
      <c r="N72" s="12"/>
      <c r="O72" s="7"/>
      <c r="P72" s="9"/>
      <c r="Q72" s="9"/>
    </row>
  </sheetData>
  <mergeCells count="30">
    <mergeCell ref="C20:G20"/>
    <mergeCell ref="C10:H10"/>
    <mergeCell ref="C11:G11"/>
    <mergeCell ref="C14:H14"/>
    <mergeCell ref="C15:G15"/>
    <mergeCell ref="C19:H19"/>
    <mergeCell ref="C44:G44"/>
    <mergeCell ref="C23:H23"/>
    <mergeCell ref="C24:G24"/>
    <mergeCell ref="C27:H27"/>
    <mergeCell ref="C28:G28"/>
    <mergeCell ref="C31:H31"/>
    <mergeCell ref="C32:G32"/>
    <mergeCell ref="C35:H35"/>
    <mergeCell ref="C36:G36"/>
    <mergeCell ref="C39:H39"/>
    <mergeCell ref="C40:G40"/>
    <mergeCell ref="C43:H43"/>
    <mergeCell ref="C70:G70"/>
    <mergeCell ref="C47:H47"/>
    <mergeCell ref="C48:G48"/>
    <mergeCell ref="C52:H52"/>
    <mergeCell ref="C53:G53"/>
    <mergeCell ref="C56:H56"/>
    <mergeCell ref="C57:G57"/>
    <mergeCell ref="C60:H60"/>
    <mergeCell ref="C61:G61"/>
    <mergeCell ref="C64:H64"/>
    <mergeCell ref="C65:G65"/>
    <mergeCell ref="C69:H69"/>
  </mergeCells>
  <conditionalFormatting sqref="O9">
    <cfRule type="cellIs" dxfId="2844" priority="311" operator="equal">
      <formula>"U"</formula>
    </cfRule>
    <cfRule type="cellIs" dxfId="2843" priority="312" operator="equal">
      <formula>"S"</formula>
    </cfRule>
  </conditionalFormatting>
  <conditionalFormatting sqref="Q9">
    <cfRule type="cellIs" dxfId="2842" priority="310" operator="equal">
      <formula>"Y"</formula>
    </cfRule>
  </conditionalFormatting>
  <conditionalFormatting sqref="O10">
    <cfRule type="cellIs" dxfId="2841" priority="305" operator="equal">
      <formula>"NY"</formula>
    </cfRule>
    <cfRule type="cellIs" dxfId="2840" priority="306" operator="equal">
      <formula>"DM"</formula>
    </cfRule>
    <cfRule type="cellIs" dxfId="2839" priority="307" operator="equal">
      <formula>"PM"</formula>
    </cfRule>
    <cfRule type="cellIs" dxfId="2838" priority="308" operator="equal">
      <formula>"LM"</formula>
    </cfRule>
    <cfRule type="cellIs" dxfId="2837" priority="309" operator="equal">
      <formula>"FM"</formula>
    </cfRule>
  </conditionalFormatting>
  <conditionalFormatting sqref="Q10">
    <cfRule type="cellIs" dxfId="2836" priority="304" operator="equal">
      <formula>"Y"</formula>
    </cfRule>
  </conditionalFormatting>
  <conditionalFormatting sqref="O11">
    <cfRule type="cellIs" dxfId="2835" priority="299" operator="equal">
      <formula>"NY"</formula>
    </cfRule>
    <cfRule type="cellIs" dxfId="2834" priority="300" operator="equal">
      <formula>"DM"</formula>
    </cfRule>
    <cfRule type="cellIs" dxfId="2833" priority="301" operator="equal">
      <formula>"PM"</formula>
    </cfRule>
    <cfRule type="cellIs" dxfId="2832" priority="302" operator="equal">
      <formula>"LM"</formula>
    </cfRule>
    <cfRule type="cellIs" dxfId="2831" priority="303" operator="equal">
      <formula>"FM"</formula>
    </cfRule>
  </conditionalFormatting>
  <conditionalFormatting sqref="I11:J11">
    <cfRule type="cellIs" dxfId="2830" priority="297" operator="equal">
      <formula>"No"</formula>
    </cfRule>
    <cfRule type="cellIs" dxfId="2829" priority="298" operator="equal">
      <formula>"Yes"</formula>
    </cfRule>
  </conditionalFormatting>
  <conditionalFormatting sqref="Q11">
    <cfRule type="cellIs" dxfId="2828" priority="296" operator="equal">
      <formula>"Y"</formula>
    </cfRule>
  </conditionalFormatting>
  <conditionalFormatting sqref="I12">
    <cfRule type="cellIs" dxfId="2827" priority="294" operator="equal">
      <formula>"No"</formula>
    </cfRule>
    <cfRule type="cellIs" dxfId="2826" priority="295" operator="equal">
      <formula>"Yes"</formula>
    </cfRule>
  </conditionalFormatting>
  <conditionalFormatting sqref="Q12">
    <cfRule type="cellIs" dxfId="2825" priority="293" operator="equal">
      <formula>"Y"</formula>
    </cfRule>
  </conditionalFormatting>
  <conditionalFormatting sqref="I13">
    <cfRule type="cellIs" dxfId="2824" priority="291" operator="equal">
      <formula>"No"</formula>
    </cfRule>
    <cfRule type="cellIs" dxfId="2823" priority="292" operator="equal">
      <formula>"Yes"</formula>
    </cfRule>
  </conditionalFormatting>
  <conditionalFormatting sqref="Q13">
    <cfRule type="cellIs" dxfId="2822" priority="290" operator="equal">
      <formula>"Y"</formula>
    </cfRule>
  </conditionalFormatting>
  <conditionalFormatting sqref="O14">
    <cfRule type="cellIs" dxfId="2821" priority="285" operator="equal">
      <formula>"NY"</formula>
    </cfRule>
    <cfRule type="cellIs" dxfId="2820" priority="286" operator="equal">
      <formula>"DM"</formula>
    </cfRule>
    <cfRule type="cellIs" dxfId="2819" priority="287" operator="equal">
      <formula>"PM"</formula>
    </cfRule>
    <cfRule type="cellIs" dxfId="2818" priority="288" operator="equal">
      <formula>"LM"</formula>
    </cfRule>
    <cfRule type="cellIs" dxfId="2817" priority="289" operator="equal">
      <formula>"FM"</formula>
    </cfRule>
  </conditionalFormatting>
  <conditionalFormatting sqref="Q14">
    <cfRule type="cellIs" dxfId="2816" priority="284" operator="equal">
      <formula>"Y"</formula>
    </cfRule>
  </conditionalFormatting>
  <conditionalFormatting sqref="O15">
    <cfRule type="cellIs" dxfId="2815" priority="279" operator="equal">
      <formula>"NY"</formula>
    </cfRule>
    <cfRule type="cellIs" dxfId="2814" priority="280" operator="equal">
      <formula>"DM"</formula>
    </cfRule>
    <cfRule type="cellIs" dxfId="2813" priority="281" operator="equal">
      <formula>"PM"</formula>
    </cfRule>
    <cfRule type="cellIs" dxfId="2812" priority="282" operator="equal">
      <formula>"LM"</formula>
    </cfRule>
    <cfRule type="cellIs" dxfId="2811" priority="283" operator="equal">
      <formula>"FM"</formula>
    </cfRule>
  </conditionalFormatting>
  <conditionalFormatting sqref="I15:J15">
    <cfRule type="cellIs" dxfId="2810" priority="277" operator="equal">
      <formula>"No"</formula>
    </cfRule>
    <cfRule type="cellIs" dxfId="2809" priority="278" operator="equal">
      <formula>"Yes"</formula>
    </cfRule>
  </conditionalFormatting>
  <conditionalFormatting sqref="Q15">
    <cfRule type="cellIs" dxfId="2808" priority="276" operator="equal">
      <formula>"Y"</formula>
    </cfRule>
  </conditionalFormatting>
  <conditionalFormatting sqref="I16">
    <cfRule type="cellIs" dxfId="2807" priority="274" operator="equal">
      <formula>"No"</formula>
    </cfRule>
    <cfRule type="cellIs" dxfId="2806" priority="275" operator="equal">
      <formula>"Yes"</formula>
    </cfRule>
  </conditionalFormatting>
  <conditionalFormatting sqref="Q16">
    <cfRule type="cellIs" dxfId="2805" priority="273" operator="equal">
      <formula>"Y"</formula>
    </cfRule>
  </conditionalFormatting>
  <conditionalFormatting sqref="I17">
    <cfRule type="cellIs" dxfId="2804" priority="271" operator="equal">
      <formula>"No"</formula>
    </cfRule>
    <cfRule type="cellIs" dxfId="2803" priority="272" operator="equal">
      <formula>"Yes"</formula>
    </cfRule>
  </conditionalFormatting>
  <conditionalFormatting sqref="Q17">
    <cfRule type="cellIs" dxfId="2802" priority="270" operator="equal">
      <formula>"Y"</formula>
    </cfRule>
  </conditionalFormatting>
  <conditionalFormatting sqref="O18">
    <cfRule type="cellIs" dxfId="2801" priority="268" operator="equal">
      <formula>"U"</formula>
    </cfRule>
    <cfRule type="cellIs" dxfId="2800" priority="269" operator="equal">
      <formula>"S"</formula>
    </cfRule>
  </conditionalFormatting>
  <conditionalFormatting sqref="Q18">
    <cfRule type="cellIs" dxfId="2799" priority="267" operator="equal">
      <formula>"Y"</formula>
    </cfRule>
  </conditionalFormatting>
  <conditionalFormatting sqref="O19">
    <cfRule type="cellIs" dxfId="2798" priority="262" operator="equal">
      <formula>"NY"</formula>
    </cfRule>
    <cfRule type="cellIs" dxfId="2797" priority="263" operator="equal">
      <formula>"DM"</formula>
    </cfRule>
    <cfRule type="cellIs" dxfId="2796" priority="264" operator="equal">
      <formula>"PM"</formula>
    </cfRule>
    <cfRule type="cellIs" dxfId="2795" priority="265" operator="equal">
      <formula>"LM"</formula>
    </cfRule>
    <cfRule type="cellIs" dxfId="2794" priority="266" operator="equal">
      <formula>"FM"</formula>
    </cfRule>
  </conditionalFormatting>
  <conditionalFormatting sqref="Q19">
    <cfRule type="cellIs" dxfId="2793" priority="261" operator="equal">
      <formula>"Y"</formula>
    </cfRule>
  </conditionalFormatting>
  <conditionalFormatting sqref="O20">
    <cfRule type="cellIs" dxfId="2792" priority="256" operator="equal">
      <formula>"NY"</formula>
    </cfRule>
    <cfRule type="cellIs" dxfId="2791" priority="257" operator="equal">
      <formula>"DM"</formula>
    </cfRule>
    <cfRule type="cellIs" dxfId="2790" priority="258" operator="equal">
      <formula>"PM"</formula>
    </cfRule>
    <cfRule type="cellIs" dxfId="2789" priority="259" operator="equal">
      <formula>"LM"</formula>
    </cfRule>
    <cfRule type="cellIs" dxfId="2788" priority="260" operator="equal">
      <formula>"FM"</formula>
    </cfRule>
  </conditionalFormatting>
  <conditionalFormatting sqref="I20:J20">
    <cfRule type="cellIs" dxfId="2787" priority="254" operator="equal">
      <formula>"No"</formula>
    </cfRule>
    <cfRule type="cellIs" dxfId="2786" priority="255" operator="equal">
      <formula>"Yes"</formula>
    </cfRule>
  </conditionalFormatting>
  <conditionalFormatting sqref="Q20">
    <cfRule type="cellIs" dxfId="2785" priority="253" operator="equal">
      <formula>"Y"</formula>
    </cfRule>
  </conditionalFormatting>
  <conditionalFormatting sqref="I21">
    <cfRule type="cellIs" dxfId="2784" priority="251" operator="equal">
      <formula>"No"</formula>
    </cfRule>
    <cfRule type="cellIs" dxfId="2783" priority="252" operator="equal">
      <formula>"Yes"</formula>
    </cfRule>
  </conditionalFormatting>
  <conditionalFormatting sqref="Q21">
    <cfRule type="cellIs" dxfId="2782" priority="250" operator="equal">
      <formula>"Y"</formula>
    </cfRule>
  </conditionalFormatting>
  <conditionalFormatting sqref="I22">
    <cfRule type="cellIs" dxfId="2781" priority="248" operator="equal">
      <formula>"No"</formula>
    </cfRule>
    <cfRule type="cellIs" dxfId="2780" priority="249" operator="equal">
      <formula>"Yes"</formula>
    </cfRule>
  </conditionalFormatting>
  <conditionalFormatting sqref="Q22">
    <cfRule type="cellIs" dxfId="2779" priority="247" operator="equal">
      <formula>"Y"</formula>
    </cfRule>
  </conditionalFormatting>
  <conditionalFormatting sqref="O23">
    <cfRule type="cellIs" dxfId="2778" priority="242" operator="equal">
      <formula>"NY"</formula>
    </cfRule>
    <cfRule type="cellIs" dxfId="2777" priority="243" operator="equal">
      <formula>"DM"</formula>
    </cfRule>
    <cfRule type="cellIs" dxfId="2776" priority="244" operator="equal">
      <formula>"PM"</formula>
    </cfRule>
    <cfRule type="cellIs" dxfId="2775" priority="245" operator="equal">
      <formula>"LM"</formula>
    </cfRule>
    <cfRule type="cellIs" dxfId="2774" priority="246" operator="equal">
      <formula>"FM"</formula>
    </cfRule>
  </conditionalFormatting>
  <conditionalFormatting sqref="Q23">
    <cfRule type="cellIs" dxfId="2773" priority="241" operator="equal">
      <formula>"Y"</formula>
    </cfRule>
  </conditionalFormatting>
  <conditionalFormatting sqref="O24">
    <cfRule type="cellIs" dxfId="2772" priority="236" operator="equal">
      <formula>"NY"</formula>
    </cfRule>
    <cfRule type="cellIs" dxfId="2771" priority="237" operator="equal">
      <formula>"DM"</formula>
    </cfRule>
    <cfRule type="cellIs" dxfId="2770" priority="238" operator="equal">
      <formula>"PM"</formula>
    </cfRule>
    <cfRule type="cellIs" dxfId="2769" priority="239" operator="equal">
      <formula>"LM"</formula>
    </cfRule>
    <cfRule type="cellIs" dxfId="2768" priority="240" operator="equal">
      <formula>"FM"</formula>
    </cfRule>
  </conditionalFormatting>
  <conditionalFormatting sqref="I24:J24">
    <cfRule type="cellIs" dxfId="2767" priority="234" operator="equal">
      <formula>"No"</formula>
    </cfRule>
    <cfRule type="cellIs" dxfId="2766" priority="235" operator="equal">
      <formula>"Yes"</formula>
    </cfRule>
  </conditionalFormatting>
  <conditionalFormatting sqref="Q24">
    <cfRule type="cellIs" dxfId="2765" priority="233" operator="equal">
      <formula>"Y"</formula>
    </cfRule>
  </conditionalFormatting>
  <conditionalFormatting sqref="I25">
    <cfRule type="cellIs" dxfId="2764" priority="231" operator="equal">
      <formula>"No"</formula>
    </cfRule>
    <cfRule type="cellIs" dxfId="2763" priority="232" operator="equal">
      <formula>"Yes"</formula>
    </cfRule>
  </conditionalFormatting>
  <conditionalFormatting sqref="Q25">
    <cfRule type="cellIs" dxfId="2762" priority="230" operator="equal">
      <formula>"Y"</formula>
    </cfRule>
  </conditionalFormatting>
  <conditionalFormatting sqref="I26">
    <cfRule type="cellIs" dxfId="2761" priority="228" operator="equal">
      <formula>"No"</formula>
    </cfRule>
    <cfRule type="cellIs" dxfId="2760" priority="229" operator="equal">
      <formula>"Yes"</formula>
    </cfRule>
  </conditionalFormatting>
  <conditionalFormatting sqref="Q26">
    <cfRule type="cellIs" dxfId="2759" priority="227" operator="equal">
      <formula>"Y"</formula>
    </cfRule>
  </conditionalFormatting>
  <conditionalFormatting sqref="O27">
    <cfRule type="cellIs" dxfId="2758" priority="222" operator="equal">
      <formula>"NY"</formula>
    </cfRule>
    <cfRule type="cellIs" dxfId="2757" priority="223" operator="equal">
      <formula>"DM"</formula>
    </cfRule>
    <cfRule type="cellIs" dxfId="2756" priority="224" operator="equal">
      <formula>"PM"</formula>
    </cfRule>
    <cfRule type="cellIs" dxfId="2755" priority="225" operator="equal">
      <formula>"LM"</formula>
    </cfRule>
    <cfRule type="cellIs" dxfId="2754" priority="226" operator="equal">
      <formula>"FM"</formula>
    </cfRule>
  </conditionalFormatting>
  <conditionalFormatting sqref="Q27">
    <cfRule type="cellIs" dxfId="2753" priority="221" operator="equal">
      <formula>"Y"</formula>
    </cfRule>
  </conditionalFormatting>
  <conditionalFormatting sqref="O28">
    <cfRule type="cellIs" dxfId="2752" priority="216" operator="equal">
      <formula>"NY"</formula>
    </cfRule>
    <cfRule type="cellIs" dxfId="2751" priority="217" operator="equal">
      <formula>"DM"</formula>
    </cfRule>
    <cfRule type="cellIs" dxfId="2750" priority="218" operator="equal">
      <formula>"PM"</formula>
    </cfRule>
    <cfRule type="cellIs" dxfId="2749" priority="219" operator="equal">
      <formula>"LM"</formula>
    </cfRule>
    <cfRule type="cellIs" dxfId="2748" priority="220" operator="equal">
      <formula>"FM"</formula>
    </cfRule>
  </conditionalFormatting>
  <conditionalFormatting sqref="I28:J28">
    <cfRule type="cellIs" dxfId="2747" priority="214" operator="equal">
      <formula>"No"</formula>
    </cfRule>
    <cfRule type="cellIs" dxfId="2746" priority="215" operator="equal">
      <formula>"Yes"</formula>
    </cfRule>
  </conditionalFormatting>
  <conditionalFormatting sqref="Q28">
    <cfRule type="cellIs" dxfId="2745" priority="213" operator="equal">
      <formula>"Y"</formula>
    </cfRule>
  </conditionalFormatting>
  <conditionalFormatting sqref="I29">
    <cfRule type="cellIs" dxfId="2744" priority="211" operator="equal">
      <formula>"No"</formula>
    </cfRule>
    <cfRule type="cellIs" dxfId="2743" priority="212" operator="equal">
      <formula>"Yes"</formula>
    </cfRule>
  </conditionalFormatting>
  <conditionalFormatting sqref="Q29">
    <cfRule type="cellIs" dxfId="2742" priority="210" operator="equal">
      <formula>"Y"</formula>
    </cfRule>
  </conditionalFormatting>
  <conditionalFormatting sqref="I30">
    <cfRule type="cellIs" dxfId="2741" priority="208" operator="equal">
      <formula>"No"</formula>
    </cfRule>
    <cfRule type="cellIs" dxfId="2740" priority="209" operator="equal">
      <formula>"Yes"</formula>
    </cfRule>
  </conditionalFormatting>
  <conditionalFormatting sqref="Q30">
    <cfRule type="cellIs" dxfId="2739" priority="207" operator="equal">
      <formula>"Y"</formula>
    </cfRule>
  </conditionalFormatting>
  <conditionalFormatting sqref="O31">
    <cfRule type="cellIs" dxfId="2738" priority="202" operator="equal">
      <formula>"NY"</formula>
    </cfRule>
    <cfRule type="cellIs" dxfId="2737" priority="203" operator="equal">
      <formula>"DM"</formula>
    </cfRule>
    <cfRule type="cellIs" dxfId="2736" priority="204" operator="equal">
      <formula>"PM"</formula>
    </cfRule>
    <cfRule type="cellIs" dxfId="2735" priority="205" operator="equal">
      <formula>"LM"</formula>
    </cfRule>
    <cfRule type="cellIs" dxfId="2734" priority="206" operator="equal">
      <formula>"FM"</formula>
    </cfRule>
  </conditionalFormatting>
  <conditionalFormatting sqref="Q31">
    <cfRule type="cellIs" dxfId="2733" priority="201" operator="equal">
      <formula>"Y"</formula>
    </cfRule>
  </conditionalFormatting>
  <conditionalFormatting sqref="O32">
    <cfRule type="cellIs" dxfId="2732" priority="196" operator="equal">
      <formula>"NY"</formula>
    </cfRule>
    <cfRule type="cellIs" dxfId="2731" priority="197" operator="equal">
      <formula>"DM"</formula>
    </cfRule>
    <cfRule type="cellIs" dxfId="2730" priority="198" operator="equal">
      <formula>"PM"</formula>
    </cfRule>
    <cfRule type="cellIs" dxfId="2729" priority="199" operator="equal">
      <formula>"LM"</formula>
    </cfRule>
    <cfRule type="cellIs" dxfId="2728" priority="200" operator="equal">
      <formula>"FM"</formula>
    </cfRule>
  </conditionalFormatting>
  <conditionalFormatting sqref="I32:J32">
    <cfRule type="cellIs" dxfId="2727" priority="194" operator="equal">
      <formula>"No"</formula>
    </cfRule>
    <cfRule type="cellIs" dxfId="2726" priority="195" operator="equal">
      <formula>"Yes"</formula>
    </cfRule>
  </conditionalFormatting>
  <conditionalFormatting sqref="Q32">
    <cfRule type="cellIs" dxfId="2725" priority="193" operator="equal">
      <formula>"Y"</formula>
    </cfRule>
  </conditionalFormatting>
  <conditionalFormatting sqref="I33">
    <cfRule type="cellIs" dxfId="2724" priority="191" operator="equal">
      <formula>"No"</formula>
    </cfRule>
    <cfRule type="cellIs" dxfId="2723" priority="192" operator="equal">
      <formula>"Yes"</formula>
    </cfRule>
  </conditionalFormatting>
  <conditionalFormatting sqref="Q33">
    <cfRule type="cellIs" dxfId="2722" priority="190" operator="equal">
      <formula>"Y"</formula>
    </cfRule>
  </conditionalFormatting>
  <conditionalFormatting sqref="I34">
    <cfRule type="cellIs" dxfId="2721" priority="188" operator="equal">
      <formula>"No"</formula>
    </cfRule>
    <cfRule type="cellIs" dxfId="2720" priority="189" operator="equal">
      <formula>"Yes"</formula>
    </cfRule>
  </conditionalFormatting>
  <conditionalFormatting sqref="Q34">
    <cfRule type="cellIs" dxfId="2719" priority="187" operator="equal">
      <formula>"Y"</formula>
    </cfRule>
  </conditionalFormatting>
  <conditionalFormatting sqref="O35">
    <cfRule type="cellIs" dxfId="2718" priority="182" operator="equal">
      <formula>"NY"</formula>
    </cfRule>
    <cfRule type="cellIs" dxfId="2717" priority="183" operator="equal">
      <formula>"DM"</formula>
    </cfRule>
    <cfRule type="cellIs" dxfId="2716" priority="184" operator="equal">
      <formula>"PM"</formula>
    </cfRule>
    <cfRule type="cellIs" dxfId="2715" priority="185" operator="equal">
      <formula>"LM"</formula>
    </cfRule>
    <cfRule type="cellIs" dxfId="2714" priority="186" operator="equal">
      <formula>"FM"</formula>
    </cfRule>
  </conditionalFormatting>
  <conditionalFormatting sqref="Q35">
    <cfRule type="cellIs" dxfId="2713" priority="181" operator="equal">
      <formula>"Y"</formula>
    </cfRule>
  </conditionalFormatting>
  <conditionalFormatting sqref="O36">
    <cfRule type="cellIs" dxfId="2712" priority="176" operator="equal">
      <formula>"NY"</formula>
    </cfRule>
    <cfRule type="cellIs" dxfId="2711" priority="177" operator="equal">
      <formula>"DM"</formula>
    </cfRule>
    <cfRule type="cellIs" dxfId="2710" priority="178" operator="equal">
      <formula>"PM"</formula>
    </cfRule>
    <cfRule type="cellIs" dxfId="2709" priority="179" operator="equal">
      <formula>"LM"</formula>
    </cfRule>
    <cfRule type="cellIs" dxfId="2708" priority="180" operator="equal">
      <formula>"FM"</formula>
    </cfRule>
  </conditionalFormatting>
  <conditionalFormatting sqref="I36:J36">
    <cfRule type="cellIs" dxfId="2707" priority="174" operator="equal">
      <formula>"No"</formula>
    </cfRule>
    <cfRule type="cellIs" dxfId="2706" priority="175" operator="equal">
      <formula>"Yes"</formula>
    </cfRule>
  </conditionalFormatting>
  <conditionalFormatting sqref="Q36">
    <cfRule type="cellIs" dxfId="2705" priority="173" operator="equal">
      <formula>"Y"</formula>
    </cfRule>
  </conditionalFormatting>
  <conditionalFormatting sqref="I37">
    <cfRule type="cellIs" dxfId="2704" priority="171" operator="equal">
      <formula>"No"</formula>
    </cfRule>
    <cfRule type="cellIs" dxfId="2703" priority="172" operator="equal">
      <formula>"Yes"</formula>
    </cfRule>
  </conditionalFormatting>
  <conditionalFormatting sqref="Q37">
    <cfRule type="cellIs" dxfId="2702" priority="170" operator="equal">
      <formula>"Y"</formula>
    </cfRule>
  </conditionalFormatting>
  <conditionalFormatting sqref="I38">
    <cfRule type="cellIs" dxfId="2701" priority="168" operator="equal">
      <formula>"No"</formula>
    </cfRule>
    <cfRule type="cellIs" dxfId="2700" priority="169" operator="equal">
      <formula>"Yes"</formula>
    </cfRule>
  </conditionalFormatting>
  <conditionalFormatting sqref="Q38">
    <cfRule type="cellIs" dxfId="2699" priority="167" operator="equal">
      <formula>"Y"</formula>
    </cfRule>
  </conditionalFormatting>
  <conditionalFormatting sqref="O39">
    <cfRule type="cellIs" dxfId="2698" priority="162" operator="equal">
      <formula>"NY"</formula>
    </cfRule>
    <cfRule type="cellIs" dxfId="2697" priority="163" operator="equal">
      <formula>"DM"</formula>
    </cfRule>
    <cfRule type="cellIs" dxfId="2696" priority="164" operator="equal">
      <formula>"PM"</formula>
    </cfRule>
    <cfRule type="cellIs" dxfId="2695" priority="165" operator="equal">
      <formula>"LM"</formula>
    </cfRule>
    <cfRule type="cellIs" dxfId="2694" priority="166" operator="equal">
      <formula>"FM"</formula>
    </cfRule>
  </conditionalFormatting>
  <conditionalFormatting sqref="Q39">
    <cfRule type="cellIs" dxfId="2693" priority="161" operator="equal">
      <formula>"Y"</formula>
    </cfRule>
  </conditionalFormatting>
  <conditionalFormatting sqref="O40">
    <cfRule type="cellIs" dxfId="2692" priority="156" operator="equal">
      <formula>"NY"</formula>
    </cfRule>
    <cfRule type="cellIs" dxfId="2691" priority="157" operator="equal">
      <formula>"DM"</formula>
    </cfRule>
    <cfRule type="cellIs" dxfId="2690" priority="158" operator="equal">
      <formula>"PM"</formula>
    </cfRule>
    <cfRule type="cellIs" dxfId="2689" priority="159" operator="equal">
      <formula>"LM"</formula>
    </cfRule>
    <cfRule type="cellIs" dxfId="2688" priority="160" operator="equal">
      <formula>"FM"</formula>
    </cfRule>
  </conditionalFormatting>
  <conditionalFormatting sqref="I40:J40">
    <cfRule type="cellIs" dxfId="2687" priority="154" operator="equal">
      <formula>"No"</formula>
    </cfRule>
    <cfRule type="cellIs" dxfId="2686" priority="155" operator="equal">
      <formula>"Yes"</formula>
    </cfRule>
  </conditionalFormatting>
  <conditionalFormatting sqref="Q40">
    <cfRule type="cellIs" dxfId="2685" priority="153" operator="equal">
      <formula>"Y"</formula>
    </cfRule>
  </conditionalFormatting>
  <conditionalFormatting sqref="I41">
    <cfRule type="cellIs" dxfId="2684" priority="151" operator="equal">
      <formula>"No"</formula>
    </cfRule>
    <cfRule type="cellIs" dxfId="2683" priority="152" operator="equal">
      <formula>"Yes"</formula>
    </cfRule>
  </conditionalFormatting>
  <conditionalFormatting sqref="Q41">
    <cfRule type="cellIs" dxfId="2682" priority="150" operator="equal">
      <formula>"Y"</formula>
    </cfRule>
  </conditionalFormatting>
  <conditionalFormatting sqref="I42">
    <cfRule type="cellIs" dxfId="2681" priority="148" operator="equal">
      <formula>"No"</formula>
    </cfRule>
    <cfRule type="cellIs" dxfId="2680" priority="149" operator="equal">
      <formula>"Yes"</formula>
    </cfRule>
  </conditionalFormatting>
  <conditionalFormatting sqref="Q42">
    <cfRule type="cellIs" dxfId="2679" priority="147" operator="equal">
      <formula>"Y"</formula>
    </cfRule>
  </conditionalFormatting>
  <conditionalFormatting sqref="O43">
    <cfRule type="cellIs" dxfId="2678" priority="142" operator="equal">
      <formula>"NY"</formula>
    </cfRule>
    <cfRule type="cellIs" dxfId="2677" priority="143" operator="equal">
      <formula>"DM"</formula>
    </cfRule>
    <cfRule type="cellIs" dxfId="2676" priority="144" operator="equal">
      <formula>"PM"</formula>
    </cfRule>
    <cfRule type="cellIs" dxfId="2675" priority="145" operator="equal">
      <formula>"LM"</formula>
    </cfRule>
    <cfRule type="cellIs" dxfId="2674" priority="146" operator="equal">
      <formula>"FM"</formula>
    </cfRule>
  </conditionalFormatting>
  <conditionalFormatting sqref="Q43">
    <cfRule type="cellIs" dxfId="2673" priority="141" operator="equal">
      <formula>"Y"</formula>
    </cfRule>
  </conditionalFormatting>
  <conditionalFormatting sqref="O44">
    <cfRule type="cellIs" dxfId="2672" priority="136" operator="equal">
      <formula>"NY"</formula>
    </cfRule>
    <cfRule type="cellIs" dxfId="2671" priority="137" operator="equal">
      <formula>"DM"</formula>
    </cfRule>
    <cfRule type="cellIs" dxfId="2670" priority="138" operator="equal">
      <formula>"PM"</formula>
    </cfRule>
    <cfRule type="cellIs" dxfId="2669" priority="139" operator="equal">
      <formula>"LM"</formula>
    </cfRule>
    <cfRule type="cellIs" dxfId="2668" priority="140" operator="equal">
      <formula>"FM"</formula>
    </cfRule>
  </conditionalFormatting>
  <conditionalFormatting sqref="I44:J44">
    <cfRule type="cellIs" dxfId="2667" priority="134" operator="equal">
      <formula>"No"</formula>
    </cfRule>
    <cfRule type="cellIs" dxfId="2666" priority="135" operator="equal">
      <formula>"Yes"</formula>
    </cfRule>
  </conditionalFormatting>
  <conditionalFormatting sqref="Q44">
    <cfRule type="cellIs" dxfId="2665" priority="133" operator="equal">
      <formula>"Y"</formula>
    </cfRule>
  </conditionalFormatting>
  <conditionalFormatting sqref="I45">
    <cfRule type="cellIs" dxfId="2664" priority="131" operator="equal">
      <formula>"No"</formula>
    </cfRule>
    <cfRule type="cellIs" dxfId="2663" priority="132" operator="equal">
      <formula>"Yes"</formula>
    </cfRule>
  </conditionalFormatting>
  <conditionalFormatting sqref="Q45">
    <cfRule type="cellIs" dxfId="2662" priority="130" operator="equal">
      <formula>"Y"</formula>
    </cfRule>
  </conditionalFormatting>
  <conditionalFormatting sqref="I46">
    <cfRule type="cellIs" dxfId="2661" priority="128" operator="equal">
      <formula>"No"</formula>
    </cfRule>
    <cfRule type="cellIs" dxfId="2660" priority="129" operator="equal">
      <formula>"Yes"</formula>
    </cfRule>
  </conditionalFormatting>
  <conditionalFormatting sqref="Q46">
    <cfRule type="cellIs" dxfId="2659" priority="127" operator="equal">
      <formula>"Y"</formula>
    </cfRule>
  </conditionalFormatting>
  <conditionalFormatting sqref="O47">
    <cfRule type="cellIs" dxfId="2658" priority="122" operator="equal">
      <formula>"NY"</formula>
    </cfRule>
    <cfRule type="cellIs" dxfId="2657" priority="123" operator="equal">
      <formula>"DM"</formula>
    </cfRule>
    <cfRule type="cellIs" dxfId="2656" priority="124" operator="equal">
      <formula>"PM"</formula>
    </cfRule>
    <cfRule type="cellIs" dxfId="2655" priority="125" operator="equal">
      <formula>"LM"</formula>
    </cfRule>
    <cfRule type="cellIs" dxfId="2654" priority="126" operator="equal">
      <formula>"FM"</formula>
    </cfRule>
  </conditionalFormatting>
  <conditionalFormatting sqref="Q47">
    <cfRule type="cellIs" dxfId="2653" priority="121" operator="equal">
      <formula>"Y"</formula>
    </cfRule>
  </conditionalFormatting>
  <conditionalFormatting sqref="O48">
    <cfRule type="cellIs" dxfId="2652" priority="116" operator="equal">
      <formula>"NY"</formula>
    </cfRule>
    <cfRule type="cellIs" dxfId="2651" priority="117" operator="equal">
      <formula>"DM"</formula>
    </cfRule>
    <cfRule type="cellIs" dxfId="2650" priority="118" operator="equal">
      <formula>"PM"</formula>
    </cfRule>
    <cfRule type="cellIs" dxfId="2649" priority="119" operator="equal">
      <formula>"LM"</formula>
    </cfRule>
    <cfRule type="cellIs" dxfId="2648" priority="120" operator="equal">
      <formula>"FM"</formula>
    </cfRule>
  </conditionalFormatting>
  <conditionalFormatting sqref="I48:J48">
    <cfRule type="cellIs" dxfId="2647" priority="114" operator="equal">
      <formula>"No"</formula>
    </cfRule>
    <cfRule type="cellIs" dxfId="2646" priority="115" operator="equal">
      <formula>"Yes"</formula>
    </cfRule>
  </conditionalFormatting>
  <conditionalFormatting sqref="Q48">
    <cfRule type="cellIs" dxfId="2645" priority="113" operator="equal">
      <formula>"Y"</formula>
    </cfRule>
  </conditionalFormatting>
  <conditionalFormatting sqref="I49">
    <cfRule type="cellIs" dxfId="2644" priority="111" operator="equal">
      <formula>"No"</formula>
    </cfRule>
    <cfRule type="cellIs" dxfId="2643" priority="112" operator="equal">
      <formula>"Yes"</formula>
    </cfRule>
  </conditionalFormatting>
  <conditionalFormatting sqref="Q49">
    <cfRule type="cellIs" dxfId="2642" priority="110" operator="equal">
      <formula>"Y"</formula>
    </cfRule>
  </conditionalFormatting>
  <conditionalFormatting sqref="I50">
    <cfRule type="cellIs" dxfId="2641" priority="108" operator="equal">
      <formula>"No"</formula>
    </cfRule>
    <cfRule type="cellIs" dxfId="2640" priority="109" operator="equal">
      <formula>"Yes"</formula>
    </cfRule>
  </conditionalFormatting>
  <conditionalFormatting sqref="Q50">
    <cfRule type="cellIs" dxfId="2639" priority="107" operator="equal">
      <formula>"Y"</formula>
    </cfRule>
  </conditionalFormatting>
  <conditionalFormatting sqref="O51">
    <cfRule type="cellIs" dxfId="2638" priority="105" operator="equal">
      <formula>"U"</formula>
    </cfRule>
    <cfRule type="cellIs" dxfId="2637" priority="106" operator="equal">
      <formula>"S"</formula>
    </cfRule>
  </conditionalFormatting>
  <conditionalFormatting sqref="Q51">
    <cfRule type="cellIs" dxfId="2636" priority="104" operator="equal">
      <formula>"Y"</formula>
    </cfRule>
  </conditionalFormatting>
  <conditionalFormatting sqref="O52">
    <cfRule type="cellIs" dxfId="2635" priority="99" operator="equal">
      <formula>"NY"</formula>
    </cfRule>
    <cfRule type="cellIs" dxfId="2634" priority="100" operator="equal">
      <formula>"DM"</formula>
    </cfRule>
    <cfRule type="cellIs" dxfId="2633" priority="101" operator="equal">
      <formula>"PM"</formula>
    </cfRule>
    <cfRule type="cellIs" dxfId="2632" priority="102" operator="equal">
      <formula>"LM"</formula>
    </cfRule>
    <cfRule type="cellIs" dxfId="2631" priority="103" operator="equal">
      <formula>"FM"</formula>
    </cfRule>
  </conditionalFormatting>
  <conditionalFormatting sqref="Q52">
    <cfRule type="cellIs" dxfId="2630" priority="98" operator="equal">
      <formula>"Y"</formula>
    </cfRule>
  </conditionalFormatting>
  <conditionalFormatting sqref="O53">
    <cfRule type="cellIs" dxfId="2629" priority="93" operator="equal">
      <formula>"NY"</formula>
    </cfRule>
    <cfRule type="cellIs" dxfId="2628" priority="94" operator="equal">
      <formula>"DM"</formula>
    </cfRule>
    <cfRule type="cellIs" dxfId="2627" priority="95" operator="equal">
      <formula>"PM"</formula>
    </cfRule>
    <cfRule type="cellIs" dxfId="2626" priority="96" operator="equal">
      <formula>"LM"</formula>
    </cfRule>
    <cfRule type="cellIs" dxfId="2625" priority="97" operator="equal">
      <formula>"FM"</formula>
    </cfRule>
  </conditionalFormatting>
  <conditionalFormatting sqref="I53:J53">
    <cfRule type="cellIs" dxfId="2624" priority="91" operator="equal">
      <formula>"No"</formula>
    </cfRule>
    <cfRule type="cellIs" dxfId="2623" priority="92" operator="equal">
      <formula>"Yes"</formula>
    </cfRule>
  </conditionalFormatting>
  <conditionalFormatting sqref="Q53">
    <cfRule type="cellIs" dxfId="2622" priority="90" operator="equal">
      <formula>"Y"</formula>
    </cfRule>
  </conditionalFormatting>
  <conditionalFormatting sqref="I54">
    <cfRule type="cellIs" dxfId="2621" priority="88" operator="equal">
      <formula>"No"</formula>
    </cfRule>
    <cfRule type="cellIs" dxfId="2620" priority="89" operator="equal">
      <formula>"Yes"</formula>
    </cfRule>
  </conditionalFormatting>
  <conditionalFormatting sqref="Q54">
    <cfRule type="cellIs" dxfId="2619" priority="87" operator="equal">
      <formula>"Y"</formula>
    </cfRule>
  </conditionalFormatting>
  <conditionalFormatting sqref="I55">
    <cfRule type="cellIs" dxfId="2618" priority="85" operator="equal">
      <formula>"No"</formula>
    </cfRule>
    <cfRule type="cellIs" dxfId="2617" priority="86" operator="equal">
      <formula>"Yes"</formula>
    </cfRule>
  </conditionalFormatting>
  <conditionalFormatting sqref="Q55">
    <cfRule type="cellIs" dxfId="2616" priority="84" operator="equal">
      <formula>"Y"</formula>
    </cfRule>
  </conditionalFormatting>
  <conditionalFormatting sqref="O56">
    <cfRule type="cellIs" dxfId="2615" priority="79" operator="equal">
      <formula>"NY"</formula>
    </cfRule>
    <cfRule type="cellIs" dxfId="2614" priority="80" operator="equal">
      <formula>"DM"</formula>
    </cfRule>
    <cfRule type="cellIs" dxfId="2613" priority="81" operator="equal">
      <formula>"PM"</formula>
    </cfRule>
    <cfRule type="cellIs" dxfId="2612" priority="82" operator="equal">
      <formula>"LM"</formula>
    </cfRule>
    <cfRule type="cellIs" dxfId="2611" priority="83" operator="equal">
      <formula>"FM"</formula>
    </cfRule>
  </conditionalFormatting>
  <conditionalFormatting sqref="Q56">
    <cfRule type="cellIs" dxfId="2610" priority="78" operator="equal">
      <formula>"Y"</formula>
    </cfRule>
  </conditionalFormatting>
  <conditionalFormatting sqref="O57">
    <cfRule type="cellIs" dxfId="2609" priority="73" operator="equal">
      <formula>"NY"</formula>
    </cfRule>
    <cfRule type="cellIs" dxfId="2608" priority="74" operator="equal">
      <formula>"DM"</formula>
    </cfRule>
    <cfRule type="cellIs" dxfId="2607" priority="75" operator="equal">
      <formula>"PM"</formula>
    </cfRule>
    <cfRule type="cellIs" dxfId="2606" priority="76" operator="equal">
      <formula>"LM"</formula>
    </cfRule>
    <cfRule type="cellIs" dxfId="2605" priority="77" operator="equal">
      <formula>"FM"</formula>
    </cfRule>
  </conditionalFormatting>
  <conditionalFormatting sqref="I57:J57">
    <cfRule type="cellIs" dxfId="2604" priority="71" operator="equal">
      <formula>"No"</formula>
    </cfRule>
    <cfRule type="cellIs" dxfId="2603" priority="72" operator="equal">
      <formula>"Yes"</formula>
    </cfRule>
  </conditionalFormatting>
  <conditionalFormatting sqref="Q57">
    <cfRule type="cellIs" dxfId="2602" priority="70" operator="equal">
      <formula>"Y"</formula>
    </cfRule>
  </conditionalFormatting>
  <conditionalFormatting sqref="I58">
    <cfRule type="cellIs" dxfId="2601" priority="68" operator="equal">
      <formula>"No"</formula>
    </cfRule>
    <cfRule type="cellIs" dxfId="2600" priority="69" operator="equal">
      <formula>"Yes"</formula>
    </cfRule>
  </conditionalFormatting>
  <conditionalFormatting sqref="Q58">
    <cfRule type="cellIs" dxfId="2599" priority="67" operator="equal">
      <formula>"Y"</formula>
    </cfRule>
  </conditionalFormatting>
  <conditionalFormatting sqref="I59">
    <cfRule type="cellIs" dxfId="2598" priority="65" operator="equal">
      <formula>"No"</formula>
    </cfRule>
    <cfRule type="cellIs" dxfId="2597" priority="66" operator="equal">
      <formula>"Yes"</formula>
    </cfRule>
  </conditionalFormatting>
  <conditionalFormatting sqref="Q59">
    <cfRule type="cellIs" dxfId="2596" priority="64" operator="equal">
      <formula>"Y"</formula>
    </cfRule>
  </conditionalFormatting>
  <conditionalFormatting sqref="O60">
    <cfRule type="cellIs" dxfId="2595" priority="59" operator="equal">
      <formula>"NY"</formula>
    </cfRule>
    <cfRule type="cellIs" dxfId="2594" priority="60" operator="equal">
      <formula>"DM"</formula>
    </cfRule>
    <cfRule type="cellIs" dxfId="2593" priority="61" operator="equal">
      <formula>"PM"</formula>
    </cfRule>
    <cfRule type="cellIs" dxfId="2592" priority="62" operator="equal">
      <formula>"LM"</formula>
    </cfRule>
    <cfRule type="cellIs" dxfId="2591" priority="63" operator="equal">
      <formula>"FM"</formula>
    </cfRule>
  </conditionalFormatting>
  <conditionalFormatting sqref="Q60">
    <cfRule type="cellIs" dxfId="2590" priority="58" operator="equal">
      <formula>"Y"</formula>
    </cfRule>
  </conditionalFormatting>
  <conditionalFormatting sqref="O61">
    <cfRule type="cellIs" dxfId="2589" priority="53" operator="equal">
      <formula>"NY"</formula>
    </cfRule>
    <cfRule type="cellIs" dxfId="2588" priority="54" operator="equal">
      <formula>"DM"</formula>
    </cfRule>
    <cfRule type="cellIs" dxfId="2587" priority="55" operator="equal">
      <formula>"PM"</formula>
    </cfRule>
    <cfRule type="cellIs" dxfId="2586" priority="56" operator="equal">
      <formula>"LM"</formula>
    </cfRule>
    <cfRule type="cellIs" dxfId="2585" priority="57" operator="equal">
      <formula>"FM"</formula>
    </cfRule>
  </conditionalFormatting>
  <conditionalFormatting sqref="I61:J61">
    <cfRule type="cellIs" dxfId="2584" priority="51" operator="equal">
      <formula>"No"</formula>
    </cfRule>
    <cfRule type="cellIs" dxfId="2583" priority="52" operator="equal">
      <formula>"Yes"</formula>
    </cfRule>
  </conditionalFormatting>
  <conditionalFormatting sqref="Q61">
    <cfRule type="cellIs" dxfId="2582" priority="50" operator="equal">
      <formula>"Y"</formula>
    </cfRule>
  </conditionalFormatting>
  <conditionalFormatting sqref="I62">
    <cfRule type="cellIs" dxfId="2581" priority="48" operator="equal">
      <formula>"No"</formula>
    </cfRule>
    <cfRule type="cellIs" dxfId="2580" priority="49" operator="equal">
      <formula>"Yes"</formula>
    </cfRule>
  </conditionalFormatting>
  <conditionalFormatting sqref="Q62">
    <cfRule type="cellIs" dxfId="2579" priority="47" operator="equal">
      <formula>"Y"</formula>
    </cfRule>
  </conditionalFormatting>
  <conditionalFormatting sqref="I63">
    <cfRule type="cellIs" dxfId="2578" priority="45" operator="equal">
      <formula>"No"</formula>
    </cfRule>
    <cfRule type="cellIs" dxfId="2577" priority="46" operator="equal">
      <formula>"Yes"</formula>
    </cfRule>
  </conditionalFormatting>
  <conditionalFormatting sqref="Q63">
    <cfRule type="cellIs" dxfId="2576" priority="44" operator="equal">
      <formula>"Y"</formula>
    </cfRule>
  </conditionalFormatting>
  <conditionalFormatting sqref="O64">
    <cfRule type="cellIs" dxfId="2575" priority="39" operator="equal">
      <formula>"NY"</formula>
    </cfRule>
    <cfRule type="cellIs" dxfId="2574" priority="40" operator="equal">
      <formula>"DM"</formula>
    </cfRule>
    <cfRule type="cellIs" dxfId="2573" priority="41" operator="equal">
      <formula>"PM"</formula>
    </cfRule>
    <cfRule type="cellIs" dxfId="2572" priority="42" operator="equal">
      <formula>"LM"</formula>
    </cfRule>
    <cfRule type="cellIs" dxfId="2571" priority="43" operator="equal">
      <formula>"FM"</formula>
    </cfRule>
  </conditionalFormatting>
  <conditionalFormatting sqref="Q64">
    <cfRule type="cellIs" dxfId="2570" priority="38" operator="equal">
      <formula>"Y"</formula>
    </cfRule>
  </conditionalFormatting>
  <conditionalFormatting sqref="O65">
    <cfRule type="cellIs" dxfId="2569" priority="33" operator="equal">
      <formula>"NY"</formula>
    </cfRule>
    <cfRule type="cellIs" dxfId="2568" priority="34" operator="equal">
      <formula>"DM"</formula>
    </cfRule>
    <cfRule type="cellIs" dxfId="2567" priority="35" operator="equal">
      <formula>"PM"</formula>
    </cfRule>
    <cfRule type="cellIs" dxfId="2566" priority="36" operator="equal">
      <formula>"LM"</formula>
    </cfRule>
    <cfRule type="cellIs" dxfId="2565" priority="37" operator="equal">
      <formula>"FM"</formula>
    </cfRule>
  </conditionalFormatting>
  <conditionalFormatting sqref="I65:J65">
    <cfRule type="cellIs" dxfId="2564" priority="31" operator="equal">
      <formula>"No"</formula>
    </cfRule>
    <cfRule type="cellIs" dxfId="2563" priority="32" operator="equal">
      <formula>"Yes"</formula>
    </cfRule>
  </conditionalFormatting>
  <conditionalFormatting sqref="Q65">
    <cfRule type="cellIs" dxfId="2562" priority="30" operator="equal">
      <formula>"Y"</formula>
    </cfRule>
  </conditionalFormatting>
  <conditionalFormatting sqref="I66">
    <cfRule type="cellIs" dxfId="2561" priority="28" operator="equal">
      <formula>"No"</formula>
    </cfRule>
    <cfRule type="cellIs" dxfId="2560" priority="29" operator="equal">
      <formula>"Yes"</formula>
    </cfRule>
  </conditionalFormatting>
  <conditionalFormatting sqref="Q66">
    <cfRule type="cellIs" dxfId="2559" priority="27" operator="equal">
      <formula>"Y"</formula>
    </cfRule>
  </conditionalFormatting>
  <conditionalFormatting sqref="I67">
    <cfRule type="cellIs" dxfId="2558" priority="25" operator="equal">
      <formula>"No"</formula>
    </cfRule>
    <cfRule type="cellIs" dxfId="2557" priority="26" operator="equal">
      <formula>"Yes"</formula>
    </cfRule>
  </conditionalFormatting>
  <conditionalFormatting sqref="Q67">
    <cfRule type="cellIs" dxfId="2556" priority="24" operator="equal">
      <formula>"Y"</formula>
    </cfRule>
  </conditionalFormatting>
  <conditionalFormatting sqref="O68">
    <cfRule type="cellIs" dxfId="2555" priority="22" operator="equal">
      <formula>"U"</formula>
    </cfRule>
    <cfRule type="cellIs" dxfId="2554" priority="23" operator="equal">
      <formula>"S"</formula>
    </cfRule>
  </conditionalFormatting>
  <conditionalFormatting sqref="Q68">
    <cfRule type="cellIs" dxfId="2553" priority="21" operator="equal">
      <formula>"Y"</formula>
    </cfRule>
  </conditionalFormatting>
  <conditionalFormatting sqref="O69">
    <cfRule type="cellIs" dxfId="2552" priority="16" operator="equal">
      <formula>"NY"</formula>
    </cfRule>
    <cfRule type="cellIs" dxfId="2551" priority="17" operator="equal">
      <formula>"DM"</formula>
    </cfRule>
    <cfRule type="cellIs" dxfId="2550" priority="18" operator="equal">
      <formula>"PM"</formula>
    </cfRule>
    <cfRule type="cellIs" dxfId="2549" priority="19" operator="equal">
      <formula>"LM"</formula>
    </cfRule>
    <cfRule type="cellIs" dxfId="2548" priority="20" operator="equal">
      <formula>"FM"</formula>
    </cfRule>
  </conditionalFormatting>
  <conditionalFormatting sqref="Q69">
    <cfRule type="cellIs" dxfId="2547" priority="15" operator="equal">
      <formula>"Y"</formula>
    </cfRule>
  </conditionalFormatting>
  <conditionalFormatting sqref="O70">
    <cfRule type="cellIs" dxfId="2546" priority="10" operator="equal">
      <formula>"NY"</formula>
    </cfRule>
    <cfRule type="cellIs" dxfId="2545" priority="11" operator="equal">
      <formula>"DM"</formula>
    </cfRule>
    <cfRule type="cellIs" dxfId="2544" priority="12" operator="equal">
      <formula>"PM"</formula>
    </cfRule>
    <cfRule type="cellIs" dxfId="2543" priority="13" operator="equal">
      <formula>"LM"</formula>
    </cfRule>
    <cfRule type="cellIs" dxfId="2542" priority="14" operator="equal">
      <formula>"FM"</formula>
    </cfRule>
  </conditionalFormatting>
  <conditionalFormatting sqref="I70:J70">
    <cfRule type="cellIs" dxfId="2541" priority="8" operator="equal">
      <formula>"No"</formula>
    </cfRule>
    <cfRule type="cellIs" dxfId="2540" priority="9" operator="equal">
      <formula>"Yes"</formula>
    </cfRule>
  </conditionalFormatting>
  <conditionalFormatting sqref="Q70">
    <cfRule type="cellIs" dxfId="2539" priority="7" operator="equal">
      <formula>"Y"</formula>
    </cfRule>
  </conditionalFormatting>
  <conditionalFormatting sqref="I71">
    <cfRule type="cellIs" dxfId="2538" priority="5" operator="equal">
      <formula>"No"</formula>
    </cfRule>
    <cfRule type="cellIs" dxfId="2537" priority="6" operator="equal">
      <formula>"Yes"</formula>
    </cfRule>
  </conditionalFormatting>
  <conditionalFormatting sqref="Q71">
    <cfRule type="cellIs" dxfId="2536" priority="4" operator="equal">
      <formula>"Y"</formula>
    </cfRule>
  </conditionalFormatting>
  <conditionalFormatting sqref="I72">
    <cfRule type="cellIs" dxfId="2535" priority="2" operator="equal">
      <formula>"No"</formula>
    </cfRule>
    <cfRule type="cellIs" dxfId="2534" priority="3" operator="equal">
      <formula>"Yes"</formula>
    </cfRule>
  </conditionalFormatting>
  <conditionalFormatting sqref="Q72">
    <cfRule type="cellIs" dxfId="2533" priority="1" operator="equal">
      <formula>"Y"</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E6353-E9F6-4576-954E-4DB48DE5101D}">
  <sheetPr codeName="Sheet47"/>
  <dimension ref="A1:Q57"/>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1399</v>
      </c>
    </row>
    <row r="2" spans="1:17" s="61" customFormat="1" ht="21">
      <c r="A2" s="60" t="s">
        <v>1400</v>
      </c>
    </row>
    <row r="3" spans="1:17">
      <c r="A3" s="62" t="s">
        <v>1707</v>
      </c>
      <c r="B3" s="63" t="s">
        <v>2164</v>
      </c>
    </row>
    <row r="4" spans="1:17">
      <c r="A4" s="63" t="s">
        <v>1401</v>
      </c>
      <c r="B4" s="63" t="s">
        <v>2165</v>
      </c>
    </row>
    <row r="5" spans="1:17">
      <c r="A5" s="62" t="s">
        <v>1709</v>
      </c>
      <c r="B5" s="63" t="s">
        <v>2166</v>
      </c>
    </row>
    <row r="6" spans="1:17">
      <c r="A6" s="63" t="s">
        <v>1402</v>
      </c>
      <c r="B6" s="63" t="s">
        <v>1403</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936</v>
      </c>
      <c r="C10" s="322" t="s">
        <v>1404</v>
      </c>
      <c r="D10" s="322"/>
      <c r="E10" s="322"/>
      <c r="F10" s="322"/>
      <c r="G10" s="322"/>
      <c r="H10" s="322"/>
      <c r="I10" s="20" t="s">
        <v>2167</v>
      </c>
      <c r="J10" s="20" t="s">
        <v>2168</v>
      </c>
      <c r="K10" s="11" t="s">
        <v>2169</v>
      </c>
      <c r="L10" s="11"/>
      <c r="M10" s="11"/>
      <c r="N10" s="11"/>
      <c r="O10" s="9"/>
      <c r="P10" s="10"/>
      <c r="Q10" s="9"/>
    </row>
    <row r="11" spans="1:17" s="58" customFormat="1" ht="13.8">
      <c r="A11" s="54" t="s">
        <v>1391</v>
      </c>
      <c r="B11" s="19" t="s">
        <v>936</v>
      </c>
      <c r="C11" s="326" t="s">
        <v>1905</v>
      </c>
      <c r="D11" s="327"/>
      <c r="E11" s="327"/>
      <c r="F11" s="327"/>
      <c r="G11" s="328"/>
      <c r="H11" s="4" t="s">
        <v>1906</v>
      </c>
      <c r="I11" s="9"/>
      <c r="J11" s="9"/>
      <c r="K11" s="9"/>
      <c r="L11" s="9"/>
      <c r="M11" s="9"/>
      <c r="N11" s="9"/>
      <c r="O11" s="9"/>
      <c r="P11" s="9"/>
      <c r="Q11" s="9"/>
    </row>
    <row r="12" spans="1:17" s="58" customFormat="1" ht="13.8">
      <c r="A12" s="5" t="s">
        <v>1394</v>
      </c>
      <c r="B12" s="5" t="s">
        <v>1905</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1905</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937</v>
      </c>
      <c r="C15" s="322" t="s">
        <v>1405</v>
      </c>
      <c r="D15" s="322"/>
      <c r="E15" s="322"/>
      <c r="F15" s="322"/>
      <c r="G15" s="322"/>
      <c r="H15" s="322"/>
      <c r="I15" s="20" t="s">
        <v>2170</v>
      </c>
      <c r="J15" s="20" t="s">
        <v>2171</v>
      </c>
      <c r="K15" s="11" t="s">
        <v>1406</v>
      </c>
      <c r="L15" s="11"/>
      <c r="M15" s="11"/>
      <c r="N15" s="11"/>
      <c r="O15" s="9"/>
      <c r="P15" s="10"/>
      <c r="Q15" s="9"/>
    </row>
    <row r="16" spans="1:17" s="58" customFormat="1" ht="13.8">
      <c r="A16" s="54" t="s">
        <v>1391</v>
      </c>
      <c r="B16" s="19" t="s">
        <v>937</v>
      </c>
      <c r="C16" s="326" t="s">
        <v>1905</v>
      </c>
      <c r="D16" s="327"/>
      <c r="E16" s="327"/>
      <c r="F16" s="327"/>
      <c r="G16" s="328"/>
      <c r="H16" s="4" t="s">
        <v>1906</v>
      </c>
      <c r="I16" s="9"/>
      <c r="J16" s="9"/>
      <c r="K16" s="9"/>
      <c r="L16" s="9"/>
      <c r="M16" s="9"/>
      <c r="N16" s="9"/>
      <c r="O16" s="9"/>
      <c r="P16" s="9"/>
      <c r="Q16" s="9"/>
    </row>
    <row r="17" spans="1:17" s="58" customFormat="1" ht="13.8">
      <c r="A17" s="5" t="s">
        <v>1394</v>
      </c>
      <c r="B17" s="5" t="s">
        <v>1905</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1905</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938</v>
      </c>
      <c r="C19" s="322" t="s">
        <v>1407</v>
      </c>
      <c r="D19" s="322"/>
      <c r="E19" s="322"/>
      <c r="F19" s="322"/>
      <c r="G19" s="322"/>
      <c r="H19" s="322"/>
      <c r="I19" s="20" t="s">
        <v>2172</v>
      </c>
      <c r="J19" s="20" t="s">
        <v>2173</v>
      </c>
      <c r="K19" s="11" t="s">
        <v>2174</v>
      </c>
      <c r="L19" s="11"/>
      <c r="M19" s="11"/>
      <c r="N19" s="11"/>
      <c r="O19" s="9"/>
      <c r="P19" s="10"/>
      <c r="Q19" s="9"/>
    </row>
    <row r="20" spans="1:17" s="58" customFormat="1" ht="13.8">
      <c r="A20" s="54" t="s">
        <v>1391</v>
      </c>
      <c r="B20" s="19" t="s">
        <v>938</v>
      </c>
      <c r="C20" s="326" t="s">
        <v>1905</v>
      </c>
      <c r="D20" s="327"/>
      <c r="E20" s="327"/>
      <c r="F20" s="327"/>
      <c r="G20" s="328"/>
      <c r="H20" s="4" t="s">
        <v>1906</v>
      </c>
      <c r="I20" s="9"/>
      <c r="J20" s="9"/>
      <c r="K20" s="9"/>
      <c r="L20" s="9"/>
      <c r="M20" s="9"/>
      <c r="N20" s="9"/>
      <c r="O20" s="9"/>
      <c r="P20" s="9"/>
      <c r="Q20" s="9"/>
    </row>
    <row r="21" spans="1:17" s="58" customFormat="1" ht="13.8">
      <c r="A21" s="5" t="s">
        <v>1394</v>
      </c>
      <c r="B21" s="5" t="s">
        <v>1905</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1905</v>
      </c>
      <c r="C22" s="59" t="s">
        <v>1395</v>
      </c>
      <c r="D22" s="6" t="s">
        <v>97</v>
      </c>
      <c r="E22" s="6" t="s">
        <v>98</v>
      </c>
      <c r="F22" s="6" t="s">
        <v>1396</v>
      </c>
      <c r="G22" s="6" t="s">
        <v>1397</v>
      </c>
      <c r="H22" s="7"/>
      <c r="I22" s="9"/>
      <c r="J22" s="7"/>
      <c r="K22" s="12"/>
      <c r="L22" s="6"/>
      <c r="M22" s="6"/>
      <c r="N22" s="12"/>
      <c r="O22" s="7"/>
      <c r="P22" s="9"/>
      <c r="Q22" s="9"/>
    </row>
    <row r="23" spans="1:17" s="55" customFormat="1" ht="13.8">
      <c r="A23" s="54" t="s">
        <v>1385</v>
      </c>
      <c r="B23" s="17" t="s">
        <v>29</v>
      </c>
      <c r="C23" s="18"/>
      <c r="D23" s="18"/>
      <c r="E23" s="18"/>
      <c r="F23" s="18"/>
      <c r="G23" s="18"/>
      <c r="H23" s="18"/>
      <c r="I23" s="18"/>
      <c r="J23" s="18"/>
      <c r="K23" s="18"/>
      <c r="L23" s="8"/>
      <c r="M23" s="8"/>
      <c r="N23" s="8"/>
      <c r="O23" s="9"/>
      <c r="P23" s="10"/>
      <c r="Q23" s="9"/>
    </row>
    <row r="24" spans="1:17" s="57" customFormat="1" ht="51.6" customHeight="1">
      <c r="A24" s="56" t="s">
        <v>1386</v>
      </c>
      <c r="B24" s="3" t="s">
        <v>939</v>
      </c>
      <c r="C24" s="322" t="s">
        <v>2175</v>
      </c>
      <c r="D24" s="322"/>
      <c r="E24" s="322"/>
      <c r="F24" s="322"/>
      <c r="G24" s="322"/>
      <c r="H24" s="322"/>
      <c r="I24" s="20" t="s">
        <v>2176</v>
      </c>
      <c r="J24" s="20" t="s">
        <v>2177</v>
      </c>
      <c r="K24" s="11" t="s">
        <v>1408</v>
      </c>
      <c r="L24" s="11"/>
      <c r="M24" s="11"/>
      <c r="N24" s="11"/>
      <c r="O24" s="9"/>
      <c r="P24" s="10"/>
      <c r="Q24" s="9"/>
    </row>
    <row r="25" spans="1:17" s="58" customFormat="1" ht="13.8">
      <c r="A25" s="54" t="s">
        <v>1391</v>
      </c>
      <c r="B25" s="19" t="s">
        <v>939</v>
      </c>
      <c r="C25" s="326" t="s">
        <v>1905</v>
      </c>
      <c r="D25" s="327"/>
      <c r="E25" s="327"/>
      <c r="F25" s="327"/>
      <c r="G25" s="328"/>
      <c r="H25" s="4" t="s">
        <v>1906</v>
      </c>
      <c r="I25" s="9"/>
      <c r="J25" s="9"/>
      <c r="K25" s="9"/>
      <c r="L25" s="9"/>
      <c r="M25" s="9"/>
      <c r="N25" s="9"/>
      <c r="O25" s="9"/>
      <c r="P25" s="9"/>
      <c r="Q25" s="9"/>
    </row>
    <row r="26" spans="1:17" s="58" customFormat="1" ht="13.8">
      <c r="A26" s="5" t="s">
        <v>1394</v>
      </c>
      <c r="B26" s="5" t="s">
        <v>1905</v>
      </c>
      <c r="C26" s="59" t="s">
        <v>1395</v>
      </c>
      <c r="D26" s="6" t="s">
        <v>97</v>
      </c>
      <c r="E26" s="6" t="s">
        <v>98</v>
      </c>
      <c r="F26" s="6" t="s">
        <v>1396</v>
      </c>
      <c r="G26" s="6" t="s">
        <v>1397</v>
      </c>
      <c r="H26" s="7"/>
      <c r="I26" s="9"/>
      <c r="J26" s="7"/>
      <c r="K26" s="12"/>
      <c r="L26" s="6"/>
      <c r="M26" s="6"/>
      <c r="N26" s="12"/>
      <c r="O26" s="7"/>
      <c r="P26" s="9"/>
      <c r="Q26" s="9"/>
    </row>
    <row r="27" spans="1:17" s="58" customFormat="1" ht="13.8">
      <c r="A27" s="5" t="s">
        <v>1394</v>
      </c>
      <c r="B27" s="5" t="s">
        <v>1905</v>
      </c>
      <c r="C27" s="59" t="s">
        <v>1395</v>
      </c>
      <c r="D27" s="6" t="s">
        <v>97</v>
      </c>
      <c r="E27" s="6" t="s">
        <v>98</v>
      </c>
      <c r="F27" s="6" t="s">
        <v>1396</v>
      </c>
      <c r="G27" s="6" t="s">
        <v>1397</v>
      </c>
      <c r="H27" s="7"/>
      <c r="I27" s="9"/>
      <c r="J27" s="7"/>
      <c r="K27" s="12"/>
      <c r="L27" s="6"/>
      <c r="M27" s="6"/>
      <c r="N27" s="12"/>
      <c r="O27" s="7"/>
      <c r="P27" s="9"/>
      <c r="Q27" s="9"/>
    </row>
    <row r="28" spans="1:17" s="57" customFormat="1" ht="51.6" customHeight="1">
      <c r="A28" s="56" t="s">
        <v>1386</v>
      </c>
      <c r="B28" s="3" t="s">
        <v>940</v>
      </c>
      <c r="C28" s="322" t="s">
        <v>1409</v>
      </c>
      <c r="D28" s="322"/>
      <c r="E28" s="322"/>
      <c r="F28" s="322"/>
      <c r="G28" s="322"/>
      <c r="H28" s="322"/>
      <c r="I28" s="20" t="s">
        <v>2178</v>
      </c>
      <c r="J28" s="20" t="s">
        <v>2179</v>
      </c>
      <c r="K28" s="11" t="s">
        <v>1410</v>
      </c>
      <c r="L28" s="11"/>
      <c r="M28" s="11"/>
      <c r="N28" s="11"/>
      <c r="O28" s="9"/>
      <c r="P28" s="10"/>
      <c r="Q28" s="9"/>
    </row>
    <row r="29" spans="1:17" s="58" customFormat="1" ht="13.8">
      <c r="A29" s="54" t="s">
        <v>1391</v>
      </c>
      <c r="B29" s="19" t="s">
        <v>940</v>
      </c>
      <c r="C29" s="326" t="s">
        <v>1905</v>
      </c>
      <c r="D29" s="327"/>
      <c r="E29" s="327"/>
      <c r="F29" s="327"/>
      <c r="G29" s="328"/>
      <c r="H29" s="4" t="s">
        <v>1906</v>
      </c>
      <c r="I29" s="9"/>
      <c r="J29" s="9"/>
      <c r="K29" s="9"/>
      <c r="L29" s="9"/>
      <c r="M29" s="9"/>
      <c r="N29" s="9"/>
      <c r="O29" s="9"/>
      <c r="P29" s="9"/>
      <c r="Q29" s="9"/>
    </row>
    <row r="30" spans="1:17" s="58" customFormat="1" ht="13.8">
      <c r="A30" s="5" t="s">
        <v>1394</v>
      </c>
      <c r="B30" s="5" t="s">
        <v>1905</v>
      </c>
      <c r="C30" s="59" t="s">
        <v>1395</v>
      </c>
      <c r="D30" s="6" t="s">
        <v>97</v>
      </c>
      <c r="E30" s="6" t="s">
        <v>98</v>
      </c>
      <c r="F30" s="6" t="s">
        <v>1396</v>
      </c>
      <c r="G30" s="6" t="s">
        <v>1397</v>
      </c>
      <c r="H30" s="7"/>
      <c r="I30" s="9"/>
      <c r="J30" s="7"/>
      <c r="K30" s="12"/>
      <c r="L30" s="6"/>
      <c r="M30" s="6"/>
      <c r="N30" s="12"/>
      <c r="O30" s="7"/>
      <c r="P30" s="9"/>
      <c r="Q30" s="9"/>
    </row>
    <row r="31" spans="1:17" s="58" customFormat="1" ht="13.8">
      <c r="A31" s="5" t="s">
        <v>1394</v>
      </c>
      <c r="B31" s="5" t="s">
        <v>1905</v>
      </c>
      <c r="C31" s="59" t="s">
        <v>1395</v>
      </c>
      <c r="D31" s="6" t="s">
        <v>97</v>
      </c>
      <c r="E31" s="6" t="s">
        <v>98</v>
      </c>
      <c r="F31" s="6" t="s">
        <v>1396</v>
      </c>
      <c r="G31" s="6" t="s">
        <v>1397</v>
      </c>
      <c r="H31" s="7"/>
      <c r="I31" s="9"/>
      <c r="J31" s="7"/>
      <c r="K31" s="12"/>
      <c r="L31" s="6"/>
      <c r="M31" s="6"/>
      <c r="N31" s="12"/>
      <c r="O31" s="7"/>
      <c r="P31" s="9"/>
      <c r="Q31" s="9"/>
    </row>
    <row r="32" spans="1:17" s="57" customFormat="1" ht="51.6" customHeight="1">
      <c r="A32" s="56" t="s">
        <v>1386</v>
      </c>
      <c r="B32" s="3" t="s">
        <v>941</v>
      </c>
      <c r="C32" s="322" t="s">
        <v>1411</v>
      </c>
      <c r="D32" s="322"/>
      <c r="E32" s="322"/>
      <c r="F32" s="322"/>
      <c r="G32" s="322"/>
      <c r="H32" s="322"/>
      <c r="I32" s="20" t="s">
        <v>2180</v>
      </c>
      <c r="J32" s="20" t="s">
        <v>2181</v>
      </c>
      <c r="K32" s="11" t="s">
        <v>1412</v>
      </c>
      <c r="L32" s="11"/>
      <c r="M32" s="11"/>
      <c r="N32" s="11"/>
      <c r="O32" s="9"/>
      <c r="P32" s="10"/>
      <c r="Q32" s="9"/>
    </row>
    <row r="33" spans="1:17" s="58" customFormat="1" ht="13.8">
      <c r="A33" s="54" t="s">
        <v>1391</v>
      </c>
      <c r="B33" s="19" t="s">
        <v>941</v>
      </c>
      <c r="C33" s="326" t="s">
        <v>1905</v>
      </c>
      <c r="D33" s="327"/>
      <c r="E33" s="327"/>
      <c r="F33" s="327"/>
      <c r="G33" s="328"/>
      <c r="H33" s="4" t="s">
        <v>1906</v>
      </c>
      <c r="I33" s="9"/>
      <c r="J33" s="9"/>
      <c r="K33" s="9"/>
      <c r="L33" s="9"/>
      <c r="M33" s="9"/>
      <c r="N33" s="9"/>
      <c r="O33" s="9"/>
      <c r="P33" s="9"/>
      <c r="Q33" s="9"/>
    </row>
    <row r="34" spans="1:17" s="58" customFormat="1" ht="13.8">
      <c r="A34" s="5" t="s">
        <v>1394</v>
      </c>
      <c r="B34" s="5" t="s">
        <v>1905</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1905</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942</v>
      </c>
      <c r="C36" s="322" t="s">
        <v>2182</v>
      </c>
      <c r="D36" s="322"/>
      <c r="E36" s="322"/>
      <c r="F36" s="322"/>
      <c r="G36" s="322"/>
      <c r="H36" s="322"/>
      <c r="I36" s="20" t="s">
        <v>2183</v>
      </c>
      <c r="J36" s="20" t="s">
        <v>2184</v>
      </c>
      <c r="K36" s="11" t="s">
        <v>1413</v>
      </c>
      <c r="L36" s="11"/>
      <c r="M36" s="11"/>
      <c r="N36" s="11"/>
      <c r="O36" s="9"/>
      <c r="P36" s="10"/>
      <c r="Q36" s="9"/>
    </row>
    <row r="37" spans="1:17" s="58" customFormat="1" ht="13.8">
      <c r="A37" s="54" t="s">
        <v>1391</v>
      </c>
      <c r="B37" s="19" t="s">
        <v>942</v>
      </c>
      <c r="C37" s="326" t="s">
        <v>1905</v>
      </c>
      <c r="D37" s="327"/>
      <c r="E37" s="327"/>
      <c r="F37" s="327"/>
      <c r="G37" s="328"/>
      <c r="H37" s="4" t="s">
        <v>1906</v>
      </c>
      <c r="I37" s="9"/>
      <c r="J37" s="9"/>
      <c r="K37" s="9"/>
      <c r="L37" s="9"/>
      <c r="M37" s="9"/>
      <c r="N37" s="9"/>
      <c r="O37" s="9"/>
      <c r="P37" s="9"/>
      <c r="Q37" s="9"/>
    </row>
    <row r="38" spans="1:17" s="58" customFormat="1" ht="13.8">
      <c r="A38" s="5" t="s">
        <v>1394</v>
      </c>
      <c r="B38" s="5" t="s">
        <v>1905</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1905</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943</v>
      </c>
      <c r="C40" s="322" t="s">
        <v>1414</v>
      </c>
      <c r="D40" s="322"/>
      <c r="E40" s="322"/>
      <c r="F40" s="322"/>
      <c r="G40" s="322"/>
      <c r="H40" s="322"/>
      <c r="I40" s="20" t="s">
        <v>2185</v>
      </c>
      <c r="J40" s="20" t="s">
        <v>2186</v>
      </c>
      <c r="K40" s="11" t="s">
        <v>1415</v>
      </c>
      <c r="L40" s="11"/>
      <c r="M40" s="11"/>
      <c r="N40" s="11"/>
      <c r="O40" s="9"/>
      <c r="P40" s="10"/>
      <c r="Q40" s="9"/>
    </row>
    <row r="41" spans="1:17" s="58" customFormat="1" ht="13.8">
      <c r="A41" s="54" t="s">
        <v>1391</v>
      </c>
      <c r="B41" s="19" t="s">
        <v>943</v>
      </c>
      <c r="C41" s="326" t="s">
        <v>1905</v>
      </c>
      <c r="D41" s="327"/>
      <c r="E41" s="327"/>
      <c r="F41" s="327"/>
      <c r="G41" s="328"/>
      <c r="H41" s="4" t="s">
        <v>1906</v>
      </c>
      <c r="I41" s="9"/>
      <c r="J41" s="9"/>
      <c r="K41" s="9"/>
      <c r="L41" s="9"/>
      <c r="M41" s="9"/>
      <c r="N41" s="9"/>
      <c r="O41" s="9"/>
      <c r="P41" s="9"/>
      <c r="Q41" s="9"/>
    </row>
    <row r="42" spans="1:17" s="58" customFormat="1" ht="13.8">
      <c r="A42" s="5" t="s">
        <v>1394</v>
      </c>
      <c r="B42" s="5" t="s">
        <v>1905</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1905</v>
      </c>
      <c r="C43" s="59" t="s">
        <v>1395</v>
      </c>
      <c r="D43" s="6" t="s">
        <v>97</v>
      </c>
      <c r="E43" s="6" t="s">
        <v>98</v>
      </c>
      <c r="F43" s="6" t="s">
        <v>1396</v>
      </c>
      <c r="G43" s="6" t="s">
        <v>1397</v>
      </c>
      <c r="H43" s="7"/>
      <c r="I43" s="9"/>
      <c r="J43" s="7"/>
      <c r="K43" s="12"/>
      <c r="L43" s="6"/>
      <c r="M43" s="6"/>
      <c r="N43" s="12"/>
      <c r="O43" s="7"/>
      <c r="P43" s="9"/>
      <c r="Q43" s="9"/>
    </row>
    <row r="44" spans="1:17" s="55" customFormat="1" ht="13.8">
      <c r="A44" s="54" t="s">
        <v>1385</v>
      </c>
      <c r="B44" s="17" t="s">
        <v>371</v>
      </c>
      <c r="C44" s="18"/>
      <c r="D44" s="18"/>
      <c r="E44" s="18"/>
      <c r="F44" s="18"/>
      <c r="G44" s="18"/>
      <c r="H44" s="18"/>
      <c r="I44" s="18"/>
      <c r="J44" s="18"/>
      <c r="K44" s="18"/>
      <c r="L44" s="8"/>
      <c r="M44" s="8"/>
      <c r="N44" s="8"/>
      <c r="O44" s="9"/>
      <c r="P44" s="10"/>
      <c r="Q44" s="9"/>
    </row>
    <row r="45" spans="1:17" s="57" customFormat="1" ht="51.6" customHeight="1">
      <c r="A45" s="56" t="s">
        <v>1386</v>
      </c>
      <c r="B45" s="3" t="s">
        <v>944</v>
      </c>
      <c r="C45" s="322" t="s">
        <v>2187</v>
      </c>
      <c r="D45" s="322"/>
      <c r="E45" s="322"/>
      <c r="F45" s="322"/>
      <c r="G45" s="322"/>
      <c r="H45" s="322"/>
      <c r="I45" s="20" t="s">
        <v>2188</v>
      </c>
      <c r="J45" s="20" t="s">
        <v>2189</v>
      </c>
      <c r="K45" s="11" t="s">
        <v>1416</v>
      </c>
      <c r="L45" s="11"/>
      <c r="M45" s="11"/>
      <c r="N45" s="11"/>
      <c r="O45" s="9"/>
      <c r="P45" s="10"/>
      <c r="Q45" s="9"/>
    </row>
    <row r="46" spans="1:17" s="58" customFormat="1" ht="13.8">
      <c r="A46" s="54" t="s">
        <v>1391</v>
      </c>
      <c r="B46" s="19" t="s">
        <v>944</v>
      </c>
      <c r="C46" s="326" t="s">
        <v>1905</v>
      </c>
      <c r="D46" s="327"/>
      <c r="E46" s="327"/>
      <c r="F46" s="327"/>
      <c r="G46" s="328"/>
      <c r="H46" s="4" t="s">
        <v>1906</v>
      </c>
      <c r="I46" s="9"/>
      <c r="J46" s="9"/>
      <c r="K46" s="9"/>
      <c r="L46" s="9"/>
      <c r="M46" s="9"/>
      <c r="N46" s="9"/>
      <c r="O46" s="9"/>
      <c r="P46" s="9"/>
      <c r="Q46" s="9"/>
    </row>
    <row r="47" spans="1:17" s="58" customFormat="1" ht="13.8">
      <c r="A47" s="5" t="s">
        <v>1394</v>
      </c>
      <c r="B47" s="5" t="s">
        <v>1905</v>
      </c>
      <c r="C47" s="59" t="s">
        <v>1395</v>
      </c>
      <c r="D47" s="6" t="s">
        <v>97</v>
      </c>
      <c r="E47" s="6" t="s">
        <v>98</v>
      </c>
      <c r="F47" s="6" t="s">
        <v>1396</v>
      </c>
      <c r="G47" s="6" t="s">
        <v>1397</v>
      </c>
      <c r="H47" s="7"/>
      <c r="I47" s="9"/>
      <c r="J47" s="7"/>
      <c r="K47" s="12"/>
      <c r="L47" s="6"/>
      <c r="M47" s="6"/>
      <c r="N47" s="12"/>
      <c r="O47" s="7"/>
      <c r="P47" s="9"/>
      <c r="Q47" s="9"/>
    </row>
    <row r="48" spans="1:17" s="58" customFormat="1" ht="13.8">
      <c r="A48" s="5" t="s">
        <v>1394</v>
      </c>
      <c r="B48" s="5" t="s">
        <v>1905</v>
      </c>
      <c r="C48" s="59" t="s">
        <v>1395</v>
      </c>
      <c r="D48" s="6" t="s">
        <v>97</v>
      </c>
      <c r="E48" s="6" t="s">
        <v>98</v>
      </c>
      <c r="F48" s="6" t="s">
        <v>1396</v>
      </c>
      <c r="G48" s="6" t="s">
        <v>1397</v>
      </c>
      <c r="H48" s="7"/>
      <c r="I48" s="9"/>
      <c r="J48" s="7"/>
      <c r="K48" s="12"/>
      <c r="L48" s="6"/>
      <c r="M48" s="6"/>
      <c r="N48" s="12"/>
      <c r="O48" s="7"/>
      <c r="P48" s="9"/>
      <c r="Q48" s="9"/>
    </row>
    <row r="49" spans="1:17" s="57" customFormat="1" ht="51.6" customHeight="1">
      <c r="A49" s="56" t="s">
        <v>1386</v>
      </c>
      <c r="B49" s="3" t="s">
        <v>945</v>
      </c>
      <c r="C49" s="322" t="s">
        <v>2190</v>
      </c>
      <c r="D49" s="322"/>
      <c r="E49" s="322"/>
      <c r="F49" s="322"/>
      <c r="G49" s="322"/>
      <c r="H49" s="322"/>
      <c r="I49" s="20" t="s">
        <v>2191</v>
      </c>
      <c r="J49" s="20" t="s">
        <v>2192</v>
      </c>
      <c r="K49" s="11" t="s">
        <v>1417</v>
      </c>
      <c r="L49" s="11"/>
      <c r="M49" s="11"/>
      <c r="N49" s="11"/>
      <c r="O49" s="9"/>
      <c r="P49" s="10"/>
      <c r="Q49" s="9"/>
    </row>
    <row r="50" spans="1:17" s="58" customFormat="1" ht="13.8">
      <c r="A50" s="54" t="s">
        <v>1391</v>
      </c>
      <c r="B50" s="19" t="s">
        <v>945</v>
      </c>
      <c r="C50" s="326" t="s">
        <v>1905</v>
      </c>
      <c r="D50" s="327"/>
      <c r="E50" s="327"/>
      <c r="F50" s="327"/>
      <c r="G50" s="328"/>
      <c r="H50" s="4" t="s">
        <v>1906</v>
      </c>
      <c r="I50" s="9"/>
      <c r="J50" s="9"/>
      <c r="K50" s="9"/>
      <c r="L50" s="9"/>
      <c r="M50" s="9"/>
      <c r="N50" s="9"/>
      <c r="O50" s="9"/>
      <c r="P50" s="9"/>
      <c r="Q50" s="9"/>
    </row>
    <row r="51" spans="1:17" s="58" customFormat="1" ht="13.8">
      <c r="A51" s="5" t="s">
        <v>1394</v>
      </c>
      <c r="B51" s="5" t="s">
        <v>1905</v>
      </c>
      <c r="C51" s="59" t="s">
        <v>1395</v>
      </c>
      <c r="D51" s="6" t="s">
        <v>97</v>
      </c>
      <c r="E51" s="6" t="s">
        <v>98</v>
      </c>
      <c r="F51" s="6" t="s">
        <v>1396</v>
      </c>
      <c r="G51" s="6" t="s">
        <v>1397</v>
      </c>
      <c r="H51" s="7"/>
      <c r="I51" s="9"/>
      <c r="J51" s="7"/>
      <c r="K51" s="12"/>
      <c r="L51" s="6"/>
      <c r="M51" s="6"/>
      <c r="N51" s="12"/>
      <c r="O51" s="7"/>
      <c r="P51" s="9"/>
      <c r="Q51" s="9"/>
    </row>
    <row r="52" spans="1:17" s="58" customFormat="1" ht="13.8">
      <c r="A52" s="5" t="s">
        <v>1394</v>
      </c>
      <c r="B52" s="5" t="s">
        <v>1905</v>
      </c>
      <c r="C52" s="59" t="s">
        <v>1395</v>
      </c>
      <c r="D52" s="6" t="s">
        <v>97</v>
      </c>
      <c r="E52" s="6" t="s">
        <v>98</v>
      </c>
      <c r="F52" s="6" t="s">
        <v>1396</v>
      </c>
      <c r="G52" s="6" t="s">
        <v>1397</v>
      </c>
      <c r="H52" s="7"/>
      <c r="I52" s="9"/>
      <c r="J52" s="7"/>
      <c r="K52" s="12"/>
      <c r="L52" s="6"/>
      <c r="M52" s="6"/>
      <c r="N52" s="12"/>
      <c r="O52" s="7"/>
      <c r="P52" s="9"/>
      <c r="Q52" s="9"/>
    </row>
    <row r="53" spans="1:17" s="55" customFormat="1" ht="13.8">
      <c r="A53" s="54" t="s">
        <v>1385</v>
      </c>
      <c r="B53" s="17" t="s">
        <v>511</v>
      </c>
      <c r="C53" s="18"/>
      <c r="D53" s="18"/>
      <c r="E53" s="18"/>
      <c r="F53" s="18"/>
      <c r="G53" s="18"/>
      <c r="H53" s="18"/>
      <c r="I53" s="18"/>
      <c r="J53" s="18"/>
      <c r="K53" s="18"/>
      <c r="L53" s="8"/>
      <c r="M53" s="8"/>
      <c r="N53" s="8"/>
      <c r="O53" s="9"/>
      <c r="P53" s="10"/>
      <c r="Q53" s="9"/>
    </row>
    <row r="54" spans="1:17" s="57" customFormat="1" ht="51.6" customHeight="1">
      <c r="A54" s="56" t="s">
        <v>1386</v>
      </c>
      <c r="B54" s="3" t="s">
        <v>946</v>
      </c>
      <c r="C54" s="322" t="s">
        <v>1418</v>
      </c>
      <c r="D54" s="322"/>
      <c r="E54" s="322"/>
      <c r="F54" s="322"/>
      <c r="G54" s="322"/>
      <c r="H54" s="322"/>
      <c r="I54" s="20" t="s">
        <v>2193</v>
      </c>
      <c r="J54" s="20" t="s">
        <v>2194</v>
      </c>
      <c r="K54" s="11" t="s">
        <v>1419</v>
      </c>
      <c r="L54" s="11"/>
      <c r="M54" s="11"/>
      <c r="N54" s="11"/>
      <c r="O54" s="9"/>
      <c r="P54" s="10"/>
      <c r="Q54" s="9"/>
    </row>
    <row r="55" spans="1:17" s="58" customFormat="1" ht="13.8">
      <c r="A55" s="54" t="s">
        <v>1391</v>
      </c>
      <c r="B55" s="19" t="s">
        <v>946</v>
      </c>
      <c r="C55" s="326" t="s">
        <v>1905</v>
      </c>
      <c r="D55" s="327"/>
      <c r="E55" s="327"/>
      <c r="F55" s="327"/>
      <c r="G55" s="328"/>
      <c r="H55" s="4" t="s">
        <v>1906</v>
      </c>
      <c r="I55" s="9"/>
      <c r="J55" s="9"/>
      <c r="K55" s="9"/>
      <c r="L55" s="9"/>
      <c r="M55" s="9"/>
      <c r="N55" s="9"/>
      <c r="O55" s="9"/>
      <c r="P55" s="9"/>
      <c r="Q55" s="9"/>
    </row>
    <row r="56" spans="1:17" s="58" customFormat="1" ht="13.8">
      <c r="A56" s="5" t="s">
        <v>1394</v>
      </c>
      <c r="B56" s="5" t="s">
        <v>1905</v>
      </c>
      <c r="C56" s="59" t="s">
        <v>1395</v>
      </c>
      <c r="D56" s="6" t="s">
        <v>97</v>
      </c>
      <c r="E56" s="6" t="s">
        <v>98</v>
      </c>
      <c r="F56" s="6" t="s">
        <v>1396</v>
      </c>
      <c r="G56" s="6" t="s">
        <v>1397</v>
      </c>
      <c r="H56" s="7"/>
      <c r="I56" s="9"/>
      <c r="J56" s="7"/>
      <c r="K56" s="12"/>
      <c r="L56" s="6"/>
      <c r="M56" s="6"/>
      <c r="N56" s="12"/>
      <c r="O56" s="7"/>
      <c r="P56" s="9"/>
      <c r="Q56" s="9"/>
    </row>
    <row r="57" spans="1:17" s="58" customFormat="1" ht="13.8">
      <c r="A57" s="5" t="s">
        <v>1394</v>
      </c>
      <c r="B57" s="5" t="s">
        <v>1905</v>
      </c>
      <c r="C57" s="59" t="s">
        <v>1395</v>
      </c>
      <c r="D57" s="6" t="s">
        <v>97</v>
      </c>
      <c r="E57" s="6" t="s">
        <v>98</v>
      </c>
      <c r="F57" s="6" t="s">
        <v>1396</v>
      </c>
      <c r="G57" s="6" t="s">
        <v>1397</v>
      </c>
      <c r="H57" s="7"/>
      <c r="I57" s="9"/>
      <c r="J57" s="7"/>
      <c r="K57" s="12"/>
      <c r="L57" s="6"/>
      <c r="M57" s="6"/>
      <c r="N57" s="12"/>
      <c r="O57" s="7"/>
      <c r="P57" s="9"/>
      <c r="Q57" s="9"/>
    </row>
  </sheetData>
  <mergeCells count="22">
    <mergeCell ref="C33:G33"/>
    <mergeCell ref="C10:H10"/>
    <mergeCell ref="C11:G11"/>
    <mergeCell ref="C15:H15"/>
    <mergeCell ref="C16:G16"/>
    <mergeCell ref="C19:H19"/>
    <mergeCell ref="C20:G20"/>
    <mergeCell ref="C24:H24"/>
    <mergeCell ref="C25:G25"/>
    <mergeCell ref="C28:H28"/>
    <mergeCell ref="C29:G29"/>
    <mergeCell ref="C32:H32"/>
    <mergeCell ref="C49:H49"/>
    <mergeCell ref="C50:G50"/>
    <mergeCell ref="C54:H54"/>
    <mergeCell ref="C55:G55"/>
    <mergeCell ref="C36:H36"/>
    <mergeCell ref="C37:G37"/>
    <mergeCell ref="C40:H40"/>
    <mergeCell ref="C41:G41"/>
    <mergeCell ref="C45:H45"/>
    <mergeCell ref="C46:G46"/>
  </mergeCells>
  <conditionalFormatting sqref="O9">
    <cfRule type="cellIs" dxfId="2532" priority="234" operator="equal">
      <formula>"U"</formula>
    </cfRule>
    <cfRule type="cellIs" dxfId="2531" priority="235" operator="equal">
      <formula>"S"</formula>
    </cfRule>
  </conditionalFormatting>
  <conditionalFormatting sqref="Q9">
    <cfRule type="cellIs" dxfId="2530" priority="233" operator="equal">
      <formula>"Y"</formula>
    </cfRule>
  </conditionalFormatting>
  <conditionalFormatting sqref="O10">
    <cfRule type="cellIs" dxfId="2529" priority="228" operator="equal">
      <formula>"NY"</formula>
    </cfRule>
    <cfRule type="cellIs" dxfId="2528" priority="229" operator="equal">
      <formula>"DM"</formula>
    </cfRule>
    <cfRule type="cellIs" dxfId="2527" priority="230" operator="equal">
      <formula>"PM"</formula>
    </cfRule>
    <cfRule type="cellIs" dxfId="2526" priority="231" operator="equal">
      <formula>"LM"</formula>
    </cfRule>
    <cfRule type="cellIs" dxfId="2525" priority="232" operator="equal">
      <formula>"FM"</formula>
    </cfRule>
  </conditionalFormatting>
  <conditionalFormatting sqref="Q10">
    <cfRule type="cellIs" dxfId="2524" priority="227" operator="equal">
      <formula>"Y"</formula>
    </cfRule>
  </conditionalFormatting>
  <conditionalFormatting sqref="O11">
    <cfRule type="cellIs" dxfId="2523" priority="222" operator="equal">
      <formula>"NY"</formula>
    </cfRule>
    <cfRule type="cellIs" dxfId="2522" priority="223" operator="equal">
      <formula>"DM"</formula>
    </cfRule>
    <cfRule type="cellIs" dxfId="2521" priority="224" operator="equal">
      <formula>"PM"</formula>
    </cfRule>
    <cfRule type="cellIs" dxfId="2520" priority="225" operator="equal">
      <formula>"LM"</formula>
    </cfRule>
    <cfRule type="cellIs" dxfId="2519" priority="226" operator="equal">
      <formula>"FM"</formula>
    </cfRule>
  </conditionalFormatting>
  <conditionalFormatting sqref="I11:J11">
    <cfRule type="cellIs" dxfId="2518" priority="220" operator="equal">
      <formula>"No"</formula>
    </cfRule>
    <cfRule type="cellIs" dxfId="2517" priority="221" operator="equal">
      <formula>"Yes"</formula>
    </cfRule>
  </conditionalFormatting>
  <conditionalFormatting sqref="Q11">
    <cfRule type="cellIs" dxfId="2516" priority="219" operator="equal">
      <formula>"Y"</formula>
    </cfRule>
  </conditionalFormatting>
  <conditionalFormatting sqref="I12">
    <cfRule type="cellIs" dxfId="2515" priority="217" operator="equal">
      <formula>"No"</formula>
    </cfRule>
    <cfRule type="cellIs" dxfId="2514" priority="218" operator="equal">
      <formula>"Yes"</formula>
    </cfRule>
  </conditionalFormatting>
  <conditionalFormatting sqref="Q12">
    <cfRule type="cellIs" dxfId="2513" priority="216" operator="equal">
      <formula>"Y"</formula>
    </cfRule>
  </conditionalFormatting>
  <conditionalFormatting sqref="I13">
    <cfRule type="cellIs" dxfId="2512" priority="214" operator="equal">
      <formula>"No"</formula>
    </cfRule>
    <cfRule type="cellIs" dxfId="2511" priority="215" operator="equal">
      <formula>"Yes"</formula>
    </cfRule>
  </conditionalFormatting>
  <conditionalFormatting sqref="Q13">
    <cfRule type="cellIs" dxfId="2510" priority="213" operator="equal">
      <formula>"Y"</formula>
    </cfRule>
  </conditionalFormatting>
  <conditionalFormatting sqref="O14">
    <cfRule type="cellIs" dxfId="2509" priority="211" operator="equal">
      <formula>"U"</formula>
    </cfRule>
    <cfRule type="cellIs" dxfId="2508" priority="212" operator="equal">
      <formula>"S"</formula>
    </cfRule>
  </conditionalFormatting>
  <conditionalFormatting sqref="Q14">
    <cfRule type="cellIs" dxfId="2507" priority="210" operator="equal">
      <formula>"Y"</formula>
    </cfRule>
  </conditionalFormatting>
  <conditionalFormatting sqref="O15">
    <cfRule type="cellIs" dxfId="2506" priority="205" operator="equal">
      <formula>"NY"</formula>
    </cfRule>
    <cfRule type="cellIs" dxfId="2505" priority="206" operator="equal">
      <formula>"DM"</formula>
    </cfRule>
    <cfRule type="cellIs" dxfId="2504" priority="207" operator="equal">
      <formula>"PM"</formula>
    </cfRule>
    <cfRule type="cellIs" dxfId="2503" priority="208" operator="equal">
      <formula>"LM"</formula>
    </cfRule>
    <cfRule type="cellIs" dxfId="2502" priority="209" operator="equal">
      <formula>"FM"</formula>
    </cfRule>
  </conditionalFormatting>
  <conditionalFormatting sqref="Q15">
    <cfRule type="cellIs" dxfId="2501" priority="204" operator="equal">
      <formula>"Y"</formula>
    </cfRule>
  </conditionalFormatting>
  <conditionalFormatting sqref="O16">
    <cfRule type="cellIs" dxfId="2500" priority="199" operator="equal">
      <formula>"NY"</formula>
    </cfRule>
    <cfRule type="cellIs" dxfId="2499" priority="200" operator="equal">
      <formula>"DM"</formula>
    </cfRule>
    <cfRule type="cellIs" dxfId="2498" priority="201" operator="equal">
      <formula>"PM"</formula>
    </cfRule>
    <cfRule type="cellIs" dxfId="2497" priority="202" operator="equal">
      <formula>"LM"</formula>
    </cfRule>
    <cfRule type="cellIs" dxfId="2496" priority="203" operator="equal">
      <formula>"FM"</formula>
    </cfRule>
  </conditionalFormatting>
  <conditionalFormatting sqref="I16:J16">
    <cfRule type="cellIs" dxfId="2495" priority="197" operator="equal">
      <formula>"No"</formula>
    </cfRule>
    <cfRule type="cellIs" dxfId="2494" priority="198" operator="equal">
      <formula>"Yes"</formula>
    </cfRule>
  </conditionalFormatting>
  <conditionalFormatting sqref="Q16">
    <cfRule type="cellIs" dxfId="2493" priority="196" operator="equal">
      <formula>"Y"</formula>
    </cfRule>
  </conditionalFormatting>
  <conditionalFormatting sqref="I17">
    <cfRule type="cellIs" dxfId="2492" priority="194" operator="equal">
      <formula>"No"</formula>
    </cfRule>
    <cfRule type="cellIs" dxfId="2491" priority="195" operator="equal">
      <formula>"Yes"</formula>
    </cfRule>
  </conditionalFormatting>
  <conditionalFormatting sqref="Q17">
    <cfRule type="cellIs" dxfId="2490" priority="193" operator="equal">
      <formula>"Y"</formula>
    </cfRule>
  </conditionalFormatting>
  <conditionalFormatting sqref="I18">
    <cfRule type="cellIs" dxfId="2489" priority="191" operator="equal">
      <formula>"No"</formula>
    </cfRule>
    <cfRule type="cellIs" dxfId="2488" priority="192" operator="equal">
      <formula>"Yes"</formula>
    </cfRule>
  </conditionalFormatting>
  <conditionalFormatting sqref="Q18">
    <cfRule type="cellIs" dxfId="2487" priority="190" operator="equal">
      <formula>"Y"</formula>
    </cfRule>
  </conditionalFormatting>
  <conditionalFormatting sqref="O19">
    <cfRule type="cellIs" dxfId="2486" priority="185" operator="equal">
      <formula>"NY"</formula>
    </cfRule>
    <cfRule type="cellIs" dxfId="2485" priority="186" operator="equal">
      <formula>"DM"</formula>
    </cfRule>
    <cfRule type="cellIs" dxfId="2484" priority="187" operator="equal">
      <formula>"PM"</formula>
    </cfRule>
    <cfRule type="cellIs" dxfId="2483" priority="188" operator="equal">
      <formula>"LM"</formula>
    </cfRule>
    <cfRule type="cellIs" dxfId="2482" priority="189" operator="equal">
      <formula>"FM"</formula>
    </cfRule>
  </conditionalFormatting>
  <conditionalFormatting sqref="Q19">
    <cfRule type="cellIs" dxfId="2481" priority="184" operator="equal">
      <formula>"Y"</formula>
    </cfRule>
  </conditionalFormatting>
  <conditionalFormatting sqref="O20">
    <cfRule type="cellIs" dxfId="2480" priority="179" operator="equal">
      <formula>"NY"</formula>
    </cfRule>
    <cfRule type="cellIs" dxfId="2479" priority="180" operator="equal">
      <formula>"DM"</formula>
    </cfRule>
    <cfRule type="cellIs" dxfId="2478" priority="181" operator="equal">
      <formula>"PM"</formula>
    </cfRule>
    <cfRule type="cellIs" dxfId="2477" priority="182" operator="equal">
      <formula>"LM"</formula>
    </cfRule>
    <cfRule type="cellIs" dxfId="2476" priority="183" operator="equal">
      <formula>"FM"</formula>
    </cfRule>
  </conditionalFormatting>
  <conditionalFormatting sqref="I20:J20">
    <cfRule type="cellIs" dxfId="2475" priority="177" operator="equal">
      <formula>"No"</formula>
    </cfRule>
    <cfRule type="cellIs" dxfId="2474" priority="178" operator="equal">
      <formula>"Yes"</formula>
    </cfRule>
  </conditionalFormatting>
  <conditionalFormatting sqref="Q20">
    <cfRule type="cellIs" dxfId="2473" priority="176" operator="equal">
      <formula>"Y"</formula>
    </cfRule>
  </conditionalFormatting>
  <conditionalFormatting sqref="I21">
    <cfRule type="cellIs" dxfId="2472" priority="174" operator="equal">
      <formula>"No"</formula>
    </cfRule>
    <cfRule type="cellIs" dxfId="2471" priority="175" operator="equal">
      <formula>"Yes"</formula>
    </cfRule>
  </conditionalFormatting>
  <conditionalFormatting sqref="Q21">
    <cfRule type="cellIs" dxfId="2470" priority="173" operator="equal">
      <formula>"Y"</formula>
    </cfRule>
  </conditionalFormatting>
  <conditionalFormatting sqref="I22">
    <cfRule type="cellIs" dxfId="2469" priority="171" operator="equal">
      <formula>"No"</formula>
    </cfRule>
    <cfRule type="cellIs" dxfId="2468" priority="172" operator="equal">
      <formula>"Yes"</formula>
    </cfRule>
  </conditionalFormatting>
  <conditionalFormatting sqref="Q22">
    <cfRule type="cellIs" dxfId="2467" priority="170" operator="equal">
      <formula>"Y"</formula>
    </cfRule>
  </conditionalFormatting>
  <conditionalFormatting sqref="O23">
    <cfRule type="cellIs" dxfId="2466" priority="168" operator="equal">
      <formula>"U"</formula>
    </cfRule>
    <cfRule type="cellIs" dxfId="2465" priority="169" operator="equal">
      <formula>"S"</formula>
    </cfRule>
  </conditionalFormatting>
  <conditionalFormatting sqref="Q23">
    <cfRule type="cellIs" dxfId="2464" priority="167" operator="equal">
      <formula>"Y"</formula>
    </cfRule>
  </conditionalFormatting>
  <conditionalFormatting sqref="O24">
    <cfRule type="cellIs" dxfId="2463" priority="162" operator="equal">
      <formula>"NY"</formula>
    </cfRule>
    <cfRule type="cellIs" dxfId="2462" priority="163" operator="equal">
      <formula>"DM"</formula>
    </cfRule>
    <cfRule type="cellIs" dxfId="2461" priority="164" operator="equal">
      <formula>"PM"</formula>
    </cfRule>
    <cfRule type="cellIs" dxfId="2460" priority="165" operator="equal">
      <formula>"LM"</formula>
    </cfRule>
    <cfRule type="cellIs" dxfId="2459" priority="166" operator="equal">
      <formula>"FM"</formula>
    </cfRule>
  </conditionalFormatting>
  <conditionalFormatting sqref="Q24">
    <cfRule type="cellIs" dxfId="2458" priority="161" operator="equal">
      <formula>"Y"</formula>
    </cfRule>
  </conditionalFormatting>
  <conditionalFormatting sqref="O25">
    <cfRule type="cellIs" dxfId="2457" priority="156" operator="equal">
      <formula>"NY"</formula>
    </cfRule>
    <cfRule type="cellIs" dxfId="2456" priority="157" operator="equal">
      <formula>"DM"</formula>
    </cfRule>
    <cfRule type="cellIs" dxfId="2455" priority="158" operator="equal">
      <formula>"PM"</formula>
    </cfRule>
    <cfRule type="cellIs" dxfId="2454" priority="159" operator="equal">
      <formula>"LM"</formula>
    </cfRule>
    <cfRule type="cellIs" dxfId="2453" priority="160" operator="equal">
      <formula>"FM"</formula>
    </cfRule>
  </conditionalFormatting>
  <conditionalFormatting sqref="I25:J25">
    <cfRule type="cellIs" dxfId="2452" priority="154" operator="equal">
      <formula>"No"</formula>
    </cfRule>
    <cfRule type="cellIs" dxfId="2451" priority="155" operator="equal">
      <formula>"Yes"</formula>
    </cfRule>
  </conditionalFormatting>
  <conditionalFormatting sqref="Q25">
    <cfRule type="cellIs" dxfId="2450" priority="153" operator="equal">
      <formula>"Y"</formula>
    </cfRule>
  </conditionalFormatting>
  <conditionalFormatting sqref="I26">
    <cfRule type="cellIs" dxfId="2449" priority="151" operator="equal">
      <formula>"No"</formula>
    </cfRule>
    <cfRule type="cellIs" dxfId="2448" priority="152" operator="equal">
      <formula>"Yes"</formula>
    </cfRule>
  </conditionalFormatting>
  <conditionalFormatting sqref="Q26">
    <cfRule type="cellIs" dxfId="2447" priority="150" operator="equal">
      <formula>"Y"</formula>
    </cfRule>
  </conditionalFormatting>
  <conditionalFormatting sqref="I27">
    <cfRule type="cellIs" dxfId="2446" priority="148" operator="equal">
      <formula>"No"</formula>
    </cfRule>
    <cfRule type="cellIs" dxfId="2445" priority="149" operator="equal">
      <formula>"Yes"</formula>
    </cfRule>
  </conditionalFormatting>
  <conditionalFormatting sqref="Q27">
    <cfRule type="cellIs" dxfId="2444" priority="147" operator="equal">
      <formula>"Y"</formula>
    </cfRule>
  </conditionalFormatting>
  <conditionalFormatting sqref="O28">
    <cfRule type="cellIs" dxfId="2443" priority="142" operator="equal">
      <formula>"NY"</formula>
    </cfRule>
    <cfRule type="cellIs" dxfId="2442" priority="143" operator="equal">
      <formula>"DM"</formula>
    </cfRule>
    <cfRule type="cellIs" dxfId="2441" priority="144" operator="equal">
      <formula>"PM"</formula>
    </cfRule>
    <cfRule type="cellIs" dxfId="2440" priority="145" operator="equal">
      <formula>"LM"</formula>
    </cfRule>
    <cfRule type="cellIs" dxfId="2439" priority="146" operator="equal">
      <formula>"FM"</formula>
    </cfRule>
  </conditionalFormatting>
  <conditionalFormatting sqref="Q28">
    <cfRule type="cellIs" dxfId="2438" priority="141" operator="equal">
      <formula>"Y"</formula>
    </cfRule>
  </conditionalFormatting>
  <conditionalFormatting sqref="O29">
    <cfRule type="cellIs" dxfId="2437" priority="136" operator="equal">
      <formula>"NY"</formula>
    </cfRule>
    <cfRule type="cellIs" dxfId="2436" priority="137" operator="equal">
      <formula>"DM"</formula>
    </cfRule>
    <cfRule type="cellIs" dxfId="2435" priority="138" operator="equal">
      <formula>"PM"</formula>
    </cfRule>
    <cfRule type="cellIs" dxfId="2434" priority="139" operator="equal">
      <formula>"LM"</formula>
    </cfRule>
    <cfRule type="cellIs" dxfId="2433" priority="140" operator="equal">
      <formula>"FM"</formula>
    </cfRule>
  </conditionalFormatting>
  <conditionalFormatting sqref="I29:J29">
    <cfRule type="cellIs" dxfId="2432" priority="134" operator="equal">
      <formula>"No"</formula>
    </cfRule>
    <cfRule type="cellIs" dxfId="2431" priority="135" operator="equal">
      <formula>"Yes"</formula>
    </cfRule>
  </conditionalFormatting>
  <conditionalFormatting sqref="Q29">
    <cfRule type="cellIs" dxfId="2430" priority="133" operator="equal">
      <formula>"Y"</formula>
    </cfRule>
  </conditionalFormatting>
  <conditionalFormatting sqref="I30">
    <cfRule type="cellIs" dxfId="2429" priority="131" operator="equal">
      <formula>"No"</formula>
    </cfRule>
    <cfRule type="cellIs" dxfId="2428" priority="132" operator="equal">
      <formula>"Yes"</formula>
    </cfRule>
  </conditionalFormatting>
  <conditionalFormatting sqref="Q30">
    <cfRule type="cellIs" dxfId="2427" priority="130" operator="equal">
      <formula>"Y"</formula>
    </cfRule>
  </conditionalFormatting>
  <conditionalFormatting sqref="I31">
    <cfRule type="cellIs" dxfId="2426" priority="128" operator="equal">
      <formula>"No"</formula>
    </cfRule>
    <cfRule type="cellIs" dxfId="2425" priority="129" operator="equal">
      <formula>"Yes"</formula>
    </cfRule>
  </conditionalFormatting>
  <conditionalFormatting sqref="Q31">
    <cfRule type="cellIs" dxfId="2424" priority="127" operator="equal">
      <formula>"Y"</formula>
    </cfRule>
  </conditionalFormatting>
  <conditionalFormatting sqref="O32">
    <cfRule type="cellIs" dxfId="2423" priority="122" operator="equal">
      <formula>"NY"</formula>
    </cfRule>
    <cfRule type="cellIs" dxfId="2422" priority="123" operator="equal">
      <formula>"DM"</formula>
    </cfRule>
    <cfRule type="cellIs" dxfId="2421" priority="124" operator="equal">
      <formula>"PM"</formula>
    </cfRule>
    <cfRule type="cellIs" dxfId="2420" priority="125" operator="equal">
      <formula>"LM"</formula>
    </cfRule>
    <cfRule type="cellIs" dxfId="2419" priority="126" operator="equal">
      <formula>"FM"</formula>
    </cfRule>
  </conditionalFormatting>
  <conditionalFormatting sqref="Q32">
    <cfRule type="cellIs" dxfId="2418" priority="121" operator="equal">
      <formula>"Y"</formula>
    </cfRule>
  </conditionalFormatting>
  <conditionalFormatting sqref="O33">
    <cfRule type="cellIs" dxfId="2417" priority="116" operator="equal">
      <formula>"NY"</formula>
    </cfRule>
    <cfRule type="cellIs" dxfId="2416" priority="117" operator="equal">
      <formula>"DM"</formula>
    </cfRule>
    <cfRule type="cellIs" dxfId="2415" priority="118" operator="equal">
      <formula>"PM"</formula>
    </cfRule>
    <cfRule type="cellIs" dxfId="2414" priority="119" operator="equal">
      <formula>"LM"</formula>
    </cfRule>
    <cfRule type="cellIs" dxfId="2413" priority="120" operator="equal">
      <formula>"FM"</formula>
    </cfRule>
  </conditionalFormatting>
  <conditionalFormatting sqref="I33:J33">
    <cfRule type="cellIs" dxfId="2412" priority="114" operator="equal">
      <formula>"No"</formula>
    </cfRule>
    <cfRule type="cellIs" dxfId="2411" priority="115" operator="equal">
      <formula>"Yes"</formula>
    </cfRule>
  </conditionalFormatting>
  <conditionalFormatting sqref="Q33">
    <cfRule type="cellIs" dxfId="2410" priority="113" operator="equal">
      <formula>"Y"</formula>
    </cfRule>
  </conditionalFormatting>
  <conditionalFormatting sqref="I34">
    <cfRule type="cellIs" dxfId="2409" priority="111" operator="equal">
      <formula>"No"</formula>
    </cfRule>
    <cfRule type="cellIs" dxfId="2408" priority="112" operator="equal">
      <formula>"Yes"</formula>
    </cfRule>
  </conditionalFormatting>
  <conditionalFormatting sqref="Q34">
    <cfRule type="cellIs" dxfId="2407" priority="110" operator="equal">
      <formula>"Y"</formula>
    </cfRule>
  </conditionalFormatting>
  <conditionalFormatting sqref="I35">
    <cfRule type="cellIs" dxfId="2406" priority="108" operator="equal">
      <formula>"No"</formula>
    </cfRule>
    <cfRule type="cellIs" dxfId="2405" priority="109" operator="equal">
      <formula>"Yes"</formula>
    </cfRule>
  </conditionalFormatting>
  <conditionalFormatting sqref="Q35">
    <cfRule type="cellIs" dxfId="2404" priority="107" operator="equal">
      <formula>"Y"</formula>
    </cfRule>
  </conditionalFormatting>
  <conditionalFormatting sqref="O36">
    <cfRule type="cellIs" dxfId="2403" priority="102" operator="equal">
      <formula>"NY"</formula>
    </cfRule>
    <cfRule type="cellIs" dxfId="2402" priority="103" operator="equal">
      <formula>"DM"</formula>
    </cfRule>
    <cfRule type="cellIs" dxfId="2401" priority="104" operator="equal">
      <formula>"PM"</formula>
    </cfRule>
    <cfRule type="cellIs" dxfId="2400" priority="105" operator="equal">
      <formula>"LM"</formula>
    </cfRule>
    <cfRule type="cellIs" dxfId="2399" priority="106" operator="equal">
      <formula>"FM"</formula>
    </cfRule>
  </conditionalFormatting>
  <conditionalFormatting sqref="Q36">
    <cfRule type="cellIs" dxfId="2398" priority="101" operator="equal">
      <formula>"Y"</formula>
    </cfRule>
  </conditionalFormatting>
  <conditionalFormatting sqref="O37">
    <cfRule type="cellIs" dxfId="2397" priority="96" operator="equal">
      <formula>"NY"</formula>
    </cfRule>
    <cfRule type="cellIs" dxfId="2396" priority="97" operator="equal">
      <formula>"DM"</formula>
    </cfRule>
    <cfRule type="cellIs" dxfId="2395" priority="98" operator="equal">
      <formula>"PM"</formula>
    </cfRule>
    <cfRule type="cellIs" dxfId="2394" priority="99" operator="equal">
      <formula>"LM"</formula>
    </cfRule>
    <cfRule type="cellIs" dxfId="2393" priority="100" operator="equal">
      <formula>"FM"</formula>
    </cfRule>
  </conditionalFormatting>
  <conditionalFormatting sqref="I37:J37">
    <cfRule type="cellIs" dxfId="2392" priority="94" operator="equal">
      <formula>"No"</formula>
    </cfRule>
    <cfRule type="cellIs" dxfId="2391" priority="95" operator="equal">
      <formula>"Yes"</formula>
    </cfRule>
  </conditionalFormatting>
  <conditionalFormatting sqref="Q37">
    <cfRule type="cellIs" dxfId="2390" priority="93" operator="equal">
      <formula>"Y"</formula>
    </cfRule>
  </conditionalFormatting>
  <conditionalFormatting sqref="I38">
    <cfRule type="cellIs" dxfId="2389" priority="91" operator="equal">
      <formula>"No"</formula>
    </cfRule>
    <cfRule type="cellIs" dxfId="2388" priority="92" operator="equal">
      <formula>"Yes"</formula>
    </cfRule>
  </conditionalFormatting>
  <conditionalFormatting sqref="Q38">
    <cfRule type="cellIs" dxfId="2387" priority="90" operator="equal">
      <formula>"Y"</formula>
    </cfRule>
  </conditionalFormatting>
  <conditionalFormatting sqref="I39">
    <cfRule type="cellIs" dxfId="2386" priority="88" operator="equal">
      <formula>"No"</formula>
    </cfRule>
    <cfRule type="cellIs" dxfId="2385" priority="89" operator="equal">
      <formula>"Yes"</formula>
    </cfRule>
  </conditionalFormatting>
  <conditionalFormatting sqref="Q39">
    <cfRule type="cellIs" dxfId="2384" priority="87" operator="equal">
      <formula>"Y"</formula>
    </cfRule>
  </conditionalFormatting>
  <conditionalFormatting sqref="O40">
    <cfRule type="cellIs" dxfId="2383" priority="82" operator="equal">
      <formula>"NY"</formula>
    </cfRule>
    <cfRule type="cellIs" dxfId="2382" priority="83" operator="equal">
      <formula>"DM"</formula>
    </cfRule>
    <cfRule type="cellIs" dxfId="2381" priority="84" operator="equal">
      <formula>"PM"</formula>
    </cfRule>
    <cfRule type="cellIs" dxfId="2380" priority="85" operator="equal">
      <formula>"LM"</formula>
    </cfRule>
    <cfRule type="cellIs" dxfId="2379" priority="86" operator="equal">
      <formula>"FM"</formula>
    </cfRule>
  </conditionalFormatting>
  <conditionalFormatting sqref="Q40">
    <cfRule type="cellIs" dxfId="2378" priority="81" operator="equal">
      <formula>"Y"</formula>
    </cfRule>
  </conditionalFormatting>
  <conditionalFormatting sqref="O41">
    <cfRule type="cellIs" dxfId="2377" priority="76" operator="equal">
      <formula>"NY"</formula>
    </cfRule>
    <cfRule type="cellIs" dxfId="2376" priority="77" operator="equal">
      <formula>"DM"</formula>
    </cfRule>
    <cfRule type="cellIs" dxfId="2375" priority="78" operator="equal">
      <formula>"PM"</formula>
    </cfRule>
    <cfRule type="cellIs" dxfId="2374" priority="79" operator="equal">
      <formula>"LM"</formula>
    </cfRule>
    <cfRule type="cellIs" dxfId="2373" priority="80" operator="equal">
      <formula>"FM"</formula>
    </cfRule>
  </conditionalFormatting>
  <conditionalFormatting sqref="I41:J41">
    <cfRule type="cellIs" dxfId="2372" priority="74" operator="equal">
      <formula>"No"</formula>
    </cfRule>
    <cfRule type="cellIs" dxfId="2371" priority="75" operator="equal">
      <formula>"Yes"</formula>
    </cfRule>
  </conditionalFormatting>
  <conditionalFormatting sqref="Q41">
    <cfRule type="cellIs" dxfId="2370" priority="73" operator="equal">
      <formula>"Y"</formula>
    </cfRule>
  </conditionalFormatting>
  <conditionalFormatting sqref="I42">
    <cfRule type="cellIs" dxfId="2369" priority="71" operator="equal">
      <formula>"No"</formula>
    </cfRule>
    <cfRule type="cellIs" dxfId="2368" priority="72" operator="equal">
      <formula>"Yes"</formula>
    </cfRule>
  </conditionalFormatting>
  <conditionalFormatting sqref="Q42">
    <cfRule type="cellIs" dxfId="2367" priority="70" operator="equal">
      <formula>"Y"</formula>
    </cfRule>
  </conditionalFormatting>
  <conditionalFormatting sqref="I43">
    <cfRule type="cellIs" dxfId="2366" priority="68" operator="equal">
      <formula>"No"</formula>
    </cfRule>
    <cfRule type="cellIs" dxfId="2365" priority="69" operator="equal">
      <formula>"Yes"</formula>
    </cfRule>
  </conditionalFormatting>
  <conditionalFormatting sqref="Q43">
    <cfRule type="cellIs" dxfId="2364" priority="67" operator="equal">
      <formula>"Y"</formula>
    </cfRule>
  </conditionalFormatting>
  <conditionalFormatting sqref="O44">
    <cfRule type="cellIs" dxfId="2363" priority="65" operator="equal">
      <formula>"U"</formula>
    </cfRule>
    <cfRule type="cellIs" dxfId="2362" priority="66" operator="equal">
      <formula>"S"</formula>
    </cfRule>
  </conditionalFormatting>
  <conditionalFormatting sqref="Q44">
    <cfRule type="cellIs" dxfId="2361" priority="64" operator="equal">
      <formula>"Y"</formula>
    </cfRule>
  </conditionalFormatting>
  <conditionalFormatting sqref="O45">
    <cfRule type="cellIs" dxfId="2360" priority="59" operator="equal">
      <formula>"NY"</formula>
    </cfRule>
    <cfRule type="cellIs" dxfId="2359" priority="60" operator="equal">
      <formula>"DM"</formula>
    </cfRule>
    <cfRule type="cellIs" dxfId="2358" priority="61" operator="equal">
      <formula>"PM"</formula>
    </cfRule>
    <cfRule type="cellIs" dxfId="2357" priority="62" operator="equal">
      <formula>"LM"</formula>
    </cfRule>
    <cfRule type="cellIs" dxfId="2356" priority="63" operator="equal">
      <formula>"FM"</formula>
    </cfRule>
  </conditionalFormatting>
  <conditionalFormatting sqref="Q45">
    <cfRule type="cellIs" dxfId="2355" priority="58" operator="equal">
      <formula>"Y"</formula>
    </cfRule>
  </conditionalFormatting>
  <conditionalFormatting sqref="O46">
    <cfRule type="cellIs" dxfId="2354" priority="53" operator="equal">
      <formula>"NY"</formula>
    </cfRule>
    <cfRule type="cellIs" dxfId="2353" priority="54" operator="equal">
      <formula>"DM"</formula>
    </cfRule>
    <cfRule type="cellIs" dxfId="2352" priority="55" operator="equal">
      <formula>"PM"</formula>
    </cfRule>
    <cfRule type="cellIs" dxfId="2351" priority="56" operator="equal">
      <formula>"LM"</formula>
    </cfRule>
    <cfRule type="cellIs" dxfId="2350" priority="57" operator="equal">
      <formula>"FM"</formula>
    </cfRule>
  </conditionalFormatting>
  <conditionalFormatting sqref="I46:J46">
    <cfRule type="cellIs" dxfId="2349" priority="51" operator="equal">
      <formula>"No"</formula>
    </cfRule>
    <cfRule type="cellIs" dxfId="2348" priority="52" operator="equal">
      <formula>"Yes"</formula>
    </cfRule>
  </conditionalFormatting>
  <conditionalFormatting sqref="Q46">
    <cfRule type="cellIs" dxfId="2347" priority="50" operator="equal">
      <formula>"Y"</formula>
    </cfRule>
  </conditionalFormatting>
  <conditionalFormatting sqref="I47">
    <cfRule type="cellIs" dxfId="2346" priority="48" operator="equal">
      <formula>"No"</formula>
    </cfRule>
    <cfRule type="cellIs" dxfId="2345" priority="49" operator="equal">
      <formula>"Yes"</formula>
    </cfRule>
  </conditionalFormatting>
  <conditionalFormatting sqref="Q47">
    <cfRule type="cellIs" dxfId="2344" priority="47" operator="equal">
      <formula>"Y"</formula>
    </cfRule>
  </conditionalFormatting>
  <conditionalFormatting sqref="I48">
    <cfRule type="cellIs" dxfId="2343" priority="45" operator="equal">
      <formula>"No"</formula>
    </cfRule>
    <cfRule type="cellIs" dxfId="2342" priority="46" operator="equal">
      <formula>"Yes"</formula>
    </cfRule>
  </conditionalFormatting>
  <conditionalFormatting sqref="Q48">
    <cfRule type="cellIs" dxfId="2341" priority="44" operator="equal">
      <formula>"Y"</formula>
    </cfRule>
  </conditionalFormatting>
  <conditionalFormatting sqref="O49">
    <cfRule type="cellIs" dxfId="2340" priority="39" operator="equal">
      <formula>"NY"</formula>
    </cfRule>
    <cfRule type="cellIs" dxfId="2339" priority="40" operator="equal">
      <formula>"DM"</formula>
    </cfRule>
    <cfRule type="cellIs" dxfId="2338" priority="41" operator="equal">
      <formula>"PM"</formula>
    </cfRule>
    <cfRule type="cellIs" dxfId="2337" priority="42" operator="equal">
      <formula>"LM"</formula>
    </cfRule>
    <cfRule type="cellIs" dxfId="2336" priority="43" operator="equal">
      <formula>"FM"</formula>
    </cfRule>
  </conditionalFormatting>
  <conditionalFormatting sqref="Q49">
    <cfRule type="cellIs" dxfId="2335" priority="38" operator="equal">
      <formula>"Y"</formula>
    </cfRule>
  </conditionalFormatting>
  <conditionalFormatting sqref="O50">
    <cfRule type="cellIs" dxfId="2334" priority="33" operator="equal">
      <formula>"NY"</formula>
    </cfRule>
    <cfRule type="cellIs" dxfId="2333" priority="34" operator="equal">
      <formula>"DM"</formula>
    </cfRule>
    <cfRule type="cellIs" dxfId="2332" priority="35" operator="equal">
      <formula>"PM"</formula>
    </cfRule>
    <cfRule type="cellIs" dxfId="2331" priority="36" operator="equal">
      <formula>"LM"</formula>
    </cfRule>
    <cfRule type="cellIs" dxfId="2330" priority="37" operator="equal">
      <formula>"FM"</formula>
    </cfRule>
  </conditionalFormatting>
  <conditionalFormatting sqref="I50:J50">
    <cfRule type="cellIs" dxfId="2329" priority="31" operator="equal">
      <formula>"No"</formula>
    </cfRule>
    <cfRule type="cellIs" dxfId="2328" priority="32" operator="equal">
      <formula>"Yes"</formula>
    </cfRule>
  </conditionalFormatting>
  <conditionalFormatting sqref="Q50">
    <cfRule type="cellIs" dxfId="2327" priority="30" operator="equal">
      <formula>"Y"</formula>
    </cfRule>
  </conditionalFormatting>
  <conditionalFormatting sqref="I51">
    <cfRule type="cellIs" dxfId="2326" priority="28" operator="equal">
      <formula>"No"</formula>
    </cfRule>
    <cfRule type="cellIs" dxfId="2325" priority="29" operator="equal">
      <formula>"Yes"</formula>
    </cfRule>
  </conditionalFormatting>
  <conditionalFormatting sqref="Q51">
    <cfRule type="cellIs" dxfId="2324" priority="27" operator="equal">
      <formula>"Y"</formula>
    </cfRule>
  </conditionalFormatting>
  <conditionalFormatting sqref="I52">
    <cfRule type="cellIs" dxfId="2323" priority="25" operator="equal">
      <formula>"No"</formula>
    </cfRule>
    <cfRule type="cellIs" dxfId="2322" priority="26" operator="equal">
      <formula>"Yes"</formula>
    </cfRule>
  </conditionalFormatting>
  <conditionalFormatting sqref="Q52">
    <cfRule type="cellIs" dxfId="2321" priority="24" operator="equal">
      <formula>"Y"</formula>
    </cfRule>
  </conditionalFormatting>
  <conditionalFormatting sqref="O53">
    <cfRule type="cellIs" dxfId="2320" priority="22" operator="equal">
      <formula>"U"</formula>
    </cfRule>
    <cfRule type="cellIs" dxfId="2319" priority="23" operator="equal">
      <formula>"S"</formula>
    </cfRule>
  </conditionalFormatting>
  <conditionalFormatting sqref="Q53">
    <cfRule type="cellIs" dxfId="2318" priority="21" operator="equal">
      <formula>"Y"</formula>
    </cfRule>
  </conditionalFormatting>
  <conditionalFormatting sqref="O54">
    <cfRule type="cellIs" dxfId="2317" priority="16" operator="equal">
      <formula>"NY"</formula>
    </cfRule>
    <cfRule type="cellIs" dxfId="2316" priority="17" operator="equal">
      <formula>"DM"</formula>
    </cfRule>
    <cfRule type="cellIs" dxfId="2315" priority="18" operator="equal">
      <formula>"PM"</formula>
    </cfRule>
    <cfRule type="cellIs" dxfId="2314" priority="19" operator="equal">
      <formula>"LM"</formula>
    </cfRule>
    <cfRule type="cellIs" dxfId="2313" priority="20" operator="equal">
      <formula>"FM"</formula>
    </cfRule>
  </conditionalFormatting>
  <conditionalFormatting sqref="Q54">
    <cfRule type="cellIs" dxfId="2312" priority="15" operator="equal">
      <formula>"Y"</formula>
    </cfRule>
  </conditionalFormatting>
  <conditionalFormatting sqref="O55">
    <cfRule type="cellIs" dxfId="2311" priority="10" operator="equal">
      <formula>"NY"</formula>
    </cfRule>
    <cfRule type="cellIs" dxfId="2310" priority="11" operator="equal">
      <formula>"DM"</formula>
    </cfRule>
    <cfRule type="cellIs" dxfId="2309" priority="12" operator="equal">
      <formula>"PM"</formula>
    </cfRule>
    <cfRule type="cellIs" dxfId="2308" priority="13" operator="equal">
      <formula>"LM"</formula>
    </cfRule>
    <cfRule type="cellIs" dxfId="2307" priority="14" operator="equal">
      <formula>"FM"</formula>
    </cfRule>
  </conditionalFormatting>
  <conditionalFormatting sqref="I55:J55">
    <cfRule type="cellIs" dxfId="2306" priority="8" operator="equal">
      <formula>"No"</formula>
    </cfRule>
    <cfRule type="cellIs" dxfId="2305" priority="9" operator="equal">
      <formula>"Yes"</formula>
    </cfRule>
  </conditionalFormatting>
  <conditionalFormatting sqref="Q55">
    <cfRule type="cellIs" dxfId="2304" priority="7" operator="equal">
      <formula>"Y"</formula>
    </cfRule>
  </conditionalFormatting>
  <conditionalFormatting sqref="I56">
    <cfRule type="cellIs" dxfId="2303" priority="5" operator="equal">
      <formula>"No"</formula>
    </cfRule>
    <cfRule type="cellIs" dxfId="2302" priority="6" operator="equal">
      <formula>"Yes"</formula>
    </cfRule>
  </conditionalFormatting>
  <conditionalFormatting sqref="Q56">
    <cfRule type="cellIs" dxfId="2301" priority="4" operator="equal">
      <formula>"Y"</formula>
    </cfRule>
  </conditionalFormatting>
  <conditionalFormatting sqref="I57">
    <cfRule type="cellIs" dxfId="2300" priority="2" operator="equal">
      <formula>"No"</formula>
    </cfRule>
    <cfRule type="cellIs" dxfId="2299" priority="3" operator="equal">
      <formula>"Yes"</formula>
    </cfRule>
  </conditionalFormatting>
  <conditionalFormatting sqref="Q57">
    <cfRule type="cellIs" dxfId="2298" priority="1" operator="equal">
      <formula>"Y"</formula>
    </cfRule>
  </conditionalFormatting>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79308-DC11-4C60-9B5E-5EF89677C3DA}">
  <sheetPr codeName="Sheet48"/>
  <dimension ref="A1:Q38"/>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1420</v>
      </c>
    </row>
    <row r="2" spans="1:17" s="61" customFormat="1" ht="21">
      <c r="A2" s="60" t="s">
        <v>1421</v>
      </c>
    </row>
    <row r="3" spans="1:17">
      <c r="A3" s="62" t="s">
        <v>1707</v>
      </c>
      <c r="B3" s="63" t="s">
        <v>1051</v>
      </c>
    </row>
    <row r="4" spans="1:17">
      <c r="A4" s="63" t="s">
        <v>1401</v>
      </c>
      <c r="B4" s="63" t="s">
        <v>1422</v>
      </c>
    </row>
    <row r="5" spans="1:17">
      <c r="A5" s="62" t="s">
        <v>1709</v>
      </c>
      <c r="B5" s="63" t="s">
        <v>1052</v>
      </c>
    </row>
    <row r="6" spans="1:17">
      <c r="A6" s="63" t="s">
        <v>1402</v>
      </c>
      <c r="B6" s="63" t="s">
        <v>1423</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1053</v>
      </c>
      <c r="C10" s="322" t="s">
        <v>1424</v>
      </c>
      <c r="D10" s="322"/>
      <c r="E10" s="322"/>
      <c r="F10" s="322"/>
      <c r="G10" s="322"/>
      <c r="H10" s="322"/>
      <c r="I10" s="20" t="s">
        <v>2195</v>
      </c>
      <c r="J10" s="20" t="s">
        <v>2196</v>
      </c>
      <c r="K10" s="11" t="s">
        <v>2197</v>
      </c>
      <c r="L10" s="11"/>
      <c r="M10" s="11"/>
      <c r="N10" s="11"/>
      <c r="O10" s="9"/>
      <c r="P10" s="10"/>
      <c r="Q10" s="9"/>
    </row>
    <row r="11" spans="1:17" s="58" customFormat="1" ht="13.8">
      <c r="A11" s="54" t="s">
        <v>1391</v>
      </c>
      <c r="B11" s="19" t="s">
        <v>1053</v>
      </c>
      <c r="C11" s="326" t="s">
        <v>2198</v>
      </c>
      <c r="D11" s="327"/>
      <c r="E11" s="327"/>
      <c r="F11" s="327"/>
      <c r="G11" s="328"/>
      <c r="H11" s="4" t="s">
        <v>2199</v>
      </c>
      <c r="I11" s="9"/>
      <c r="J11" s="9"/>
      <c r="K11" s="9"/>
      <c r="L11" s="9"/>
      <c r="M11" s="9"/>
      <c r="N11" s="9"/>
      <c r="O11" s="9"/>
      <c r="P11" s="9"/>
      <c r="Q11" s="9"/>
    </row>
    <row r="12" spans="1:17" s="58" customFormat="1" ht="13.8">
      <c r="A12" s="5" t="s">
        <v>1394</v>
      </c>
      <c r="B12" s="5" t="s">
        <v>2198</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2198</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1054</v>
      </c>
      <c r="C15" s="322" t="s">
        <v>2200</v>
      </c>
      <c r="D15" s="322"/>
      <c r="E15" s="322"/>
      <c r="F15" s="322"/>
      <c r="G15" s="322"/>
      <c r="H15" s="322"/>
      <c r="I15" s="20" t="s">
        <v>2201</v>
      </c>
      <c r="J15" s="20" t="s">
        <v>2202</v>
      </c>
      <c r="K15" s="11" t="s">
        <v>2203</v>
      </c>
      <c r="L15" s="11"/>
      <c r="M15" s="11"/>
      <c r="N15" s="11"/>
      <c r="O15" s="9"/>
      <c r="P15" s="10"/>
      <c r="Q15" s="9"/>
    </row>
    <row r="16" spans="1:17" s="58" customFormat="1" ht="13.8">
      <c r="A16" s="54" t="s">
        <v>1391</v>
      </c>
      <c r="B16" s="19" t="s">
        <v>1054</v>
      </c>
      <c r="C16" s="326" t="s">
        <v>2198</v>
      </c>
      <c r="D16" s="327"/>
      <c r="E16" s="327"/>
      <c r="F16" s="327"/>
      <c r="G16" s="328"/>
      <c r="H16" s="4" t="s">
        <v>2199</v>
      </c>
      <c r="I16" s="9"/>
      <c r="J16" s="9"/>
      <c r="K16" s="9"/>
      <c r="L16" s="9"/>
      <c r="M16" s="9"/>
      <c r="N16" s="9"/>
      <c r="O16" s="9"/>
      <c r="P16" s="9"/>
      <c r="Q16" s="9"/>
    </row>
    <row r="17" spans="1:17" s="58" customFormat="1" ht="13.8">
      <c r="A17" s="5" t="s">
        <v>1394</v>
      </c>
      <c r="B17" s="5" t="s">
        <v>2198</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2198</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1055</v>
      </c>
      <c r="C19" s="322" t="s">
        <v>2204</v>
      </c>
      <c r="D19" s="322"/>
      <c r="E19" s="322"/>
      <c r="F19" s="322"/>
      <c r="G19" s="322"/>
      <c r="H19" s="322"/>
      <c r="I19" s="20" t="s">
        <v>2205</v>
      </c>
      <c r="J19" s="20" t="s">
        <v>2206</v>
      </c>
      <c r="K19" s="11" t="s">
        <v>2207</v>
      </c>
      <c r="L19" s="11"/>
      <c r="M19" s="11"/>
      <c r="N19" s="11"/>
      <c r="O19" s="9"/>
      <c r="P19" s="10"/>
      <c r="Q19" s="9"/>
    </row>
    <row r="20" spans="1:17" s="58" customFormat="1" ht="13.8">
      <c r="A20" s="54" t="s">
        <v>1391</v>
      </c>
      <c r="B20" s="19" t="s">
        <v>1055</v>
      </c>
      <c r="C20" s="326" t="s">
        <v>2198</v>
      </c>
      <c r="D20" s="327"/>
      <c r="E20" s="327"/>
      <c r="F20" s="327"/>
      <c r="G20" s="328"/>
      <c r="H20" s="4" t="s">
        <v>2199</v>
      </c>
      <c r="I20" s="9"/>
      <c r="J20" s="9"/>
      <c r="K20" s="9"/>
      <c r="L20" s="9"/>
      <c r="M20" s="9"/>
      <c r="N20" s="9"/>
      <c r="O20" s="9"/>
      <c r="P20" s="9"/>
      <c r="Q20" s="9"/>
    </row>
    <row r="21" spans="1:17" s="58" customFormat="1" ht="13.8">
      <c r="A21" s="5" t="s">
        <v>1394</v>
      </c>
      <c r="B21" s="5" t="s">
        <v>2198</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2198</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1056</v>
      </c>
      <c r="C23" s="322" t="s">
        <v>1425</v>
      </c>
      <c r="D23" s="322"/>
      <c r="E23" s="322"/>
      <c r="F23" s="322"/>
      <c r="G23" s="322"/>
      <c r="H23" s="322"/>
      <c r="I23" s="20" t="s">
        <v>2208</v>
      </c>
      <c r="J23" s="20" t="s">
        <v>2209</v>
      </c>
      <c r="K23" s="11" t="s">
        <v>2210</v>
      </c>
      <c r="L23" s="11"/>
      <c r="M23" s="11"/>
      <c r="N23" s="11"/>
      <c r="O23" s="9"/>
      <c r="P23" s="10"/>
      <c r="Q23" s="9"/>
    </row>
    <row r="24" spans="1:17" s="58" customFormat="1" ht="13.8">
      <c r="A24" s="54" t="s">
        <v>1391</v>
      </c>
      <c r="B24" s="19" t="s">
        <v>1056</v>
      </c>
      <c r="C24" s="326" t="s">
        <v>2198</v>
      </c>
      <c r="D24" s="327"/>
      <c r="E24" s="327"/>
      <c r="F24" s="327"/>
      <c r="G24" s="328"/>
      <c r="H24" s="4" t="s">
        <v>2199</v>
      </c>
      <c r="I24" s="9"/>
      <c r="J24" s="9"/>
      <c r="K24" s="9"/>
      <c r="L24" s="9"/>
      <c r="M24" s="9"/>
      <c r="N24" s="9"/>
      <c r="O24" s="9"/>
      <c r="P24" s="9"/>
      <c r="Q24" s="9"/>
    </row>
    <row r="25" spans="1:17" s="58" customFormat="1" ht="13.8">
      <c r="A25" s="5" t="s">
        <v>1394</v>
      </c>
      <c r="B25" s="5" t="s">
        <v>2198</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2198</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1057</v>
      </c>
      <c r="C27" s="322" t="s">
        <v>1426</v>
      </c>
      <c r="D27" s="322"/>
      <c r="E27" s="322"/>
      <c r="F27" s="322"/>
      <c r="G27" s="322"/>
      <c r="H27" s="322"/>
      <c r="I27" s="20" t="s">
        <v>2211</v>
      </c>
      <c r="J27" s="20" t="s">
        <v>2212</v>
      </c>
      <c r="K27" s="11" t="s">
        <v>2213</v>
      </c>
      <c r="L27" s="11"/>
      <c r="M27" s="11"/>
      <c r="N27" s="11"/>
      <c r="O27" s="9"/>
      <c r="P27" s="10"/>
      <c r="Q27" s="9"/>
    </row>
    <row r="28" spans="1:17" s="58" customFormat="1" ht="13.8">
      <c r="A28" s="54" t="s">
        <v>1391</v>
      </c>
      <c r="B28" s="19" t="s">
        <v>1057</v>
      </c>
      <c r="C28" s="326" t="s">
        <v>2198</v>
      </c>
      <c r="D28" s="327"/>
      <c r="E28" s="327"/>
      <c r="F28" s="327"/>
      <c r="G28" s="328"/>
      <c r="H28" s="4" t="s">
        <v>2199</v>
      </c>
      <c r="I28" s="9"/>
      <c r="J28" s="9"/>
      <c r="K28" s="9"/>
      <c r="L28" s="9"/>
      <c r="M28" s="9"/>
      <c r="N28" s="9"/>
      <c r="O28" s="9"/>
      <c r="P28" s="9"/>
      <c r="Q28" s="9"/>
    </row>
    <row r="29" spans="1:17" s="58" customFormat="1" ht="13.8">
      <c r="A29" s="5" t="s">
        <v>1394</v>
      </c>
      <c r="B29" s="5" t="s">
        <v>2198</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2198</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1058</v>
      </c>
      <c r="C31" s="322" t="s">
        <v>1427</v>
      </c>
      <c r="D31" s="322"/>
      <c r="E31" s="322"/>
      <c r="F31" s="322"/>
      <c r="G31" s="322"/>
      <c r="H31" s="322"/>
      <c r="I31" s="20" t="s">
        <v>2214</v>
      </c>
      <c r="J31" s="20" t="s">
        <v>2215</v>
      </c>
      <c r="K31" s="11" t="s">
        <v>2216</v>
      </c>
      <c r="L31" s="11"/>
      <c r="M31" s="11"/>
      <c r="N31" s="11"/>
      <c r="O31" s="9"/>
      <c r="P31" s="10"/>
      <c r="Q31" s="9"/>
    </row>
    <row r="32" spans="1:17" s="58" customFormat="1" ht="13.8">
      <c r="A32" s="54" t="s">
        <v>1391</v>
      </c>
      <c r="B32" s="19" t="s">
        <v>1058</v>
      </c>
      <c r="C32" s="326" t="s">
        <v>2198</v>
      </c>
      <c r="D32" s="327"/>
      <c r="E32" s="327"/>
      <c r="F32" s="327"/>
      <c r="G32" s="328"/>
      <c r="H32" s="4" t="s">
        <v>2199</v>
      </c>
      <c r="I32" s="9"/>
      <c r="J32" s="9"/>
      <c r="K32" s="9"/>
      <c r="L32" s="9"/>
      <c r="M32" s="9"/>
      <c r="N32" s="9"/>
      <c r="O32" s="9"/>
      <c r="P32" s="9"/>
      <c r="Q32" s="9"/>
    </row>
    <row r="33" spans="1:17" s="58" customFormat="1" ht="13.8">
      <c r="A33" s="5" t="s">
        <v>1394</v>
      </c>
      <c r="B33" s="5" t="s">
        <v>2198</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2198</v>
      </c>
      <c r="C34" s="59" t="s">
        <v>1395</v>
      </c>
      <c r="D34" s="6" t="s">
        <v>97</v>
      </c>
      <c r="E34" s="6" t="s">
        <v>98</v>
      </c>
      <c r="F34" s="6" t="s">
        <v>1396</v>
      </c>
      <c r="G34" s="6" t="s">
        <v>1397</v>
      </c>
      <c r="H34" s="7"/>
      <c r="I34" s="9"/>
      <c r="J34" s="7"/>
      <c r="K34" s="12"/>
      <c r="L34" s="6"/>
      <c r="M34" s="6"/>
      <c r="N34" s="12"/>
      <c r="O34" s="7"/>
      <c r="P34" s="9"/>
      <c r="Q34" s="9"/>
    </row>
    <row r="35" spans="1:17" s="57" customFormat="1" ht="51.6" customHeight="1">
      <c r="A35" s="56" t="s">
        <v>1386</v>
      </c>
      <c r="B35" s="3" t="s">
        <v>1059</v>
      </c>
      <c r="C35" s="322" t="s">
        <v>2217</v>
      </c>
      <c r="D35" s="322"/>
      <c r="E35" s="322"/>
      <c r="F35" s="322"/>
      <c r="G35" s="322"/>
      <c r="H35" s="322"/>
      <c r="I35" s="20" t="s">
        <v>2218</v>
      </c>
      <c r="J35" s="20" t="s">
        <v>2219</v>
      </c>
      <c r="K35" s="11" t="s">
        <v>2220</v>
      </c>
      <c r="L35" s="11"/>
      <c r="M35" s="11"/>
      <c r="N35" s="11"/>
      <c r="O35" s="9"/>
      <c r="P35" s="10"/>
      <c r="Q35" s="9"/>
    </row>
    <row r="36" spans="1:17" s="58" customFormat="1" ht="13.8">
      <c r="A36" s="54" t="s">
        <v>1391</v>
      </c>
      <c r="B36" s="19" t="s">
        <v>1059</v>
      </c>
      <c r="C36" s="326" t="s">
        <v>2198</v>
      </c>
      <c r="D36" s="327"/>
      <c r="E36" s="327"/>
      <c r="F36" s="327"/>
      <c r="G36" s="328"/>
      <c r="H36" s="4" t="s">
        <v>2199</v>
      </c>
      <c r="I36" s="9"/>
      <c r="J36" s="9"/>
      <c r="K36" s="9"/>
      <c r="L36" s="9"/>
      <c r="M36" s="9"/>
      <c r="N36" s="9"/>
      <c r="O36" s="9"/>
      <c r="P36" s="9"/>
      <c r="Q36" s="9"/>
    </row>
    <row r="37" spans="1:17" s="58" customFormat="1" ht="13.8">
      <c r="A37" s="5" t="s">
        <v>1394</v>
      </c>
      <c r="B37" s="5" t="s">
        <v>2198</v>
      </c>
      <c r="C37" s="59" t="s">
        <v>1395</v>
      </c>
      <c r="D37" s="6" t="s">
        <v>97</v>
      </c>
      <c r="E37" s="6" t="s">
        <v>98</v>
      </c>
      <c r="F37" s="6" t="s">
        <v>1396</v>
      </c>
      <c r="G37" s="6" t="s">
        <v>1397</v>
      </c>
      <c r="H37" s="7"/>
      <c r="I37" s="9"/>
      <c r="J37" s="7"/>
      <c r="K37" s="12"/>
      <c r="L37" s="6"/>
      <c r="M37" s="6"/>
      <c r="N37" s="12"/>
      <c r="O37" s="7"/>
      <c r="P37" s="9"/>
      <c r="Q37" s="9"/>
    </row>
    <row r="38" spans="1:17" s="58" customFormat="1" ht="13.8">
      <c r="A38" s="5" t="s">
        <v>1394</v>
      </c>
      <c r="B38" s="5" t="s">
        <v>2198</v>
      </c>
      <c r="C38" s="59" t="s">
        <v>1395</v>
      </c>
      <c r="D38" s="6" t="s">
        <v>97</v>
      </c>
      <c r="E38" s="6" t="s">
        <v>98</v>
      </c>
      <c r="F38" s="6" t="s">
        <v>1396</v>
      </c>
      <c r="G38" s="6" t="s">
        <v>1397</v>
      </c>
      <c r="H38" s="7"/>
      <c r="I38" s="9"/>
      <c r="J38" s="7"/>
      <c r="K38" s="12"/>
      <c r="L38" s="6"/>
      <c r="M38" s="6"/>
      <c r="N38" s="12"/>
      <c r="O38" s="7"/>
      <c r="P38" s="9"/>
      <c r="Q38" s="9"/>
    </row>
  </sheetData>
  <mergeCells count="14">
    <mergeCell ref="C20:G20"/>
    <mergeCell ref="C10:H10"/>
    <mergeCell ref="C11:G11"/>
    <mergeCell ref="C15:H15"/>
    <mergeCell ref="C16:G16"/>
    <mergeCell ref="C19:H19"/>
    <mergeCell ref="C35:H35"/>
    <mergeCell ref="C36:G36"/>
    <mergeCell ref="C23:H23"/>
    <mergeCell ref="C24:G24"/>
    <mergeCell ref="C27:H27"/>
    <mergeCell ref="C28:G28"/>
    <mergeCell ref="C31:H31"/>
    <mergeCell ref="C32:G32"/>
  </mergeCells>
  <conditionalFormatting sqref="O9">
    <cfRule type="cellIs" dxfId="2297" priority="145" operator="equal">
      <formula>"U"</formula>
    </cfRule>
    <cfRule type="cellIs" dxfId="2296" priority="146" operator="equal">
      <formula>"S"</formula>
    </cfRule>
  </conditionalFormatting>
  <conditionalFormatting sqref="Q9">
    <cfRule type="cellIs" dxfId="2295" priority="144" operator="equal">
      <formula>"Y"</formula>
    </cfRule>
  </conditionalFormatting>
  <conditionalFormatting sqref="O10">
    <cfRule type="cellIs" dxfId="2294" priority="139" operator="equal">
      <formula>"NY"</formula>
    </cfRule>
    <cfRule type="cellIs" dxfId="2293" priority="140" operator="equal">
      <formula>"DM"</formula>
    </cfRule>
    <cfRule type="cellIs" dxfId="2292" priority="141" operator="equal">
      <formula>"PM"</formula>
    </cfRule>
    <cfRule type="cellIs" dxfId="2291" priority="142" operator="equal">
      <formula>"LM"</formula>
    </cfRule>
    <cfRule type="cellIs" dxfId="2290" priority="143" operator="equal">
      <formula>"FM"</formula>
    </cfRule>
  </conditionalFormatting>
  <conditionalFormatting sqref="Q10">
    <cfRule type="cellIs" dxfId="2289" priority="138" operator="equal">
      <formula>"Y"</formula>
    </cfRule>
  </conditionalFormatting>
  <conditionalFormatting sqref="O11">
    <cfRule type="cellIs" dxfId="2288" priority="133" operator="equal">
      <formula>"NY"</formula>
    </cfRule>
    <cfRule type="cellIs" dxfId="2287" priority="134" operator="equal">
      <formula>"DM"</formula>
    </cfRule>
    <cfRule type="cellIs" dxfId="2286" priority="135" operator="equal">
      <formula>"PM"</formula>
    </cfRule>
    <cfRule type="cellIs" dxfId="2285" priority="136" operator="equal">
      <formula>"LM"</formula>
    </cfRule>
    <cfRule type="cellIs" dxfId="2284" priority="137" operator="equal">
      <formula>"FM"</formula>
    </cfRule>
  </conditionalFormatting>
  <conditionalFormatting sqref="I11:J11">
    <cfRule type="cellIs" dxfId="2283" priority="131" operator="equal">
      <formula>"No"</formula>
    </cfRule>
    <cfRule type="cellIs" dxfId="2282" priority="132" operator="equal">
      <formula>"Yes"</formula>
    </cfRule>
  </conditionalFormatting>
  <conditionalFormatting sqref="Q11">
    <cfRule type="cellIs" dxfId="2281" priority="130" operator="equal">
      <formula>"Y"</formula>
    </cfRule>
  </conditionalFormatting>
  <conditionalFormatting sqref="I12">
    <cfRule type="cellIs" dxfId="2280" priority="128" operator="equal">
      <formula>"No"</formula>
    </cfRule>
    <cfRule type="cellIs" dxfId="2279" priority="129" operator="equal">
      <formula>"Yes"</formula>
    </cfRule>
  </conditionalFormatting>
  <conditionalFormatting sqref="Q12">
    <cfRule type="cellIs" dxfId="2278" priority="127" operator="equal">
      <formula>"Y"</formula>
    </cfRule>
  </conditionalFormatting>
  <conditionalFormatting sqref="I13">
    <cfRule type="cellIs" dxfId="2277" priority="125" operator="equal">
      <formula>"No"</formula>
    </cfRule>
    <cfRule type="cellIs" dxfId="2276" priority="126" operator="equal">
      <formula>"Yes"</formula>
    </cfRule>
  </conditionalFormatting>
  <conditionalFormatting sqref="Q13">
    <cfRule type="cellIs" dxfId="2275" priority="124" operator="equal">
      <formula>"Y"</formula>
    </cfRule>
  </conditionalFormatting>
  <conditionalFormatting sqref="O14">
    <cfRule type="cellIs" dxfId="2274" priority="122" operator="equal">
      <formula>"U"</formula>
    </cfRule>
    <cfRule type="cellIs" dxfId="2273" priority="123" operator="equal">
      <formula>"S"</formula>
    </cfRule>
  </conditionalFormatting>
  <conditionalFormatting sqref="Q14">
    <cfRule type="cellIs" dxfId="2272" priority="121" operator="equal">
      <formula>"Y"</formula>
    </cfRule>
  </conditionalFormatting>
  <conditionalFormatting sqref="O15">
    <cfRule type="cellIs" dxfId="2271" priority="116" operator="equal">
      <formula>"NY"</formula>
    </cfRule>
    <cfRule type="cellIs" dxfId="2270" priority="117" operator="equal">
      <formula>"DM"</formula>
    </cfRule>
    <cfRule type="cellIs" dxfId="2269" priority="118" operator="equal">
      <formula>"PM"</formula>
    </cfRule>
    <cfRule type="cellIs" dxfId="2268" priority="119" operator="equal">
      <formula>"LM"</formula>
    </cfRule>
    <cfRule type="cellIs" dxfId="2267" priority="120" operator="equal">
      <formula>"FM"</formula>
    </cfRule>
  </conditionalFormatting>
  <conditionalFormatting sqref="Q15">
    <cfRule type="cellIs" dxfId="2266" priority="115" operator="equal">
      <formula>"Y"</formula>
    </cfRule>
  </conditionalFormatting>
  <conditionalFormatting sqref="O16">
    <cfRule type="cellIs" dxfId="2265" priority="110" operator="equal">
      <formula>"NY"</formula>
    </cfRule>
    <cfRule type="cellIs" dxfId="2264" priority="111" operator="equal">
      <formula>"DM"</formula>
    </cfRule>
    <cfRule type="cellIs" dxfId="2263" priority="112" operator="equal">
      <formula>"PM"</formula>
    </cfRule>
    <cfRule type="cellIs" dxfId="2262" priority="113" operator="equal">
      <formula>"LM"</formula>
    </cfRule>
    <cfRule type="cellIs" dxfId="2261" priority="114" operator="equal">
      <formula>"FM"</formula>
    </cfRule>
  </conditionalFormatting>
  <conditionalFormatting sqref="I16:J16">
    <cfRule type="cellIs" dxfId="2260" priority="108" operator="equal">
      <formula>"No"</formula>
    </cfRule>
    <cfRule type="cellIs" dxfId="2259" priority="109" operator="equal">
      <formula>"Yes"</formula>
    </cfRule>
  </conditionalFormatting>
  <conditionalFormatting sqref="Q16">
    <cfRule type="cellIs" dxfId="2258" priority="107" operator="equal">
      <formula>"Y"</formula>
    </cfRule>
  </conditionalFormatting>
  <conditionalFormatting sqref="I17">
    <cfRule type="cellIs" dxfId="2257" priority="105" operator="equal">
      <formula>"No"</formula>
    </cfRule>
    <cfRule type="cellIs" dxfId="2256" priority="106" operator="equal">
      <formula>"Yes"</formula>
    </cfRule>
  </conditionalFormatting>
  <conditionalFormatting sqref="Q17">
    <cfRule type="cellIs" dxfId="2255" priority="104" operator="equal">
      <formula>"Y"</formula>
    </cfRule>
  </conditionalFormatting>
  <conditionalFormatting sqref="I18">
    <cfRule type="cellIs" dxfId="2254" priority="102" operator="equal">
      <formula>"No"</formula>
    </cfRule>
    <cfRule type="cellIs" dxfId="2253" priority="103" operator="equal">
      <formula>"Yes"</formula>
    </cfRule>
  </conditionalFormatting>
  <conditionalFormatting sqref="Q18">
    <cfRule type="cellIs" dxfId="2252" priority="101" operator="equal">
      <formula>"Y"</formula>
    </cfRule>
  </conditionalFormatting>
  <conditionalFormatting sqref="O19">
    <cfRule type="cellIs" dxfId="2251" priority="96" operator="equal">
      <formula>"NY"</formula>
    </cfRule>
    <cfRule type="cellIs" dxfId="2250" priority="97" operator="equal">
      <formula>"DM"</formula>
    </cfRule>
    <cfRule type="cellIs" dxfId="2249" priority="98" operator="equal">
      <formula>"PM"</formula>
    </cfRule>
    <cfRule type="cellIs" dxfId="2248" priority="99" operator="equal">
      <formula>"LM"</formula>
    </cfRule>
    <cfRule type="cellIs" dxfId="2247" priority="100" operator="equal">
      <formula>"FM"</formula>
    </cfRule>
  </conditionalFormatting>
  <conditionalFormatting sqref="Q19">
    <cfRule type="cellIs" dxfId="2246" priority="95" operator="equal">
      <formula>"Y"</formula>
    </cfRule>
  </conditionalFormatting>
  <conditionalFormatting sqref="O20">
    <cfRule type="cellIs" dxfId="2245" priority="90" operator="equal">
      <formula>"NY"</formula>
    </cfRule>
    <cfRule type="cellIs" dxfId="2244" priority="91" operator="equal">
      <formula>"DM"</formula>
    </cfRule>
    <cfRule type="cellIs" dxfId="2243" priority="92" operator="equal">
      <formula>"PM"</formula>
    </cfRule>
    <cfRule type="cellIs" dxfId="2242" priority="93" operator="equal">
      <formula>"LM"</formula>
    </cfRule>
    <cfRule type="cellIs" dxfId="2241" priority="94" operator="equal">
      <formula>"FM"</formula>
    </cfRule>
  </conditionalFormatting>
  <conditionalFormatting sqref="I20:J20">
    <cfRule type="cellIs" dxfId="2240" priority="88" operator="equal">
      <formula>"No"</formula>
    </cfRule>
    <cfRule type="cellIs" dxfId="2239" priority="89" operator="equal">
      <formula>"Yes"</formula>
    </cfRule>
  </conditionalFormatting>
  <conditionalFormatting sqref="Q20">
    <cfRule type="cellIs" dxfId="2238" priority="87" operator="equal">
      <formula>"Y"</formula>
    </cfRule>
  </conditionalFormatting>
  <conditionalFormatting sqref="I21">
    <cfRule type="cellIs" dxfId="2237" priority="85" operator="equal">
      <formula>"No"</formula>
    </cfRule>
    <cfRule type="cellIs" dxfId="2236" priority="86" operator="equal">
      <formula>"Yes"</formula>
    </cfRule>
  </conditionalFormatting>
  <conditionalFormatting sqref="Q21">
    <cfRule type="cellIs" dxfId="2235" priority="84" operator="equal">
      <formula>"Y"</formula>
    </cfRule>
  </conditionalFormatting>
  <conditionalFormatting sqref="I22">
    <cfRule type="cellIs" dxfId="2234" priority="82" operator="equal">
      <formula>"No"</formula>
    </cfRule>
    <cfRule type="cellIs" dxfId="2233" priority="83" operator="equal">
      <formula>"Yes"</formula>
    </cfRule>
  </conditionalFormatting>
  <conditionalFormatting sqref="Q22">
    <cfRule type="cellIs" dxfId="2232" priority="81" operator="equal">
      <formula>"Y"</formula>
    </cfRule>
  </conditionalFormatting>
  <conditionalFormatting sqref="O23">
    <cfRule type="cellIs" dxfId="2231" priority="76" operator="equal">
      <formula>"NY"</formula>
    </cfRule>
    <cfRule type="cellIs" dxfId="2230" priority="77" operator="equal">
      <formula>"DM"</formula>
    </cfRule>
    <cfRule type="cellIs" dxfId="2229" priority="78" operator="equal">
      <formula>"PM"</formula>
    </cfRule>
    <cfRule type="cellIs" dxfId="2228" priority="79" operator="equal">
      <formula>"LM"</formula>
    </cfRule>
    <cfRule type="cellIs" dxfId="2227" priority="80" operator="equal">
      <formula>"FM"</formula>
    </cfRule>
  </conditionalFormatting>
  <conditionalFormatting sqref="Q23">
    <cfRule type="cellIs" dxfId="2226" priority="75" operator="equal">
      <formula>"Y"</formula>
    </cfRule>
  </conditionalFormatting>
  <conditionalFormatting sqref="O24">
    <cfRule type="cellIs" dxfId="2225" priority="70" operator="equal">
      <formula>"NY"</formula>
    </cfRule>
    <cfRule type="cellIs" dxfId="2224" priority="71" operator="equal">
      <formula>"DM"</formula>
    </cfRule>
    <cfRule type="cellIs" dxfId="2223" priority="72" operator="equal">
      <formula>"PM"</formula>
    </cfRule>
    <cfRule type="cellIs" dxfId="2222" priority="73" operator="equal">
      <formula>"LM"</formula>
    </cfRule>
    <cfRule type="cellIs" dxfId="2221" priority="74" operator="equal">
      <formula>"FM"</formula>
    </cfRule>
  </conditionalFormatting>
  <conditionalFormatting sqref="I24:J24">
    <cfRule type="cellIs" dxfId="2220" priority="68" operator="equal">
      <formula>"No"</formula>
    </cfRule>
    <cfRule type="cellIs" dxfId="2219" priority="69" operator="equal">
      <formula>"Yes"</formula>
    </cfRule>
  </conditionalFormatting>
  <conditionalFormatting sqref="Q24">
    <cfRule type="cellIs" dxfId="2218" priority="67" operator="equal">
      <formula>"Y"</formula>
    </cfRule>
  </conditionalFormatting>
  <conditionalFormatting sqref="I25">
    <cfRule type="cellIs" dxfId="2217" priority="65" operator="equal">
      <formula>"No"</formula>
    </cfRule>
    <cfRule type="cellIs" dxfId="2216" priority="66" operator="equal">
      <formula>"Yes"</formula>
    </cfRule>
  </conditionalFormatting>
  <conditionalFormatting sqref="Q25">
    <cfRule type="cellIs" dxfId="2215" priority="64" operator="equal">
      <formula>"Y"</formula>
    </cfRule>
  </conditionalFormatting>
  <conditionalFormatting sqref="I26">
    <cfRule type="cellIs" dxfId="2214" priority="62" operator="equal">
      <formula>"No"</formula>
    </cfRule>
    <cfRule type="cellIs" dxfId="2213" priority="63" operator="equal">
      <formula>"Yes"</formula>
    </cfRule>
  </conditionalFormatting>
  <conditionalFormatting sqref="Q26">
    <cfRule type="cellIs" dxfId="2212" priority="61" operator="equal">
      <formula>"Y"</formula>
    </cfRule>
  </conditionalFormatting>
  <conditionalFormatting sqref="O27">
    <cfRule type="cellIs" dxfId="2211" priority="56" operator="equal">
      <formula>"NY"</formula>
    </cfRule>
    <cfRule type="cellIs" dxfId="2210" priority="57" operator="equal">
      <formula>"DM"</formula>
    </cfRule>
    <cfRule type="cellIs" dxfId="2209" priority="58" operator="equal">
      <formula>"PM"</formula>
    </cfRule>
    <cfRule type="cellIs" dxfId="2208" priority="59" operator="equal">
      <formula>"LM"</formula>
    </cfRule>
    <cfRule type="cellIs" dxfId="2207" priority="60" operator="equal">
      <formula>"FM"</formula>
    </cfRule>
  </conditionalFormatting>
  <conditionalFormatting sqref="Q27">
    <cfRule type="cellIs" dxfId="2206" priority="55" operator="equal">
      <formula>"Y"</formula>
    </cfRule>
  </conditionalFormatting>
  <conditionalFormatting sqref="O28">
    <cfRule type="cellIs" dxfId="2205" priority="50" operator="equal">
      <formula>"NY"</formula>
    </cfRule>
    <cfRule type="cellIs" dxfId="2204" priority="51" operator="equal">
      <formula>"DM"</formula>
    </cfRule>
    <cfRule type="cellIs" dxfId="2203" priority="52" operator="equal">
      <formula>"PM"</formula>
    </cfRule>
    <cfRule type="cellIs" dxfId="2202" priority="53" operator="equal">
      <formula>"LM"</formula>
    </cfRule>
    <cfRule type="cellIs" dxfId="2201" priority="54" operator="equal">
      <formula>"FM"</formula>
    </cfRule>
  </conditionalFormatting>
  <conditionalFormatting sqref="I28:J28">
    <cfRule type="cellIs" dxfId="2200" priority="48" operator="equal">
      <formula>"No"</formula>
    </cfRule>
    <cfRule type="cellIs" dxfId="2199" priority="49" operator="equal">
      <formula>"Yes"</formula>
    </cfRule>
  </conditionalFormatting>
  <conditionalFormatting sqref="Q28">
    <cfRule type="cellIs" dxfId="2198" priority="47" operator="equal">
      <formula>"Y"</formula>
    </cfRule>
  </conditionalFormatting>
  <conditionalFormatting sqref="I29">
    <cfRule type="cellIs" dxfId="2197" priority="45" operator="equal">
      <formula>"No"</formula>
    </cfRule>
    <cfRule type="cellIs" dxfId="2196" priority="46" operator="equal">
      <formula>"Yes"</formula>
    </cfRule>
  </conditionalFormatting>
  <conditionalFormatting sqref="Q29">
    <cfRule type="cellIs" dxfId="2195" priority="44" operator="equal">
      <formula>"Y"</formula>
    </cfRule>
  </conditionalFormatting>
  <conditionalFormatting sqref="I30">
    <cfRule type="cellIs" dxfId="2194" priority="42" operator="equal">
      <formula>"No"</formula>
    </cfRule>
    <cfRule type="cellIs" dxfId="2193" priority="43" operator="equal">
      <formula>"Yes"</formula>
    </cfRule>
  </conditionalFormatting>
  <conditionalFormatting sqref="Q30">
    <cfRule type="cellIs" dxfId="2192" priority="41" operator="equal">
      <formula>"Y"</formula>
    </cfRule>
  </conditionalFormatting>
  <conditionalFormatting sqref="O31">
    <cfRule type="cellIs" dxfId="2191" priority="36" operator="equal">
      <formula>"NY"</formula>
    </cfRule>
    <cfRule type="cellIs" dxfId="2190" priority="37" operator="equal">
      <formula>"DM"</formula>
    </cfRule>
    <cfRule type="cellIs" dxfId="2189" priority="38" operator="equal">
      <formula>"PM"</formula>
    </cfRule>
    <cfRule type="cellIs" dxfId="2188" priority="39" operator="equal">
      <formula>"LM"</formula>
    </cfRule>
    <cfRule type="cellIs" dxfId="2187" priority="40" operator="equal">
      <formula>"FM"</formula>
    </cfRule>
  </conditionalFormatting>
  <conditionalFormatting sqref="Q31">
    <cfRule type="cellIs" dxfId="2186" priority="35" operator="equal">
      <formula>"Y"</formula>
    </cfRule>
  </conditionalFormatting>
  <conditionalFormatting sqref="O32">
    <cfRule type="cellIs" dxfId="2185" priority="30" operator="equal">
      <formula>"NY"</formula>
    </cfRule>
    <cfRule type="cellIs" dxfId="2184" priority="31" operator="equal">
      <formula>"DM"</formula>
    </cfRule>
    <cfRule type="cellIs" dxfId="2183" priority="32" operator="equal">
      <formula>"PM"</formula>
    </cfRule>
    <cfRule type="cellIs" dxfId="2182" priority="33" operator="equal">
      <formula>"LM"</formula>
    </cfRule>
    <cfRule type="cellIs" dxfId="2181" priority="34" operator="equal">
      <formula>"FM"</formula>
    </cfRule>
  </conditionalFormatting>
  <conditionalFormatting sqref="I32:J32">
    <cfRule type="cellIs" dxfId="2180" priority="28" operator="equal">
      <formula>"No"</formula>
    </cfRule>
    <cfRule type="cellIs" dxfId="2179" priority="29" operator="equal">
      <formula>"Yes"</formula>
    </cfRule>
  </conditionalFormatting>
  <conditionalFormatting sqref="Q32">
    <cfRule type="cellIs" dxfId="2178" priority="27" operator="equal">
      <formula>"Y"</formula>
    </cfRule>
  </conditionalFormatting>
  <conditionalFormatting sqref="I33">
    <cfRule type="cellIs" dxfId="2177" priority="25" operator="equal">
      <formula>"No"</formula>
    </cfRule>
    <cfRule type="cellIs" dxfId="2176" priority="26" operator="equal">
      <formula>"Yes"</formula>
    </cfRule>
  </conditionalFormatting>
  <conditionalFormatting sqref="Q33">
    <cfRule type="cellIs" dxfId="2175" priority="24" operator="equal">
      <formula>"Y"</formula>
    </cfRule>
  </conditionalFormatting>
  <conditionalFormatting sqref="I34">
    <cfRule type="cellIs" dxfId="2174" priority="22" operator="equal">
      <formula>"No"</formula>
    </cfRule>
    <cfRule type="cellIs" dxfId="2173" priority="23" operator="equal">
      <formula>"Yes"</formula>
    </cfRule>
  </conditionalFormatting>
  <conditionalFormatting sqref="Q34">
    <cfRule type="cellIs" dxfId="2172" priority="21" operator="equal">
      <formula>"Y"</formula>
    </cfRule>
  </conditionalFormatting>
  <conditionalFormatting sqref="O35">
    <cfRule type="cellIs" dxfId="2171" priority="16" operator="equal">
      <formula>"NY"</formula>
    </cfRule>
    <cfRule type="cellIs" dxfId="2170" priority="17" operator="equal">
      <formula>"DM"</formula>
    </cfRule>
    <cfRule type="cellIs" dxfId="2169" priority="18" operator="equal">
      <formula>"PM"</formula>
    </cfRule>
    <cfRule type="cellIs" dxfId="2168" priority="19" operator="equal">
      <formula>"LM"</formula>
    </cfRule>
    <cfRule type="cellIs" dxfId="2167" priority="20" operator="equal">
      <formula>"FM"</formula>
    </cfRule>
  </conditionalFormatting>
  <conditionalFormatting sqref="Q35">
    <cfRule type="cellIs" dxfId="2166" priority="15" operator="equal">
      <formula>"Y"</formula>
    </cfRule>
  </conditionalFormatting>
  <conditionalFormatting sqref="O36">
    <cfRule type="cellIs" dxfId="2165" priority="10" operator="equal">
      <formula>"NY"</formula>
    </cfRule>
    <cfRule type="cellIs" dxfId="2164" priority="11" operator="equal">
      <formula>"DM"</formula>
    </cfRule>
    <cfRule type="cellIs" dxfId="2163" priority="12" operator="equal">
      <formula>"PM"</formula>
    </cfRule>
    <cfRule type="cellIs" dxfId="2162" priority="13" operator="equal">
      <formula>"LM"</formula>
    </cfRule>
    <cfRule type="cellIs" dxfId="2161" priority="14" operator="equal">
      <formula>"FM"</formula>
    </cfRule>
  </conditionalFormatting>
  <conditionalFormatting sqref="I36:J36">
    <cfRule type="cellIs" dxfId="2160" priority="8" operator="equal">
      <formula>"No"</formula>
    </cfRule>
    <cfRule type="cellIs" dxfId="2159" priority="9" operator="equal">
      <formula>"Yes"</formula>
    </cfRule>
  </conditionalFormatting>
  <conditionalFormatting sqref="Q36">
    <cfRule type="cellIs" dxfId="2158" priority="7" operator="equal">
      <formula>"Y"</formula>
    </cfRule>
  </conditionalFormatting>
  <conditionalFormatting sqref="I37">
    <cfRule type="cellIs" dxfId="2157" priority="5" operator="equal">
      <formula>"No"</formula>
    </cfRule>
    <cfRule type="cellIs" dxfId="2156" priority="6" operator="equal">
      <formula>"Yes"</formula>
    </cfRule>
  </conditionalFormatting>
  <conditionalFormatting sqref="Q37">
    <cfRule type="cellIs" dxfId="2155" priority="4" operator="equal">
      <formula>"Y"</formula>
    </cfRule>
  </conditionalFormatting>
  <conditionalFormatting sqref="I38">
    <cfRule type="cellIs" dxfId="2154" priority="2" operator="equal">
      <formula>"No"</formula>
    </cfRule>
    <cfRule type="cellIs" dxfId="2153" priority="3" operator="equal">
      <formula>"Yes"</formula>
    </cfRule>
  </conditionalFormatting>
  <conditionalFormatting sqref="Q38">
    <cfRule type="cellIs" dxfId="2152" priority="1" operator="equal">
      <formula>"Y"</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F78E-6904-4A6E-B060-7409F93D8294}">
  <sheetPr codeName="Sheet49"/>
  <dimension ref="A1:Q43"/>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1428</v>
      </c>
    </row>
    <row r="2" spans="1:17" s="61" customFormat="1" ht="21">
      <c r="A2" s="60" t="s">
        <v>1429</v>
      </c>
    </row>
    <row r="3" spans="1:17">
      <c r="A3" s="62" t="s">
        <v>1707</v>
      </c>
      <c r="B3" s="63" t="s">
        <v>2221</v>
      </c>
    </row>
    <row r="4" spans="1:17">
      <c r="A4" s="63" t="s">
        <v>1401</v>
      </c>
      <c r="B4" s="63" t="s">
        <v>1430</v>
      </c>
    </row>
    <row r="5" spans="1:17">
      <c r="A5" s="62" t="s">
        <v>1709</v>
      </c>
      <c r="B5" s="63" t="s">
        <v>2222</v>
      </c>
    </row>
    <row r="6" spans="1:17">
      <c r="A6" s="63" t="s">
        <v>1402</v>
      </c>
      <c r="B6" s="63" t="s">
        <v>1431</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1002</v>
      </c>
      <c r="C10" s="322" t="s">
        <v>1432</v>
      </c>
      <c r="D10" s="322"/>
      <c r="E10" s="322"/>
      <c r="F10" s="322"/>
      <c r="G10" s="322"/>
      <c r="H10" s="322"/>
      <c r="I10" s="20" t="s">
        <v>2223</v>
      </c>
      <c r="J10" s="20" t="s">
        <v>2224</v>
      </c>
      <c r="K10" s="11" t="s">
        <v>2225</v>
      </c>
      <c r="L10" s="11"/>
      <c r="M10" s="11"/>
      <c r="N10" s="11"/>
      <c r="O10" s="9"/>
      <c r="P10" s="10"/>
      <c r="Q10" s="9"/>
    </row>
    <row r="11" spans="1:17" s="58" customFormat="1" ht="13.8">
      <c r="A11" s="54" t="s">
        <v>1391</v>
      </c>
      <c r="B11" s="19" t="s">
        <v>1002</v>
      </c>
      <c r="C11" s="326" t="s">
        <v>1905</v>
      </c>
      <c r="D11" s="327"/>
      <c r="E11" s="327"/>
      <c r="F11" s="327"/>
      <c r="G11" s="328"/>
      <c r="H11" s="4" t="s">
        <v>1977</v>
      </c>
      <c r="I11" s="9"/>
      <c r="J11" s="9"/>
      <c r="K11" s="9"/>
      <c r="L11" s="9"/>
      <c r="M11" s="9"/>
      <c r="N11" s="9"/>
      <c r="O11" s="9"/>
      <c r="P11" s="9"/>
      <c r="Q11" s="9"/>
    </row>
    <row r="12" spans="1:17" s="58" customFormat="1" ht="13.8">
      <c r="A12" s="5" t="s">
        <v>1394</v>
      </c>
      <c r="B12" s="5" t="s">
        <v>1905</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1905</v>
      </c>
      <c r="C13" s="59" t="s">
        <v>1395</v>
      </c>
      <c r="D13" s="6" t="s">
        <v>97</v>
      </c>
      <c r="E13" s="6" t="s">
        <v>98</v>
      </c>
      <c r="F13" s="6" t="s">
        <v>1396</v>
      </c>
      <c r="G13" s="6" t="s">
        <v>1397</v>
      </c>
      <c r="H13" s="7"/>
      <c r="I13" s="9"/>
      <c r="J13" s="7"/>
      <c r="K13" s="12"/>
      <c r="L13" s="6"/>
      <c r="M13" s="6"/>
      <c r="N13" s="12"/>
      <c r="O13" s="7"/>
      <c r="P13" s="9"/>
      <c r="Q13" s="9"/>
    </row>
    <row r="14" spans="1:17" s="57" customFormat="1" ht="51.6" customHeight="1">
      <c r="A14" s="56" t="s">
        <v>1386</v>
      </c>
      <c r="B14" s="3" t="s">
        <v>1003</v>
      </c>
      <c r="C14" s="322" t="s">
        <v>1433</v>
      </c>
      <c r="D14" s="322"/>
      <c r="E14" s="322"/>
      <c r="F14" s="322"/>
      <c r="G14" s="322"/>
      <c r="H14" s="322"/>
      <c r="I14" s="20" t="s">
        <v>2226</v>
      </c>
      <c r="J14" s="20" t="s">
        <v>2227</v>
      </c>
      <c r="K14" s="11" t="s">
        <v>2228</v>
      </c>
      <c r="L14" s="11"/>
      <c r="M14" s="11"/>
      <c r="N14" s="11"/>
      <c r="O14" s="9"/>
      <c r="P14" s="10"/>
      <c r="Q14" s="9"/>
    </row>
    <row r="15" spans="1:17" s="58" customFormat="1" ht="13.8">
      <c r="A15" s="54" t="s">
        <v>1391</v>
      </c>
      <c r="B15" s="19" t="s">
        <v>1003</v>
      </c>
      <c r="C15" s="326" t="s">
        <v>1905</v>
      </c>
      <c r="D15" s="327"/>
      <c r="E15" s="327"/>
      <c r="F15" s="327"/>
      <c r="G15" s="328"/>
      <c r="H15" s="4" t="s">
        <v>1977</v>
      </c>
      <c r="I15" s="9"/>
      <c r="J15" s="9"/>
      <c r="K15" s="9"/>
      <c r="L15" s="9"/>
      <c r="M15" s="9"/>
      <c r="N15" s="9"/>
      <c r="O15" s="9"/>
      <c r="P15" s="9"/>
      <c r="Q15" s="9"/>
    </row>
    <row r="16" spans="1:17" s="58" customFormat="1" ht="13.8">
      <c r="A16" s="5" t="s">
        <v>1394</v>
      </c>
      <c r="B16" s="5" t="s">
        <v>1905</v>
      </c>
      <c r="C16" s="59" t="s">
        <v>1395</v>
      </c>
      <c r="D16" s="6" t="s">
        <v>97</v>
      </c>
      <c r="E16" s="6" t="s">
        <v>98</v>
      </c>
      <c r="F16" s="6" t="s">
        <v>1396</v>
      </c>
      <c r="G16" s="6" t="s">
        <v>1397</v>
      </c>
      <c r="H16" s="7"/>
      <c r="I16" s="9"/>
      <c r="J16" s="7"/>
      <c r="K16" s="12"/>
      <c r="L16" s="6"/>
      <c r="M16" s="6"/>
      <c r="N16" s="12"/>
      <c r="O16" s="7"/>
      <c r="P16" s="9"/>
      <c r="Q16" s="9"/>
    </row>
    <row r="17" spans="1:17" s="58" customFormat="1" ht="13.8">
      <c r="A17" s="5" t="s">
        <v>1394</v>
      </c>
      <c r="B17" s="5" t="s">
        <v>1905</v>
      </c>
      <c r="C17" s="59" t="s">
        <v>1395</v>
      </c>
      <c r="D17" s="6" t="s">
        <v>97</v>
      </c>
      <c r="E17" s="6" t="s">
        <v>98</v>
      </c>
      <c r="F17" s="6" t="s">
        <v>1396</v>
      </c>
      <c r="G17" s="6" t="s">
        <v>1397</v>
      </c>
      <c r="H17" s="7"/>
      <c r="I17" s="9"/>
      <c r="J17" s="7"/>
      <c r="K17" s="12"/>
      <c r="L17" s="6"/>
      <c r="M17" s="6"/>
      <c r="N17" s="12"/>
      <c r="O17" s="7"/>
      <c r="P17" s="9"/>
      <c r="Q17" s="9"/>
    </row>
    <row r="18" spans="1:17" s="55" customFormat="1" ht="13.8">
      <c r="A18" s="54" t="s">
        <v>1385</v>
      </c>
      <c r="B18" s="17" t="s">
        <v>28</v>
      </c>
      <c r="C18" s="18"/>
      <c r="D18" s="18"/>
      <c r="E18" s="18"/>
      <c r="F18" s="18"/>
      <c r="G18" s="18"/>
      <c r="H18" s="18"/>
      <c r="I18" s="18"/>
      <c r="J18" s="18"/>
      <c r="K18" s="18"/>
      <c r="L18" s="8"/>
      <c r="M18" s="8"/>
      <c r="N18" s="8"/>
      <c r="O18" s="9"/>
      <c r="P18" s="10"/>
      <c r="Q18" s="9"/>
    </row>
    <row r="19" spans="1:17" s="57" customFormat="1" ht="51.6" customHeight="1">
      <c r="A19" s="56" t="s">
        <v>1386</v>
      </c>
      <c r="B19" s="3" t="s">
        <v>1004</v>
      </c>
      <c r="C19" s="322" t="s">
        <v>2229</v>
      </c>
      <c r="D19" s="322"/>
      <c r="E19" s="322"/>
      <c r="F19" s="322"/>
      <c r="G19" s="322"/>
      <c r="H19" s="322"/>
      <c r="I19" s="20" t="s">
        <v>2230</v>
      </c>
      <c r="J19" s="20" t="s">
        <v>2230</v>
      </c>
      <c r="K19" s="11" t="s">
        <v>2231</v>
      </c>
      <c r="L19" s="11"/>
      <c r="M19" s="11"/>
      <c r="N19" s="11"/>
      <c r="O19" s="9"/>
      <c r="P19" s="10"/>
      <c r="Q19" s="9"/>
    </row>
    <row r="20" spans="1:17" s="58" customFormat="1" ht="13.8">
      <c r="A20" s="54" t="s">
        <v>1391</v>
      </c>
      <c r="B20" s="19" t="s">
        <v>1004</v>
      </c>
      <c r="C20" s="326" t="s">
        <v>1905</v>
      </c>
      <c r="D20" s="327"/>
      <c r="E20" s="327"/>
      <c r="F20" s="327"/>
      <c r="G20" s="328"/>
      <c r="H20" s="4" t="s">
        <v>1977</v>
      </c>
      <c r="I20" s="9"/>
      <c r="J20" s="9"/>
      <c r="K20" s="9"/>
      <c r="L20" s="9"/>
      <c r="M20" s="9"/>
      <c r="N20" s="9"/>
      <c r="O20" s="9"/>
      <c r="P20" s="9"/>
      <c r="Q20" s="9"/>
    </row>
    <row r="21" spans="1:17" s="58" customFormat="1" ht="13.8">
      <c r="A21" s="5" t="s">
        <v>1394</v>
      </c>
      <c r="B21" s="5" t="s">
        <v>1905</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1905</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1005</v>
      </c>
      <c r="C23" s="322" t="s">
        <v>1434</v>
      </c>
      <c r="D23" s="322"/>
      <c r="E23" s="322"/>
      <c r="F23" s="322"/>
      <c r="G23" s="322"/>
      <c r="H23" s="322"/>
      <c r="I23" s="20" t="s">
        <v>2232</v>
      </c>
      <c r="J23" s="20" t="s">
        <v>2233</v>
      </c>
      <c r="K23" s="11" t="s">
        <v>2234</v>
      </c>
      <c r="L23" s="11"/>
      <c r="M23" s="11"/>
      <c r="N23" s="11"/>
      <c r="O23" s="9"/>
      <c r="P23" s="10"/>
      <c r="Q23" s="9"/>
    </row>
    <row r="24" spans="1:17" s="58" customFormat="1" ht="13.8">
      <c r="A24" s="54" t="s">
        <v>1391</v>
      </c>
      <c r="B24" s="19" t="s">
        <v>1005</v>
      </c>
      <c r="C24" s="326" t="s">
        <v>1905</v>
      </c>
      <c r="D24" s="327"/>
      <c r="E24" s="327"/>
      <c r="F24" s="327"/>
      <c r="G24" s="328"/>
      <c r="H24" s="4" t="s">
        <v>1977</v>
      </c>
      <c r="I24" s="9"/>
      <c r="J24" s="9"/>
      <c r="K24" s="9"/>
      <c r="L24" s="9"/>
      <c r="M24" s="9"/>
      <c r="N24" s="9"/>
      <c r="O24" s="9"/>
      <c r="P24" s="9"/>
      <c r="Q24" s="9"/>
    </row>
    <row r="25" spans="1:17" s="58" customFormat="1" ht="13.8">
      <c r="A25" s="5" t="s">
        <v>1394</v>
      </c>
      <c r="B25" s="5" t="s">
        <v>1905</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1905</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1006</v>
      </c>
      <c r="C27" s="322" t="s">
        <v>2235</v>
      </c>
      <c r="D27" s="322"/>
      <c r="E27" s="322"/>
      <c r="F27" s="322"/>
      <c r="G27" s="322"/>
      <c r="H27" s="322"/>
      <c r="I27" s="20" t="s">
        <v>2236</v>
      </c>
      <c r="J27" s="20" t="s">
        <v>2237</v>
      </c>
      <c r="K27" s="11" t="s">
        <v>2238</v>
      </c>
      <c r="L27" s="11"/>
      <c r="M27" s="11"/>
      <c r="N27" s="11"/>
      <c r="O27" s="9"/>
      <c r="P27" s="10"/>
      <c r="Q27" s="9"/>
    </row>
    <row r="28" spans="1:17" s="58" customFormat="1" ht="13.8">
      <c r="A28" s="54" t="s">
        <v>1391</v>
      </c>
      <c r="B28" s="19" t="s">
        <v>1006</v>
      </c>
      <c r="C28" s="326" t="s">
        <v>1905</v>
      </c>
      <c r="D28" s="327"/>
      <c r="E28" s="327"/>
      <c r="F28" s="327"/>
      <c r="G28" s="328"/>
      <c r="H28" s="4" t="s">
        <v>1977</v>
      </c>
      <c r="I28" s="9"/>
      <c r="J28" s="9"/>
      <c r="K28" s="9"/>
      <c r="L28" s="9"/>
      <c r="M28" s="9"/>
      <c r="N28" s="9"/>
      <c r="O28" s="9"/>
      <c r="P28" s="9"/>
      <c r="Q28" s="9"/>
    </row>
    <row r="29" spans="1:17" s="58" customFormat="1" ht="13.8">
      <c r="A29" s="5" t="s">
        <v>1394</v>
      </c>
      <c r="B29" s="5" t="s">
        <v>1905</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1905</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1007</v>
      </c>
      <c r="C31" s="322" t="s">
        <v>2239</v>
      </c>
      <c r="D31" s="322"/>
      <c r="E31" s="322"/>
      <c r="F31" s="322"/>
      <c r="G31" s="322"/>
      <c r="H31" s="322"/>
      <c r="I31" s="20" t="s">
        <v>2240</v>
      </c>
      <c r="J31" s="20" t="s">
        <v>2241</v>
      </c>
      <c r="K31" s="11" t="s">
        <v>2242</v>
      </c>
      <c r="L31" s="11"/>
      <c r="M31" s="11"/>
      <c r="N31" s="11"/>
      <c r="O31" s="9"/>
      <c r="P31" s="10"/>
      <c r="Q31" s="9"/>
    </row>
    <row r="32" spans="1:17" s="58" customFormat="1" ht="13.8">
      <c r="A32" s="54" t="s">
        <v>1391</v>
      </c>
      <c r="B32" s="19" t="s">
        <v>1007</v>
      </c>
      <c r="C32" s="326" t="s">
        <v>1905</v>
      </c>
      <c r="D32" s="327"/>
      <c r="E32" s="327"/>
      <c r="F32" s="327"/>
      <c r="G32" s="328"/>
      <c r="H32" s="4" t="s">
        <v>1977</v>
      </c>
      <c r="I32" s="9"/>
      <c r="J32" s="9"/>
      <c r="K32" s="9"/>
      <c r="L32" s="9"/>
      <c r="M32" s="9"/>
      <c r="N32" s="9"/>
      <c r="O32" s="9"/>
      <c r="P32" s="9"/>
      <c r="Q32" s="9"/>
    </row>
    <row r="33" spans="1:17" s="58" customFormat="1" ht="13.8">
      <c r="A33" s="5" t="s">
        <v>1394</v>
      </c>
      <c r="B33" s="5" t="s">
        <v>1905</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1905</v>
      </c>
      <c r="C34" s="59" t="s">
        <v>1395</v>
      </c>
      <c r="D34" s="6" t="s">
        <v>97</v>
      </c>
      <c r="E34" s="6" t="s">
        <v>98</v>
      </c>
      <c r="F34" s="6" t="s">
        <v>1396</v>
      </c>
      <c r="G34" s="6" t="s">
        <v>1397</v>
      </c>
      <c r="H34" s="7"/>
      <c r="I34" s="9"/>
      <c r="J34" s="7"/>
      <c r="K34" s="12"/>
      <c r="L34" s="6"/>
      <c r="M34" s="6"/>
      <c r="N34" s="12"/>
      <c r="O34" s="7"/>
      <c r="P34" s="9"/>
      <c r="Q34" s="9"/>
    </row>
    <row r="35" spans="1:17" s="57" customFormat="1" ht="51.6" customHeight="1">
      <c r="A35" s="56" t="s">
        <v>1386</v>
      </c>
      <c r="B35" s="3" t="s">
        <v>1008</v>
      </c>
      <c r="C35" s="322" t="s">
        <v>1435</v>
      </c>
      <c r="D35" s="322"/>
      <c r="E35" s="322"/>
      <c r="F35" s="322"/>
      <c r="G35" s="322"/>
      <c r="H35" s="322"/>
      <c r="I35" s="20" t="s">
        <v>2243</v>
      </c>
      <c r="J35" s="20" t="s">
        <v>2227</v>
      </c>
      <c r="K35" s="11" t="s">
        <v>2244</v>
      </c>
      <c r="L35" s="11"/>
      <c r="M35" s="11"/>
      <c r="N35" s="11"/>
      <c r="O35" s="9"/>
      <c r="P35" s="10"/>
      <c r="Q35" s="9"/>
    </row>
    <row r="36" spans="1:17" s="58" customFormat="1" ht="13.8">
      <c r="A36" s="54" t="s">
        <v>1391</v>
      </c>
      <c r="B36" s="19" t="s">
        <v>1008</v>
      </c>
      <c r="C36" s="326" t="s">
        <v>1905</v>
      </c>
      <c r="D36" s="327"/>
      <c r="E36" s="327"/>
      <c r="F36" s="327"/>
      <c r="G36" s="328"/>
      <c r="H36" s="4" t="s">
        <v>1977</v>
      </c>
      <c r="I36" s="9"/>
      <c r="J36" s="9"/>
      <c r="K36" s="9"/>
      <c r="L36" s="9"/>
      <c r="M36" s="9"/>
      <c r="N36" s="9"/>
      <c r="O36" s="9"/>
      <c r="P36" s="9"/>
      <c r="Q36" s="9"/>
    </row>
    <row r="37" spans="1:17" s="58" customFormat="1" ht="13.8">
      <c r="A37" s="5" t="s">
        <v>1394</v>
      </c>
      <c r="B37" s="5" t="s">
        <v>1905</v>
      </c>
      <c r="C37" s="59" t="s">
        <v>1395</v>
      </c>
      <c r="D37" s="6" t="s">
        <v>97</v>
      </c>
      <c r="E37" s="6" t="s">
        <v>98</v>
      </c>
      <c r="F37" s="6" t="s">
        <v>1396</v>
      </c>
      <c r="G37" s="6" t="s">
        <v>1397</v>
      </c>
      <c r="H37" s="7"/>
      <c r="I37" s="9"/>
      <c r="J37" s="7"/>
      <c r="K37" s="12"/>
      <c r="L37" s="6"/>
      <c r="M37" s="6"/>
      <c r="N37" s="12"/>
      <c r="O37" s="7"/>
      <c r="P37" s="9"/>
      <c r="Q37" s="9"/>
    </row>
    <row r="38" spans="1:17" s="58" customFormat="1" ht="13.8">
      <c r="A38" s="5" t="s">
        <v>1394</v>
      </c>
      <c r="B38" s="5" t="s">
        <v>1905</v>
      </c>
      <c r="C38" s="59" t="s">
        <v>1395</v>
      </c>
      <c r="D38" s="6" t="s">
        <v>97</v>
      </c>
      <c r="E38" s="6" t="s">
        <v>98</v>
      </c>
      <c r="F38" s="6" t="s">
        <v>1396</v>
      </c>
      <c r="G38" s="6" t="s">
        <v>1397</v>
      </c>
      <c r="H38" s="7"/>
      <c r="I38" s="9"/>
      <c r="J38" s="7"/>
      <c r="K38" s="12"/>
      <c r="L38" s="6"/>
      <c r="M38" s="6"/>
      <c r="N38" s="12"/>
      <c r="O38" s="7"/>
      <c r="P38" s="9"/>
      <c r="Q38" s="9"/>
    </row>
    <row r="39" spans="1:17" s="55" customFormat="1" ht="13.8">
      <c r="A39" s="54" t="s">
        <v>1385</v>
      </c>
      <c r="B39" s="17" t="s">
        <v>29</v>
      </c>
      <c r="C39" s="18"/>
      <c r="D39" s="18"/>
      <c r="E39" s="18"/>
      <c r="F39" s="18"/>
      <c r="G39" s="18"/>
      <c r="H39" s="18"/>
      <c r="I39" s="18"/>
      <c r="J39" s="18"/>
      <c r="K39" s="18"/>
      <c r="L39" s="8"/>
      <c r="M39" s="8"/>
      <c r="N39" s="8"/>
      <c r="O39" s="9"/>
      <c r="P39" s="10"/>
      <c r="Q39" s="9"/>
    </row>
    <row r="40" spans="1:17" s="57" customFormat="1" ht="51.6" customHeight="1">
      <c r="A40" s="56" t="s">
        <v>1386</v>
      </c>
      <c r="B40" s="3" t="s">
        <v>1009</v>
      </c>
      <c r="C40" s="322" t="s">
        <v>2245</v>
      </c>
      <c r="D40" s="322"/>
      <c r="E40" s="322"/>
      <c r="F40" s="322"/>
      <c r="G40" s="322"/>
      <c r="H40" s="322"/>
      <c r="I40" s="20" t="s">
        <v>2246</v>
      </c>
      <c r="J40" s="20" t="s">
        <v>2247</v>
      </c>
      <c r="K40" s="11" t="s">
        <v>2248</v>
      </c>
      <c r="L40" s="11"/>
      <c r="M40" s="11"/>
      <c r="N40" s="11"/>
      <c r="O40" s="9"/>
      <c r="P40" s="10"/>
      <c r="Q40" s="9"/>
    </row>
    <row r="41" spans="1:17" s="58" customFormat="1" ht="13.8">
      <c r="A41" s="54" t="s">
        <v>1391</v>
      </c>
      <c r="B41" s="19" t="s">
        <v>1009</v>
      </c>
      <c r="C41" s="326" t="s">
        <v>1905</v>
      </c>
      <c r="D41" s="327"/>
      <c r="E41" s="327"/>
      <c r="F41" s="327"/>
      <c r="G41" s="328"/>
      <c r="H41" s="4" t="s">
        <v>1977</v>
      </c>
      <c r="I41" s="9"/>
      <c r="J41" s="9"/>
      <c r="K41" s="9"/>
      <c r="L41" s="9"/>
      <c r="M41" s="9"/>
      <c r="N41" s="9"/>
      <c r="O41" s="9"/>
      <c r="P41" s="9"/>
      <c r="Q41" s="9"/>
    </row>
    <row r="42" spans="1:17" s="58" customFormat="1" ht="13.8">
      <c r="A42" s="5" t="s">
        <v>1394</v>
      </c>
      <c r="B42" s="5" t="s">
        <v>1905</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1905</v>
      </c>
      <c r="C43" s="59" t="s">
        <v>1395</v>
      </c>
      <c r="D43" s="6" t="s">
        <v>97</v>
      </c>
      <c r="E43" s="6" t="s">
        <v>98</v>
      </c>
      <c r="F43" s="6" t="s">
        <v>1396</v>
      </c>
      <c r="G43" s="6" t="s">
        <v>1397</v>
      </c>
      <c r="H43" s="7"/>
      <c r="I43" s="9"/>
      <c r="J43" s="7"/>
      <c r="K43" s="12"/>
      <c r="L43" s="6"/>
      <c r="M43" s="6"/>
      <c r="N43" s="12"/>
      <c r="O43" s="7"/>
      <c r="P43" s="9"/>
      <c r="Q43" s="9"/>
    </row>
  </sheetData>
  <mergeCells count="16">
    <mergeCell ref="C20:G20"/>
    <mergeCell ref="C10:H10"/>
    <mergeCell ref="C11:G11"/>
    <mergeCell ref="C14:H14"/>
    <mergeCell ref="C15:G15"/>
    <mergeCell ref="C19:H19"/>
    <mergeCell ref="C35:H35"/>
    <mergeCell ref="C36:G36"/>
    <mergeCell ref="C40:H40"/>
    <mergeCell ref="C41:G41"/>
    <mergeCell ref="C23:H23"/>
    <mergeCell ref="C24:G24"/>
    <mergeCell ref="C27:H27"/>
    <mergeCell ref="C28:G28"/>
    <mergeCell ref="C31:H31"/>
    <mergeCell ref="C32:G32"/>
  </mergeCells>
  <conditionalFormatting sqref="O9">
    <cfRule type="cellIs" dxfId="2151" priority="168" operator="equal">
      <formula>"U"</formula>
    </cfRule>
    <cfRule type="cellIs" dxfId="2150" priority="169" operator="equal">
      <formula>"S"</formula>
    </cfRule>
  </conditionalFormatting>
  <conditionalFormatting sqref="Q9">
    <cfRule type="cellIs" dxfId="2149" priority="167" operator="equal">
      <formula>"Y"</formula>
    </cfRule>
  </conditionalFormatting>
  <conditionalFormatting sqref="O10">
    <cfRule type="cellIs" dxfId="2148" priority="162" operator="equal">
      <formula>"NY"</formula>
    </cfRule>
    <cfRule type="cellIs" dxfId="2147" priority="163" operator="equal">
      <formula>"DM"</formula>
    </cfRule>
    <cfRule type="cellIs" dxfId="2146" priority="164" operator="equal">
      <formula>"PM"</formula>
    </cfRule>
    <cfRule type="cellIs" dxfId="2145" priority="165" operator="equal">
      <formula>"LM"</formula>
    </cfRule>
    <cfRule type="cellIs" dxfId="2144" priority="166" operator="equal">
      <formula>"FM"</formula>
    </cfRule>
  </conditionalFormatting>
  <conditionalFormatting sqref="Q10">
    <cfRule type="cellIs" dxfId="2143" priority="161" operator="equal">
      <formula>"Y"</formula>
    </cfRule>
  </conditionalFormatting>
  <conditionalFormatting sqref="O11">
    <cfRule type="cellIs" dxfId="2142" priority="156" operator="equal">
      <formula>"NY"</formula>
    </cfRule>
    <cfRule type="cellIs" dxfId="2141" priority="157" operator="equal">
      <formula>"DM"</formula>
    </cfRule>
    <cfRule type="cellIs" dxfId="2140" priority="158" operator="equal">
      <formula>"PM"</formula>
    </cfRule>
    <cfRule type="cellIs" dxfId="2139" priority="159" operator="equal">
      <formula>"LM"</formula>
    </cfRule>
    <cfRule type="cellIs" dxfId="2138" priority="160" operator="equal">
      <formula>"FM"</formula>
    </cfRule>
  </conditionalFormatting>
  <conditionalFormatting sqref="I11:J11">
    <cfRule type="cellIs" dxfId="2137" priority="154" operator="equal">
      <formula>"No"</formula>
    </cfRule>
    <cfRule type="cellIs" dxfId="2136" priority="155" operator="equal">
      <formula>"Yes"</formula>
    </cfRule>
  </conditionalFormatting>
  <conditionalFormatting sqref="Q11">
    <cfRule type="cellIs" dxfId="2135" priority="153" operator="equal">
      <formula>"Y"</formula>
    </cfRule>
  </conditionalFormatting>
  <conditionalFormatting sqref="I12">
    <cfRule type="cellIs" dxfId="2134" priority="151" operator="equal">
      <formula>"No"</formula>
    </cfRule>
    <cfRule type="cellIs" dxfId="2133" priority="152" operator="equal">
      <formula>"Yes"</formula>
    </cfRule>
  </conditionalFormatting>
  <conditionalFormatting sqref="Q12">
    <cfRule type="cellIs" dxfId="2132" priority="150" operator="equal">
      <formula>"Y"</formula>
    </cfRule>
  </conditionalFormatting>
  <conditionalFormatting sqref="I13">
    <cfRule type="cellIs" dxfId="2131" priority="148" operator="equal">
      <formula>"No"</formula>
    </cfRule>
    <cfRule type="cellIs" dxfId="2130" priority="149" operator="equal">
      <formula>"Yes"</formula>
    </cfRule>
  </conditionalFormatting>
  <conditionalFormatting sqref="Q13">
    <cfRule type="cellIs" dxfId="2129" priority="147" operator="equal">
      <formula>"Y"</formula>
    </cfRule>
  </conditionalFormatting>
  <conditionalFormatting sqref="O14">
    <cfRule type="cellIs" dxfId="2128" priority="142" operator="equal">
      <formula>"NY"</formula>
    </cfRule>
    <cfRule type="cellIs" dxfId="2127" priority="143" operator="equal">
      <formula>"DM"</formula>
    </cfRule>
    <cfRule type="cellIs" dxfId="2126" priority="144" operator="equal">
      <formula>"PM"</formula>
    </cfRule>
    <cfRule type="cellIs" dxfId="2125" priority="145" operator="equal">
      <formula>"LM"</formula>
    </cfRule>
    <cfRule type="cellIs" dxfId="2124" priority="146" operator="equal">
      <formula>"FM"</formula>
    </cfRule>
  </conditionalFormatting>
  <conditionalFormatting sqref="Q14">
    <cfRule type="cellIs" dxfId="2123" priority="141" operator="equal">
      <formula>"Y"</formula>
    </cfRule>
  </conditionalFormatting>
  <conditionalFormatting sqref="O15">
    <cfRule type="cellIs" dxfId="2122" priority="136" operator="equal">
      <formula>"NY"</formula>
    </cfRule>
    <cfRule type="cellIs" dxfId="2121" priority="137" operator="equal">
      <formula>"DM"</formula>
    </cfRule>
    <cfRule type="cellIs" dxfId="2120" priority="138" operator="equal">
      <formula>"PM"</formula>
    </cfRule>
    <cfRule type="cellIs" dxfId="2119" priority="139" operator="equal">
      <formula>"LM"</formula>
    </cfRule>
    <cfRule type="cellIs" dxfId="2118" priority="140" operator="equal">
      <formula>"FM"</formula>
    </cfRule>
  </conditionalFormatting>
  <conditionalFormatting sqref="I15:J15">
    <cfRule type="cellIs" dxfId="2117" priority="134" operator="equal">
      <formula>"No"</formula>
    </cfRule>
    <cfRule type="cellIs" dxfId="2116" priority="135" operator="equal">
      <formula>"Yes"</formula>
    </cfRule>
  </conditionalFormatting>
  <conditionalFormatting sqref="Q15">
    <cfRule type="cellIs" dxfId="2115" priority="133" operator="equal">
      <formula>"Y"</formula>
    </cfRule>
  </conditionalFormatting>
  <conditionalFormatting sqref="I16">
    <cfRule type="cellIs" dxfId="2114" priority="131" operator="equal">
      <formula>"No"</formula>
    </cfRule>
    <cfRule type="cellIs" dxfId="2113" priority="132" operator="equal">
      <formula>"Yes"</formula>
    </cfRule>
  </conditionalFormatting>
  <conditionalFormatting sqref="Q16">
    <cfRule type="cellIs" dxfId="2112" priority="130" operator="equal">
      <formula>"Y"</formula>
    </cfRule>
  </conditionalFormatting>
  <conditionalFormatting sqref="I17">
    <cfRule type="cellIs" dxfId="2111" priority="128" operator="equal">
      <formula>"No"</formula>
    </cfRule>
    <cfRule type="cellIs" dxfId="2110" priority="129" operator="equal">
      <formula>"Yes"</formula>
    </cfRule>
  </conditionalFormatting>
  <conditionalFormatting sqref="Q17">
    <cfRule type="cellIs" dxfId="2109" priority="127" operator="equal">
      <formula>"Y"</formula>
    </cfRule>
  </conditionalFormatting>
  <conditionalFormatting sqref="O18">
    <cfRule type="cellIs" dxfId="2108" priority="125" operator="equal">
      <formula>"U"</formula>
    </cfRule>
    <cfRule type="cellIs" dxfId="2107" priority="126" operator="equal">
      <formula>"S"</formula>
    </cfRule>
  </conditionalFormatting>
  <conditionalFormatting sqref="Q18">
    <cfRule type="cellIs" dxfId="2106" priority="124" operator="equal">
      <formula>"Y"</formula>
    </cfRule>
  </conditionalFormatting>
  <conditionalFormatting sqref="O19">
    <cfRule type="cellIs" dxfId="2105" priority="119" operator="equal">
      <formula>"NY"</formula>
    </cfRule>
    <cfRule type="cellIs" dxfId="2104" priority="120" operator="equal">
      <formula>"DM"</formula>
    </cfRule>
    <cfRule type="cellIs" dxfId="2103" priority="121" operator="equal">
      <formula>"PM"</formula>
    </cfRule>
    <cfRule type="cellIs" dxfId="2102" priority="122" operator="equal">
      <formula>"LM"</formula>
    </cfRule>
    <cfRule type="cellIs" dxfId="2101" priority="123" operator="equal">
      <formula>"FM"</formula>
    </cfRule>
  </conditionalFormatting>
  <conditionalFormatting sqref="Q19">
    <cfRule type="cellIs" dxfId="2100" priority="118" operator="equal">
      <formula>"Y"</formula>
    </cfRule>
  </conditionalFormatting>
  <conditionalFormatting sqref="O20">
    <cfRule type="cellIs" dxfId="2099" priority="113" operator="equal">
      <formula>"NY"</formula>
    </cfRule>
    <cfRule type="cellIs" dxfId="2098" priority="114" operator="equal">
      <formula>"DM"</formula>
    </cfRule>
    <cfRule type="cellIs" dxfId="2097" priority="115" operator="equal">
      <formula>"PM"</formula>
    </cfRule>
    <cfRule type="cellIs" dxfId="2096" priority="116" operator="equal">
      <formula>"LM"</formula>
    </cfRule>
    <cfRule type="cellIs" dxfId="2095" priority="117" operator="equal">
      <formula>"FM"</formula>
    </cfRule>
  </conditionalFormatting>
  <conditionalFormatting sqref="I20:J20">
    <cfRule type="cellIs" dxfId="2094" priority="111" operator="equal">
      <formula>"No"</formula>
    </cfRule>
    <cfRule type="cellIs" dxfId="2093" priority="112" operator="equal">
      <formula>"Yes"</formula>
    </cfRule>
  </conditionalFormatting>
  <conditionalFormatting sqref="Q20">
    <cfRule type="cellIs" dxfId="2092" priority="110" operator="equal">
      <formula>"Y"</formula>
    </cfRule>
  </conditionalFormatting>
  <conditionalFormatting sqref="I21">
    <cfRule type="cellIs" dxfId="2091" priority="108" operator="equal">
      <formula>"No"</formula>
    </cfRule>
    <cfRule type="cellIs" dxfId="2090" priority="109" operator="equal">
      <formula>"Yes"</formula>
    </cfRule>
  </conditionalFormatting>
  <conditionalFormatting sqref="Q21">
    <cfRule type="cellIs" dxfId="2089" priority="107" operator="equal">
      <formula>"Y"</formula>
    </cfRule>
  </conditionalFormatting>
  <conditionalFormatting sqref="I22">
    <cfRule type="cellIs" dxfId="2088" priority="105" operator="equal">
      <formula>"No"</formula>
    </cfRule>
    <cfRule type="cellIs" dxfId="2087" priority="106" operator="equal">
      <formula>"Yes"</formula>
    </cfRule>
  </conditionalFormatting>
  <conditionalFormatting sqref="Q22">
    <cfRule type="cellIs" dxfId="2086" priority="104" operator="equal">
      <formula>"Y"</formula>
    </cfRule>
  </conditionalFormatting>
  <conditionalFormatting sqref="O23">
    <cfRule type="cellIs" dxfId="2085" priority="99" operator="equal">
      <formula>"NY"</formula>
    </cfRule>
    <cfRule type="cellIs" dxfId="2084" priority="100" operator="equal">
      <formula>"DM"</formula>
    </cfRule>
    <cfRule type="cellIs" dxfId="2083" priority="101" operator="equal">
      <formula>"PM"</formula>
    </cfRule>
    <cfRule type="cellIs" dxfId="2082" priority="102" operator="equal">
      <formula>"LM"</formula>
    </cfRule>
    <cfRule type="cellIs" dxfId="2081" priority="103" operator="equal">
      <formula>"FM"</formula>
    </cfRule>
  </conditionalFormatting>
  <conditionalFormatting sqref="Q23">
    <cfRule type="cellIs" dxfId="2080" priority="98" operator="equal">
      <formula>"Y"</formula>
    </cfRule>
  </conditionalFormatting>
  <conditionalFormatting sqref="O24">
    <cfRule type="cellIs" dxfId="2079" priority="93" operator="equal">
      <formula>"NY"</formula>
    </cfRule>
    <cfRule type="cellIs" dxfId="2078" priority="94" operator="equal">
      <formula>"DM"</formula>
    </cfRule>
    <cfRule type="cellIs" dxfId="2077" priority="95" operator="equal">
      <formula>"PM"</formula>
    </cfRule>
    <cfRule type="cellIs" dxfId="2076" priority="96" operator="equal">
      <formula>"LM"</formula>
    </cfRule>
    <cfRule type="cellIs" dxfId="2075" priority="97" operator="equal">
      <formula>"FM"</formula>
    </cfRule>
  </conditionalFormatting>
  <conditionalFormatting sqref="I24:J24">
    <cfRule type="cellIs" dxfId="2074" priority="91" operator="equal">
      <formula>"No"</formula>
    </cfRule>
    <cfRule type="cellIs" dxfId="2073" priority="92" operator="equal">
      <formula>"Yes"</formula>
    </cfRule>
  </conditionalFormatting>
  <conditionalFormatting sqref="Q24">
    <cfRule type="cellIs" dxfId="2072" priority="90" operator="equal">
      <formula>"Y"</formula>
    </cfRule>
  </conditionalFormatting>
  <conditionalFormatting sqref="I25">
    <cfRule type="cellIs" dxfId="2071" priority="88" operator="equal">
      <formula>"No"</formula>
    </cfRule>
    <cfRule type="cellIs" dxfId="2070" priority="89" operator="equal">
      <formula>"Yes"</formula>
    </cfRule>
  </conditionalFormatting>
  <conditionalFormatting sqref="Q25">
    <cfRule type="cellIs" dxfId="2069" priority="87" operator="equal">
      <formula>"Y"</formula>
    </cfRule>
  </conditionalFormatting>
  <conditionalFormatting sqref="I26">
    <cfRule type="cellIs" dxfId="2068" priority="85" operator="equal">
      <formula>"No"</formula>
    </cfRule>
    <cfRule type="cellIs" dxfId="2067" priority="86" operator="equal">
      <formula>"Yes"</formula>
    </cfRule>
  </conditionalFormatting>
  <conditionalFormatting sqref="Q26">
    <cfRule type="cellIs" dxfId="2066" priority="84" operator="equal">
      <formula>"Y"</formula>
    </cfRule>
  </conditionalFormatting>
  <conditionalFormatting sqref="O27">
    <cfRule type="cellIs" dxfId="2065" priority="79" operator="equal">
      <formula>"NY"</formula>
    </cfRule>
    <cfRule type="cellIs" dxfId="2064" priority="80" operator="equal">
      <formula>"DM"</formula>
    </cfRule>
    <cfRule type="cellIs" dxfId="2063" priority="81" operator="equal">
      <formula>"PM"</formula>
    </cfRule>
    <cfRule type="cellIs" dxfId="2062" priority="82" operator="equal">
      <formula>"LM"</formula>
    </cfRule>
    <cfRule type="cellIs" dxfId="2061" priority="83" operator="equal">
      <formula>"FM"</formula>
    </cfRule>
  </conditionalFormatting>
  <conditionalFormatting sqref="Q27">
    <cfRule type="cellIs" dxfId="2060" priority="78" operator="equal">
      <formula>"Y"</formula>
    </cfRule>
  </conditionalFormatting>
  <conditionalFormatting sqref="O28">
    <cfRule type="cellIs" dxfId="2059" priority="73" operator="equal">
      <formula>"NY"</formula>
    </cfRule>
    <cfRule type="cellIs" dxfId="2058" priority="74" operator="equal">
      <formula>"DM"</formula>
    </cfRule>
    <cfRule type="cellIs" dxfId="2057" priority="75" operator="equal">
      <formula>"PM"</formula>
    </cfRule>
    <cfRule type="cellIs" dxfId="2056" priority="76" operator="equal">
      <formula>"LM"</formula>
    </cfRule>
    <cfRule type="cellIs" dxfId="2055" priority="77" operator="equal">
      <formula>"FM"</formula>
    </cfRule>
  </conditionalFormatting>
  <conditionalFormatting sqref="I28:J28">
    <cfRule type="cellIs" dxfId="2054" priority="71" operator="equal">
      <formula>"No"</formula>
    </cfRule>
    <cfRule type="cellIs" dxfId="2053" priority="72" operator="equal">
      <formula>"Yes"</formula>
    </cfRule>
  </conditionalFormatting>
  <conditionalFormatting sqref="Q28">
    <cfRule type="cellIs" dxfId="2052" priority="70" operator="equal">
      <formula>"Y"</formula>
    </cfRule>
  </conditionalFormatting>
  <conditionalFormatting sqref="I29">
    <cfRule type="cellIs" dxfId="2051" priority="68" operator="equal">
      <formula>"No"</formula>
    </cfRule>
    <cfRule type="cellIs" dxfId="2050" priority="69" operator="equal">
      <formula>"Yes"</formula>
    </cfRule>
  </conditionalFormatting>
  <conditionalFormatting sqref="Q29">
    <cfRule type="cellIs" dxfId="2049" priority="67" operator="equal">
      <formula>"Y"</formula>
    </cfRule>
  </conditionalFormatting>
  <conditionalFormatting sqref="I30">
    <cfRule type="cellIs" dxfId="2048" priority="65" operator="equal">
      <formula>"No"</formula>
    </cfRule>
    <cfRule type="cellIs" dxfId="2047" priority="66" operator="equal">
      <formula>"Yes"</formula>
    </cfRule>
  </conditionalFormatting>
  <conditionalFormatting sqref="Q30">
    <cfRule type="cellIs" dxfId="2046" priority="64" operator="equal">
      <formula>"Y"</formula>
    </cfRule>
  </conditionalFormatting>
  <conditionalFormatting sqref="O31">
    <cfRule type="cellIs" dxfId="2045" priority="59" operator="equal">
      <formula>"NY"</formula>
    </cfRule>
    <cfRule type="cellIs" dxfId="2044" priority="60" operator="equal">
      <formula>"DM"</formula>
    </cfRule>
    <cfRule type="cellIs" dxfId="2043" priority="61" operator="equal">
      <formula>"PM"</formula>
    </cfRule>
    <cfRule type="cellIs" dxfId="2042" priority="62" operator="equal">
      <formula>"LM"</formula>
    </cfRule>
    <cfRule type="cellIs" dxfId="2041" priority="63" operator="equal">
      <formula>"FM"</formula>
    </cfRule>
  </conditionalFormatting>
  <conditionalFormatting sqref="Q31">
    <cfRule type="cellIs" dxfId="2040" priority="58" operator="equal">
      <formula>"Y"</formula>
    </cfRule>
  </conditionalFormatting>
  <conditionalFormatting sqref="O32">
    <cfRule type="cellIs" dxfId="2039" priority="53" operator="equal">
      <formula>"NY"</formula>
    </cfRule>
    <cfRule type="cellIs" dxfId="2038" priority="54" operator="equal">
      <formula>"DM"</formula>
    </cfRule>
    <cfRule type="cellIs" dxfId="2037" priority="55" operator="equal">
      <formula>"PM"</formula>
    </cfRule>
    <cfRule type="cellIs" dxfId="2036" priority="56" operator="equal">
      <formula>"LM"</formula>
    </cfRule>
    <cfRule type="cellIs" dxfId="2035" priority="57" operator="equal">
      <formula>"FM"</formula>
    </cfRule>
  </conditionalFormatting>
  <conditionalFormatting sqref="I32:J32">
    <cfRule type="cellIs" dxfId="2034" priority="51" operator="equal">
      <formula>"No"</formula>
    </cfRule>
    <cfRule type="cellIs" dxfId="2033" priority="52" operator="equal">
      <formula>"Yes"</formula>
    </cfRule>
  </conditionalFormatting>
  <conditionalFormatting sqref="Q32">
    <cfRule type="cellIs" dxfId="2032" priority="50" operator="equal">
      <formula>"Y"</formula>
    </cfRule>
  </conditionalFormatting>
  <conditionalFormatting sqref="I33">
    <cfRule type="cellIs" dxfId="2031" priority="48" operator="equal">
      <formula>"No"</formula>
    </cfRule>
    <cfRule type="cellIs" dxfId="2030" priority="49" operator="equal">
      <formula>"Yes"</formula>
    </cfRule>
  </conditionalFormatting>
  <conditionalFormatting sqref="Q33">
    <cfRule type="cellIs" dxfId="2029" priority="47" operator="equal">
      <formula>"Y"</formula>
    </cfRule>
  </conditionalFormatting>
  <conditionalFormatting sqref="I34">
    <cfRule type="cellIs" dxfId="2028" priority="45" operator="equal">
      <formula>"No"</formula>
    </cfRule>
    <cfRule type="cellIs" dxfId="2027" priority="46" operator="equal">
      <formula>"Yes"</formula>
    </cfRule>
  </conditionalFormatting>
  <conditionalFormatting sqref="Q34">
    <cfRule type="cellIs" dxfId="2026" priority="44" operator="equal">
      <formula>"Y"</formula>
    </cfRule>
  </conditionalFormatting>
  <conditionalFormatting sqref="O35">
    <cfRule type="cellIs" dxfId="2025" priority="39" operator="equal">
      <formula>"NY"</formula>
    </cfRule>
    <cfRule type="cellIs" dxfId="2024" priority="40" operator="equal">
      <formula>"DM"</formula>
    </cfRule>
    <cfRule type="cellIs" dxfId="2023" priority="41" operator="equal">
      <formula>"PM"</formula>
    </cfRule>
    <cfRule type="cellIs" dxfId="2022" priority="42" operator="equal">
      <formula>"LM"</formula>
    </cfRule>
    <cfRule type="cellIs" dxfId="2021" priority="43" operator="equal">
      <formula>"FM"</formula>
    </cfRule>
  </conditionalFormatting>
  <conditionalFormatting sqref="Q35">
    <cfRule type="cellIs" dxfId="2020" priority="38" operator="equal">
      <formula>"Y"</formula>
    </cfRule>
  </conditionalFormatting>
  <conditionalFormatting sqref="O36">
    <cfRule type="cellIs" dxfId="2019" priority="33" operator="equal">
      <formula>"NY"</formula>
    </cfRule>
    <cfRule type="cellIs" dxfId="2018" priority="34" operator="equal">
      <formula>"DM"</formula>
    </cfRule>
    <cfRule type="cellIs" dxfId="2017" priority="35" operator="equal">
      <formula>"PM"</formula>
    </cfRule>
    <cfRule type="cellIs" dxfId="2016" priority="36" operator="equal">
      <formula>"LM"</formula>
    </cfRule>
    <cfRule type="cellIs" dxfId="2015" priority="37" operator="equal">
      <formula>"FM"</formula>
    </cfRule>
  </conditionalFormatting>
  <conditionalFormatting sqref="I36:J36">
    <cfRule type="cellIs" dxfId="2014" priority="31" operator="equal">
      <formula>"No"</formula>
    </cfRule>
    <cfRule type="cellIs" dxfId="2013" priority="32" operator="equal">
      <formula>"Yes"</formula>
    </cfRule>
  </conditionalFormatting>
  <conditionalFormatting sqref="Q36">
    <cfRule type="cellIs" dxfId="2012" priority="30" operator="equal">
      <formula>"Y"</formula>
    </cfRule>
  </conditionalFormatting>
  <conditionalFormatting sqref="I37">
    <cfRule type="cellIs" dxfId="2011" priority="28" operator="equal">
      <formula>"No"</formula>
    </cfRule>
    <cfRule type="cellIs" dxfId="2010" priority="29" operator="equal">
      <formula>"Yes"</formula>
    </cfRule>
  </conditionalFormatting>
  <conditionalFormatting sqref="Q37">
    <cfRule type="cellIs" dxfId="2009" priority="27" operator="equal">
      <formula>"Y"</formula>
    </cfRule>
  </conditionalFormatting>
  <conditionalFormatting sqref="I38">
    <cfRule type="cellIs" dxfId="2008" priority="25" operator="equal">
      <formula>"No"</formula>
    </cfRule>
    <cfRule type="cellIs" dxfId="2007" priority="26" operator="equal">
      <formula>"Yes"</formula>
    </cfRule>
  </conditionalFormatting>
  <conditionalFormatting sqref="Q38">
    <cfRule type="cellIs" dxfId="2006" priority="24" operator="equal">
      <formula>"Y"</formula>
    </cfRule>
  </conditionalFormatting>
  <conditionalFormatting sqref="O39">
    <cfRule type="cellIs" dxfId="2005" priority="22" operator="equal">
      <formula>"U"</formula>
    </cfRule>
    <cfRule type="cellIs" dxfId="2004" priority="23" operator="equal">
      <formula>"S"</formula>
    </cfRule>
  </conditionalFormatting>
  <conditionalFormatting sqref="Q39">
    <cfRule type="cellIs" dxfId="2003" priority="21" operator="equal">
      <formula>"Y"</formula>
    </cfRule>
  </conditionalFormatting>
  <conditionalFormatting sqref="O40">
    <cfRule type="cellIs" dxfId="2002" priority="16" operator="equal">
      <formula>"NY"</formula>
    </cfRule>
    <cfRule type="cellIs" dxfId="2001" priority="17" operator="equal">
      <formula>"DM"</formula>
    </cfRule>
    <cfRule type="cellIs" dxfId="2000" priority="18" operator="equal">
      <formula>"PM"</formula>
    </cfRule>
    <cfRule type="cellIs" dxfId="1999" priority="19" operator="equal">
      <formula>"LM"</formula>
    </cfRule>
    <cfRule type="cellIs" dxfId="1998" priority="20" operator="equal">
      <formula>"FM"</formula>
    </cfRule>
  </conditionalFormatting>
  <conditionalFormatting sqref="Q40">
    <cfRule type="cellIs" dxfId="1997" priority="15" operator="equal">
      <formula>"Y"</formula>
    </cfRule>
  </conditionalFormatting>
  <conditionalFormatting sqref="O41">
    <cfRule type="cellIs" dxfId="1996" priority="10" operator="equal">
      <formula>"NY"</formula>
    </cfRule>
    <cfRule type="cellIs" dxfId="1995" priority="11" operator="equal">
      <formula>"DM"</formula>
    </cfRule>
    <cfRule type="cellIs" dxfId="1994" priority="12" operator="equal">
      <formula>"PM"</formula>
    </cfRule>
    <cfRule type="cellIs" dxfId="1993" priority="13" operator="equal">
      <formula>"LM"</formula>
    </cfRule>
    <cfRule type="cellIs" dxfId="1992" priority="14" operator="equal">
      <formula>"FM"</formula>
    </cfRule>
  </conditionalFormatting>
  <conditionalFormatting sqref="I41:J41">
    <cfRule type="cellIs" dxfId="1991" priority="8" operator="equal">
      <formula>"No"</formula>
    </cfRule>
    <cfRule type="cellIs" dxfId="1990" priority="9" operator="equal">
      <formula>"Yes"</formula>
    </cfRule>
  </conditionalFormatting>
  <conditionalFormatting sqref="Q41">
    <cfRule type="cellIs" dxfId="1989" priority="7" operator="equal">
      <formula>"Y"</formula>
    </cfRule>
  </conditionalFormatting>
  <conditionalFormatting sqref="I42">
    <cfRule type="cellIs" dxfId="1988" priority="5" operator="equal">
      <formula>"No"</formula>
    </cfRule>
    <cfRule type="cellIs" dxfId="1987" priority="6" operator="equal">
      <formula>"Yes"</formula>
    </cfRule>
  </conditionalFormatting>
  <conditionalFormatting sqref="Q42">
    <cfRule type="cellIs" dxfId="1986" priority="4" operator="equal">
      <formula>"Y"</formula>
    </cfRule>
  </conditionalFormatting>
  <conditionalFormatting sqref="I43">
    <cfRule type="cellIs" dxfId="1985" priority="2" operator="equal">
      <formula>"No"</formula>
    </cfRule>
    <cfRule type="cellIs" dxfId="1984" priority="3" operator="equal">
      <formula>"Yes"</formula>
    </cfRule>
  </conditionalFormatting>
  <conditionalFormatting sqref="Q43">
    <cfRule type="cellIs" dxfId="1983" priority="1" operator="equal">
      <formula>"Y"</formula>
    </cfRule>
  </conditionalFormatting>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F70F1-BA9B-457E-8930-3EA674801EDE}">
  <sheetPr codeName="Sheet50"/>
  <dimension ref="A1:Q24"/>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1680</v>
      </c>
    </row>
    <row r="2" spans="1:17" s="61" customFormat="1" ht="21">
      <c r="A2" s="60" t="s">
        <v>2249</v>
      </c>
    </row>
    <row r="3" spans="1:17">
      <c r="A3" s="62" t="s">
        <v>1707</v>
      </c>
      <c r="B3" s="63" t="s">
        <v>1681</v>
      </c>
    </row>
    <row r="4" spans="1:17">
      <c r="A4" s="63" t="s">
        <v>1401</v>
      </c>
      <c r="B4" s="63" t="s">
        <v>2250</v>
      </c>
    </row>
    <row r="5" spans="1:17">
      <c r="A5" s="62" t="s">
        <v>1709</v>
      </c>
      <c r="B5" s="63" t="s">
        <v>1682</v>
      </c>
    </row>
    <row r="6" spans="1:17">
      <c r="A6" s="63" t="s">
        <v>1402</v>
      </c>
      <c r="B6" s="63" t="s">
        <v>2251</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1683</v>
      </c>
      <c r="C10" s="322" t="s">
        <v>1684</v>
      </c>
      <c r="D10" s="322"/>
      <c r="E10" s="322"/>
      <c r="F10" s="322"/>
      <c r="G10" s="322"/>
      <c r="H10" s="322"/>
      <c r="I10" s="20" t="s">
        <v>2252</v>
      </c>
      <c r="J10" s="20" t="s">
        <v>1685</v>
      </c>
      <c r="K10" s="11" t="s">
        <v>2253</v>
      </c>
      <c r="L10" s="11"/>
      <c r="M10" s="11"/>
      <c r="N10" s="11"/>
      <c r="O10" s="9"/>
      <c r="P10" s="10"/>
      <c r="Q10" s="9"/>
    </row>
    <row r="11" spans="1:17" s="57" customFormat="1" ht="51.6" customHeight="1">
      <c r="A11" s="56" t="s">
        <v>1386</v>
      </c>
      <c r="B11" s="3" t="s">
        <v>1686</v>
      </c>
      <c r="C11" s="322" t="s">
        <v>1687</v>
      </c>
      <c r="D11" s="322"/>
      <c r="E11" s="322"/>
      <c r="F11" s="322"/>
      <c r="G11" s="322"/>
      <c r="H11" s="322"/>
      <c r="I11" s="20" t="s">
        <v>2254</v>
      </c>
      <c r="J11" s="20" t="s">
        <v>2255</v>
      </c>
      <c r="K11" s="11" t="s">
        <v>2256</v>
      </c>
      <c r="L11" s="11"/>
      <c r="M11" s="11"/>
      <c r="N11" s="11"/>
      <c r="O11" s="9"/>
      <c r="P11" s="10"/>
      <c r="Q11" s="9"/>
    </row>
    <row r="12" spans="1:17" s="57" customFormat="1" ht="51.6" customHeight="1">
      <c r="A12" s="56" t="s">
        <v>1386</v>
      </c>
      <c r="B12" s="3" t="s">
        <v>1688</v>
      </c>
      <c r="C12" s="322" t="s">
        <v>2257</v>
      </c>
      <c r="D12" s="322"/>
      <c r="E12" s="322"/>
      <c r="F12" s="322"/>
      <c r="G12" s="322"/>
      <c r="H12" s="322"/>
      <c r="I12" s="20" t="s">
        <v>2258</v>
      </c>
      <c r="J12" s="20" t="s">
        <v>2259</v>
      </c>
      <c r="K12" s="11" t="s">
        <v>2260</v>
      </c>
      <c r="L12" s="11"/>
      <c r="M12" s="11"/>
      <c r="N12" s="11"/>
      <c r="O12" s="9"/>
      <c r="P12" s="10"/>
      <c r="Q12" s="9"/>
    </row>
    <row r="13" spans="1:17" s="57" customFormat="1" ht="51.6" customHeight="1">
      <c r="A13" s="56" t="s">
        <v>1386</v>
      </c>
      <c r="B13" s="3" t="s">
        <v>1689</v>
      </c>
      <c r="C13" s="322" t="s">
        <v>1690</v>
      </c>
      <c r="D13" s="322"/>
      <c r="E13" s="322"/>
      <c r="F13" s="322"/>
      <c r="G13" s="322"/>
      <c r="H13" s="322"/>
      <c r="I13" s="20" t="s">
        <v>2261</v>
      </c>
      <c r="J13" s="20" t="s">
        <v>2262</v>
      </c>
      <c r="K13" s="11" t="s">
        <v>2263</v>
      </c>
      <c r="L13" s="11"/>
      <c r="M13" s="11"/>
      <c r="N13" s="11"/>
      <c r="O13" s="9"/>
      <c r="P13" s="10"/>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1691</v>
      </c>
      <c r="C15" s="322" t="s">
        <v>1692</v>
      </c>
      <c r="D15" s="322"/>
      <c r="E15" s="322"/>
      <c r="F15" s="322"/>
      <c r="G15" s="322"/>
      <c r="H15" s="322"/>
      <c r="I15" s="20" t="s">
        <v>2264</v>
      </c>
      <c r="J15" s="20" t="s">
        <v>2265</v>
      </c>
      <c r="K15" s="11" t="s">
        <v>2266</v>
      </c>
      <c r="L15" s="11"/>
      <c r="M15" s="11"/>
      <c r="N15" s="11"/>
      <c r="O15" s="9"/>
      <c r="P15" s="10"/>
      <c r="Q15" s="9"/>
    </row>
    <row r="16" spans="1:17" s="57" customFormat="1" ht="51.6" customHeight="1">
      <c r="A16" s="56" t="s">
        <v>1386</v>
      </c>
      <c r="B16" s="3" t="s">
        <v>1693</v>
      </c>
      <c r="C16" s="322" t="s">
        <v>1694</v>
      </c>
      <c r="D16" s="322"/>
      <c r="E16" s="322"/>
      <c r="F16" s="322"/>
      <c r="G16" s="322"/>
      <c r="H16" s="322"/>
      <c r="I16" s="20" t="s">
        <v>2267</v>
      </c>
      <c r="J16" s="20" t="s">
        <v>2268</v>
      </c>
      <c r="K16" s="11" t="s">
        <v>2269</v>
      </c>
      <c r="L16" s="11"/>
      <c r="M16" s="11"/>
      <c r="N16" s="11"/>
      <c r="O16" s="9"/>
      <c r="P16" s="10"/>
      <c r="Q16" s="9"/>
    </row>
    <row r="17" spans="1:17" s="57" customFormat="1" ht="51.6" customHeight="1">
      <c r="A17" s="56" t="s">
        <v>1386</v>
      </c>
      <c r="B17" s="3" t="s">
        <v>1695</v>
      </c>
      <c r="C17" s="322" t="s">
        <v>1696</v>
      </c>
      <c r="D17" s="322"/>
      <c r="E17" s="322"/>
      <c r="F17" s="322"/>
      <c r="G17" s="322"/>
      <c r="H17" s="322"/>
      <c r="I17" s="20" t="s">
        <v>2270</v>
      </c>
      <c r="J17" s="20" t="s">
        <v>2271</v>
      </c>
      <c r="K17" s="11" t="s">
        <v>2272</v>
      </c>
      <c r="L17" s="11"/>
      <c r="M17" s="11"/>
      <c r="N17" s="11"/>
      <c r="O17" s="9"/>
      <c r="P17" s="10"/>
      <c r="Q17" s="9"/>
    </row>
    <row r="18" spans="1:17" s="57" customFormat="1" ht="51.6" customHeight="1">
      <c r="A18" s="56" t="s">
        <v>1386</v>
      </c>
      <c r="B18" s="3" t="s">
        <v>1697</v>
      </c>
      <c r="C18" s="322" t="s">
        <v>1698</v>
      </c>
      <c r="D18" s="322"/>
      <c r="E18" s="322"/>
      <c r="F18" s="322"/>
      <c r="G18" s="322"/>
      <c r="H18" s="322"/>
      <c r="I18" s="20" t="s">
        <v>2273</v>
      </c>
      <c r="J18" s="20" t="s">
        <v>2274</v>
      </c>
      <c r="K18" s="11" t="s">
        <v>2275</v>
      </c>
      <c r="L18" s="11"/>
      <c r="M18" s="11"/>
      <c r="N18" s="11"/>
      <c r="O18" s="9"/>
      <c r="P18" s="10"/>
      <c r="Q18" s="9"/>
    </row>
    <row r="19" spans="1:17" s="57" customFormat="1" ht="51.6" customHeight="1">
      <c r="A19" s="56" t="s">
        <v>1386</v>
      </c>
      <c r="B19" s="3" t="s">
        <v>1699</v>
      </c>
      <c r="C19" s="322" t="s">
        <v>1700</v>
      </c>
      <c r="D19" s="322"/>
      <c r="E19" s="322"/>
      <c r="F19" s="322"/>
      <c r="G19" s="322"/>
      <c r="H19" s="322"/>
      <c r="I19" s="20" t="s">
        <v>2276</v>
      </c>
      <c r="J19" s="20" t="s">
        <v>2277</v>
      </c>
      <c r="K19" s="11" t="s">
        <v>2278</v>
      </c>
      <c r="L19" s="11"/>
      <c r="M19" s="11"/>
      <c r="N19" s="11"/>
      <c r="O19" s="9"/>
      <c r="P19" s="10"/>
      <c r="Q19" s="9"/>
    </row>
    <row r="20" spans="1:17" s="55" customFormat="1" ht="13.8">
      <c r="A20" s="54" t="s">
        <v>1385</v>
      </c>
      <c r="B20" s="17" t="s">
        <v>29</v>
      </c>
      <c r="C20" s="18"/>
      <c r="D20" s="18"/>
      <c r="E20" s="18"/>
      <c r="F20" s="18"/>
      <c r="G20" s="18"/>
      <c r="H20" s="18"/>
      <c r="I20" s="18"/>
      <c r="J20" s="18"/>
      <c r="K20" s="18"/>
      <c r="L20" s="8"/>
      <c r="M20" s="8"/>
      <c r="N20" s="8"/>
      <c r="O20" s="9"/>
      <c r="P20" s="10"/>
      <c r="Q20" s="9"/>
    </row>
    <row r="21" spans="1:17" s="57" customFormat="1" ht="51.6" customHeight="1">
      <c r="A21" s="56" t="s">
        <v>1386</v>
      </c>
      <c r="B21" s="3" t="s">
        <v>1701</v>
      </c>
      <c r="C21" s="322" t="s">
        <v>1702</v>
      </c>
      <c r="D21" s="322"/>
      <c r="E21" s="322"/>
      <c r="F21" s="322"/>
      <c r="G21" s="322"/>
      <c r="H21" s="322"/>
      <c r="I21" s="20" t="s">
        <v>2279</v>
      </c>
      <c r="J21" s="20" t="s">
        <v>2280</v>
      </c>
      <c r="K21" s="11" t="s">
        <v>2281</v>
      </c>
      <c r="L21" s="11"/>
      <c r="M21" s="11"/>
      <c r="N21" s="11"/>
      <c r="O21" s="9"/>
      <c r="P21" s="10"/>
      <c r="Q21" s="9"/>
    </row>
    <row r="22" spans="1:17" s="57" customFormat="1" ht="51.6" customHeight="1">
      <c r="A22" s="56" t="s">
        <v>1386</v>
      </c>
      <c r="B22" s="3" t="s">
        <v>1703</v>
      </c>
      <c r="C22" s="322" t="s">
        <v>1704</v>
      </c>
      <c r="D22" s="322"/>
      <c r="E22" s="322"/>
      <c r="F22" s="322"/>
      <c r="G22" s="322"/>
      <c r="H22" s="322"/>
      <c r="I22" s="20" t="s">
        <v>2282</v>
      </c>
      <c r="J22" s="20" t="s">
        <v>2283</v>
      </c>
      <c r="K22" s="11" t="s">
        <v>2284</v>
      </c>
      <c r="L22" s="11"/>
      <c r="M22" s="11"/>
      <c r="N22" s="11"/>
      <c r="O22" s="9"/>
      <c r="P22" s="10"/>
      <c r="Q22" s="9"/>
    </row>
    <row r="23" spans="1:17" s="55" customFormat="1" ht="13.8">
      <c r="A23" s="54" t="s">
        <v>1385</v>
      </c>
      <c r="B23" s="17" t="s">
        <v>371</v>
      </c>
      <c r="C23" s="18"/>
      <c r="D23" s="18"/>
      <c r="E23" s="18"/>
      <c r="F23" s="18"/>
      <c r="G23" s="18"/>
      <c r="H23" s="18"/>
      <c r="I23" s="18"/>
      <c r="J23" s="18"/>
      <c r="K23" s="18"/>
      <c r="L23" s="8"/>
      <c r="M23" s="8"/>
      <c r="N23" s="8"/>
      <c r="O23" s="9"/>
      <c r="P23" s="10"/>
      <c r="Q23" s="9"/>
    </row>
    <row r="24" spans="1:17" s="57" customFormat="1" ht="51.6" customHeight="1">
      <c r="A24" s="56" t="s">
        <v>1386</v>
      </c>
      <c r="B24" s="3" t="s">
        <v>1705</v>
      </c>
      <c r="C24" s="322" t="s">
        <v>1706</v>
      </c>
      <c r="D24" s="322"/>
      <c r="E24" s="322"/>
      <c r="F24" s="322"/>
      <c r="G24" s="322"/>
      <c r="H24" s="322"/>
      <c r="I24" s="20" t="s">
        <v>2285</v>
      </c>
      <c r="J24" s="20" t="s">
        <v>2286</v>
      </c>
      <c r="K24" s="11" t="s">
        <v>2287</v>
      </c>
      <c r="L24" s="11"/>
      <c r="M24" s="11"/>
      <c r="N24" s="11"/>
      <c r="O24" s="9"/>
      <c r="P24" s="10"/>
      <c r="Q24" s="9"/>
    </row>
  </sheetData>
  <mergeCells count="12">
    <mergeCell ref="C24:H24"/>
    <mergeCell ref="C10:H10"/>
    <mergeCell ref="C11:H11"/>
    <mergeCell ref="C12:H12"/>
    <mergeCell ref="C13:H13"/>
    <mergeCell ref="C15:H15"/>
    <mergeCell ref="C16:H16"/>
    <mergeCell ref="C17:H17"/>
    <mergeCell ref="C18:H18"/>
    <mergeCell ref="C19:H19"/>
    <mergeCell ref="C21:H21"/>
    <mergeCell ref="C22:H22"/>
  </mergeCells>
  <conditionalFormatting sqref="O9">
    <cfRule type="cellIs" dxfId="1982" priority="83" operator="equal">
      <formula>"U"</formula>
    </cfRule>
    <cfRule type="cellIs" dxfId="1981" priority="84" operator="equal">
      <formula>"S"</formula>
    </cfRule>
  </conditionalFormatting>
  <conditionalFormatting sqref="Q9">
    <cfRule type="cellIs" dxfId="1980" priority="82" operator="equal">
      <formula>"Y"</formula>
    </cfRule>
  </conditionalFormatting>
  <conditionalFormatting sqref="O10">
    <cfRule type="cellIs" dxfId="1979" priority="77" operator="equal">
      <formula>"NY"</formula>
    </cfRule>
    <cfRule type="cellIs" dxfId="1978" priority="78" operator="equal">
      <formula>"DM"</formula>
    </cfRule>
    <cfRule type="cellIs" dxfId="1977" priority="79" operator="equal">
      <formula>"PM"</formula>
    </cfRule>
    <cfRule type="cellIs" dxfId="1976" priority="80" operator="equal">
      <formula>"LM"</formula>
    </cfRule>
    <cfRule type="cellIs" dxfId="1975" priority="81" operator="equal">
      <formula>"FM"</formula>
    </cfRule>
  </conditionalFormatting>
  <conditionalFormatting sqref="Q10">
    <cfRule type="cellIs" dxfId="1974" priority="76" operator="equal">
      <formula>"Y"</formula>
    </cfRule>
  </conditionalFormatting>
  <conditionalFormatting sqref="O11">
    <cfRule type="cellIs" dxfId="1973" priority="71" operator="equal">
      <formula>"NY"</formula>
    </cfRule>
    <cfRule type="cellIs" dxfId="1972" priority="72" operator="equal">
      <formula>"DM"</formula>
    </cfRule>
    <cfRule type="cellIs" dxfId="1971" priority="73" operator="equal">
      <formula>"PM"</formula>
    </cfRule>
    <cfRule type="cellIs" dxfId="1970" priority="74" operator="equal">
      <formula>"LM"</formula>
    </cfRule>
    <cfRule type="cellIs" dxfId="1969" priority="75" operator="equal">
      <formula>"FM"</formula>
    </cfRule>
  </conditionalFormatting>
  <conditionalFormatting sqref="Q11">
    <cfRule type="cellIs" dxfId="1968" priority="70" operator="equal">
      <formula>"Y"</formula>
    </cfRule>
  </conditionalFormatting>
  <conditionalFormatting sqref="O12">
    <cfRule type="cellIs" dxfId="1967" priority="65" operator="equal">
      <formula>"NY"</formula>
    </cfRule>
    <cfRule type="cellIs" dxfId="1966" priority="66" operator="equal">
      <formula>"DM"</formula>
    </cfRule>
    <cfRule type="cellIs" dxfId="1965" priority="67" operator="equal">
      <formula>"PM"</formula>
    </cfRule>
    <cfRule type="cellIs" dxfId="1964" priority="68" operator="equal">
      <formula>"LM"</formula>
    </cfRule>
    <cfRule type="cellIs" dxfId="1963" priority="69" operator="equal">
      <formula>"FM"</formula>
    </cfRule>
  </conditionalFormatting>
  <conditionalFormatting sqref="Q12">
    <cfRule type="cellIs" dxfId="1962" priority="64" operator="equal">
      <formula>"Y"</formula>
    </cfRule>
  </conditionalFormatting>
  <conditionalFormatting sqref="O13">
    <cfRule type="cellIs" dxfId="1961" priority="59" operator="equal">
      <formula>"NY"</formula>
    </cfRule>
    <cfRule type="cellIs" dxfId="1960" priority="60" operator="equal">
      <formula>"DM"</formula>
    </cfRule>
    <cfRule type="cellIs" dxfId="1959" priority="61" operator="equal">
      <formula>"PM"</formula>
    </cfRule>
    <cfRule type="cellIs" dxfId="1958" priority="62" operator="equal">
      <formula>"LM"</formula>
    </cfRule>
    <cfRule type="cellIs" dxfId="1957" priority="63" operator="equal">
      <formula>"FM"</formula>
    </cfRule>
  </conditionalFormatting>
  <conditionalFormatting sqref="Q13">
    <cfRule type="cellIs" dxfId="1956" priority="58" operator="equal">
      <formula>"Y"</formula>
    </cfRule>
  </conditionalFormatting>
  <conditionalFormatting sqref="O14">
    <cfRule type="cellIs" dxfId="1955" priority="56" operator="equal">
      <formula>"U"</formula>
    </cfRule>
    <cfRule type="cellIs" dxfId="1954" priority="57" operator="equal">
      <formula>"S"</formula>
    </cfRule>
  </conditionalFormatting>
  <conditionalFormatting sqref="Q14">
    <cfRule type="cellIs" dxfId="1953" priority="55" operator="equal">
      <formula>"Y"</formula>
    </cfRule>
  </conditionalFormatting>
  <conditionalFormatting sqref="O15">
    <cfRule type="cellIs" dxfId="1952" priority="50" operator="equal">
      <formula>"NY"</formula>
    </cfRule>
    <cfRule type="cellIs" dxfId="1951" priority="51" operator="equal">
      <formula>"DM"</formula>
    </cfRule>
    <cfRule type="cellIs" dxfId="1950" priority="52" operator="equal">
      <formula>"PM"</formula>
    </cfRule>
    <cfRule type="cellIs" dxfId="1949" priority="53" operator="equal">
      <formula>"LM"</formula>
    </cfRule>
    <cfRule type="cellIs" dxfId="1948" priority="54" operator="equal">
      <formula>"FM"</formula>
    </cfRule>
  </conditionalFormatting>
  <conditionalFormatting sqref="Q15">
    <cfRule type="cellIs" dxfId="1947" priority="49" operator="equal">
      <formula>"Y"</formula>
    </cfRule>
  </conditionalFormatting>
  <conditionalFormatting sqref="O16">
    <cfRule type="cellIs" dxfId="1946" priority="44" operator="equal">
      <formula>"NY"</formula>
    </cfRule>
    <cfRule type="cellIs" dxfId="1945" priority="45" operator="equal">
      <formula>"DM"</formula>
    </cfRule>
    <cfRule type="cellIs" dxfId="1944" priority="46" operator="equal">
      <formula>"PM"</formula>
    </cfRule>
    <cfRule type="cellIs" dxfId="1943" priority="47" operator="equal">
      <formula>"LM"</formula>
    </cfRule>
    <cfRule type="cellIs" dxfId="1942" priority="48" operator="equal">
      <formula>"FM"</formula>
    </cfRule>
  </conditionalFormatting>
  <conditionalFormatting sqref="Q16">
    <cfRule type="cellIs" dxfId="1941" priority="43" operator="equal">
      <formula>"Y"</formula>
    </cfRule>
  </conditionalFormatting>
  <conditionalFormatting sqref="O17">
    <cfRule type="cellIs" dxfId="1940" priority="38" operator="equal">
      <formula>"NY"</formula>
    </cfRule>
    <cfRule type="cellIs" dxfId="1939" priority="39" operator="equal">
      <formula>"DM"</formula>
    </cfRule>
    <cfRule type="cellIs" dxfId="1938" priority="40" operator="equal">
      <formula>"PM"</formula>
    </cfRule>
    <cfRule type="cellIs" dxfId="1937" priority="41" operator="equal">
      <formula>"LM"</formula>
    </cfRule>
    <cfRule type="cellIs" dxfId="1936" priority="42" operator="equal">
      <formula>"FM"</formula>
    </cfRule>
  </conditionalFormatting>
  <conditionalFormatting sqref="Q17">
    <cfRule type="cellIs" dxfId="1935" priority="37" operator="equal">
      <formula>"Y"</formula>
    </cfRule>
  </conditionalFormatting>
  <conditionalFormatting sqref="O18">
    <cfRule type="cellIs" dxfId="1934" priority="32" operator="equal">
      <formula>"NY"</formula>
    </cfRule>
    <cfRule type="cellIs" dxfId="1933" priority="33" operator="equal">
      <formula>"DM"</formula>
    </cfRule>
    <cfRule type="cellIs" dxfId="1932" priority="34" operator="equal">
      <formula>"PM"</formula>
    </cfRule>
    <cfRule type="cellIs" dxfId="1931" priority="35" operator="equal">
      <formula>"LM"</formula>
    </cfRule>
    <cfRule type="cellIs" dxfId="1930" priority="36" operator="equal">
      <formula>"FM"</formula>
    </cfRule>
  </conditionalFormatting>
  <conditionalFormatting sqref="Q18">
    <cfRule type="cellIs" dxfId="1929" priority="31" operator="equal">
      <formula>"Y"</formula>
    </cfRule>
  </conditionalFormatting>
  <conditionalFormatting sqref="O19">
    <cfRule type="cellIs" dxfId="1928" priority="26" operator="equal">
      <formula>"NY"</formula>
    </cfRule>
    <cfRule type="cellIs" dxfId="1927" priority="27" operator="equal">
      <formula>"DM"</formula>
    </cfRule>
    <cfRule type="cellIs" dxfId="1926" priority="28" operator="equal">
      <formula>"PM"</formula>
    </cfRule>
    <cfRule type="cellIs" dxfId="1925" priority="29" operator="equal">
      <formula>"LM"</formula>
    </cfRule>
    <cfRule type="cellIs" dxfId="1924" priority="30" operator="equal">
      <formula>"FM"</formula>
    </cfRule>
  </conditionalFormatting>
  <conditionalFormatting sqref="Q19">
    <cfRule type="cellIs" dxfId="1923" priority="25" operator="equal">
      <formula>"Y"</formula>
    </cfRule>
  </conditionalFormatting>
  <conditionalFormatting sqref="O20">
    <cfRule type="cellIs" dxfId="1922" priority="23" operator="equal">
      <formula>"U"</formula>
    </cfRule>
    <cfRule type="cellIs" dxfId="1921" priority="24" operator="equal">
      <formula>"S"</formula>
    </cfRule>
  </conditionalFormatting>
  <conditionalFormatting sqref="Q20">
    <cfRule type="cellIs" dxfId="1920" priority="22" operator="equal">
      <formula>"Y"</formula>
    </cfRule>
  </conditionalFormatting>
  <conditionalFormatting sqref="O21">
    <cfRule type="cellIs" dxfId="1919" priority="17" operator="equal">
      <formula>"NY"</formula>
    </cfRule>
    <cfRule type="cellIs" dxfId="1918" priority="18" operator="equal">
      <formula>"DM"</formula>
    </cfRule>
    <cfRule type="cellIs" dxfId="1917" priority="19" operator="equal">
      <formula>"PM"</formula>
    </cfRule>
    <cfRule type="cellIs" dxfId="1916" priority="20" operator="equal">
      <formula>"LM"</formula>
    </cfRule>
    <cfRule type="cellIs" dxfId="1915" priority="21" operator="equal">
      <formula>"FM"</formula>
    </cfRule>
  </conditionalFormatting>
  <conditionalFormatting sqref="Q21">
    <cfRule type="cellIs" dxfId="1914" priority="16" operator="equal">
      <formula>"Y"</formula>
    </cfRule>
  </conditionalFormatting>
  <conditionalFormatting sqref="O22">
    <cfRule type="cellIs" dxfId="1913" priority="11" operator="equal">
      <formula>"NY"</formula>
    </cfRule>
    <cfRule type="cellIs" dxfId="1912" priority="12" operator="equal">
      <formula>"DM"</formula>
    </cfRule>
    <cfRule type="cellIs" dxfId="1911" priority="13" operator="equal">
      <formula>"PM"</formula>
    </cfRule>
    <cfRule type="cellIs" dxfId="1910" priority="14" operator="equal">
      <formula>"LM"</formula>
    </cfRule>
    <cfRule type="cellIs" dxfId="1909" priority="15" operator="equal">
      <formula>"FM"</formula>
    </cfRule>
  </conditionalFormatting>
  <conditionalFormatting sqref="Q22">
    <cfRule type="cellIs" dxfId="1908" priority="10" operator="equal">
      <formula>"Y"</formula>
    </cfRule>
  </conditionalFormatting>
  <conditionalFormatting sqref="O23">
    <cfRule type="cellIs" dxfId="1907" priority="8" operator="equal">
      <formula>"U"</formula>
    </cfRule>
    <cfRule type="cellIs" dxfId="1906" priority="9" operator="equal">
      <formula>"S"</formula>
    </cfRule>
  </conditionalFormatting>
  <conditionalFormatting sqref="Q23">
    <cfRule type="cellIs" dxfId="1905" priority="7" operator="equal">
      <formula>"Y"</formula>
    </cfRule>
  </conditionalFormatting>
  <conditionalFormatting sqref="O24">
    <cfRule type="cellIs" dxfId="1904" priority="2" operator="equal">
      <formula>"NY"</formula>
    </cfRule>
    <cfRule type="cellIs" dxfId="1903" priority="3" operator="equal">
      <formula>"DM"</formula>
    </cfRule>
    <cfRule type="cellIs" dxfId="1902" priority="4" operator="equal">
      <formula>"PM"</formula>
    </cfRule>
    <cfRule type="cellIs" dxfId="1901" priority="5" operator="equal">
      <formula>"LM"</formula>
    </cfRule>
    <cfRule type="cellIs" dxfId="1900" priority="6" operator="equal">
      <formula>"FM"</formula>
    </cfRule>
  </conditionalFormatting>
  <conditionalFormatting sqref="Q24">
    <cfRule type="cellIs" dxfId="1899" priority="1" operator="equal">
      <formula>"Y"</formula>
    </cfRule>
  </conditionalFormatting>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1BB4-DBD7-4B18-AC00-188EC0543FAC}">
  <sheetPr codeName="Sheet51"/>
  <dimension ref="A1:Q166"/>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1455</v>
      </c>
    </row>
    <row r="2" spans="1:17" s="61" customFormat="1" ht="21">
      <c r="A2" s="60" t="s">
        <v>1456</v>
      </c>
    </row>
    <row r="3" spans="1:17">
      <c r="A3" s="62" t="s">
        <v>1707</v>
      </c>
      <c r="B3" s="63" t="s">
        <v>1457</v>
      </c>
    </row>
    <row r="4" spans="1:17">
      <c r="A4" s="63" t="s">
        <v>1401</v>
      </c>
      <c r="B4" s="63" t="s">
        <v>1458</v>
      </c>
    </row>
    <row r="5" spans="1:17">
      <c r="A5" s="62" t="s">
        <v>1709</v>
      </c>
      <c r="B5" s="63" t="s">
        <v>1459</v>
      </c>
    </row>
    <row r="6" spans="1:17">
      <c r="A6" s="63" t="s">
        <v>1402</v>
      </c>
      <c r="B6" s="63" t="s">
        <v>1460</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1097</v>
      </c>
      <c r="C10" s="322" t="s">
        <v>1461</v>
      </c>
      <c r="D10" s="322"/>
      <c r="E10" s="322"/>
      <c r="F10" s="322"/>
      <c r="G10" s="322"/>
      <c r="H10" s="322"/>
      <c r="I10" s="20" t="s">
        <v>2288</v>
      </c>
      <c r="J10" s="20" t="s">
        <v>2289</v>
      </c>
      <c r="K10" s="11" t="s">
        <v>2290</v>
      </c>
      <c r="L10" s="11"/>
      <c r="M10" s="11"/>
      <c r="N10" s="11"/>
      <c r="O10" s="9"/>
      <c r="P10" s="10"/>
      <c r="Q10" s="9"/>
    </row>
    <row r="11" spans="1:17" s="58" customFormat="1" ht="13.8">
      <c r="A11" s="54" t="s">
        <v>1389</v>
      </c>
      <c r="B11" s="20" t="s">
        <v>1097</v>
      </c>
      <c r="C11" s="323" t="s">
        <v>1356</v>
      </c>
      <c r="D11" s="324"/>
      <c r="E11" s="324"/>
      <c r="F11" s="324"/>
      <c r="G11" s="324"/>
      <c r="H11" s="324"/>
      <c r="I11" s="324"/>
      <c r="J11" s="324"/>
      <c r="K11" s="325"/>
      <c r="L11" s="9"/>
      <c r="M11" s="9"/>
      <c r="N11" s="9"/>
      <c r="O11" s="9"/>
      <c r="P11" s="9"/>
      <c r="Q11" s="9"/>
    </row>
    <row r="12" spans="1:17" s="58" customFormat="1" ht="13.8">
      <c r="A12" s="54" t="s">
        <v>1391</v>
      </c>
      <c r="B12" s="19" t="s">
        <v>1097</v>
      </c>
      <c r="C12" s="326" t="s">
        <v>1727</v>
      </c>
      <c r="D12" s="327"/>
      <c r="E12" s="327"/>
      <c r="F12" s="327"/>
      <c r="G12" s="328"/>
      <c r="H12" s="4" t="s">
        <v>1728</v>
      </c>
      <c r="I12" s="9"/>
      <c r="J12" s="9"/>
      <c r="K12" s="9"/>
      <c r="L12" s="9"/>
      <c r="M12" s="9"/>
      <c r="N12" s="9"/>
      <c r="O12" s="9"/>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8" customFormat="1" ht="13.8">
      <c r="A14" s="54" t="s">
        <v>1389</v>
      </c>
      <c r="B14" s="20" t="s">
        <v>1097</v>
      </c>
      <c r="C14" s="323" t="s">
        <v>1357</v>
      </c>
      <c r="D14" s="324"/>
      <c r="E14" s="324"/>
      <c r="F14" s="324"/>
      <c r="G14" s="324"/>
      <c r="H14" s="324"/>
      <c r="I14" s="324"/>
      <c r="J14" s="324"/>
      <c r="K14" s="325"/>
      <c r="L14" s="9"/>
      <c r="M14" s="9"/>
      <c r="N14" s="9"/>
      <c r="O14" s="9"/>
      <c r="P14" s="9"/>
      <c r="Q14" s="9"/>
    </row>
    <row r="15" spans="1:17" s="58" customFormat="1" ht="13.8">
      <c r="A15" s="54" t="s">
        <v>1391</v>
      </c>
      <c r="B15" s="19" t="s">
        <v>1097</v>
      </c>
      <c r="C15" s="326" t="s">
        <v>2033</v>
      </c>
      <c r="D15" s="327"/>
      <c r="E15" s="327"/>
      <c r="F15" s="327"/>
      <c r="G15" s="328"/>
      <c r="H15" s="4" t="s">
        <v>2034</v>
      </c>
      <c r="I15" s="9"/>
      <c r="J15" s="9"/>
      <c r="K15" s="9"/>
      <c r="L15" s="9"/>
      <c r="M15" s="9"/>
      <c r="N15" s="9"/>
      <c r="O15" s="9"/>
      <c r="P15" s="9"/>
      <c r="Q15" s="9"/>
    </row>
    <row r="16" spans="1:17" s="58" customFormat="1" ht="13.8">
      <c r="A16" s="5" t="s">
        <v>1394</v>
      </c>
      <c r="B16" s="5" t="s">
        <v>2033</v>
      </c>
      <c r="C16" s="59" t="s">
        <v>1395</v>
      </c>
      <c r="D16" s="6" t="s">
        <v>97</v>
      </c>
      <c r="E16" s="6" t="s">
        <v>98</v>
      </c>
      <c r="F16" s="6" t="s">
        <v>1396</v>
      </c>
      <c r="G16" s="6" t="s">
        <v>1397</v>
      </c>
      <c r="H16" s="7"/>
      <c r="I16" s="9"/>
      <c r="J16" s="7"/>
      <c r="K16" s="12"/>
      <c r="L16" s="6"/>
      <c r="M16" s="6"/>
      <c r="N16" s="12"/>
      <c r="O16" s="7"/>
      <c r="P16" s="9"/>
      <c r="Q16" s="9"/>
    </row>
    <row r="17" spans="1:17" s="58" customFormat="1" ht="13.8">
      <c r="A17" s="54" t="s">
        <v>1389</v>
      </c>
      <c r="B17" s="20" t="s">
        <v>1097</v>
      </c>
      <c r="C17" s="323" t="s">
        <v>2291</v>
      </c>
      <c r="D17" s="324"/>
      <c r="E17" s="324"/>
      <c r="F17" s="324"/>
      <c r="G17" s="324"/>
      <c r="H17" s="324"/>
      <c r="I17" s="324"/>
      <c r="J17" s="324"/>
      <c r="K17" s="325"/>
      <c r="L17" s="9"/>
      <c r="M17" s="9"/>
      <c r="N17" s="9"/>
      <c r="O17" s="9"/>
      <c r="P17" s="9"/>
      <c r="Q17" s="9"/>
    </row>
    <row r="18" spans="1:17" s="58" customFormat="1" ht="13.8">
      <c r="A18" s="54" t="s">
        <v>1391</v>
      </c>
      <c r="B18" s="19" t="s">
        <v>1097</v>
      </c>
      <c r="C18" s="326" t="s">
        <v>2198</v>
      </c>
      <c r="D18" s="327"/>
      <c r="E18" s="327"/>
      <c r="F18" s="327"/>
      <c r="G18" s="328"/>
      <c r="H18" s="4" t="s">
        <v>2199</v>
      </c>
      <c r="I18" s="9"/>
      <c r="J18" s="9"/>
      <c r="K18" s="9"/>
      <c r="L18" s="9"/>
      <c r="M18" s="9"/>
      <c r="N18" s="9"/>
      <c r="O18" s="9"/>
      <c r="P18" s="9"/>
      <c r="Q18" s="9"/>
    </row>
    <row r="19" spans="1:17" s="58" customFormat="1" ht="13.8">
      <c r="A19" s="5" t="s">
        <v>1394</v>
      </c>
      <c r="B19" s="5" t="s">
        <v>2198</v>
      </c>
      <c r="C19" s="59" t="s">
        <v>1395</v>
      </c>
      <c r="D19" s="6" t="s">
        <v>97</v>
      </c>
      <c r="E19" s="6" t="s">
        <v>98</v>
      </c>
      <c r="F19" s="6" t="s">
        <v>1396</v>
      </c>
      <c r="G19" s="6" t="s">
        <v>1397</v>
      </c>
      <c r="H19" s="7"/>
      <c r="I19" s="9"/>
      <c r="J19" s="7"/>
      <c r="K19" s="12"/>
      <c r="L19" s="6"/>
      <c r="M19" s="6"/>
      <c r="N19" s="12"/>
      <c r="O19" s="7"/>
      <c r="P19" s="9"/>
      <c r="Q19" s="9"/>
    </row>
    <row r="20" spans="1:17" s="58" customFormat="1" ht="13.8">
      <c r="A20" s="54" t="s">
        <v>1389</v>
      </c>
      <c r="B20" s="20" t="s">
        <v>1097</v>
      </c>
      <c r="C20" s="323" t="s">
        <v>1359</v>
      </c>
      <c r="D20" s="324"/>
      <c r="E20" s="324"/>
      <c r="F20" s="324"/>
      <c r="G20" s="324"/>
      <c r="H20" s="324"/>
      <c r="I20" s="324"/>
      <c r="J20" s="324"/>
      <c r="K20" s="325"/>
      <c r="L20" s="9"/>
      <c r="M20" s="9"/>
      <c r="N20" s="9"/>
      <c r="O20" s="9"/>
      <c r="P20" s="9"/>
      <c r="Q20" s="9"/>
    </row>
    <row r="21" spans="1:17" s="58" customFormat="1" ht="13.8">
      <c r="A21" s="54" t="s">
        <v>1391</v>
      </c>
      <c r="B21" s="19" t="s">
        <v>1097</v>
      </c>
      <c r="C21" s="326" t="s">
        <v>1905</v>
      </c>
      <c r="D21" s="327"/>
      <c r="E21" s="327"/>
      <c r="F21" s="327"/>
      <c r="G21" s="328"/>
      <c r="H21" s="4" t="s">
        <v>1977</v>
      </c>
      <c r="I21" s="9"/>
      <c r="J21" s="9"/>
      <c r="K21" s="9"/>
      <c r="L21" s="9"/>
      <c r="M21" s="9"/>
      <c r="N21" s="9"/>
      <c r="O21" s="9"/>
      <c r="P21" s="9"/>
      <c r="Q21" s="9"/>
    </row>
    <row r="22" spans="1:17" s="58" customFormat="1" ht="13.8">
      <c r="A22" s="5" t="s">
        <v>1394</v>
      </c>
      <c r="B22" s="5" t="s">
        <v>1905</v>
      </c>
      <c r="C22" s="59" t="s">
        <v>1395</v>
      </c>
      <c r="D22" s="6" t="s">
        <v>97</v>
      </c>
      <c r="E22" s="6" t="s">
        <v>98</v>
      </c>
      <c r="F22" s="6" t="s">
        <v>1396</v>
      </c>
      <c r="G22" s="6" t="s">
        <v>1397</v>
      </c>
      <c r="H22" s="7"/>
      <c r="I22" s="9"/>
      <c r="J22" s="7"/>
      <c r="K22" s="12"/>
      <c r="L22" s="6"/>
      <c r="M22" s="6"/>
      <c r="N22" s="12"/>
      <c r="O22" s="7"/>
      <c r="P22" s="9"/>
      <c r="Q22" s="9"/>
    </row>
    <row r="23" spans="1:17" s="58" customFormat="1" ht="13.8">
      <c r="A23" s="54" t="s">
        <v>1389</v>
      </c>
      <c r="B23" s="20" t="s">
        <v>1097</v>
      </c>
      <c r="C23" s="323" t="s">
        <v>1362</v>
      </c>
      <c r="D23" s="324"/>
      <c r="E23" s="324"/>
      <c r="F23" s="324"/>
      <c r="G23" s="324"/>
      <c r="H23" s="324"/>
      <c r="I23" s="324"/>
      <c r="J23" s="324"/>
      <c r="K23" s="325"/>
      <c r="L23" s="9"/>
      <c r="M23" s="9"/>
      <c r="N23" s="9"/>
      <c r="O23" s="9"/>
      <c r="P23" s="9"/>
      <c r="Q23" s="9"/>
    </row>
    <row r="24" spans="1:17" s="58" customFormat="1" ht="13.8">
      <c r="A24" s="54" t="s">
        <v>1391</v>
      </c>
      <c r="B24" s="19" t="s">
        <v>1097</v>
      </c>
      <c r="C24" s="326" t="s">
        <v>1905</v>
      </c>
      <c r="D24" s="327"/>
      <c r="E24" s="327"/>
      <c r="F24" s="327"/>
      <c r="G24" s="328"/>
      <c r="H24" s="4" t="s">
        <v>1977</v>
      </c>
      <c r="I24" s="9"/>
      <c r="J24" s="9"/>
      <c r="K24" s="9"/>
      <c r="L24" s="9"/>
      <c r="M24" s="9"/>
      <c r="N24" s="9"/>
      <c r="O24" s="9"/>
      <c r="P24" s="9"/>
      <c r="Q24" s="9"/>
    </row>
    <row r="25" spans="1:17" s="58" customFormat="1" ht="13.8">
      <c r="A25" s="5" t="s">
        <v>1394</v>
      </c>
      <c r="B25" s="5" t="s">
        <v>1905</v>
      </c>
      <c r="C25" s="59" t="s">
        <v>1395</v>
      </c>
      <c r="D25" s="6" t="s">
        <v>97</v>
      </c>
      <c r="E25" s="6" t="s">
        <v>98</v>
      </c>
      <c r="F25" s="6" t="s">
        <v>1396</v>
      </c>
      <c r="G25" s="6" t="s">
        <v>1397</v>
      </c>
      <c r="H25" s="7"/>
      <c r="I25" s="9"/>
      <c r="J25" s="7"/>
      <c r="K25" s="12"/>
      <c r="L25" s="6"/>
      <c r="M25" s="6"/>
      <c r="N25" s="12"/>
      <c r="O25" s="7"/>
      <c r="P25" s="9"/>
      <c r="Q25" s="9"/>
    </row>
    <row r="26" spans="1:17" s="58" customFormat="1" ht="13.8">
      <c r="A26" s="54" t="s">
        <v>1389</v>
      </c>
      <c r="B26" s="20" t="s">
        <v>1097</v>
      </c>
      <c r="C26" s="323" t="s">
        <v>2292</v>
      </c>
      <c r="D26" s="324"/>
      <c r="E26" s="324"/>
      <c r="F26" s="324"/>
      <c r="G26" s="324"/>
      <c r="H26" s="324"/>
      <c r="I26" s="324"/>
      <c r="J26" s="324"/>
      <c r="K26" s="325"/>
      <c r="L26" s="9"/>
      <c r="M26" s="9"/>
      <c r="N26" s="9"/>
      <c r="O26" s="9"/>
      <c r="P26" s="9"/>
      <c r="Q26" s="9"/>
    </row>
    <row r="27" spans="1:17" s="58" customFormat="1" ht="13.8">
      <c r="A27" s="54" t="s">
        <v>1391</v>
      </c>
      <c r="B27" s="19" t="s">
        <v>1097</v>
      </c>
      <c r="C27" s="326" t="s">
        <v>2055</v>
      </c>
      <c r="D27" s="327"/>
      <c r="E27" s="327"/>
      <c r="F27" s="327"/>
      <c r="G27" s="328"/>
      <c r="H27" s="4" t="s">
        <v>2056</v>
      </c>
      <c r="I27" s="9"/>
      <c r="J27" s="9"/>
      <c r="K27" s="9"/>
      <c r="L27" s="9"/>
      <c r="M27" s="9"/>
      <c r="N27" s="9"/>
      <c r="O27" s="9"/>
      <c r="P27" s="9"/>
      <c r="Q27" s="9"/>
    </row>
    <row r="28" spans="1:17" s="58" customFormat="1" ht="13.8">
      <c r="A28" s="5" t="s">
        <v>1394</v>
      </c>
      <c r="B28" s="5" t="s">
        <v>2055</v>
      </c>
      <c r="C28" s="59" t="s">
        <v>1395</v>
      </c>
      <c r="D28" s="6" t="s">
        <v>97</v>
      </c>
      <c r="E28" s="6" t="s">
        <v>98</v>
      </c>
      <c r="F28" s="6" t="s">
        <v>1396</v>
      </c>
      <c r="G28" s="6" t="s">
        <v>1397</v>
      </c>
      <c r="H28" s="7"/>
      <c r="I28" s="9"/>
      <c r="J28" s="7"/>
      <c r="K28" s="12"/>
      <c r="L28" s="6"/>
      <c r="M28" s="6"/>
      <c r="N28" s="12"/>
      <c r="O28" s="7"/>
      <c r="P28" s="9"/>
      <c r="Q28" s="9"/>
    </row>
    <row r="29" spans="1:17" s="58" customFormat="1" ht="13.8">
      <c r="A29" s="54" t="s">
        <v>1389</v>
      </c>
      <c r="B29" s="20" t="s">
        <v>1097</v>
      </c>
      <c r="C29" s="323" t="s">
        <v>1361</v>
      </c>
      <c r="D29" s="324"/>
      <c r="E29" s="324"/>
      <c r="F29" s="324"/>
      <c r="G29" s="324"/>
      <c r="H29" s="324"/>
      <c r="I29" s="324"/>
      <c r="J29" s="324"/>
      <c r="K29" s="325"/>
      <c r="L29" s="9"/>
      <c r="M29" s="9"/>
      <c r="N29" s="9"/>
      <c r="O29" s="9"/>
      <c r="P29" s="9"/>
      <c r="Q29" s="9"/>
    </row>
    <row r="30" spans="1:17" s="58" customFormat="1" ht="13.8">
      <c r="A30" s="54" t="s">
        <v>1391</v>
      </c>
      <c r="B30" s="19" t="s">
        <v>1097</v>
      </c>
      <c r="C30" s="326" t="s">
        <v>1798</v>
      </c>
      <c r="D30" s="327"/>
      <c r="E30" s="327"/>
      <c r="F30" s="327"/>
      <c r="G30" s="328"/>
      <c r="H30" s="4" t="s">
        <v>1799</v>
      </c>
      <c r="I30" s="9"/>
      <c r="J30" s="9"/>
      <c r="K30" s="9"/>
      <c r="L30" s="9"/>
      <c r="M30" s="9"/>
      <c r="N30" s="9"/>
      <c r="O30" s="9"/>
      <c r="P30" s="9"/>
      <c r="Q30" s="9"/>
    </row>
    <row r="31" spans="1:17" s="58" customFormat="1" ht="13.8">
      <c r="A31" s="5" t="s">
        <v>1394</v>
      </c>
      <c r="B31" s="5" t="s">
        <v>1798</v>
      </c>
      <c r="C31" s="59" t="s">
        <v>1395</v>
      </c>
      <c r="D31" s="6" t="s">
        <v>97</v>
      </c>
      <c r="E31" s="6" t="s">
        <v>98</v>
      </c>
      <c r="F31" s="6" t="s">
        <v>1396</v>
      </c>
      <c r="G31" s="6" t="s">
        <v>1397</v>
      </c>
      <c r="H31" s="7"/>
      <c r="I31" s="9"/>
      <c r="J31" s="7"/>
      <c r="K31" s="12"/>
      <c r="L31" s="6"/>
      <c r="M31" s="6"/>
      <c r="N31" s="12"/>
      <c r="O31" s="7"/>
      <c r="P31" s="9"/>
      <c r="Q31" s="9"/>
    </row>
    <row r="32" spans="1:17" s="55" customFormat="1" ht="13.8">
      <c r="A32" s="54" t="s">
        <v>1385</v>
      </c>
      <c r="B32" s="17" t="s">
        <v>28</v>
      </c>
      <c r="C32" s="18"/>
      <c r="D32" s="18"/>
      <c r="E32" s="18"/>
      <c r="F32" s="18"/>
      <c r="G32" s="18"/>
      <c r="H32" s="18"/>
      <c r="I32" s="18"/>
      <c r="J32" s="18"/>
      <c r="K32" s="18"/>
      <c r="L32" s="8"/>
      <c r="M32" s="8"/>
      <c r="N32" s="8"/>
      <c r="O32" s="9"/>
      <c r="P32" s="10"/>
      <c r="Q32" s="9"/>
    </row>
    <row r="33" spans="1:17" s="57" customFormat="1" ht="51.6" customHeight="1">
      <c r="A33" s="56" t="s">
        <v>1386</v>
      </c>
      <c r="B33" s="3" t="s">
        <v>1098</v>
      </c>
      <c r="C33" s="322" t="s">
        <v>1462</v>
      </c>
      <c r="D33" s="322"/>
      <c r="E33" s="322"/>
      <c r="F33" s="322"/>
      <c r="G33" s="322"/>
      <c r="H33" s="322"/>
      <c r="I33" s="20" t="s">
        <v>2293</v>
      </c>
      <c r="J33" s="20" t="s">
        <v>2294</v>
      </c>
      <c r="K33" s="11" t="s">
        <v>2295</v>
      </c>
      <c r="L33" s="11"/>
      <c r="M33" s="11"/>
      <c r="N33" s="11"/>
      <c r="O33" s="9"/>
      <c r="P33" s="10"/>
      <c r="Q33" s="9"/>
    </row>
    <row r="34" spans="1:17" s="58" customFormat="1" ht="13.8">
      <c r="A34" s="54" t="s">
        <v>1389</v>
      </c>
      <c r="B34" s="20" t="s">
        <v>1098</v>
      </c>
      <c r="C34" s="323" t="s">
        <v>1356</v>
      </c>
      <c r="D34" s="324"/>
      <c r="E34" s="324"/>
      <c r="F34" s="324"/>
      <c r="G34" s="324"/>
      <c r="H34" s="324"/>
      <c r="I34" s="324"/>
      <c r="J34" s="324"/>
      <c r="K34" s="325"/>
      <c r="L34" s="9"/>
      <c r="M34" s="9"/>
      <c r="N34" s="9"/>
      <c r="O34" s="9"/>
      <c r="P34" s="9"/>
      <c r="Q34" s="9"/>
    </row>
    <row r="35" spans="1:17" s="58" customFormat="1" ht="13.8">
      <c r="A35" s="54" t="s">
        <v>1391</v>
      </c>
      <c r="B35" s="19" t="s">
        <v>1098</v>
      </c>
      <c r="C35" s="326" t="s">
        <v>1727</v>
      </c>
      <c r="D35" s="327"/>
      <c r="E35" s="327"/>
      <c r="F35" s="327"/>
      <c r="G35" s="328"/>
      <c r="H35" s="4" t="s">
        <v>1728</v>
      </c>
      <c r="I35" s="9"/>
      <c r="J35" s="9"/>
      <c r="K35" s="9"/>
      <c r="L35" s="9"/>
      <c r="M35" s="9"/>
      <c r="N35" s="9"/>
      <c r="O35" s="9"/>
      <c r="P35" s="9"/>
      <c r="Q35" s="9"/>
    </row>
    <row r="36" spans="1:17" s="58" customFormat="1" ht="13.8">
      <c r="A36" s="5" t="s">
        <v>1394</v>
      </c>
      <c r="B36" s="5" t="s">
        <v>1727</v>
      </c>
      <c r="C36" s="59" t="s">
        <v>1395</v>
      </c>
      <c r="D36" s="6" t="s">
        <v>97</v>
      </c>
      <c r="E36" s="6" t="s">
        <v>98</v>
      </c>
      <c r="F36" s="6" t="s">
        <v>1396</v>
      </c>
      <c r="G36" s="6" t="s">
        <v>1397</v>
      </c>
      <c r="H36" s="7"/>
      <c r="I36" s="9"/>
      <c r="J36" s="7"/>
      <c r="K36" s="12"/>
      <c r="L36" s="6"/>
      <c r="M36" s="6"/>
      <c r="N36" s="12"/>
      <c r="O36" s="7"/>
      <c r="P36" s="9"/>
      <c r="Q36" s="9"/>
    </row>
    <row r="37" spans="1:17" s="58" customFormat="1" ht="13.8">
      <c r="A37" s="54" t="s">
        <v>1389</v>
      </c>
      <c r="B37" s="20" t="s">
        <v>1098</v>
      </c>
      <c r="C37" s="323" t="s">
        <v>1357</v>
      </c>
      <c r="D37" s="324"/>
      <c r="E37" s="324"/>
      <c r="F37" s="324"/>
      <c r="G37" s="324"/>
      <c r="H37" s="324"/>
      <c r="I37" s="324"/>
      <c r="J37" s="324"/>
      <c r="K37" s="325"/>
      <c r="L37" s="9"/>
      <c r="M37" s="9"/>
      <c r="N37" s="9"/>
      <c r="O37" s="9"/>
      <c r="P37" s="9"/>
      <c r="Q37" s="9"/>
    </row>
    <row r="38" spans="1:17" s="58" customFormat="1" ht="13.8">
      <c r="A38" s="54" t="s">
        <v>1391</v>
      </c>
      <c r="B38" s="19" t="s">
        <v>1098</v>
      </c>
      <c r="C38" s="326" t="s">
        <v>2033</v>
      </c>
      <c r="D38" s="327"/>
      <c r="E38" s="327"/>
      <c r="F38" s="327"/>
      <c r="G38" s="328"/>
      <c r="H38" s="4" t="s">
        <v>2034</v>
      </c>
      <c r="I38" s="9"/>
      <c r="J38" s="9"/>
      <c r="K38" s="9"/>
      <c r="L38" s="9"/>
      <c r="M38" s="9"/>
      <c r="N38" s="9"/>
      <c r="O38" s="9"/>
      <c r="P38" s="9"/>
      <c r="Q38" s="9"/>
    </row>
    <row r="39" spans="1:17" s="58" customFormat="1" ht="13.8">
      <c r="A39" s="5" t="s">
        <v>1394</v>
      </c>
      <c r="B39" s="5" t="s">
        <v>2033</v>
      </c>
      <c r="C39" s="59" t="s">
        <v>1395</v>
      </c>
      <c r="D39" s="6" t="s">
        <v>97</v>
      </c>
      <c r="E39" s="6" t="s">
        <v>98</v>
      </c>
      <c r="F39" s="6" t="s">
        <v>1396</v>
      </c>
      <c r="G39" s="6" t="s">
        <v>1397</v>
      </c>
      <c r="H39" s="7"/>
      <c r="I39" s="9"/>
      <c r="J39" s="7"/>
      <c r="K39" s="12"/>
      <c r="L39" s="6"/>
      <c r="M39" s="6"/>
      <c r="N39" s="12"/>
      <c r="O39" s="7"/>
      <c r="P39" s="9"/>
      <c r="Q39" s="9"/>
    </row>
    <row r="40" spans="1:17" s="58" customFormat="1" ht="13.8">
      <c r="A40" s="54" t="s">
        <v>1389</v>
      </c>
      <c r="B40" s="20" t="s">
        <v>1098</v>
      </c>
      <c r="C40" s="323" t="s">
        <v>2291</v>
      </c>
      <c r="D40" s="324"/>
      <c r="E40" s="324"/>
      <c r="F40" s="324"/>
      <c r="G40" s="324"/>
      <c r="H40" s="324"/>
      <c r="I40" s="324"/>
      <c r="J40" s="324"/>
      <c r="K40" s="325"/>
      <c r="L40" s="9"/>
      <c r="M40" s="9"/>
      <c r="N40" s="9"/>
      <c r="O40" s="9"/>
      <c r="P40" s="9"/>
      <c r="Q40" s="9"/>
    </row>
    <row r="41" spans="1:17" s="58" customFormat="1" ht="13.8">
      <c r="A41" s="54" t="s">
        <v>1391</v>
      </c>
      <c r="B41" s="19" t="s">
        <v>1098</v>
      </c>
      <c r="C41" s="326" t="s">
        <v>2198</v>
      </c>
      <c r="D41" s="327"/>
      <c r="E41" s="327"/>
      <c r="F41" s="327"/>
      <c r="G41" s="328"/>
      <c r="H41" s="4" t="s">
        <v>2199</v>
      </c>
      <c r="I41" s="9"/>
      <c r="J41" s="9"/>
      <c r="K41" s="9"/>
      <c r="L41" s="9"/>
      <c r="M41" s="9"/>
      <c r="N41" s="9"/>
      <c r="O41" s="9"/>
      <c r="P41" s="9"/>
      <c r="Q41" s="9"/>
    </row>
    <row r="42" spans="1:17" s="58" customFormat="1" ht="13.8">
      <c r="A42" s="5" t="s">
        <v>1394</v>
      </c>
      <c r="B42" s="5" t="s">
        <v>2198</v>
      </c>
      <c r="C42" s="59" t="s">
        <v>1395</v>
      </c>
      <c r="D42" s="6" t="s">
        <v>97</v>
      </c>
      <c r="E42" s="6" t="s">
        <v>98</v>
      </c>
      <c r="F42" s="6" t="s">
        <v>1396</v>
      </c>
      <c r="G42" s="6" t="s">
        <v>1397</v>
      </c>
      <c r="H42" s="7"/>
      <c r="I42" s="9"/>
      <c r="J42" s="7"/>
      <c r="K42" s="12"/>
      <c r="L42" s="6"/>
      <c r="M42" s="6"/>
      <c r="N42" s="12"/>
      <c r="O42" s="7"/>
      <c r="P42" s="9"/>
      <c r="Q42" s="9"/>
    </row>
    <row r="43" spans="1:17" s="58" customFormat="1" ht="13.8">
      <c r="A43" s="54" t="s">
        <v>1389</v>
      </c>
      <c r="B43" s="20" t="s">
        <v>1098</v>
      </c>
      <c r="C43" s="323" t="s">
        <v>1359</v>
      </c>
      <c r="D43" s="324"/>
      <c r="E43" s="324"/>
      <c r="F43" s="324"/>
      <c r="G43" s="324"/>
      <c r="H43" s="324"/>
      <c r="I43" s="324"/>
      <c r="J43" s="324"/>
      <c r="K43" s="325"/>
      <c r="L43" s="9"/>
      <c r="M43" s="9"/>
      <c r="N43" s="9"/>
      <c r="O43" s="9"/>
      <c r="P43" s="9"/>
      <c r="Q43" s="9"/>
    </row>
    <row r="44" spans="1:17" s="58" customFormat="1" ht="13.8">
      <c r="A44" s="54" t="s">
        <v>1391</v>
      </c>
      <c r="B44" s="19" t="s">
        <v>1098</v>
      </c>
      <c r="C44" s="326" t="s">
        <v>1905</v>
      </c>
      <c r="D44" s="327"/>
      <c r="E44" s="327"/>
      <c r="F44" s="327"/>
      <c r="G44" s="328"/>
      <c r="H44" s="4" t="s">
        <v>1977</v>
      </c>
      <c r="I44" s="9"/>
      <c r="J44" s="9"/>
      <c r="K44" s="9"/>
      <c r="L44" s="9"/>
      <c r="M44" s="9"/>
      <c r="N44" s="9"/>
      <c r="O44" s="9"/>
      <c r="P44" s="9"/>
      <c r="Q44" s="9"/>
    </row>
    <row r="45" spans="1:17" s="58" customFormat="1" ht="13.8">
      <c r="A45" s="5" t="s">
        <v>1394</v>
      </c>
      <c r="B45" s="5" t="s">
        <v>1905</v>
      </c>
      <c r="C45" s="59" t="s">
        <v>1395</v>
      </c>
      <c r="D45" s="6" t="s">
        <v>97</v>
      </c>
      <c r="E45" s="6" t="s">
        <v>98</v>
      </c>
      <c r="F45" s="6" t="s">
        <v>1396</v>
      </c>
      <c r="G45" s="6" t="s">
        <v>1397</v>
      </c>
      <c r="H45" s="7"/>
      <c r="I45" s="9"/>
      <c r="J45" s="7"/>
      <c r="K45" s="12"/>
      <c r="L45" s="6"/>
      <c r="M45" s="6"/>
      <c r="N45" s="12"/>
      <c r="O45" s="7"/>
      <c r="P45" s="9"/>
      <c r="Q45" s="9"/>
    </row>
    <row r="46" spans="1:17" s="58" customFormat="1" ht="13.8">
      <c r="A46" s="54" t="s">
        <v>1389</v>
      </c>
      <c r="B46" s="20" t="s">
        <v>1098</v>
      </c>
      <c r="C46" s="323" t="s">
        <v>1362</v>
      </c>
      <c r="D46" s="324"/>
      <c r="E46" s="324"/>
      <c r="F46" s="324"/>
      <c r="G46" s="324"/>
      <c r="H46" s="324"/>
      <c r="I46" s="324"/>
      <c r="J46" s="324"/>
      <c r="K46" s="325"/>
      <c r="L46" s="9"/>
      <c r="M46" s="9"/>
      <c r="N46" s="9"/>
      <c r="O46" s="9"/>
      <c r="P46" s="9"/>
      <c r="Q46" s="9"/>
    </row>
    <row r="47" spans="1:17" s="58" customFormat="1" ht="13.8">
      <c r="A47" s="54" t="s">
        <v>1391</v>
      </c>
      <c r="B47" s="19" t="s">
        <v>1098</v>
      </c>
      <c r="C47" s="326" t="s">
        <v>1905</v>
      </c>
      <c r="D47" s="327"/>
      <c r="E47" s="327"/>
      <c r="F47" s="327"/>
      <c r="G47" s="328"/>
      <c r="H47" s="4" t="s">
        <v>1977</v>
      </c>
      <c r="I47" s="9"/>
      <c r="J47" s="9"/>
      <c r="K47" s="9"/>
      <c r="L47" s="9"/>
      <c r="M47" s="9"/>
      <c r="N47" s="9"/>
      <c r="O47" s="9"/>
      <c r="P47" s="9"/>
      <c r="Q47" s="9"/>
    </row>
    <row r="48" spans="1:17" s="58" customFormat="1" ht="13.8">
      <c r="A48" s="5" t="s">
        <v>1394</v>
      </c>
      <c r="B48" s="5" t="s">
        <v>1905</v>
      </c>
      <c r="C48" s="59" t="s">
        <v>1395</v>
      </c>
      <c r="D48" s="6" t="s">
        <v>97</v>
      </c>
      <c r="E48" s="6" t="s">
        <v>98</v>
      </c>
      <c r="F48" s="6" t="s">
        <v>1396</v>
      </c>
      <c r="G48" s="6" t="s">
        <v>1397</v>
      </c>
      <c r="H48" s="7"/>
      <c r="I48" s="9"/>
      <c r="J48" s="7"/>
      <c r="K48" s="12"/>
      <c r="L48" s="6"/>
      <c r="M48" s="6"/>
      <c r="N48" s="12"/>
      <c r="O48" s="7"/>
      <c r="P48" s="9"/>
      <c r="Q48" s="9"/>
    </row>
    <row r="49" spans="1:17" s="58" customFormat="1" ht="13.8">
      <c r="A49" s="54" t="s">
        <v>1389</v>
      </c>
      <c r="B49" s="20" t="s">
        <v>1098</v>
      </c>
      <c r="C49" s="323" t="s">
        <v>2292</v>
      </c>
      <c r="D49" s="324"/>
      <c r="E49" s="324"/>
      <c r="F49" s="324"/>
      <c r="G49" s="324"/>
      <c r="H49" s="324"/>
      <c r="I49" s="324"/>
      <c r="J49" s="324"/>
      <c r="K49" s="325"/>
      <c r="L49" s="9"/>
      <c r="M49" s="9"/>
      <c r="N49" s="9"/>
      <c r="O49" s="9"/>
      <c r="P49" s="9"/>
      <c r="Q49" s="9"/>
    </row>
    <row r="50" spans="1:17" s="58" customFormat="1" ht="13.8">
      <c r="A50" s="54" t="s">
        <v>1391</v>
      </c>
      <c r="B50" s="19" t="s">
        <v>1098</v>
      </c>
      <c r="C50" s="326" t="s">
        <v>2055</v>
      </c>
      <c r="D50" s="327"/>
      <c r="E50" s="327"/>
      <c r="F50" s="327"/>
      <c r="G50" s="328"/>
      <c r="H50" s="4" t="s">
        <v>2056</v>
      </c>
      <c r="I50" s="9"/>
      <c r="J50" s="9"/>
      <c r="K50" s="9"/>
      <c r="L50" s="9"/>
      <c r="M50" s="9"/>
      <c r="N50" s="9"/>
      <c r="O50" s="9"/>
      <c r="P50" s="9"/>
      <c r="Q50" s="9"/>
    </row>
    <row r="51" spans="1:17" s="58" customFormat="1" ht="13.8">
      <c r="A51" s="5" t="s">
        <v>1394</v>
      </c>
      <c r="B51" s="5" t="s">
        <v>2055</v>
      </c>
      <c r="C51" s="59" t="s">
        <v>1395</v>
      </c>
      <c r="D51" s="6" t="s">
        <v>97</v>
      </c>
      <c r="E51" s="6" t="s">
        <v>98</v>
      </c>
      <c r="F51" s="6" t="s">
        <v>1396</v>
      </c>
      <c r="G51" s="6" t="s">
        <v>1397</v>
      </c>
      <c r="H51" s="7"/>
      <c r="I51" s="9"/>
      <c r="J51" s="7"/>
      <c r="K51" s="12"/>
      <c r="L51" s="6"/>
      <c r="M51" s="6"/>
      <c r="N51" s="12"/>
      <c r="O51" s="7"/>
      <c r="P51" s="9"/>
      <c r="Q51" s="9"/>
    </row>
    <row r="52" spans="1:17" s="58" customFormat="1" ht="13.8">
      <c r="A52" s="54" t="s">
        <v>1389</v>
      </c>
      <c r="B52" s="20" t="s">
        <v>1098</v>
      </c>
      <c r="C52" s="323" t="s">
        <v>1361</v>
      </c>
      <c r="D52" s="324"/>
      <c r="E52" s="324"/>
      <c r="F52" s="324"/>
      <c r="G52" s="324"/>
      <c r="H52" s="324"/>
      <c r="I52" s="324"/>
      <c r="J52" s="324"/>
      <c r="K52" s="325"/>
      <c r="L52" s="9"/>
      <c r="M52" s="9"/>
      <c r="N52" s="9"/>
      <c r="O52" s="9"/>
      <c r="P52" s="9"/>
      <c r="Q52" s="9"/>
    </row>
    <row r="53" spans="1:17" s="58" customFormat="1" ht="13.8">
      <c r="A53" s="54" t="s">
        <v>1391</v>
      </c>
      <c r="B53" s="19" t="s">
        <v>1098</v>
      </c>
      <c r="C53" s="326" t="s">
        <v>1798</v>
      </c>
      <c r="D53" s="327"/>
      <c r="E53" s="327"/>
      <c r="F53" s="327"/>
      <c r="G53" s="328"/>
      <c r="H53" s="4" t="s">
        <v>1799</v>
      </c>
      <c r="I53" s="9"/>
      <c r="J53" s="9"/>
      <c r="K53" s="9"/>
      <c r="L53" s="9"/>
      <c r="M53" s="9"/>
      <c r="N53" s="9"/>
      <c r="O53" s="9"/>
      <c r="P53" s="9"/>
      <c r="Q53" s="9"/>
    </row>
    <row r="54" spans="1:17" s="58" customFormat="1" ht="13.8">
      <c r="A54" s="5" t="s">
        <v>1394</v>
      </c>
      <c r="B54" s="5" t="s">
        <v>1798</v>
      </c>
      <c r="C54" s="59" t="s">
        <v>1395</v>
      </c>
      <c r="D54" s="6" t="s">
        <v>97</v>
      </c>
      <c r="E54" s="6" t="s">
        <v>98</v>
      </c>
      <c r="F54" s="6" t="s">
        <v>1396</v>
      </c>
      <c r="G54" s="6" t="s">
        <v>1397</v>
      </c>
      <c r="H54" s="7"/>
      <c r="I54" s="9"/>
      <c r="J54" s="7"/>
      <c r="K54" s="12"/>
      <c r="L54" s="6"/>
      <c r="M54" s="6"/>
      <c r="N54" s="12"/>
      <c r="O54" s="7"/>
      <c r="P54" s="9"/>
      <c r="Q54" s="9"/>
    </row>
    <row r="55" spans="1:17" s="57" customFormat="1" ht="51.6" customHeight="1">
      <c r="A55" s="56" t="s">
        <v>1386</v>
      </c>
      <c r="B55" s="3" t="s">
        <v>1099</v>
      </c>
      <c r="C55" s="322" t="s">
        <v>1463</v>
      </c>
      <c r="D55" s="322"/>
      <c r="E55" s="322"/>
      <c r="F55" s="322"/>
      <c r="G55" s="322"/>
      <c r="H55" s="322"/>
      <c r="I55" s="20" t="s">
        <v>2296</v>
      </c>
      <c r="J55" s="20" t="s">
        <v>2297</v>
      </c>
      <c r="K55" s="11" t="s">
        <v>2298</v>
      </c>
      <c r="L55" s="11"/>
      <c r="M55" s="11"/>
      <c r="N55" s="11"/>
      <c r="O55" s="9"/>
      <c r="P55" s="10"/>
      <c r="Q55" s="9"/>
    </row>
    <row r="56" spans="1:17" s="58" customFormat="1" ht="13.8">
      <c r="A56" s="54" t="s">
        <v>1389</v>
      </c>
      <c r="B56" s="20" t="s">
        <v>1099</v>
      </c>
      <c r="C56" s="323" t="s">
        <v>1356</v>
      </c>
      <c r="D56" s="324"/>
      <c r="E56" s="324"/>
      <c r="F56" s="324"/>
      <c r="G56" s="324"/>
      <c r="H56" s="324"/>
      <c r="I56" s="324"/>
      <c r="J56" s="324"/>
      <c r="K56" s="325"/>
      <c r="L56" s="9"/>
      <c r="M56" s="9"/>
      <c r="N56" s="9"/>
      <c r="O56" s="9"/>
      <c r="P56" s="9"/>
      <c r="Q56" s="9"/>
    </row>
    <row r="57" spans="1:17" s="58" customFormat="1" ht="13.8">
      <c r="A57" s="54" t="s">
        <v>1391</v>
      </c>
      <c r="B57" s="19" t="s">
        <v>1099</v>
      </c>
      <c r="C57" s="326" t="s">
        <v>1727</v>
      </c>
      <c r="D57" s="327"/>
      <c r="E57" s="327"/>
      <c r="F57" s="327"/>
      <c r="G57" s="328"/>
      <c r="H57" s="4" t="s">
        <v>1728</v>
      </c>
      <c r="I57" s="9"/>
      <c r="J57" s="9"/>
      <c r="K57" s="9"/>
      <c r="L57" s="9"/>
      <c r="M57" s="9"/>
      <c r="N57" s="9"/>
      <c r="O57" s="9"/>
      <c r="P57" s="9"/>
      <c r="Q57" s="9"/>
    </row>
    <row r="58" spans="1:17" s="58" customFormat="1" ht="13.8">
      <c r="A58" s="5" t="s">
        <v>1394</v>
      </c>
      <c r="B58" s="5" t="s">
        <v>1727</v>
      </c>
      <c r="C58" s="59" t="s">
        <v>1395</v>
      </c>
      <c r="D58" s="6" t="s">
        <v>97</v>
      </c>
      <c r="E58" s="6" t="s">
        <v>98</v>
      </c>
      <c r="F58" s="6" t="s">
        <v>1396</v>
      </c>
      <c r="G58" s="6" t="s">
        <v>1397</v>
      </c>
      <c r="H58" s="7"/>
      <c r="I58" s="9"/>
      <c r="J58" s="7"/>
      <c r="K58" s="12"/>
      <c r="L58" s="6"/>
      <c r="M58" s="6"/>
      <c r="N58" s="12"/>
      <c r="O58" s="7"/>
      <c r="P58" s="9"/>
      <c r="Q58" s="9"/>
    </row>
    <row r="59" spans="1:17" s="58" customFormat="1" ht="13.8">
      <c r="A59" s="54" t="s">
        <v>1389</v>
      </c>
      <c r="B59" s="20" t="s">
        <v>1099</v>
      </c>
      <c r="C59" s="323" t="s">
        <v>1357</v>
      </c>
      <c r="D59" s="324"/>
      <c r="E59" s="324"/>
      <c r="F59" s="324"/>
      <c r="G59" s="324"/>
      <c r="H59" s="324"/>
      <c r="I59" s="324"/>
      <c r="J59" s="324"/>
      <c r="K59" s="325"/>
      <c r="L59" s="9"/>
      <c r="M59" s="9"/>
      <c r="N59" s="9"/>
      <c r="O59" s="9"/>
      <c r="P59" s="9"/>
      <c r="Q59" s="9"/>
    </row>
    <row r="60" spans="1:17" s="58" customFormat="1" ht="13.8">
      <c r="A60" s="54" t="s">
        <v>1391</v>
      </c>
      <c r="B60" s="19" t="s">
        <v>1099</v>
      </c>
      <c r="C60" s="326" t="s">
        <v>2033</v>
      </c>
      <c r="D60" s="327"/>
      <c r="E60" s="327"/>
      <c r="F60" s="327"/>
      <c r="G60" s="328"/>
      <c r="H60" s="4" t="s">
        <v>2034</v>
      </c>
      <c r="I60" s="9"/>
      <c r="J60" s="9"/>
      <c r="K60" s="9"/>
      <c r="L60" s="9"/>
      <c r="M60" s="9"/>
      <c r="N60" s="9"/>
      <c r="O60" s="9"/>
      <c r="P60" s="9"/>
      <c r="Q60" s="9"/>
    </row>
    <row r="61" spans="1:17" s="58" customFormat="1" ht="13.8">
      <c r="A61" s="5" t="s">
        <v>1394</v>
      </c>
      <c r="B61" s="5" t="s">
        <v>2033</v>
      </c>
      <c r="C61" s="59" t="s">
        <v>1395</v>
      </c>
      <c r="D61" s="6" t="s">
        <v>97</v>
      </c>
      <c r="E61" s="6" t="s">
        <v>98</v>
      </c>
      <c r="F61" s="6" t="s">
        <v>1396</v>
      </c>
      <c r="G61" s="6" t="s">
        <v>1397</v>
      </c>
      <c r="H61" s="7"/>
      <c r="I61" s="9"/>
      <c r="J61" s="7"/>
      <c r="K61" s="12"/>
      <c r="L61" s="6"/>
      <c r="M61" s="6"/>
      <c r="N61" s="12"/>
      <c r="O61" s="7"/>
      <c r="P61" s="9"/>
      <c r="Q61" s="9"/>
    </row>
    <row r="62" spans="1:17" s="58" customFormat="1" ht="13.8">
      <c r="A62" s="54" t="s">
        <v>1389</v>
      </c>
      <c r="B62" s="20" t="s">
        <v>1099</v>
      </c>
      <c r="C62" s="323" t="s">
        <v>2291</v>
      </c>
      <c r="D62" s="324"/>
      <c r="E62" s="324"/>
      <c r="F62" s="324"/>
      <c r="G62" s="324"/>
      <c r="H62" s="324"/>
      <c r="I62" s="324"/>
      <c r="J62" s="324"/>
      <c r="K62" s="325"/>
      <c r="L62" s="9"/>
      <c r="M62" s="9"/>
      <c r="N62" s="9"/>
      <c r="O62" s="9"/>
      <c r="P62" s="9"/>
      <c r="Q62" s="9"/>
    </row>
    <row r="63" spans="1:17" s="58" customFormat="1" ht="13.8">
      <c r="A63" s="54" t="s">
        <v>1391</v>
      </c>
      <c r="B63" s="19" t="s">
        <v>1099</v>
      </c>
      <c r="C63" s="326" t="s">
        <v>2198</v>
      </c>
      <c r="D63" s="327"/>
      <c r="E63" s="327"/>
      <c r="F63" s="327"/>
      <c r="G63" s="328"/>
      <c r="H63" s="4" t="s">
        <v>2199</v>
      </c>
      <c r="I63" s="9"/>
      <c r="J63" s="9"/>
      <c r="K63" s="9"/>
      <c r="L63" s="9"/>
      <c r="M63" s="9"/>
      <c r="N63" s="9"/>
      <c r="O63" s="9"/>
      <c r="P63" s="9"/>
      <c r="Q63" s="9"/>
    </row>
    <row r="64" spans="1:17" s="58" customFormat="1" ht="13.8">
      <c r="A64" s="5" t="s">
        <v>1394</v>
      </c>
      <c r="B64" s="5" t="s">
        <v>2198</v>
      </c>
      <c r="C64" s="59" t="s">
        <v>1395</v>
      </c>
      <c r="D64" s="6" t="s">
        <v>97</v>
      </c>
      <c r="E64" s="6" t="s">
        <v>98</v>
      </c>
      <c r="F64" s="6" t="s">
        <v>1396</v>
      </c>
      <c r="G64" s="6" t="s">
        <v>1397</v>
      </c>
      <c r="H64" s="7"/>
      <c r="I64" s="9"/>
      <c r="J64" s="7"/>
      <c r="K64" s="12"/>
      <c r="L64" s="6"/>
      <c r="M64" s="6"/>
      <c r="N64" s="12"/>
      <c r="O64" s="7"/>
      <c r="P64" s="9"/>
      <c r="Q64" s="9"/>
    </row>
    <row r="65" spans="1:17" s="58" customFormat="1" ht="13.8">
      <c r="A65" s="54" t="s">
        <v>1389</v>
      </c>
      <c r="B65" s="20" t="s">
        <v>1099</v>
      </c>
      <c r="C65" s="323" t="s">
        <v>1359</v>
      </c>
      <c r="D65" s="324"/>
      <c r="E65" s="324"/>
      <c r="F65" s="324"/>
      <c r="G65" s="324"/>
      <c r="H65" s="324"/>
      <c r="I65" s="324"/>
      <c r="J65" s="324"/>
      <c r="K65" s="325"/>
      <c r="L65" s="9"/>
      <c r="M65" s="9"/>
      <c r="N65" s="9"/>
      <c r="O65" s="9"/>
      <c r="P65" s="9"/>
      <c r="Q65" s="9"/>
    </row>
    <row r="66" spans="1:17" s="58" customFormat="1" ht="13.8">
      <c r="A66" s="54" t="s">
        <v>1391</v>
      </c>
      <c r="B66" s="19" t="s">
        <v>1099</v>
      </c>
      <c r="C66" s="326" t="s">
        <v>1905</v>
      </c>
      <c r="D66" s="327"/>
      <c r="E66" s="327"/>
      <c r="F66" s="327"/>
      <c r="G66" s="328"/>
      <c r="H66" s="4" t="s">
        <v>1977</v>
      </c>
      <c r="I66" s="9"/>
      <c r="J66" s="9"/>
      <c r="K66" s="9"/>
      <c r="L66" s="9"/>
      <c r="M66" s="9"/>
      <c r="N66" s="9"/>
      <c r="O66" s="9"/>
      <c r="P66" s="9"/>
      <c r="Q66" s="9"/>
    </row>
    <row r="67" spans="1:17" s="58" customFormat="1" ht="13.8">
      <c r="A67" s="5" t="s">
        <v>1394</v>
      </c>
      <c r="B67" s="5" t="s">
        <v>1905</v>
      </c>
      <c r="C67" s="59" t="s">
        <v>1395</v>
      </c>
      <c r="D67" s="6" t="s">
        <v>97</v>
      </c>
      <c r="E67" s="6" t="s">
        <v>98</v>
      </c>
      <c r="F67" s="6" t="s">
        <v>1396</v>
      </c>
      <c r="G67" s="6" t="s">
        <v>1397</v>
      </c>
      <c r="H67" s="7"/>
      <c r="I67" s="9"/>
      <c r="J67" s="7"/>
      <c r="K67" s="12"/>
      <c r="L67" s="6"/>
      <c r="M67" s="6"/>
      <c r="N67" s="12"/>
      <c r="O67" s="7"/>
      <c r="P67" s="9"/>
      <c r="Q67" s="9"/>
    </row>
    <row r="68" spans="1:17" s="58" customFormat="1" ht="13.8">
      <c r="A68" s="54" t="s">
        <v>1389</v>
      </c>
      <c r="B68" s="20" t="s">
        <v>1099</v>
      </c>
      <c r="C68" s="323" t="s">
        <v>1362</v>
      </c>
      <c r="D68" s="324"/>
      <c r="E68" s="324"/>
      <c r="F68" s="324"/>
      <c r="G68" s="324"/>
      <c r="H68" s="324"/>
      <c r="I68" s="324"/>
      <c r="J68" s="324"/>
      <c r="K68" s="325"/>
      <c r="L68" s="9"/>
      <c r="M68" s="9"/>
      <c r="N68" s="9"/>
      <c r="O68" s="9"/>
      <c r="P68" s="9"/>
      <c r="Q68" s="9"/>
    </row>
    <row r="69" spans="1:17" s="58" customFormat="1" ht="13.8">
      <c r="A69" s="54" t="s">
        <v>1391</v>
      </c>
      <c r="B69" s="19" t="s">
        <v>1099</v>
      </c>
      <c r="C69" s="326" t="s">
        <v>1905</v>
      </c>
      <c r="D69" s="327"/>
      <c r="E69" s="327"/>
      <c r="F69" s="327"/>
      <c r="G69" s="328"/>
      <c r="H69" s="4" t="s">
        <v>1977</v>
      </c>
      <c r="I69" s="9"/>
      <c r="J69" s="9"/>
      <c r="K69" s="9"/>
      <c r="L69" s="9"/>
      <c r="M69" s="9"/>
      <c r="N69" s="9"/>
      <c r="O69" s="9"/>
      <c r="P69" s="9"/>
      <c r="Q69" s="9"/>
    </row>
    <row r="70" spans="1:17" s="58" customFormat="1" ht="13.8">
      <c r="A70" s="5" t="s">
        <v>1394</v>
      </c>
      <c r="B70" s="5" t="s">
        <v>1905</v>
      </c>
      <c r="C70" s="59" t="s">
        <v>1395</v>
      </c>
      <c r="D70" s="6" t="s">
        <v>97</v>
      </c>
      <c r="E70" s="6" t="s">
        <v>98</v>
      </c>
      <c r="F70" s="6" t="s">
        <v>1396</v>
      </c>
      <c r="G70" s="6" t="s">
        <v>1397</v>
      </c>
      <c r="H70" s="7"/>
      <c r="I70" s="9"/>
      <c r="J70" s="7"/>
      <c r="K70" s="12"/>
      <c r="L70" s="6"/>
      <c r="M70" s="6"/>
      <c r="N70" s="12"/>
      <c r="O70" s="7"/>
      <c r="P70" s="9"/>
      <c r="Q70" s="9"/>
    </row>
    <row r="71" spans="1:17" s="58" customFormat="1" ht="13.8">
      <c r="A71" s="54" t="s">
        <v>1389</v>
      </c>
      <c r="B71" s="20" t="s">
        <v>1099</v>
      </c>
      <c r="C71" s="323" t="s">
        <v>2292</v>
      </c>
      <c r="D71" s="324"/>
      <c r="E71" s="324"/>
      <c r="F71" s="324"/>
      <c r="G71" s="324"/>
      <c r="H71" s="324"/>
      <c r="I71" s="324"/>
      <c r="J71" s="324"/>
      <c r="K71" s="325"/>
      <c r="L71" s="9"/>
      <c r="M71" s="9"/>
      <c r="N71" s="9"/>
      <c r="O71" s="9"/>
      <c r="P71" s="9"/>
      <c r="Q71" s="9"/>
    </row>
    <row r="72" spans="1:17" s="58" customFormat="1" ht="13.8">
      <c r="A72" s="54" t="s">
        <v>1391</v>
      </c>
      <c r="B72" s="19" t="s">
        <v>1099</v>
      </c>
      <c r="C72" s="326" t="s">
        <v>2055</v>
      </c>
      <c r="D72" s="327"/>
      <c r="E72" s="327"/>
      <c r="F72" s="327"/>
      <c r="G72" s="328"/>
      <c r="H72" s="4" t="s">
        <v>2056</v>
      </c>
      <c r="I72" s="9"/>
      <c r="J72" s="9"/>
      <c r="K72" s="9"/>
      <c r="L72" s="9"/>
      <c r="M72" s="9"/>
      <c r="N72" s="9"/>
      <c r="O72" s="9"/>
      <c r="P72" s="9"/>
      <c r="Q72" s="9"/>
    </row>
    <row r="73" spans="1:17" s="58" customFormat="1" ht="13.8">
      <c r="A73" s="5" t="s">
        <v>1394</v>
      </c>
      <c r="B73" s="5" t="s">
        <v>2055</v>
      </c>
      <c r="C73" s="59" t="s">
        <v>1395</v>
      </c>
      <c r="D73" s="6" t="s">
        <v>97</v>
      </c>
      <c r="E73" s="6" t="s">
        <v>98</v>
      </c>
      <c r="F73" s="6" t="s">
        <v>1396</v>
      </c>
      <c r="G73" s="6" t="s">
        <v>1397</v>
      </c>
      <c r="H73" s="7"/>
      <c r="I73" s="9"/>
      <c r="J73" s="7"/>
      <c r="K73" s="12"/>
      <c r="L73" s="6"/>
      <c r="M73" s="6"/>
      <c r="N73" s="12"/>
      <c r="O73" s="7"/>
      <c r="P73" s="9"/>
      <c r="Q73" s="9"/>
    </row>
    <row r="74" spans="1:17" s="58" customFormat="1" ht="13.8">
      <c r="A74" s="54" t="s">
        <v>1389</v>
      </c>
      <c r="B74" s="20" t="s">
        <v>1099</v>
      </c>
      <c r="C74" s="323" t="s">
        <v>1361</v>
      </c>
      <c r="D74" s="324"/>
      <c r="E74" s="324"/>
      <c r="F74" s="324"/>
      <c r="G74" s="324"/>
      <c r="H74" s="324"/>
      <c r="I74" s="324"/>
      <c r="J74" s="324"/>
      <c r="K74" s="325"/>
      <c r="L74" s="9"/>
      <c r="M74" s="9"/>
      <c r="N74" s="9"/>
      <c r="O74" s="9"/>
      <c r="P74" s="9"/>
      <c r="Q74" s="9"/>
    </row>
    <row r="75" spans="1:17" s="58" customFormat="1" ht="13.8">
      <c r="A75" s="54" t="s">
        <v>1391</v>
      </c>
      <c r="B75" s="19" t="s">
        <v>1099</v>
      </c>
      <c r="C75" s="326" t="s">
        <v>1798</v>
      </c>
      <c r="D75" s="327"/>
      <c r="E75" s="327"/>
      <c r="F75" s="327"/>
      <c r="G75" s="328"/>
      <c r="H75" s="4" t="s">
        <v>1799</v>
      </c>
      <c r="I75" s="9"/>
      <c r="J75" s="9"/>
      <c r="K75" s="9"/>
      <c r="L75" s="9"/>
      <c r="M75" s="9"/>
      <c r="N75" s="9"/>
      <c r="O75" s="9"/>
      <c r="P75" s="9"/>
      <c r="Q75" s="9"/>
    </row>
    <row r="76" spans="1:17" s="58" customFormat="1" ht="13.8">
      <c r="A76" s="5" t="s">
        <v>1394</v>
      </c>
      <c r="B76" s="5" t="s">
        <v>1798</v>
      </c>
      <c r="C76" s="59" t="s">
        <v>1395</v>
      </c>
      <c r="D76" s="6" t="s">
        <v>97</v>
      </c>
      <c r="E76" s="6" t="s">
        <v>98</v>
      </c>
      <c r="F76" s="6" t="s">
        <v>1396</v>
      </c>
      <c r="G76" s="6" t="s">
        <v>1397</v>
      </c>
      <c r="H76" s="7"/>
      <c r="I76" s="9"/>
      <c r="J76" s="7"/>
      <c r="K76" s="12"/>
      <c r="L76" s="6"/>
      <c r="M76" s="6"/>
      <c r="N76" s="12"/>
      <c r="O76" s="7"/>
      <c r="P76" s="9"/>
      <c r="Q76" s="9"/>
    </row>
    <row r="77" spans="1:17" s="55" customFormat="1" ht="13.8">
      <c r="A77" s="54" t="s">
        <v>1385</v>
      </c>
      <c r="B77" s="17" t="s">
        <v>29</v>
      </c>
      <c r="C77" s="18"/>
      <c r="D77" s="18"/>
      <c r="E77" s="18"/>
      <c r="F77" s="18"/>
      <c r="G77" s="18"/>
      <c r="H77" s="18"/>
      <c r="I77" s="18"/>
      <c r="J77" s="18"/>
      <c r="K77" s="18"/>
      <c r="L77" s="8"/>
      <c r="M77" s="8"/>
      <c r="N77" s="8"/>
      <c r="O77" s="9"/>
      <c r="P77" s="10"/>
      <c r="Q77" s="9"/>
    </row>
    <row r="78" spans="1:17" s="57" customFormat="1" ht="51.6" customHeight="1">
      <c r="A78" s="56" t="s">
        <v>1386</v>
      </c>
      <c r="B78" s="3" t="s">
        <v>1100</v>
      </c>
      <c r="C78" s="322" t="s">
        <v>1464</v>
      </c>
      <c r="D78" s="322"/>
      <c r="E78" s="322"/>
      <c r="F78" s="322"/>
      <c r="G78" s="322"/>
      <c r="H78" s="322"/>
      <c r="I78" s="20" t="s">
        <v>2299</v>
      </c>
      <c r="J78" s="20" t="s">
        <v>2300</v>
      </c>
      <c r="K78" s="11" t="s">
        <v>2301</v>
      </c>
      <c r="L78" s="11"/>
      <c r="M78" s="11"/>
      <c r="N78" s="11"/>
      <c r="O78" s="9"/>
      <c r="P78" s="10"/>
      <c r="Q78" s="9"/>
    </row>
    <row r="79" spans="1:17" s="58" customFormat="1" ht="13.8">
      <c r="A79" s="54" t="s">
        <v>1389</v>
      </c>
      <c r="B79" s="20" t="s">
        <v>1100</v>
      </c>
      <c r="C79" s="323" t="s">
        <v>1356</v>
      </c>
      <c r="D79" s="324"/>
      <c r="E79" s="324"/>
      <c r="F79" s="324"/>
      <c r="G79" s="324"/>
      <c r="H79" s="324"/>
      <c r="I79" s="324"/>
      <c r="J79" s="324"/>
      <c r="K79" s="325"/>
      <c r="L79" s="9"/>
      <c r="M79" s="9"/>
      <c r="N79" s="9"/>
      <c r="O79" s="9"/>
      <c r="P79" s="9"/>
      <c r="Q79" s="9"/>
    </row>
    <row r="80" spans="1:17" s="58" customFormat="1" ht="13.8">
      <c r="A80" s="54" t="s">
        <v>1391</v>
      </c>
      <c r="B80" s="19" t="s">
        <v>1100</v>
      </c>
      <c r="C80" s="326" t="s">
        <v>1727</v>
      </c>
      <c r="D80" s="327"/>
      <c r="E80" s="327"/>
      <c r="F80" s="327"/>
      <c r="G80" s="328"/>
      <c r="H80" s="4" t="s">
        <v>1728</v>
      </c>
      <c r="I80" s="9"/>
      <c r="J80" s="9"/>
      <c r="K80" s="9"/>
      <c r="L80" s="9"/>
      <c r="M80" s="9"/>
      <c r="N80" s="9"/>
      <c r="O80" s="9"/>
      <c r="P80" s="9"/>
      <c r="Q80" s="9"/>
    </row>
    <row r="81" spans="1:17" s="58" customFormat="1" ht="13.8">
      <c r="A81" s="5" t="s">
        <v>1394</v>
      </c>
      <c r="B81" s="5" t="s">
        <v>1727</v>
      </c>
      <c r="C81" s="59" t="s">
        <v>1395</v>
      </c>
      <c r="D81" s="6" t="s">
        <v>97</v>
      </c>
      <c r="E81" s="6" t="s">
        <v>98</v>
      </c>
      <c r="F81" s="6" t="s">
        <v>1396</v>
      </c>
      <c r="G81" s="6" t="s">
        <v>1397</v>
      </c>
      <c r="H81" s="7"/>
      <c r="I81" s="9"/>
      <c r="J81" s="7"/>
      <c r="K81" s="12"/>
      <c r="L81" s="6"/>
      <c r="M81" s="6"/>
      <c r="N81" s="12"/>
      <c r="O81" s="7"/>
      <c r="P81" s="9"/>
      <c r="Q81" s="9"/>
    </row>
    <row r="82" spans="1:17" s="58" customFormat="1" ht="13.8">
      <c r="A82" s="54" t="s">
        <v>1389</v>
      </c>
      <c r="B82" s="20" t="s">
        <v>1100</v>
      </c>
      <c r="C82" s="323" t="s">
        <v>1357</v>
      </c>
      <c r="D82" s="324"/>
      <c r="E82" s="324"/>
      <c r="F82" s="324"/>
      <c r="G82" s="324"/>
      <c r="H82" s="324"/>
      <c r="I82" s="324"/>
      <c r="J82" s="324"/>
      <c r="K82" s="325"/>
      <c r="L82" s="9"/>
      <c r="M82" s="9"/>
      <c r="N82" s="9"/>
      <c r="O82" s="9"/>
      <c r="P82" s="9"/>
      <c r="Q82" s="9"/>
    </row>
    <row r="83" spans="1:17" s="58" customFormat="1" ht="13.8">
      <c r="A83" s="54" t="s">
        <v>1391</v>
      </c>
      <c r="B83" s="19" t="s">
        <v>1100</v>
      </c>
      <c r="C83" s="326" t="s">
        <v>2033</v>
      </c>
      <c r="D83" s="327"/>
      <c r="E83" s="327"/>
      <c r="F83" s="327"/>
      <c r="G83" s="328"/>
      <c r="H83" s="4" t="s">
        <v>2034</v>
      </c>
      <c r="I83" s="9"/>
      <c r="J83" s="9"/>
      <c r="K83" s="9"/>
      <c r="L83" s="9"/>
      <c r="M83" s="9"/>
      <c r="N83" s="9"/>
      <c r="O83" s="9"/>
      <c r="P83" s="9"/>
      <c r="Q83" s="9"/>
    </row>
    <row r="84" spans="1:17" s="58" customFormat="1" ht="13.8">
      <c r="A84" s="5" t="s">
        <v>1394</v>
      </c>
      <c r="B84" s="5" t="s">
        <v>2033</v>
      </c>
      <c r="C84" s="59" t="s">
        <v>1395</v>
      </c>
      <c r="D84" s="6" t="s">
        <v>97</v>
      </c>
      <c r="E84" s="6" t="s">
        <v>98</v>
      </c>
      <c r="F84" s="6" t="s">
        <v>1396</v>
      </c>
      <c r="G84" s="6" t="s">
        <v>1397</v>
      </c>
      <c r="H84" s="7"/>
      <c r="I84" s="9"/>
      <c r="J84" s="7"/>
      <c r="K84" s="12"/>
      <c r="L84" s="6"/>
      <c r="M84" s="6"/>
      <c r="N84" s="12"/>
      <c r="O84" s="7"/>
      <c r="P84" s="9"/>
      <c r="Q84" s="9"/>
    </row>
    <row r="85" spans="1:17" s="58" customFormat="1" ht="13.8">
      <c r="A85" s="54" t="s">
        <v>1389</v>
      </c>
      <c r="B85" s="20" t="s">
        <v>1100</v>
      </c>
      <c r="C85" s="323" t="s">
        <v>2291</v>
      </c>
      <c r="D85" s="324"/>
      <c r="E85" s="324"/>
      <c r="F85" s="324"/>
      <c r="G85" s="324"/>
      <c r="H85" s="324"/>
      <c r="I85" s="324"/>
      <c r="J85" s="324"/>
      <c r="K85" s="325"/>
      <c r="L85" s="9"/>
      <c r="M85" s="9"/>
      <c r="N85" s="9"/>
      <c r="O85" s="9"/>
      <c r="P85" s="9"/>
      <c r="Q85" s="9"/>
    </row>
    <row r="86" spans="1:17" s="58" customFormat="1" ht="13.8">
      <c r="A86" s="54" t="s">
        <v>1391</v>
      </c>
      <c r="B86" s="19" t="s">
        <v>1100</v>
      </c>
      <c r="C86" s="326" t="s">
        <v>2198</v>
      </c>
      <c r="D86" s="327"/>
      <c r="E86" s="327"/>
      <c r="F86" s="327"/>
      <c r="G86" s="328"/>
      <c r="H86" s="4" t="s">
        <v>2199</v>
      </c>
      <c r="I86" s="9"/>
      <c r="J86" s="9"/>
      <c r="K86" s="9"/>
      <c r="L86" s="9"/>
      <c r="M86" s="9"/>
      <c r="N86" s="9"/>
      <c r="O86" s="9"/>
      <c r="P86" s="9"/>
      <c r="Q86" s="9"/>
    </row>
    <row r="87" spans="1:17" s="58" customFormat="1" ht="13.8">
      <c r="A87" s="5" t="s">
        <v>1394</v>
      </c>
      <c r="B87" s="5" t="s">
        <v>2198</v>
      </c>
      <c r="C87" s="59" t="s">
        <v>1395</v>
      </c>
      <c r="D87" s="6" t="s">
        <v>97</v>
      </c>
      <c r="E87" s="6" t="s">
        <v>98</v>
      </c>
      <c r="F87" s="6" t="s">
        <v>1396</v>
      </c>
      <c r="G87" s="6" t="s">
        <v>1397</v>
      </c>
      <c r="H87" s="7"/>
      <c r="I87" s="9"/>
      <c r="J87" s="7"/>
      <c r="K87" s="12"/>
      <c r="L87" s="6"/>
      <c r="M87" s="6"/>
      <c r="N87" s="12"/>
      <c r="O87" s="7"/>
      <c r="P87" s="9"/>
      <c r="Q87" s="9"/>
    </row>
    <row r="88" spans="1:17" s="58" customFormat="1" ht="13.8">
      <c r="A88" s="54" t="s">
        <v>1389</v>
      </c>
      <c r="B88" s="20" t="s">
        <v>1100</v>
      </c>
      <c r="C88" s="323" t="s">
        <v>1359</v>
      </c>
      <c r="D88" s="324"/>
      <c r="E88" s="324"/>
      <c r="F88" s="324"/>
      <c r="G88" s="324"/>
      <c r="H88" s="324"/>
      <c r="I88" s="324"/>
      <c r="J88" s="324"/>
      <c r="K88" s="325"/>
      <c r="L88" s="9"/>
      <c r="M88" s="9"/>
      <c r="N88" s="9"/>
      <c r="O88" s="9"/>
      <c r="P88" s="9"/>
      <c r="Q88" s="9"/>
    </row>
    <row r="89" spans="1:17" s="58" customFormat="1" ht="13.8">
      <c r="A89" s="54" t="s">
        <v>1391</v>
      </c>
      <c r="B89" s="19" t="s">
        <v>1100</v>
      </c>
      <c r="C89" s="326" t="s">
        <v>1905</v>
      </c>
      <c r="D89" s="327"/>
      <c r="E89" s="327"/>
      <c r="F89" s="327"/>
      <c r="G89" s="328"/>
      <c r="H89" s="4" t="s">
        <v>1977</v>
      </c>
      <c r="I89" s="9"/>
      <c r="J89" s="9"/>
      <c r="K89" s="9"/>
      <c r="L89" s="9"/>
      <c r="M89" s="9"/>
      <c r="N89" s="9"/>
      <c r="O89" s="9"/>
      <c r="P89" s="9"/>
      <c r="Q89" s="9"/>
    </row>
    <row r="90" spans="1:17" s="58" customFormat="1" ht="13.8">
      <c r="A90" s="5" t="s">
        <v>1394</v>
      </c>
      <c r="B90" s="5" t="s">
        <v>1905</v>
      </c>
      <c r="C90" s="59" t="s">
        <v>1395</v>
      </c>
      <c r="D90" s="6" t="s">
        <v>97</v>
      </c>
      <c r="E90" s="6" t="s">
        <v>98</v>
      </c>
      <c r="F90" s="6" t="s">
        <v>1396</v>
      </c>
      <c r="G90" s="6" t="s">
        <v>1397</v>
      </c>
      <c r="H90" s="7"/>
      <c r="I90" s="9"/>
      <c r="J90" s="7"/>
      <c r="K90" s="12"/>
      <c r="L90" s="6"/>
      <c r="M90" s="6"/>
      <c r="N90" s="12"/>
      <c r="O90" s="7"/>
      <c r="P90" s="9"/>
      <c r="Q90" s="9"/>
    </row>
    <row r="91" spans="1:17" s="58" customFormat="1" ht="13.8">
      <c r="A91" s="54" t="s">
        <v>1389</v>
      </c>
      <c r="B91" s="20" t="s">
        <v>1100</v>
      </c>
      <c r="C91" s="323" t="s">
        <v>1362</v>
      </c>
      <c r="D91" s="324"/>
      <c r="E91" s="324"/>
      <c r="F91" s="324"/>
      <c r="G91" s="324"/>
      <c r="H91" s="324"/>
      <c r="I91" s="324"/>
      <c r="J91" s="324"/>
      <c r="K91" s="325"/>
      <c r="L91" s="9"/>
      <c r="M91" s="9"/>
      <c r="N91" s="9"/>
      <c r="O91" s="9"/>
      <c r="P91" s="9"/>
      <c r="Q91" s="9"/>
    </row>
    <row r="92" spans="1:17" s="58" customFormat="1" ht="13.8">
      <c r="A92" s="54" t="s">
        <v>1391</v>
      </c>
      <c r="B92" s="19" t="s">
        <v>1100</v>
      </c>
      <c r="C92" s="326" t="s">
        <v>1905</v>
      </c>
      <c r="D92" s="327"/>
      <c r="E92" s="327"/>
      <c r="F92" s="327"/>
      <c r="G92" s="328"/>
      <c r="H92" s="4" t="s">
        <v>1977</v>
      </c>
      <c r="I92" s="9"/>
      <c r="J92" s="9"/>
      <c r="K92" s="9"/>
      <c r="L92" s="9"/>
      <c r="M92" s="9"/>
      <c r="N92" s="9"/>
      <c r="O92" s="9"/>
      <c r="P92" s="9"/>
      <c r="Q92" s="9"/>
    </row>
    <row r="93" spans="1:17" s="58" customFormat="1" ht="13.8">
      <c r="A93" s="5" t="s">
        <v>1394</v>
      </c>
      <c r="B93" s="5" t="s">
        <v>1905</v>
      </c>
      <c r="C93" s="59" t="s">
        <v>1395</v>
      </c>
      <c r="D93" s="6" t="s">
        <v>97</v>
      </c>
      <c r="E93" s="6" t="s">
        <v>98</v>
      </c>
      <c r="F93" s="6" t="s">
        <v>1396</v>
      </c>
      <c r="G93" s="6" t="s">
        <v>1397</v>
      </c>
      <c r="H93" s="7"/>
      <c r="I93" s="9"/>
      <c r="J93" s="7"/>
      <c r="K93" s="12"/>
      <c r="L93" s="6"/>
      <c r="M93" s="6"/>
      <c r="N93" s="12"/>
      <c r="O93" s="7"/>
      <c r="P93" s="9"/>
      <c r="Q93" s="9"/>
    </row>
    <row r="94" spans="1:17" s="58" customFormat="1" ht="13.8">
      <c r="A94" s="54" t="s">
        <v>1389</v>
      </c>
      <c r="B94" s="20" t="s">
        <v>1100</v>
      </c>
      <c r="C94" s="323" t="s">
        <v>2292</v>
      </c>
      <c r="D94" s="324"/>
      <c r="E94" s="324"/>
      <c r="F94" s="324"/>
      <c r="G94" s="324"/>
      <c r="H94" s="324"/>
      <c r="I94" s="324"/>
      <c r="J94" s="324"/>
      <c r="K94" s="325"/>
      <c r="L94" s="9"/>
      <c r="M94" s="9"/>
      <c r="N94" s="9"/>
      <c r="O94" s="9"/>
      <c r="P94" s="9"/>
      <c r="Q94" s="9"/>
    </row>
    <row r="95" spans="1:17" s="58" customFormat="1" ht="13.8">
      <c r="A95" s="54" t="s">
        <v>1391</v>
      </c>
      <c r="B95" s="19" t="s">
        <v>1100</v>
      </c>
      <c r="C95" s="326" t="s">
        <v>2055</v>
      </c>
      <c r="D95" s="327"/>
      <c r="E95" s="327"/>
      <c r="F95" s="327"/>
      <c r="G95" s="328"/>
      <c r="H95" s="4" t="s">
        <v>2056</v>
      </c>
      <c r="I95" s="9"/>
      <c r="J95" s="9"/>
      <c r="K95" s="9"/>
      <c r="L95" s="9"/>
      <c r="M95" s="9"/>
      <c r="N95" s="9"/>
      <c r="O95" s="9"/>
      <c r="P95" s="9"/>
      <c r="Q95" s="9"/>
    </row>
    <row r="96" spans="1:17" s="58" customFormat="1" ht="13.8">
      <c r="A96" s="5" t="s">
        <v>1394</v>
      </c>
      <c r="B96" s="5" t="s">
        <v>2055</v>
      </c>
      <c r="C96" s="59" t="s">
        <v>1395</v>
      </c>
      <c r="D96" s="6" t="s">
        <v>97</v>
      </c>
      <c r="E96" s="6" t="s">
        <v>98</v>
      </c>
      <c r="F96" s="6" t="s">
        <v>1396</v>
      </c>
      <c r="G96" s="6" t="s">
        <v>1397</v>
      </c>
      <c r="H96" s="7"/>
      <c r="I96" s="9"/>
      <c r="J96" s="7"/>
      <c r="K96" s="12"/>
      <c r="L96" s="6"/>
      <c r="M96" s="6"/>
      <c r="N96" s="12"/>
      <c r="O96" s="7"/>
      <c r="P96" s="9"/>
      <c r="Q96" s="9"/>
    </row>
    <row r="97" spans="1:17" s="58" customFormat="1" ht="13.8">
      <c r="A97" s="54" t="s">
        <v>1389</v>
      </c>
      <c r="B97" s="20" t="s">
        <v>1100</v>
      </c>
      <c r="C97" s="323" t="s">
        <v>1361</v>
      </c>
      <c r="D97" s="324"/>
      <c r="E97" s="324"/>
      <c r="F97" s="324"/>
      <c r="G97" s="324"/>
      <c r="H97" s="324"/>
      <c r="I97" s="324"/>
      <c r="J97" s="324"/>
      <c r="K97" s="325"/>
      <c r="L97" s="9"/>
      <c r="M97" s="9"/>
      <c r="N97" s="9"/>
      <c r="O97" s="9"/>
      <c r="P97" s="9"/>
      <c r="Q97" s="9"/>
    </row>
    <row r="98" spans="1:17" s="58" customFormat="1" ht="13.8">
      <c r="A98" s="54" t="s">
        <v>1391</v>
      </c>
      <c r="B98" s="19" t="s">
        <v>1100</v>
      </c>
      <c r="C98" s="326" t="s">
        <v>1798</v>
      </c>
      <c r="D98" s="327"/>
      <c r="E98" s="327"/>
      <c r="F98" s="327"/>
      <c r="G98" s="328"/>
      <c r="H98" s="4" t="s">
        <v>1799</v>
      </c>
      <c r="I98" s="9"/>
      <c r="J98" s="9"/>
      <c r="K98" s="9"/>
      <c r="L98" s="9"/>
      <c r="M98" s="9"/>
      <c r="N98" s="9"/>
      <c r="O98" s="9"/>
      <c r="P98" s="9"/>
      <c r="Q98" s="9"/>
    </row>
    <row r="99" spans="1:17" s="58" customFormat="1" ht="13.8">
      <c r="A99" s="5" t="s">
        <v>1394</v>
      </c>
      <c r="B99" s="5" t="s">
        <v>1798</v>
      </c>
      <c r="C99" s="59" t="s">
        <v>1395</v>
      </c>
      <c r="D99" s="6" t="s">
        <v>97</v>
      </c>
      <c r="E99" s="6" t="s">
        <v>98</v>
      </c>
      <c r="F99" s="6" t="s">
        <v>1396</v>
      </c>
      <c r="G99" s="6" t="s">
        <v>1397</v>
      </c>
      <c r="H99" s="7"/>
      <c r="I99" s="9"/>
      <c r="J99" s="7"/>
      <c r="K99" s="12"/>
      <c r="L99" s="6"/>
      <c r="M99" s="6"/>
      <c r="N99" s="12"/>
      <c r="O99" s="7"/>
      <c r="P99" s="9"/>
      <c r="Q99" s="9"/>
    </row>
    <row r="100" spans="1:17" s="57" customFormat="1" ht="51.6" customHeight="1">
      <c r="A100" s="56" t="s">
        <v>1386</v>
      </c>
      <c r="B100" s="3" t="s">
        <v>1101</v>
      </c>
      <c r="C100" s="322" t="s">
        <v>2302</v>
      </c>
      <c r="D100" s="322"/>
      <c r="E100" s="322"/>
      <c r="F100" s="322"/>
      <c r="G100" s="322"/>
      <c r="H100" s="322"/>
      <c r="I100" s="20" t="s">
        <v>2303</v>
      </c>
      <c r="J100" s="20" t="s">
        <v>2304</v>
      </c>
      <c r="K100" s="11" t="s">
        <v>2305</v>
      </c>
      <c r="L100" s="11"/>
      <c r="M100" s="11"/>
      <c r="N100" s="11"/>
      <c r="O100" s="9"/>
      <c r="P100" s="10"/>
      <c r="Q100" s="9"/>
    </row>
    <row r="101" spans="1:17" s="58" customFormat="1" ht="13.8">
      <c r="A101" s="54" t="s">
        <v>1389</v>
      </c>
      <c r="B101" s="20" t="s">
        <v>1101</v>
      </c>
      <c r="C101" s="323" t="s">
        <v>1356</v>
      </c>
      <c r="D101" s="324"/>
      <c r="E101" s="324"/>
      <c r="F101" s="324"/>
      <c r="G101" s="324"/>
      <c r="H101" s="324"/>
      <c r="I101" s="324"/>
      <c r="J101" s="324"/>
      <c r="K101" s="325"/>
      <c r="L101" s="9"/>
      <c r="M101" s="9"/>
      <c r="N101" s="9"/>
      <c r="O101" s="9"/>
      <c r="P101" s="9"/>
      <c r="Q101" s="9"/>
    </row>
    <row r="102" spans="1:17" s="58" customFormat="1" ht="13.8">
      <c r="A102" s="54" t="s">
        <v>1391</v>
      </c>
      <c r="B102" s="19" t="s">
        <v>1101</v>
      </c>
      <c r="C102" s="326" t="s">
        <v>1727</v>
      </c>
      <c r="D102" s="327"/>
      <c r="E102" s="327"/>
      <c r="F102" s="327"/>
      <c r="G102" s="328"/>
      <c r="H102" s="4" t="s">
        <v>1728</v>
      </c>
      <c r="I102" s="9"/>
      <c r="J102" s="9"/>
      <c r="K102" s="9"/>
      <c r="L102" s="9"/>
      <c r="M102" s="9"/>
      <c r="N102" s="9"/>
      <c r="O102" s="9"/>
      <c r="P102" s="9"/>
      <c r="Q102" s="9"/>
    </row>
    <row r="103" spans="1:17" s="58" customFormat="1" ht="13.8">
      <c r="A103" s="5" t="s">
        <v>1394</v>
      </c>
      <c r="B103" s="5" t="s">
        <v>1727</v>
      </c>
      <c r="C103" s="59" t="s">
        <v>1395</v>
      </c>
      <c r="D103" s="6" t="s">
        <v>97</v>
      </c>
      <c r="E103" s="6" t="s">
        <v>98</v>
      </c>
      <c r="F103" s="6" t="s">
        <v>1396</v>
      </c>
      <c r="G103" s="6" t="s">
        <v>1397</v>
      </c>
      <c r="H103" s="7"/>
      <c r="I103" s="9"/>
      <c r="J103" s="7"/>
      <c r="K103" s="12"/>
      <c r="L103" s="6"/>
      <c r="M103" s="6"/>
      <c r="N103" s="12"/>
      <c r="O103" s="7"/>
      <c r="P103" s="9"/>
      <c r="Q103" s="9"/>
    </row>
    <row r="104" spans="1:17" s="58" customFormat="1" ht="13.8">
      <c r="A104" s="54" t="s">
        <v>1389</v>
      </c>
      <c r="B104" s="20" t="s">
        <v>1101</v>
      </c>
      <c r="C104" s="323" t="s">
        <v>1357</v>
      </c>
      <c r="D104" s="324"/>
      <c r="E104" s="324"/>
      <c r="F104" s="324"/>
      <c r="G104" s="324"/>
      <c r="H104" s="324"/>
      <c r="I104" s="324"/>
      <c r="J104" s="324"/>
      <c r="K104" s="325"/>
      <c r="L104" s="9"/>
      <c r="M104" s="9"/>
      <c r="N104" s="9"/>
      <c r="O104" s="9"/>
      <c r="P104" s="9"/>
      <c r="Q104" s="9"/>
    </row>
    <row r="105" spans="1:17" s="58" customFormat="1" ht="13.8">
      <c r="A105" s="54" t="s">
        <v>1391</v>
      </c>
      <c r="B105" s="19" t="s">
        <v>1101</v>
      </c>
      <c r="C105" s="326" t="s">
        <v>2033</v>
      </c>
      <c r="D105" s="327"/>
      <c r="E105" s="327"/>
      <c r="F105" s="327"/>
      <c r="G105" s="328"/>
      <c r="H105" s="4" t="s">
        <v>2034</v>
      </c>
      <c r="I105" s="9"/>
      <c r="J105" s="9"/>
      <c r="K105" s="9"/>
      <c r="L105" s="9"/>
      <c r="M105" s="9"/>
      <c r="N105" s="9"/>
      <c r="O105" s="9"/>
      <c r="P105" s="9"/>
      <c r="Q105" s="9"/>
    </row>
    <row r="106" spans="1:17" s="58" customFormat="1" ht="13.8">
      <c r="A106" s="5" t="s">
        <v>1394</v>
      </c>
      <c r="B106" s="5" t="s">
        <v>2033</v>
      </c>
      <c r="C106" s="59" t="s">
        <v>1395</v>
      </c>
      <c r="D106" s="6" t="s">
        <v>97</v>
      </c>
      <c r="E106" s="6" t="s">
        <v>98</v>
      </c>
      <c r="F106" s="6" t="s">
        <v>1396</v>
      </c>
      <c r="G106" s="6" t="s">
        <v>1397</v>
      </c>
      <c r="H106" s="7"/>
      <c r="I106" s="9"/>
      <c r="J106" s="7"/>
      <c r="K106" s="12"/>
      <c r="L106" s="6"/>
      <c r="M106" s="6"/>
      <c r="N106" s="12"/>
      <c r="O106" s="7"/>
      <c r="P106" s="9"/>
      <c r="Q106" s="9"/>
    </row>
    <row r="107" spans="1:17" s="58" customFormat="1" ht="13.8">
      <c r="A107" s="54" t="s">
        <v>1389</v>
      </c>
      <c r="B107" s="20" t="s">
        <v>1101</v>
      </c>
      <c r="C107" s="323" t="s">
        <v>2291</v>
      </c>
      <c r="D107" s="324"/>
      <c r="E107" s="324"/>
      <c r="F107" s="324"/>
      <c r="G107" s="324"/>
      <c r="H107" s="324"/>
      <c r="I107" s="324"/>
      <c r="J107" s="324"/>
      <c r="K107" s="325"/>
      <c r="L107" s="9"/>
      <c r="M107" s="9"/>
      <c r="N107" s="9"/>
      <c r="O107" s="9"/>
      <c r="P107" s="9"/>
      <c r="Q107" s="9"/>
    </row>
    <row r="108" spans="1:17" s="58" customFormat="1" ht="13.8">
      <c r="A108" s="54" t="s">
        <v>1391</v>
      </c>
      <c r="B108" s="19" t="s">
        <v>1101</v>
      </c>
      <c r="C108" s="326" t="s">
        <v>2198</v>
      </c>
      <c r="D108" s="327"/>
      <c r="E108" s="327"/>
      <c r="F108" s="327"/>
      <c r="G108" s="328"/>
      <c r="H108" s="4" t="s">
        <v>2199</v>
      </c>
      <c r="I108" s="9"/>
      <c r="J108" s="9"/>
      <c r="K108" s="9"/>
      <c r="L108" s="9"/>
      <c r="M108" s="9"/>
      <c r="N108" s="9"/>
      <c r="O108" s="9"/>
      <c r="P108" s="9"/>
      <c r="Q108" s="9"/>
    </row>
    <row r="109" spans="1:17" s="58" customFormat="1" ht="13.8">
      <c r="A109" s="5" t="s">
        <v>1394</v>
      </c>
      <c r="B109" s="5" t="s">
        <v>2198</v>
      </c>
      <c r="C109" s="59" t="s">
        <v>1395</v>
      </c>
      <c r="D109" s="6" t="s">
        <v>97</v>
      </c>
      <c r="E109" s="6" t="s">
        <v>98</v>
      </c>
      <c r="F109" s="6" t="s">
        <v>1396</v>
      </c>
      <c r="G109" s="6" t="s">
        <v>1397</v>
      </c>
      <c r="H109" s="7"/>
      <c r="I109" s="9"/>
      <c r="J109" s="7"/>
      <c r="K109" s="12"/>
      <c r="L109" s="6"/>
      <c r="M109" s="6"/>
      <c r="N109" s="12"/>
      <c r="O109" s="7"/>
      <c r="P109" s="9"/>
      <c r="Q109" s="9"/>
    </row>
    <row r="110" spans="1:17" s="58" customFormat="1" ht="13.8">
      <c r="A110" s="54" t="s">
        <v>1389</v>
      </c>
      <c r="B110" s="20" t="s">
        <v>1101</v>
      </c>
      <c r="C110" s="323" t="s">
        <v>1359</v>
      </c>
      <c r="D110" s="324"/>
      <c r="E110" s="324"/>
      <c r="F110" s="324"/>
      <c r="G110" s="324"/>
      <c r="H110" s="324"/>
      <c r="I110" s="324"/>
      <c r="J110" s="324"/>
      <c r="K110" s="325"/>
      <c r="L110" s="9"/>
      <c r="M110" s="9"/>
      <c r="N110" s="9"/>
      <c r="O110" s="9"/>
      <c r="P110" s="9"/>
      <c r="Q110" s="9"/>
    </row>
    <row r="111" spans="1:17" s="58" customFormat="1" ht="13.8">
      <c r="A111" s="54" t="s">
        <v>1391</v>
      </c>
      <c r="B111" s="19" t="s">
        <v>1101</v>
      </c>
      <c r="C111" s="326" t="s">
        <v>1905</v>
      </c>
      <c r="D111" s="327"/>
      <c r="E111" s="327"/>
      <c r="F111" s="327"/>
      <c r="G111" s="328"/>
      <c r="H111" s="4" t="s">
        <v>1977</v>
      </c>
      <c r="I111" s="9"/>
      <c r="J111" s="9"/>
      <c r="K111" s="9"/>
      <c r="L111" s="9"/>
      <c r="M111" s="9"/>
      <c r="N111" s="9"/>
      <c r="O111" s="9"/>
      <c r="P111" s="9"/>
      <c r="Q111" s="9"/>
    </row>
    <row r="112" spans="1:17" s="58" customFormat="1" ht="13.8">
      <c r="A112" s="5" t="s">
        <v>1394</v>
      </c>
      <c r="B112" s="5" t="s">
        <v>1905</v>
      </c>
      <c r="C112" s="59" t="s">
        <v>1395</v>
      </c>
      <c r="D112" s="6" t="s">
        <v>97</v>
      </c>
      <c r="E112" s="6" t="s">
        <v>98</v>
      </c>
      <c r="F112" s="6" t="s">
        <v>1396</v>
      </c>
      <c r="G112" s="6" t="s">
        <v>1397</v>
      </c>
      <c r="H112" s="7"/>
      <c r="I112" s="9"/>
      <c r="J112" s="7"/>
      <c r="K112" s="12"/>
      <c r="L112" s="6"/>
      <c r="M112" s="6"/>
      <c r="N112" s="12"/>
      <c r="O112" s="7"/>
      <c r="P112" s="9"/>
      <c r="Q112" s="9"/>
    </row>
    <row r="113" spans="1:17" s="58" customFormat="1" ht="13.8">
      <c r="A113" s="54" t="s">
        <v>1389</v>
      </c>
      <c r="B113" s="20" t="s">
        <v>1101</v>
      </c>
      <c r="C113" s="323" t="s">
        <v>1362</v>
      </c>
      <c r="D113" s="324"/>
      <c r="E113" s="324"/>
      <c r="F113" s="324"/>
      <c r="G113" s="324"/>
      <c r="H113" s="324"/>
      <c r="I113" s="324"/>
      <c r="J113" s="324"/>
      <c r="K113" s="325"/>
      <c r="L113" s="9"/>
      <c r="M113" s="9"/>
      <c r="N113" s="9"/>
      <c r="O113" s="9"/>
      <c r="P113" s="9"/>
      <c r="Q113" s="9"/>
    </row>
    <row r="114" spans="1:17" s="58" customFormat="1" ht="13.8">
      <c r="A114" s="54" t="s">
        <v>1391</v>
      </c>
      <c r="B114" s="19" t="s">
        <v>1101</v>
      </c>
      <c r="C114" s="326" t="s">
        <v>1905</v>
      </c>
      <c r="D114" s="327"/>
      <c r="E114" s="327"/>
      <c r="F114" s="327"/>
      <c r="G114" s="328"/>
      <c r="H114" s="4" t="s">
        <v>1977</v>
      </c>
      <c r="I114" s="9"/>
      <c r="J114" s="9"/>
      <c r="K114" s="9"/>
      <c r="L114" s="9"/>
      <c r="M114" s="9"/>
      <c r="N114" s="9"/>
      <c r="O114" s="9"/>
      <c r="P114" s="9"/>
      <c r="Q114" s="9"/>
    </row>
    <row r="115" spans="1:17" s="58" customFormat="1" ht="13.8">
      <c r="A115" s="5" t="s">
        <v>1394</v>
      </c>
      <c r="B115" s="5" t="s">
        <v>1905</v>
      </c>
      <c r="C115" s="59" t="s">
        <v>1395</v>
      </c>
      <c r="D115" s="6" t="s">
        <v>97</v>
      </c>
      <c r="E115" s="6" t="s">
        <v>98</v>
      </c>
      <c r="F115" s="6" t="s">
        <v>1396</v>
      </c>
      <c r="G115" s="6" t="s">
        <v>1397</v>
      </c>
      <c r="H115" s="7"/>
      <c r="I115" s="9"/>
      <c r="J115" s="7"/>
      <c r="K115" s="12"/>
      <c r="L115" s="6"/>
      <c r="M115" s="6"/>
      <c r="N115" s="12"/>
      <c r="O115" s="7"/>
      <c r="P115" s="9"/>
      <c r="Q115" s="9"/>
    </row>
    <row r="116" spans="1:17" s="58" customFormat="1" ht="13.8">
      <c r="A116" s="54" t="s">
        <v>1389</v>
      </c>
      <c r="B116" s="20" t="s">
        <v>1101</v>
      </c>
      <c r="C116" s="323" t="s">
        <v>2292</v>
      </c>
      <c r="D116" s="324"/>
      <c r="E116" s="324"/>
      <c r="F116" s="324"/>
      <c r="G116" s="324"/>
      <c r="H116" s="324"/>
      <c r="I116" s="324"/>
      <c r="J116" s="324"/>
      <c r="K116" s="325"/>
      <c r="L116" s="9"/>
      <c r="M116" s="9"/>
      <c r="N116" s="9"/>
      <c r="O116" s="9"/>
      <c r="P116" s="9"/>
      <c r="Q116" s="9"/>
    </row>
    <row r="117" spans="1:17" s="58" customFormat="1" ht="13.8">
      <c r="A117" s="54" t="s">
        <v>1391</v>
      </c>
      <c r="B117" s="19" t="s">
        <v>1101</v>
      </c>
      <c r="C117" s="326" t="s">
        <v>2055</v>
      </c>
      <c r="D117" s="327"/>
      <c r="E117" s="327"/>
      <c r="F117" s="327"/>
      <c r="G117" s="328"/>
      <c r="H117" s="4" t="s">
        <v>2056</v>
      </c>
      <c r="I117" s="9"/>
      <c r="J117" s="9"/>
      <c r="K117" s="9"/>
      <c r="L117" s="9"/>
      <c r="M117" s="9"/>
      <c r="N117" s="9"/>
      <c r="O117" s="9"/>
      <c r="P117" s="9"/>
      <c r="Q117" s="9"/>
    </row>
    <row r="118" spans="1:17" s="58" customFormat="1" ht="13.8">
      <c r="A118" s="5" t="s">
        <v>1394</v>
      </c>
      <c r="B118" s="5" t="s">
        <v>2055</v>
      </c>
      <c r="C118" s="59" t="s">
        <v>1395</v>
      </c>
      <c r="D118" s="6" t="s">
        <v>97</v>
      </c>
      <c r="E118" s="6" t="s">
        <v>98</v>
      </c>
      <c r="F118" s="6" t="s">
        <v>1396</v>
      </c>
      <c r="G118" s="6" t="s">
        <v>1397</v>
      </c>
      <c r="H118" s="7"/>
      <c r="I118" s="9"/>
      <c r="J118" s="7"/>
      <c r="K118" s="12"/>
      <c r="L118" s="6"/>
      <c r="M118" s="6"/>
      <c r="N118" s="12"/>
      <c r="O118" s="7"/>
      <c r="P118" s="9"/>
      <c r="Q118" s="9"/>
    </row>
    <row r="119" spans="1:17" s="58" customFormat="1" ht="13.8">
      <c r="A119" s="54" t="s">
        <v>1389</v>
      </c>
      <c r="B119" s="20" t="s">
        <v>1101</v>
      </c>
      <c r="C119" s="323" t="s">
        <v>1361</v>
      </c>
      <c r="D119" s="324"/>
      <c r="E119" s="324"/>
      <c r="F119" s="324"/>
      <c r="G119" s="324"/>
      <c r="H119" s="324"/>
      <c r="I119" s="324"/>
      <c r="J119" s="324"/>
      <c r="K119" s="325"/>
      <c r="L119" s="9"/>
      <c r="M119" s="9"/>
      <c r="N119" s="9"/>
      <c r="O119" s="9"/>
      <c r="P119" s="9"/>
      <c r="Q119" s="9"/>
    </row>
    <row r="120" spans="1:17" s="58" customFormat="1" ht="13.8">
      <c r="A120" s="54" t="s">
        <v>1391</v>
      </c>
      <c r="B120" s="19" t="s">
        <v>1101</v>
      </c>
      <c r="C120" s="326" t="s">
        <v>1798</v>
      </c>
      <c r="D120" s="327"/>
      <c r="E120" s="327"/>
      <c r="F120" s="327"/>
      <c r="G120" s="328"/>
      <c r="H120" s="4" t="s">
        <v>1799</v>
      </c>
      <c r="I120" s="9"/>
      <c r="J120" s="9"/>
      <c r="K120" s="9"/>
      <c r="L120" s="9"/>
      <c r="M120" s="9"/>
      <c r="N120" s="9"/>
      <c r="O120" s="9"/>
      <c r="P120" s="9"/>
      <c r="Q120" s="9"/>
    </row>
    <row r="121" spans="1:17" s="58" customFormat="1" ht="13.8">
      <c r="A121" s="5" t="s">
        <v>1394</v>
      </c>
      <c r="B121" s="5" t="s">
        <v>1798</v>
      </c>
      <c r="C121" s="59" t="s">
        <v>1395</v>
      </c>
      <c r="D121" s="6" t="s">
        <v>97</v>
      </c>
      <c r="E121" s="6" t="s">
        <v>98</v>
      </c>
      <c r="F121" s="6" t="s">
        <v>1396</v>
      </c>
      <c r="G121" s="6" t="s">
        <v>1397</v>
      </c>
      <c r="H121" s="7"/>
      <c r="I121" s="9"/>
      <c r="J121" s="7"/>
      <c r="K121" s="12"/>
      <c r="L121" s="6"/>
      <c r="M121" s="6"/>
      <c r="N121" s="12"/>
      <c r="O121" s="7"/>
      <c r="P121" s="9"/>
      <c r="Q121" s="9"/>
    </row>
    <row r="122" spans="1:17" s="57" customFormat="1" ht="51.6" customHeight="1">
      <c r="A122" s="56" t="s">
        <v>1386</v>
      </c>
      <c r="B122" s="3" t="s">
        <v>1102</v>
      </c>
      <c r="C122" s="322" t="s">
        <v>2306</v>
      </c>
      <c r="D122" s="322"/>
      <c r="E122" s="322"/>
      <c r="F122" s="322"/>
      <c r="G122" s="322"/>
      <c r="H122" s="322"/>
      <c r="I122" s="20" t="s">
        <v>2307</v>
      </c>
      <c r="J122" s="20" t="s">
        <v>2308</v>
      </c>
      <c r="K122" s="11" t="s">
        <v>2309</v>
      </c>
      <c r="L122" s="11"/>
      <c r="M122" s="11"/>
      <c r="N122" s="11"/>
      <c r="O122" s="9"/>
      <c r="P122" s="10"/>
      <c r="Q122" s="9"/>
    </row>
    <row r="123" spans="1:17" s="58" customFormat="1" ht="13.8">
      <c r="A123" s="54" t="s">
        <v>1389</v>
      </c>
      <c r="B123" s="20" t="s">
        <v>1102</v>
      </c>
      <c r="C123" s="323" t="s">
        <v>1356</v>
      </c>
      <c r="D123" s="324"/>
      <c r="E123" s="324"/>
      <c r="F123" s="324"/>
      <c r="G123" s="324"/>
      <c r="H123" s="324"/>
      <c r="I123" s="324"/>
      <c r="J123" s="324"/>
      <c r="K123" s="325"/>
      <c r="L123" s="9"/>
      <c r="M123" s="9"/>
      <c r="N123" s="9"/>
      <c r="O123" s="9"/>
      <c r="P123" s="9"/>
      <c r="Q123" s="9"/>
    </row>
    <row r="124" spans="1:17" s="58" customFormat="1" ht="13.8">
      <c r="A124" s="54" t="s">
        <v>1391</v>
      </c>
      <c r="B124" s="19" t="s">
        <v>1102</v>
      </c>
      <c r="C124" s="326" t="s">
        <v>1727</v>
      </c>
      <c r="D124" s="327"/>
      <c r="E124" s="327"/>
      <c r="F124" s="327"/>
      <c r="G124" s="328"/>
      <c r="H124" s="4" t="s">
        <v>1728</v>
      </c>
      <c r="I124" s="9"/>
      <c r="J124" s="9"/>
      <c r="K124" s="9"/>
      <c r="L124" s="9"/>
      <c r="M124" s="9"/>
      <c r="N124" s="9"/>
      <c r="O124" s="9"/>
      <c r="P124" s="9"/>
      <c r="Q124" s="9"/>
    </row>
    <row r="125" spans="1:17" s="58" customFormat="1" ht="13.8">
      <c r="A125" s="5" t="s">
        <v>1394</v>
      </c>
      <c r="B125" s="5" t="s">
        <v>1727</v>
      </c>
      <c r="C125" s="59" t="s">
        <v>1395</v>
      </c>
      <c r="D125" s="6" t="s">
        <v>97</v>
      </c>
      <c r="E125" s="6" t="s">
        <v>98</v>
      </c>
      <c r="F125" s="6" t="s">
        <v>1396</v>
      </c>
      <c r="G125" s="6" t="s">
        <v>1397</v>
      </c>
      <c r="H125" s="7"/>
      <c r="I125" s="9"/>
      <c r="J125" s="7"/>
      <c r="K125" s="12"/>
      <c r="L125" s="6"/>
      <c r="M125" s="6"/>
      <c r="N125" s="12"/>
      <c r="O125" s="7"/>
      <c r="P125" s="9"/>
      <c r="Q125" s="9"/>
    </row>
    <row r="126" spans="1:17" s="58" customFormat="1" ht="13.8">
      <c r="A126" s="54" t="s">
        <v>1389</v>
      </c>
      <c r="B126" s="20" t="s">
        <v>1102</v>
      </c>
      <c r="C126" s="323" t="s">
        <v>1357</v>
      </c>
      <c r="D126" s="324"/>
      <c r="E126" s="324"/>
      <c r="F126" s="324"/>
      <c r="G126" s="324"/>
      <c r="H126" s="324"/>
      <c r="I126" s="324"/>
      <c r="J126" s="324"/>
      <c r="K126" s="325"/>
      <c r="L126" s="9"/>
      <c r="M126" s="9"/>
      <c r="N126" s="9"/>
      <c r="O126" s="9"/>
      <c r="P126" s="9"/>
      <c r="Q126" s="9"/>
    </row>
    <row r="127" spans="1:17" s="58" customFormat="1" ht="13.8">
      <c r="A127" s="54" t="s">
        <v>1391</v>
      </c>
      <c r="B127" s="19" t="s">
        <v>1102</v>
      </c>
      <c r="C127" s="326" t="s">
        <v>2033</v>
      </c>
      <c r="D127" s="327"/>
      <c r="E127" s="327"/>
      <c r="F127" s="327"/>
      <c r="G127" s="328"/>
      <c r="H127" s="4" t="s">
        <v>2034</v>
      </c>
      <c r="I127" s="9"/>
      <c r="J127" s="9"/>
      <c r="K127" s="9"/>
      <c r="L127" s="9"/>
      <c r="M127" s="9"/>
      <c r="N127" s="9"/>
      <c r="O127" s="9"/>
      <c r="P127" s="9"/>
      <c r="Q127" s="9"/>
    </row>
    <row r="128" spans="1:17" s="58" customFormat="1" ht="13.8">
      <c r="A128" s="5" t="s">
        <v>1394</v>
      </c>
      <c r="B128" s="5" t="s">
        <v>2033</v>
      </c>
      <c r="C128" s="59" t="s">
        <v>1395</v>
      </c>
      <c r="D128" s="6" t="s">
        <v>97</v>
      </c>
      <c r="E128" s="6" t="s">
        <v>98</v>
      </c>
      <c r="F128" s="6" t="s">
        <v>1396</v>
      </c>
      <c r="G128" s="6" t="s">
        <v>1397</v>
      </c>
      <c r="H128" s="7"/>
      <c r="I128" s="9"/>
      <c r="J128" s="7"/>
      <c r="K128" s="12"/>
      <c r="L128" s="6"/>
      <c r="M128" s="6"/>
      <c r="N128" s="12"/>
      <c r="O128" s="7"/>
      <c r="P128" s="9"/>
      <c r="Q128" s="9"/>
    </row>
    <row r="129" spans="1:17" s="58" customFormat="1" ht="13.8">
      <c r="A129" s="54" t="s">
        <v>1389</v>
      </c>
      <c r="B129" s="20" t="s">
        <v>1102</v>
      </c>
      <c r="C129" s="323" t="s">
        <v>2291</v>
      </c>
      <c r="D129" s="324"/>
      <c r="E129" s="324"/>
      <c r="F129" s="324"/>
      <c r="G129" s="324"/>
      <c r="H129" s="324"/>
      <c r="I129" s="324"/>
      <c r="J129" s="324"/>
      <c r="K129" s="325"/>
      <c r="L129" s="9"/>
      <c r="M129" s="9"/>
      <c r="N129" s="9"/>
      <c r="O129" s="9"/>
      <c r="P129" s="9"/>
      <c r="Q129" s="9"/>
    </row>
    <row r="130" spans="1:17" s="58" customFormat="1" ht="13.8">
      <c r="A130" s="54" t="s">
        <v>1391</v>
      </c>
      <c r="B130" s="19" t="s">
        <v>1102</v>
      </c>
      <c r="C130" s="326" t="s">
        <v>2198</v>
      </c>
      <c r="D130" s="327"/>
      <c r="E130" s="327"/>
      <c r="F130" s="327"/>
      <c r="G130" s="328"/>
      <c r="H130" s="4" t="s">
        <v>2199</v>
      </c>
      <c r="I130" s="9"/>
      <c r="J130" s="9"/>
      <c r="K130" s="9"/>
      <c r="L130" s="9"/>
      <c r="M130" s="9"/>
      <c r="N130" s="9"/>
      <c r="O130" s="9"/>
      <c r="P130" s="9"/>
      <c r="Q130" s="9"/>
    </row>
    <row r="131" spans="1:17" s="58" customFormat="1" ht="13.8">
      <c r="A131" s="5" t="s">
        <v>1394</v>
      </c>
      <c r="B131" s="5" t="s">
        <v>2198</v>
      </c>
      <c r="C131" s="59" t="s">
        <v>1395</v>
      </c>
      <c r="D131" s="6" t="s">
        <v>97</v>
      </c>
      <c r="E131" s="6" t="s">
        <v>98</v>
      </c>
      <c r="F131" s="6" t="s">
        <v>1396</v>
      </c>
      <c r="G131" s="6" t="s">
        <v>1397</v>
      </c>
      <c r="H131" s="7"/>
      <c r="I131" s="9"/>
      <c r="J131" s="7"/>
      <c r="K131" s="12"/>
      <c r="L131" s="6"/>
      <c r="M131" s="6"/>
      <c r="N131" s="12"/>
      <c r="O131" s="7"/>
      <c r="P131" s="9"/>
      <c r="Q131" s="9"/>
    </row>
    <row r="132" spans="1:17" s="58" customFormat="1" ht="13.8">
      <c r="A132" s="54" t="s">
        <v>1389</v>
      </c>
      <c r="B132" s="20" t="s">
        <v>1102</v>
      </c>
      <c r="C132" s="323" t="s">
        <v>1359</v>
      </c>
      <c r="D132" s="324"/>
      <c r="E132" s="324"/>
      <c r="F132" s="324"/>
      <c r="G132" s="324"/>
      <c r="H132" s="324"/>
      <c r="I132" s="324"/>
      <c r="J132" s="324"/>
      <c r="K132" s="325"/>
      <c r="L132" s="9"/>
      <c r="M132" s="9"/>
      <c r="N132" s="9"/>
      <c r="O132" s="9"/>
      <c r="P132" s="9"/>
      <c r="Q132" s="9"/>
    </row>
    <row r="133" spans="1:17" s="58" customFormat="1" ht="13.8">
      <c r="A133" s="54" t="s">
        <v>1391</v>
      </c>
      <c r="B133" s="19" t="s">
        <v>1102</v>
      </c>
      <c r="C133" s="326" t="s">
        <v>1905</v>
      </c>
      <c r="D133" s="327"/>
      <c r="E133" s="327"/>
      <c r="F133" s="327"/>
      <c r="G133" s="328"/>
      <c r="H133" s="4" t="s">
        <v>1977</v>
      </c>
      <c r="I133" s="9"/>
      <c r="J133" s="9"/>
      <c r="K133" s="9"/>
      <c r="L133" s="9"/>
      <c r="M133" s="9"/>
      <c r="N133" s="9"/>
      <c r="O133" s="9"/>
      <c r="P133" s="9"/>
      <c r="Q133" s="9"/>
    </row>
    <row r="134" spans="1:17" s="58" customFormat="1" ht="13.8">
      <c r="A134" s="5" t="s">
        <v>1394</v>
      </c>
      <c r="B134" s="5" t="s">
        <v>1905</v>
      </c>
      <c r="C134" s="59" t="s">
        <v>1395</v>
      </c>
      <c r="D134" s="6" t="s">
        <v>97</v>
      </c>
      <c r="E134" s="6" t="s">
        <v>98</v>
      </c>
      <c r="F134" s="6" t="s">
        <v>1396</v>
      </c>
      <c r="G134" s="6" t="s">
        <v>1397</v>
      </c>
      <c r="H134" s="7"/>
      <c r="I134" s="9"/>
      <c r="J134" s="7"/>
      <c r="K134" s="12"/>
      <c r="L134" s="6"/>
      <c r="M134" s="6"/>
      <c r="N134" s="12"/>
      <c r="O134" s="7"/>
      <c r="P134" s="9"/>
      <c r="Q134" s="9"/>
    </row>
    <row r="135" spans="1:17" s="58" customFormat="1" ht="13.8">
      <c r="A135" s="54" t="s">
        <v>1389</v>
      </c>
      <c r="B135" s="20" t="s">
        <v>1102</v>
      </c>
      <c r="C135" s="323" t="s">
        <v>1362</v>
      </c>
      <c r="D135" s="324"/>
      <c r="E135" s="324"/>
      <c r="F135" s="324"/>
      <c r="G135" s="324"/>
      <c r="H135" s="324"/>
      <c r="I135" s="324"/>
      <c r="J135" s="324"/>
      <c r="K135" s="325"/>
      <c r="L135" s="9"/>
      <c r="M135" s="9"/>
      <c r="N135" s="9"/>
      <c r="O135" s="9"/>
      <c r="P135" s="9"/>
      <c r="Q135" s="9"/>
    </row>
    <row r="136" spans="1:17" s="58" customFormat="1" ht="13.8">
      <c r="A136" s="54" t="s">
        <v>1391</v>
      </c>
      <c r="B136" s="19" t="s">
        <v>1102</v>
      </c>
      <c r="C136" s="326" t="s">
        <v>1905</v>
      </c>
      <c r="D136" s="327"/>
      <c r="E136" s="327"/>
      <c r="F136" s="327"/>
      <c r="G136" s="328"/>
      <c r="H136" s="4" t="s">
        <v>1977</v>
      </c>
      <c r="I136" s="9"/>
      <c r="J136" s="9"/>
      <c r="K136" s="9"/>
      <c r="L136" s="9"/>
      <c r="M136" s="9"/>
      <c r="N136" s="9"/>
      <c r="O136" s="9"/>
      <c r="P136" s="9"/>
      <c r="Q136" s="9"/>
    </row>
    <row r="137" spans="1:17" s="58" customFormat="1" ht="13.8">
      <c r="A137" s="5" t="s">
        <v>1394</v>
      </c>
      <c r="B137" s="5" t="s">
        <v>1905</v>
      </c>
      <c r="C137" s="59" t="s">
        <v>1395</v>
      </c>
      <c r="D137" s="6" t="s">
        <v>97</v>
      </c>
      <c r="E137" s="6" t="s">
        <v>98</v>
      </c>
      <c r="F137" s="6" t="s">
        <v>1396</v>
      </c>
      <c r="G137" s="6" t="s">
        <v>1397</v>
      </c>
      <c r="H137" s="7"/>
      <c r="I137" s="9"/>
      <c r="J137" s="7"/>
      <c r="K137" s="12"/>
      <c r="L137" s="6"/>
      <c r="M137" s="6"/>
      <c r="N137" s="12"/>
      <c r="O137" s="7"/>
      <c r="P137" s="9"/>
      <c r="Q137" s="9"/>
    </row>
    <row r="138" spans="1:17" s="58" customFormat="1" ht="13.8">
      <c r="A138" s="54" t="s">
        <v>1389</v>
      </c>
      <c r="B138" s="20" t="s">
        <v>1102</v>
      </c>
      <c r="C138" s="323" t="s">
        <v>2292</v>
      </c>
      <c r="D138" s="324"/>
      <c r="E138" s="324"/>
      <c r="F138" s="324"/>
      <c r="G138" s="324"/>
      <c r="H138" s="324"/>
      <c r="I138" s="324"/>
      <c r="J138" s="324"/>
      <c r="K138" s="325"/>
      <c r="L138" s="9"/>
      <c r="M138" s="9"/>
      <c r="N138" s="9"/>
      <c r="O138" s="9"/>
      <c r="P138" s="9"/>
      <c r="Q138" s="9"/>
    </row>
    <row r="139" spans="1:17" s="58" customFormat="1" ht="13.8">
      <c r="A139" s="54" t="s">
        <v>1391</v>
      </c>
      <c r="B139" s="19" t="s">
        <v>1102</v>
      </c>
      <c r="C139" s="326" t="s">
        <v>2055</v>
      </c>
      <c r="D139" s="327"/>
      <c r="E139" s="327"/>
      <c r="F139" s="327"/>
      <c r="G139" s="328"/>
      <c r="H139" s="4" t="s">
        <v>2056</v>
      </c>
      <c r="I139" s="9"/>
      <c r="J139" s="9"/>
      <c r="K139" s="9"/>
      <c r="L139" s="9"/>
      <c r="M139" s="9"/>
      <c r="N139" s="9"/>
      <c r="O139" s="9"/>
      <c r="P139" s="9"/>
      <c r="Q139" s="9"/>
    </row>
    <row r="140" spans="1:17" s="58" customFormat="1" ht="13.8">
      <c r="A140" s="5" t="s">
        <v>1394</v>
      </c>
      <c r="B140" s="5" t="s">
        <v>2055</v>
      </c>
      <c r="C140" s="59" t="s">
        <v>1395</v>
      </c>
      <c r="D140" s="6" t="s">
        <v>97</v>
      </c>
      <c r="E140" s="6" t="s">
        <v>98</v>
      </c>
      <c r="F140" s="6" t="s">
        <v>1396</v>
      </c>
      <c r="G140" s="6" t="s">
        <v>1397</v>
      </c>
      <c r="H140" s="7"/>
      <c r="I140" s="9"/>
      <c r="J140" s="7"/>
      <c r="K140" s="12"/>
      <c r="L140" s="6"/>
      <c r="M140" s="6"/>
      <c r="N140" s="12"/>
      <c r="O140" s="7"/>
      <c r="P140" s="9"/>
      <c r="Q140" s="9"/>
    </row>
    <row r="141" spans="1:17" s="58" customFormat="1" ht="13.8">
      <c r="A141" s="54" t="s">
        <v>1389</v>
      </c>
      <c r="B141" s="20" t="s">
        <v>1102</v>
      </c>
      <c r="C141" s="323" t="s">
        <v>1361</v>
      </c>
      <c r="D141" s="324"/>
      <c r="E141" s="324"/>
      <c r="F141" s="324"/>
      <c r="G141" s="324"/>
      <c r="H141" s="324"/>
      <c r="I141" s="324"/>
      <c r="J141" s="324"/>
      <c r="K141" s="325"/>
      <c r="L141" s="9"/>
      <c r="M141" s="9"/>
      <c r="N141" s="9"/>
      <c r="O141" s="9"/>
      <c r="P141" s="9"/>
      <c r="Q141" s="9"/>
    </row>
    <row r="142" spans="1:17" s="58" customFormat="1" ht="13.8">
      <c r="A142" s="54" t="s">
        <v>1391</v>
      </c>
      <c r="B142" s="19" t="s">
        <v>1102</v>
      </c>
      <c r="C142" s="326" t="s">
        <v>1798</v>
      </c>
      <c r="D142" s="327"/>
      <c r="E142" s="327"/>
      <c r="F142" s="327"/>
      <c r="G142" s="328"/>
      <c r="H142" s="4" t="s">
        <v>1799</v>
      </c>
      <c r="I142" s="9"/>
      <c r="J142" s="9"/>
      <c r="K142" s="9"/>
      <c r="L142" s="9"/>
      <c r="M142" s="9"/>
      <c r="N142" s="9"/>
      <c r="O142" s="9"/>
      <c r="P142" s="9"/>
      <c r="Q142" s="9"/>
    </row>
    <row r="143" spans="1:17" s="58" customFormat="1" ht="13.8">
      <c r="A143" s="5" t="s">
        <v>1394</v>
      </c>
      <c r="B143" s="5" t="s">
        <v>1798</v>
      </c>
      <c r="C143" s="59" t="s">
        <v>1395</v>
      </c>
      <c r="D143" s="6" t="s">
        <v>97</v>
      </c>
      <c r="E143" s="6" t="s">
        <v>98</v>
      </c>
      <c r="F143" s="6" t="s">
        <v>1396</v>
      </c>
      <c r="G143" s="6" t="s">
        <v>1397</v>
      </c>
      <c r="H143" s="7"/>
      <c r="I143" s="9"/>
      <c r="J143" s="7"/>
      <c r="K143" s="12"/>
      <c r="L143" s="6"/>
      <c r="M143" s="6"/>
      <c r="N143" s="12"/>
      <c r="O143" s="7"/>
      <c r="P143" s="9"/>
      <c r="Q143" s="9"/>
    </row>
    <row r="144" spans="1:17" s="55" customFormat="1" ht="13.8">
      <c r="A144" s="54" t="s">
        <v>1385</v>
      </c>
      <c r="B144" s="17" t="s">
        <v>371</v>
      </c>
      <c r="C144" s="18"/>
      <c r="D144" s="18"/>
      <c r="E144" s="18"/>
      <c r="F144" s="18"/>
      <c r="G144" s="18"/>
      <c r="H144" s="18"/>
      <c r="I144" s="18"/>
      <c r="J144" s="18"/>
      <c r="K144" s="18"/>
      <c r="L144" s="8"/>
      <c r="M144" s="8"/>
      <c r="N144" s="8"/>
      <c r="O144" s="9"/>
      <c r="P144" s="10"/>
      <c r="Q144" s="9"/>
    </row>
    <row r="145" spans="1:17" s="57" customFormat="1" ht="51.6" customHeight="1">
      <c r="A145" s="56" t="s">
        <v>1386</v>
      </c>
      <c r="B145" s="3" t="s">
        <v>1465</v>
      </c>
      <c r="C145" s="322" t="s">
        <v>1466</v>
      </c>
      <c r="D145" s="322"/>
      <c r="E145" s="322"/>
      <c r="F145" s="322"/>
      <c r="G145" s="322"/>
      <c r="H145" s="322"/>
      <c r="I145" s="20" t="s">
        <v>2310</v>
      </c>
      <c r="J145" s="20" t="s">
        <v>2311</v>
      </c>
      <c r="K145" s="11" t="s">
        <v>2312</v>
      </c>
      <c r="L145" s="11"/>
      <c r="M145" s="11"/>
      <c r="N145" s="11"/>
      <c r="O145" s="9"/>
      <c r="P145" s="10"/>
      <c r="Q145" s="9"/>
    </row>
    <row r="146" spans="1:17" s="58" customFormat="1" ht="13.8">
      <c r="A146" s="54" t="s">
        <v>1389</v>
      </c>
      <c r="B146" s="20" t="s">
        <v>1465</v>
      </c>
      <c r="C146" s="323" t="s">
        <v>1356</v>
      </c>
      <c r="D146" s="324"/>
      <c r="E146" s="324"/>
      <c r="F146" s="324"/>
      <c r="G146" s="324"/>
      <c r="H146" s="324"/>
      <c r="I146" s="324"/>
      <c r="J146" s="324"/>
      <c r="K146" s="325"/>
      <c r="L146" s="9"/>
      <c r="M146" s="9"/>
      <c r="N146" s="9"/>
      <c r="O146" s="9"/>
      <c r="P146" s="9"/>
      <c r="Q146" s="9"/>
    </row>
    <row r="147" spans="1:17" s="58" customFormat="1" ht="13.8">
      <c r="A147" s="54" t="s">
        <v>1391</v>
      </c>
      <c r="B147" s="19" t="s">
        <v>1465</v>
      </c>
      <c r="C147" s="326" t="s">
        <v>1727</v>
      </c>
      <c r="D147" s="327"/>
      <c r="E147" s="327"/>
      <c r="F147" s="327"/>
      <c r="G147" s="328"/>
      <c r="H147" s="4" t="s">
        <v>1728</v>
      </c>
      <c r="I147" s="9"/>
      <c r="J147" s="9"/>
      <c r="K147" s="9"/>
      <c r="L147" s="9"/>
      <c r="M147" s="9"/>
      <c r="N147" s="9"/>
      <c r="O147" s="9"/>
      <c r="P147" s="9"/>
      <c r="Q147" s="9"/>
    </row>
    <row r="148" spans="1:17" s="58" customFormat="1" ht="13.8">
      <c r="A148" s="5" t="s">
        <v>1394</v>
      </c>
      <c r="B148" s="5" t="s">
        <v>1727</v>
      </c>
      <c r="C148" s="59" t="s">
        <v>1395</v>
      </c>
      <c r="D148" s="6" t="s">
        <v>97</v>
      </c>
      <c r="E148" s="6" t="s">
        <v>98</v>
      </c>
      <c r="F148" s="6" t="s">
        <v>1396</v>
      </c>
      <c r="G148" s="6" t="s">
        <v>1397</v>
      </c>
      <c r="H148" s="7"/>
      <c r="I148" s="9"/>
      <c r="J148" s="7"/>
      <c r="K148" s="12"/>
      <c r="L148" s="6"/>
      <c r="M148" s="6"/>
      <c r="N148" s="12"/>
      <c r="O148" s="7"/>
      <c r="P148" s="9"/>
      <c r="Q148" s="9"/>
    </row>
    <row r="149" spans="1:17" s="58" customFormat="1" ht="13.8">
      <c r="A149" s="54" t="s">
        <v>1389</v>
      </c>
      <c r="B149" s="20" t="s">
        <v>1465</v>
      </c>
      <c r="C149" s="323" t="s">
        <v>1357</v>
      </c>
      <c r="D149" s="324"/>
      <c r="E149" s="324"/>
      <c r="F149" s="324"/>
      <c r="G149" s="324"/>
      <c r="H149" s="324"/>
      <c r="I149" s="324"/>
      <c r="J149" s="324"/>
      <c r="K149" s="325"/>
      <c r="L149" s="9"/>
      <c r="M149" s="9"/>
      <c r="N149" s="9"/>
      <c r="O149" s="9"/>
      <c r="P149" s="9"/>
      <c r="Q149" s="9"/>
    </row>
    <row r="150" spans="1:17" s="58" customFormat="1" ht="13.8">
      <c r="A150" s="54" t="s">
        <v>1391</v>
      </c>
      <c r="B150" s="19" t="s">
        <v>1465</v>
      </c>
      <c r="C150" s="326" t="s">
        <v>2033</v>
      </c>
      <c r="D150" s="327"/>
      <c r="E150" s="327"/>
      <c r="F150" s="327"/>
      <c r="G150" s="328"/>
      <c r="H150" s="4" t="s">
        <v>2034</v>
      </c>
      <c r="I150" s="9"/>
      <c r="J150" s="9"/>
      <c r="K150" s="9"/>
      <c r="L150" s="9"/>
      <c r="M150" s="9"/>
      <c r="N150" s="9"/>
      <c r="O150" s="9"/>
      <c r="P150" s="9"/>
      <c r="Q150" s="9"/>
    </row>
    <row r="151" spans="1:17" s="58" customFormat="1" ht="13.8">
      <c r="A151" s="5" t="s">
        <v>1394</v>
      </c>
      <c r="B151" s="5" t="s">
        <v>2033</v>
      </c>
      <c r="C151" s="59" t="s">
        <v>1395</v>
      </c>
      <c r="D151" s="6" t="s">
        <v>97</v>
      </c>
      <c r="E151" s="6" t="s">
        <v>98</v>
      </c>
      <c r="F151" s="6" t="s">
        <v>1396</v>
      </c>
      <c r="G151" s="6" t="s">
        <v>1397</v>
      </c>
      <c r="H151" s="7"/>
      <c r="I151" s="9"/>
      <c r="J151" s="7"/>
      <c r="K151" s="12"/>
      <c r="L151" s="6"/>
      <c r="M151" s="6"/>
      <c r="N151" s="12"/>
      <c r="O151" s="7"/>
      <c r="P151" s="9"/>
      <c r="Q151" s="9"/>
    </row>
    <row r="152" spans="1:17" s="58" customFormat="1" ht="13.8">
      <c r="A152" s="54" t="s">
        <v>1389</v>
      </c>
      <c r="B152" s="20" t="s">
        <v>1465</v>
      </c>
      <c r="C152" s="323" t="s">
        <v>2291</v>
      </c>
      <c r="D152" s="324"/>
      <c r="E152" s="324"/>
      <c r="F152" s="324"/>
      <c r="G152" s="324"/>
      <c r="H152" s="324"/>
      <c r="I152" s="324"/>
      <c r="J152" s="324"/>
      <c r="K152" s="325"/>
      <c r="L152" s="9"/>
      <c r="M152" s="9"/>
      <c r="N152" s="9"/>
      <c r="O152" s="9"/>
      <c r="P152" s="9"/>
      <c r="Q152" s="9"/>
    </row>
    <row r="153" spans="1:17" s="58" customFormat="1" ht="13.8">
      <c r="A153" s="54" t="s">
        <v>1391</v>
      </c>
      <c r="B153" s="19" t="s">
        <v>1465</v>
      </c>
      <c r="C153" s="326" t="s">
        <v>2198</v>
      </c>
      <c r="D153" s="327"/>
      <c r="E153" s="327"/>
      <c r="F153" s="327"/>
      <c r="G153" s="328"/>
      <c r="H153" s="4" t="s">
        <v>2199</v>
      </c>
      <c r="I153" s="9"/>
      <c r="J153" s="9"/>
      <c r="K153" s="9"/>
      <c r="L153" s="9"/>
      <c r="M153" s="9"/>
      <c r="N153" s="9"/>
      <c r="O153" s="9"/>
      <c r="P153" s="9"/>
      <c r="Q153" s="9"/>
    </row>
    <row r="154" spans="1:17" s="58" customFormat="1" ht="13.8">
      <c r="A154" s="5" t="s">
        <v>1394</v>
      </c>
      <c r="B154" s="5" t="s">
        <v>2198</v>
      </c>
      <c r="C154" s="59" t="s">
        <v>1395</v>
      </c>
      <c r="D154" s="6" t="s">
        <v>97</v>
      </c>
      <c r="E154" s="6" t="s">
        <v>98</v>
      </c>
      <c r="F154" s="6" t="s">
        <v>1396</v>
      </c>
      <c r="G154" s="6" t="s">
        <v>1397</v>
      </c>
      <c r="H154" s="7"/>
      <c r="I154" s="9"/>
      <c r="J154" s="7"/>
      <c r="K154" s="12"/>
      <c r="L154" s="6"/>
      <c r="M154" s="6"/>
      <c r="N154" s="12"/>
      <c r="O154" s="7"/>
      <c r="P154" s="9"/>
      <c r="Q154" s="9"/>
    </row>
    <row r="155" spans="1:17" s="58" customFormat="1" ht="13.8">
      <c r="A155" s="54" t="s">
        <v>1389</v>
      </c>
      <c r="B155" s="20" t="s">
        <v>1465</v>
      </c>
      <c r="C155" s="323" t="s">
        <v>1359</v>
      </c>
      <c r="D155" s="324"/>
      <c r="E155" s="324"/>
      <c r="F155" s="324"/>
      <c r="G155" s="324"/>
      <c r="H155" s="324"/>
      <c r="I155" s="324"/>
      <c r="J155" s="324"/>
      <c r="K155" s="325"/>
      <c r="L155" s="9"/>
      <c r="M155" s="9"/>
      <c r="N155" s="9"/>
      <c r="O155" s="9"/>
      <c r="P155" s="9"/>
      <c r="Q155" s="9"/>
    </row>
    <row r="156" spans="1:17" s="58" customFormat="1" ht="13.8">
      <c r="A156" s="54" t="s">
        <v>1391</v>
      </c>
      <c r="B156" s="19" t="s">
        <v>1465</v>
      </c>
      <c r="C156" s="326" t="s">
        <v>1905</v>
      </c>
      <c r="D156" s="327"/>
      <c r="E156" s="327"/>
      <c r="F156" s="327"/>
      <c r="G156" s="328"/>
      <c r="H156" s="4" t="s">
        <v>1977</v>
      </c>
      <c r="I156" s="9"/>
      <c r="J156" s="9"/>
      <c r="K156" s="9"/>
      <c r="L156" s="9"/>
      <c r="M156" s="9"/>
      <c r="N156" s="9"/>
      <c r="O156" s="9"/>
      <c r="P156" s="9"/>
      <c r="Q156" s="9"/>
    </row>
    <row r="157" spans="1:17" s="58" customFormat="1" ht="13.8">
      <c r="A157" s="5" t="s">
        <v>1394</v>
      </c>
      <c r="B157" s="5" t="s">
        <v>1905</v>
      </c>
      <c r="C157" s="59" t="s">
        <v>1395</v>
      </c>
      <c r="D157" s="6" t="s">
        <v>97</v>
      </c>
      <c r="E157" s="6" t="s">
        <v>98</v>
      </c>
      <c r="F157" s="6" t="s">
        <v>1396</v>
      </c>
      <c r="G157" s="6" t="s">
        <v>1397</v>
      </c>
      <c r="H157" s="7"/>
      <c r="I157" s="9"/>
      <c r="J157" s="7"/>
      <c r="K157" s="12"/>
      <c r="L157" s="6"/>
      <c r="M157" s="6"/>
      <c r="N157" s="12"/>
      <c r="O157" s="7"/>
      <c r="P157" s="9"/>
      <c r="Q157" s="9"/>
    </row>
    <row r="158" spans="1:17" s="58" customFormat="1" ht="13.8">
      <c r="A158" s="54" t="s">
        <v>1389</v>
      </c>
      <c r="B158" s="20" t="s">
        <v>1465</v>
      </c>
      <c r="C158" s="323" t="s">
        <v>1362</v>
      </c>
      <c r="D158" s="324"/>
      <c r="E158" s="324"/>
      <c r="F158" s="324"/>
      <c r="G158" s="324"/>
      <c r="H158" s="324"/>
      <c r="I158" s="324"/>
      <c r="J158" s="324"/>
      <c r="K158" s="325"/>
      <c r="L158" s="9"/>
      <c r="M158" s="9"/>
      <c r="N158" s="9"/>
      <c r="O158" s="9"/>
      <c r="P158" s="9"/>
      <c r="Q158" s="9"/>
    </row>
    <row r="159" spans="1:17" s="58" customFormat="1" ht="13.8">
      <c r="A159" s="54" t="s">
        <v>1391</v>
      </c>
      <c r="B159" s="19" t="s">
        <v>1465</v>
      </c>
      <c r="C159" s="326" t="s">
        <v>1905</v>
      </c>
      <c r="D159" s="327"/>
      <c r="E159" s="327"/>
      <c r="F159" s="327"/>
      <c r="G159" s="328"/>
      <c r="H159" s="4" t="s">
        <v>1977</v>
      </c>
      <c r="I159" s="9"/>
      <c r="J159" s="9"/>
      <c r="K159" s="9"/>
      <c r="L159" s="9"/>
      <c r="M159" s="9"/>
      <c r="N159" s="9"/>
      <c r="O159" s="9"/>
      <c r="P159" s="9"/>
      <c r="Q159" s="9"/>
    </row>
    <row r="160" spans="1:17" s="58" customFormat="1" ht="13.8">
      <c r="A160" s="5" t="s">
        <v>1394</v>
      </c>
      <c r="B160" s="5" t="s">
        <v>1905</v>
      </c>
      <c r="C160" s="59" t="s">
        <v>1395</v>
      </c>
      <c r="D160" s="6" t="s">
        <v>97</v>
      </c>
      <c r="E160" s="6" t="s">
        <v>98</v>
      </c>
      <c r="F160" s="6" t="s">
        <v>1396</v>
      </c>
      <c r="G160" s="6" t="s">
        <v>1397</v>
      </c>
      <c r="H160" s="7"/>
      <c r="I160" s="9"/>
      <c r="J160" s="7"/>
      <c r="K160" s="12"/>
      <c r="L160" s="6"/>
      <c r="M160" s="6"/>
      <c r="N160" s="12"/>
      <c r="O160" s="7"/>
      <c r="P160" s="9"/>
      <c r="Q160" s="9"/>
    </row>
    <row r="161" spans="1:17" s="58" customFormat="1" ht="13.8">
      <c r="A161" s="54" t="s">
        <v>1389</v>
      </c>
      <c r="B161" s="20" t="s">
        <v>1465</v>
      </c>
      <c r="C161" s="323" t="s">
        <v>2292</v>
      </c>
      <c r="D161" s="324"/>
      <c r="E161" s="324"/>
      <c r="F161" s="324"/>
      <c r="G161" s="324"/>
      <c r="H161" s="324"/>
      <c r="I161" s="324"/>
      <c r="J161" s="324"/>
      <c r="K161" s="325"/>
      <c r="L161" s="9"/>
      <c r="M161" s="9"/>
      <c r="N161" s="9"/>
      <c r="O161" s="9"/>
      <c r="P161" s="9"/>
      <c r="Q161" s="9"/>
    </row>
    <row r="162" spans="1:17" s="58" customFormat="1" ht="13.8">
      <c r="A162" s="54" t="s">
        <v>1391</v>
      </c>
      <c r="B162" s="19" t="s">
        <v>1465</v>
      </c>
      <c r="C162" s="326" t="s">
        <v>2055</v>
      </c>
      <c r="D162" s="327"/>
      <c r="E162" s="327"/>
      <c r="F162" s="327"/>
      <c r="G162" s="328"/>
      <c r="H162" s="4" t="s">
        <v>2056</v>
      </c>
      <c r="I162" s="9"/>
      <c r="J162" s="9"/>
      <c r="K162" s="9"/>
      <c r="L162" s="9"/>
      <c r="M162" s="9"/>
      <c r="N162" s="9"/>
      <c r="O162" s="9"/>
      <c r="P162" s="9"/>
      <c r="Q162" s="9"/>
    </row>
    <row r="163" spans="1:17" s="58" customFormat="1" ht="13.8">
      <c r="A163" s="5" t="s">
        <v>1394</v>
      </c>
      <c r="B163" s="5" t="s">
        <v>2055</v>
      </c>
      <c r="C163" s="59" t="s">
        <v>1395</v>
      </c>
      <c r="D163" s="6" t="s">
        <v>97</v>
      </c>
      <c r="E163" s="6" t="s">
        <v>98</v>
      </c>
      <c r="F163" s="6" t="s">
        <v>1396</v>
      </c>
      <c r="G163" s="6" t="s">
        <v>1397</v>
      </c>
      <c r="H163" s="7"/>
      <c r="I163" s="9"/>
      <c r="J163" s="7"/>
      <c r="K163" s="12"/>
      <c r="L163" s="6"/>
      <c r="M163" s="6"/>
      <c r="N163" s="12"/>
      <c r="O163" s="7"/>
      <c r="P163" s="9"/>
      <c r="Q163" s="9"/>
    </row>
    <row r="164" spans="1:17" s="58" customFormat="1" ht="13.8">
      <c r="A164" s="54" t="s">
        <v>1389</v>
      </c>
      <c r="B164" s="20" t="s">
        <v>1465</v>
      </c>
      <c r="C164" s="323" t="s">
        <v>1361</v>
      </c>
      <c r="D164" s="324"/>
      <c r="E164" s="324"/>
      <c r="F164" s="324"/>
      <c r="G164" s="324"/>
      <c r="H164" s="324"/>
      <c r="I164" s="324"/>
      <c r="J164" s="324"/>
      <c r="K164" s="325"/>
      <c r="L164" s="9"/>
      <c r="M164" s="9"/>
      <c r="N164" s="9"/>
      <c r="O164" s="9"/>
      <c r="P164" s="9"/>
      <c r="Q164" s="9"/>
    </row>
    <row r="165" spans="1:17" s="58" customFormat="1" ht="13.8">
      <c r="A165" s="54" t="s">
        <v>1391</v>
      </c>
      <c r="B165" s="19" t="s">
        <v>1465</v>
      </c>
      <c r="C165" s="326" t="s">
        <v>1798</v>
      </c>
      <c r="D165" s="327"/>
      <c r="E165" s="327"/>
      <c r="F165" s="327"/>
      <c r="G165" s="328"/>
      <c r="H165" s="4" t="s">
        <v>1799</v>
      </c>
      <c r="I165" s="9"/>
      <c r="J165" s="9"/>
      <c r="K165" s="9"/>
      <c r="L165" s="9"/>
      <c r="M165" s="9"/>
      <c r="N165" s="9"/>
      <c r="O165" s="9"/>
      <c r="P165" s="9"/>
      <c r="Q165" s="9"/>
    </row>
    <row r="166" spans="1:17" s="58" customFormat="1" ht="13.8">
      <c r="A166" s="5" t="s">
        <v>1394</v>
      </c>
      <c r="B166" s="5" t="s">
        <v>1798</v>
      </c>
      <c r="C166" s="59" t="s">
        <v>1395</v>
      </c>
      <c r="D166" s="6" t="s">
        <v>97</v>
      </c>
      <c r="E166" s="6" t="s">
        <v>98</v>
      </c>
      <c r="F166" s="6" t="s">
        <v>1396</v>
      </c>
      <c r="G166" s="6" t="s">
        <v>1397</v>
      </c>
      <c r="H166" s="7"/>
      <c r="I166" s="9"/>
      <c r="J166" s="7"/>
      <c r="K166" s="12"/>
      <c r="L166" s="6"/>
      <c r="M166" s="6"/>
      <c r="N166" s="12"/>
      <c r="O166" s="7"/>
      <c r="P166" s="9"/>
      <c r="Q166" s="9"/>
    </row>
  </sheetData>
  <mergeCells count="105">
    <mergeCell ref="C18:G18"/>
    <mergeCell ref="C20:K20"/>
    <mergeCell ref="C21:G21"/>
    <mergeCell ref="C23:K23"/>
    <mergeCell ref="C24:G24"/>
    <mergeCell ref="C26:K26"/>
    <mergeCell ref="C10:H10"/>
    <mergeCell ref="C11:K11"/>
    <mergeCell ref="C12:G12"/>
    <mergeCell ref="C14:K14"/>
    <mergeCell ref="C15:G15"/>
    <mergeCell ref="C17:K17"/>
    <mergeCell ref="C37:K37"/>
    <mergeCell ref="C38:G38"/>
    <mergeCell ref="C40:K40"/>
    <mergeCell ref="C41:G41"/>
    <mergeCell ref="C43:K43"/>
    <mergeCell ref="C44:G44"/>
    <mergeCell ref="C27:G27"/>
    <mergeCell ref="C29:K29"/>
    <mergeCell ref="C30:G30"/>
    <mergeCell ref="C33:H33"/>
    <mergeCell ref="C34:K34"/>
    <mergeCell ref="C35:G35"/>
    <mergeCell ref="C55:H55"/>
    <mergeCell ref="C56:K56"/>
    <mergeCell ref="C57:G57"/>
    <mergeCell ref="C59:K59"/>
    <mergeCell ref="C60:G60"/>
    <mergeCell ref="C62:K62"/>
    <mergeCell ref="C46:K46"/>
    <mergeCell ref="C47:G47"/>
    <mergeCell ref="C49:K49"/>
    <mergeCell ref="C50:G50"/>
    <mergeCell ref="C52:K52"/>
    <mergeCell ref="C53:G53"/>
    <mergeCell ref="C72:G72"/>
    <mergeCell ref="C74:K74"/>
    <mergeCell ref="C75:G75"/>
    <mergeCell ref="C78:H78"/>
    <mergeCell ref="C79:K79"/>
    <mergeCell ref="C80:G80"/>
    <mergeCell ref="C63:G63"/>
    <mergeCell ref="C65:K65"/>
    <mergeCell ref="C66:G66"/>
    <mergeCell ref="C68:K68"/>
    <mergeCell ref="C69:G69"/>
    <mergeCell ref="C71:K71"/>
    <mergeCell ref="C91:K91"/>
    <mergeCell ref="C92:G92"/>
    <mergeCell ref="C94:K94"/>
    <mergeCell ref="C95:G95"/>
    <mergeCell ref="C97:K97"/>
    <mergeCell ref="C98:G98"/>
    <mergeCell ref="C82:K82"/>
    <mergeCell ref="C83:G83"/>
    <mergeCell ref="C85:K85"/>
    <mergeCell ref="C86:G86"/>
    <mergeCell ref="C88:K88"/>
    <mergeCell ref="C89:G89"/>
    <mergeCell ref="C108:G108"/>
    <mergeCell ref="C110:K110"/>
    <mergeCell ref="C111:G111"/>
    <mergeCell ref="C113:K113"/>
    <mergeCell ref="C114:G114"/>
    <mergeCell ref="C116:K116"/>
    <mergeCell ref="C100:H100"/>
    <mergeCell ref="C101:K101"/>
    <mergeCell ref="C102:G102"/>
    <mergeCell ref="C104:K104"/>
    <mergeCell ref="C105:G105"/>
    <mergeCell ref="C107:K107"/>
    <mergeCell ref="C126:K126"/>
    <mergeCell ref="C127:G127"/>
    <mergeCell ref="C129:K129"/>
    <mergeCell ref="C130:G130"/>
    <mergeCell ref="C132:K132"/>
    <mergeCell ref="C133:G133"/>
    <mergeCell ref="C117:G117"/>
    <mergeCell ref="C119:K119"/>
    <mergeCell ref="C120:G120"/>
    <mergeCell ref="C122:H122"/>
    <mergeCell ref="C123:K123"/>
    <mergeCell ref="C124:G124"/>
    <mergeCell ref="C145:H145"/>
    <mergeCell ref="C146:K146"/>
    <mergeCell ref="C147:G147"/>
    <mergeCell ref="C149:K149"/>
    <mergeCell ref="C150:G150"/>
    <mergeCell ref="C152:K152"/>
    <mergeCell ref="C135:K135"/>
    <mergeCell ref="C136:G136"/>
    <mergeCell ref="C138:K138"/>
    <mergeCell ref="C139:G139"/>
    <mergeCell ref="C141:K141"/>
    <mergeCell ref="C142:G142"/>
    <mergeCell ref="C162:G162"/>
    <mergeCell ref="C164:K164"/>
    <mergeCell ref="C165:G165"/>
    <mergeCell ref="C153:G153"/>
    <mergeCell ref="C155:K155"/>
    <mergeCell ref="C156:G156"/>
    <mergeCell ref="C158:K158"/>
    <mergeCell ref="C159:G159"/>
    <mergeCell ref="C161:K161"/>
  </mergeCells>
  <conditionalFormatting sqref="O9">
    <cfRule type="cellIs" dxfId="1898" priority="886" operator="equal">
      <formula>"U"</formula>
    </cfRule>
    <cfRule type="cellIs" dxfId="1897" priority="887" operator="equal">
      <formula>"S"</formula>
    </cfRule>
  </conditionalFormatting>
  <conditionalFormatting sqref="Q9">
    <cfRule type="cellIs" dxfId="1896" priority="885" operator="equal">
      <formula>"Y"</formula>
    </cfRule>
  </conditionalFormatting>
  <conditionalFormatting sqref="O10">
    <cfRule type="cellIs" dxfId="1895" priority="880" operator="equal">
      <formula>"NY"</formula>
    </cfRule>
    <cfRule type="cellIs" dxfId="1894" priority="881" operator="equal">
      <formula>"DM"</formula>
    </cfRule>
    <cfRule type="cellIs" dxfId="1893" priority="882" operator="equal">
      <formula>"PM"</formula>
    </cfRule>
    <cfRule type="cellIs" dxfId="1892" priority="883" operator="equal">
      <formula>"LM"</formula>
    </cfRule>
    <cfRule type="cellIs" dxfId="1891" priority="884" operator="equal">
      <formula>"FM"</formula>
    </cfRule>
  </conditionalFormatting>
  <conditionalFormatting sqref="Q10">
    <cfRule type="cellIs" dxfId="1890" priority="879" operator="equal">
      <formula>"Y"</formula>
    </cfRule>
  </conditionalFormatting>
  <conditionalFormatting sqref="O11">
    <cfRule type="cellIs" dxfId="1889" priority="874" operator="equal">
      <formula>"NY"</formula>
    </cfRule>
    <cfRule type="cellIs" dxfId="1888" priority="875" operator="equal">
      <formula>"DM"</formula>
    </cfRule>
    <cfRule type="cellIs" dxfId="1887" priority="876" operator="equal">
      <formula>"PM"</formula>
    </cfRule>
    <cfRule type="cellIs" dxfId="1886" priority="877" operator="equal">
      <formula>"LM"</formula>
    </cfRule>
    <cfRule type="cellIs" dxfId="1885" priority="878" operator="equal">
      <formula>"FM"</formula>
    </cfRule>
  </conditionalFormatting>
  <conditionalFormatting sqref="Q11">
    <cfRule type="cellIs" dxfId="1884" priority="873" operator="equal">
      <formula>"Y"</formula>
    </cfRule>
  </conditionalFormatting>
  <conditionalFormatting sqref="O12">
    <cfRule type="cellIs" dxfId="1883" priority="868" operator="equal">
      <formula>"NY"</formula>
    </cfRule>
    <cfRule type="cellIs" dxfId="1882" priority="869" operator="equal">
      <formula>"DM"</formula>
    </cfRule>
    <cfRule type="cellIs" dxfId="1881" priority="870" operator="equal">
      <formula>"PM"</formula>
    </cfRule>
    <cfRule type="cellIs" dxfId="1880" priority="871" operator="equal">
      <formula>"LM"</formula>
    </cfRule>
    <cfRule type="cellIs" dxfId="1879" priority="872" operator="equal">
      <formula>"FM"</formula>
    </cfRule>
  </conditionalFormatting>
  <conditionalFormatting sqref="I12:J12">
    <cfRule type="cellIs" dxfId="1878" priority="866" operator="equal">
      <formula>"No"</formula>
    </cfRule>
    <cfRule type="cellIs" dxfId="1877" priority="867" operator="equal">
      <formula>"Yes"</formula>
    </cfRule>
  </conditionalFormatting>
  <conditionalFormatting sqref="Q12">
    <cfRule type="cellIs" dxfId="1876" priority="865" operator="equal">
      <formula>"Y"</formula>
    </cfRule>
  </conditionalFormatting>
  <conditionalFormatting sqref="I13">
    <cfRule type="cellIs" dxfId="1875" priority="863" operator="equal">
      <formula>"No"</formula>
    </cfRule>
    <cfRule type="cellIs" dxfId="1874" priority="864" operator="equal">
      <formula>"Yes"</formula>
    </cfRule>
  </conditionalFormatting>
  <conditionalFormatting sqref="Q13">
    <cfRule type="cellIs" dxfId="1873" priority="862" operator="equal">
      <formula>"Y"</formula>
    </cfRule>
  </conditionalFormatting>
  <conditionalFormatting sqref="O14">
    <cfRule type="cellIs" dxfId="1872" priority="857" operator="equal">
      <formula>"NY"</formula>
    </cfRule>
    <cfRule type="cellIs" dxfId="1871" priority="858" operator="equal">
      <formula>"DM"</formula>
    </cfRule>
    <cfRule type="cellIs" dxfId="1870" priority="859" operator="equal">
      <formula>"PM"</formula>
    </cfRule>
    <cfRule type="cellIs" dxfId="1869" priority="860" operator="equal">
      <formula>"LM"</formula>
    </cfRule>
    <cfRule type="cellIs" dxfId="1868" priority="861" operator="equal">
      <formula>"FM"</formula>
    </cfRule>
  </conditionalFormatting>
  <conditionalFormatting sqref="Q14">
    <cfRule type="cellIs" dxfId="1867" priority="856" operator="equal">
      <formula>"Y"</formula>
    </cfRule>
  </conditionalFormatting>
  <conditionalFormatting sqref="O15">
    <cfRule type="cellIs" dxfId="1866" priority="851" operator="equal">
      <formula>"NY"</formula>
    </cfRule>
    <cfRule type="cellIs" dxfId="1865" priority="852" operator="equal">
      <formula>"DM"</formula>
    </cfRule>
    <cfRule type="cellIs" dxfId="1864" priority="853" operator="equal">
      <formula>"PM"</formula>
    </cfRule>
    <cfRule type="cellIs" dxfId="1863" priority="854" operator="equal">
      <formula>"LM"</formula>
    </cfRule>
    <cfRule type="cellIs" dxfId="1862" priority="855" operator="equal">
      <formula>"FM"</formula>
    </cfRule>
  </conditionalFormatting>
  <conditionalFormatting sqref="I15:J15">
    <cfRule type="cellIs" dxfId="1861" priority="849" operator="equal">
      <formula>"No"</formula>
    </cfRule>
    <cfRule type="cellIs" dxfId="1860" priority="850" operator="equal">
      <formula>"Yes"</formula>
    </cfRule>
  </conditionalFormatting>
  <conditionalFormatting sqref="Q15">
    <cfRule type="cellIs" dxfId="1859" priority="848" operator="equal">
      <formula>"Y"</formula>
    </cfRule>
  </conditionalFormatting>
  <conditionalFormatting sqref="I16">
    <cfRule type="cellIs" dxfId="1858" priority="846" operator="equal">
      <formula>"No"</formula>
    </cfRule>
    <cfRule type="cellIs" dxfId="1857" priority="847" operator="equal">
      <formula>"Yes"</formula>
    </cfRule>
  </conditionalFormatting>
  <conditionalFormatting sqref="Q16">
    <cfRule type="cellIs" dxfId="1856" priority="845" operator="equal">
      <formula>"Y"</formula>
    </cfRule>
  </conditionalFormatting>
  <conditionalFormatting sqref="O17">
    <cfRule type="cellIs" dxfId="1855" priority="840" operator="equal">
      <formula>"NY"</formula>
    </cfRule>
    <cfRule type="cellIs" dxfId="1854" priority="841" operator="equal">
      <formula>"DM"</formula>
    </cfRule>
    <cfRule type="cellIs" dxfId="1853" priority="842" operator="equal">
      <formula>"PM"</formula>
    </cfRule>
    <cfRule type="cellIs" dxfId="1852" priority="843" operator="equal">
      <formula>"LM"</formula>
    </cfRule>
    <cfRule type="cellIs" dxfId="1851" priority="844" operator="equal">
      <formula>"FM"</formula>
    </cfRule>
  </conditionalFormatting>
  <conditionalFormatting sqref="Q17">
    <cfRule type="cellIs" dxfId="1850" priority="839" operator="equal">
      <formula>"Y"</formula>
    </cfRule>
  </conditionalFormatting>
  <conditionalFormatting sqref="O18">
    <cfRule type="cellIs" dxfId="1849" priority="834" operator="equal">
      <formula>"NY"</formula>
    </cfRule>
    <cfRule type="cellIs" dxfId="1848" priority="835" operator="equal">
      <formula>"DM"</formula>
    </cfRule>
    <cfRule type="cellIs" dxfId="1847" priority="836" operator="equal">
      <formula>"PM"</formula>
    </cfRule>
    <cfRule type="cellIs" dxfId="1846" priority="837" operator="equal">
      <formula>"LM"</formula>
    </cfRule>
    <cfRule type="cellIs" dxfId="1845" priority="838" operator="equal">
      <formula>"FM"</formula>
    </cfRule>
  </conditionalFormatting>
  <conditionalFormatting sqref="I18:J18">
    <cfRule type="cellIs" dxfId="1844" priority="832" operator="equal">
      <formula>"No"</formula>
    </cfRule>
    <cfRule type="cellIs" dxfId="1843" priority="833" operator="equal">
      <formula>"Yes"</formula>
    </cfRule>
  </conditionalFormatting>
  <conditionalFormatting sqref="Q18">
    <cfRule type="cellIs" dxfId="1842" priority="831" operator="equal">
      <formula>"Y"</formula>
    </cfRule>
  </conditionalFormatting>
  <conditionalFormatting sqref="I19">
    <cfRule type="cellIs" dxfId="1841" priority="829" operator="equal">
      <formula>"No"</formula>
    </cfRule>
    <cfRule type="cellIs" dxfId="1840" priority="830" operator="equal">
      <formula>"Yes"</formula>
    </cfRule>
  </conditionalFormatting>
  <conditionalFormatting sqref="Q19">
    <cfRule type="cellIs" dxfId="1839" priority="828" operator="equal">
      <formula>"Y"</formula>
    </cfRule>
  </conditionalFormatting>
  <conditionalFormatting sqref="O20">
    <cfRule type="cellIs" dxfId="1838" priority="823" operator="equal">
      <formula>"NY"</formula>
    </cfRule>
    <cfRule type="cellIs" dxfId="1837" priority="824" operator="equal">
      <formula>"DM"</formula>
    </cfRule>
    <cfRule type="cellIs" dxfId="1836" priority="825" operator="equal">
      <formula>"PM"</formula>
    </cfRule>
    <cfRule type="cellIs" dxfId="1835" priority="826" operator="equal">
      <formula>"LM"</formula>
    </cfRule>
    <cfRule type="cellIs" dxfId="1834" priority="827" operator="equal">
      <formula>"FM"</formula>
    </cfRule>
  </conditionalFormatting>
  <conditionalFormatting sqref="Q20">
    <cfRule type="cellIs" dxfId="1833" priority="822" operator="equal">
      <formula>"Y"</formula>
    </cfRule>
  </conditionalFormatting>
  <conditionalFormatting sqref="O21">
    <cfRule type="cellIs" dxfId="1832" priority="817" operator="equal">
      <formula>"NY"</formula>
    </cfRule>
    <cfRule type="cellIs" dxfId="1831" priority="818" operator="equal">
      <formula>"DM"</formula>
    </cfRule>
    <cfRule type="cellIs" dxfId="1830" priority="819" operator="equal">
      <formula>"PM"</formula>
    </cfRule>
    <cfRule type="cellIs" dxfId="1829" priority="820" operator="equal">
      <formula>"LM"</formula>
    </cfRule>
    <cfRule type="cellIs" dxfId="1828" priority="821" operator="equal">
      <formula>"FM"</formula>
    </cfRule>
  </conditionalFormatting>
  <conditionalFormatting sqref="I21:J21">
    <cfRule type="cellIs" dxfId="1827" priority="815" operator="equal">
      <formula>"No"</formula>
    </cfRule>
    <cfRule type="cellIs" dxfId="1826" priority="816" operator="equal">
      <formula>"Yes"</formula>
    </cfRule>
  </conditionalFormatting>
  <conditionalFormatting sqref="Q21">
    <cfRule type="cellIs" dxfId="1825" priority="814" operator="equal">
      <formula>"Y"</formula>
    </cfRule>
  </conditionalFormatting>
  <conditionalFormatting sqref="I22">
    <cfRule type="cellIs" dxfId="1824" priority="812" operator="equal">
      <formula>"No"</formula>
    </cfRule>
    <cfRule type="cellIs" dxfId="1823" priority="813" operator="equal">
      <formula>"Yes"</formula>
    </cfRule>
  </conditionalFormatting>
  <conditionalFormatting sqref="Q22">
    <cfRule type="cellIs" dxfId="1822" priority="811" operator="equal">
      <formula>"Y"</formula>
    </cfRule>
  </conditionalFormatting>
  <conditionalFormatting sqref="O23">
    <cfRule type="cellIs" dxfId="1821" priority="806" operator="equal">
      <formula>"NY"</formula>
    </cfRule>
    <cfRule type="cellIs" dxfId="1820" priority="807" operator="equal">
      <formula>"DM"</formula>
    </cfRule>
    <cfRule type="cellIs" dxfId="1819" priority="808" operator="equal">
      <formula>"PM"</formula>
    </cfRule>
    <cfRule type="cellIs" dxfId="1818" priority="809" operator="equal">
      <formula>"LM"</formula>
    </cfRule>
    <cfRule type="cellIs" dxfId="1817" priority="810" operator="equal">
      <formula>"FM"</formula>
    </cfRule>
  </conditionalFormatting>
  <conditionalFormatting sqref="Q23">
    <cfRule type="cellIs" dxfId="1816" priority="805" operator="equal">
      <formula>"Y"</formula>
    </cfRule>
  </conditionalFormatting>
  <conditionalFormatting sqref="O24">
    <cfRule type="cellIs" dxfId="1815" priority="800" operator="equal">
      <formula>"NY"</formula>
    </cfRule>
    <cfRule type="cellIs" dxfId="1814" priority="801" operator="equal">
      <formula>"DM"</formula>
    </cfRule>
    <cfRule type="cellIs" dxfId="1813" priority="802" operator="equal">
      <formula>"PM"</formula>
    </cfRule>
    <cfRule type="cellIs" dxfId="1812" priority="803" operator="equal">
      <formula>"LM"</formula>
    </cfRule>
    <cfRule type="cellIs" dxfId="1811" priority="804" operator="equal">
      <formula>"FM"</formula>
    </cfRule>
  </conditionalFormatting>
  <conditionalFormatting sqref="I24:J24">
    <cfRule type="cellIs" dxfId="1810" priority="798" operator="equal">
      <formula>"No"</formula>
    </cfRule>
    <cfRule type="cellIs" dxfId="1809" priority="799" operator="equal">
      <formula>"Yes"</formula>
    </cfRule>
  </conditionalFormatting>
  <conditionalFormatting sqref="Q24">
    <cfRule type="cellIs" dxfId="1808" priority="797" operator="equal">
      <formula>"Y"</formula>
    </cfRule>
  </conditionalFormatting>
  <conditionalFormatting sqref="I25">
    <cfRule type="cellIs" dxfId="1807" priority="795" operator="equal">
      <formula>"No"</formula>
    </cfRule>
    <cfRule type="cellIs" dxfId="1806" priority="796" operator="equal">
      <formula>"Yes"</formula>
    </cfRule>
  </conditionalFormatting>
  <conditionalFormatting sqref="Q25">
    <cfRule type="cellIs" dxfId="1805" priority="794" operator="equal">
      <formula>"Y"</formula>
    </cfRule>
  </conditionalFormatting>
  <conditionalFormatting sqref="O26">
    <cfRule type="cellIs" dxfId="1804" priority="789" operator="equal">
      <formula>"NY"</formula>
    </cfRule>
    <cfRule type="cellIs" dxfId="1803" priority="790" operator="equal">
      <formula>"DM"</formula>
    </cfRule>
    <cfRule type="cellIs" dxfId="1802" priority="791" operator="equal">
      <formula>"PM"</formula>
    </cfRule>
    <cfRule type="cellIs" dxfId="1801" priority="792" operator="equal">
      <formula>"LM"</formula>
    </cfRule>
    <cfRule type="cellIs" dxfId="1800" priority="793" operator="equal">
      <formula>"FM"</formula>
    </cfRule>
  </conditionalFormatting>
  <conditionalFormatting sqref="Q26">
    <cfRule type="cellIs" dxfId="1799" priority="788" operator="equal">
      <formula>"Y"</formula>
    </cfRule>
  </conditionalFormatting>
  <conditionalFormatting sqref="O27">
    <cfRule type="cellIs" dxfId="1798" priority="783" operator="equal">
      <formula>"NY"</formula>
    </cfRule>
    <cfRule type="cellIs" dxfId="1797" priority="784" operator="equal">
      <formula>"DM"</formula>
    </cfRule>
    <cfRule type="cellIs" dxfId="1796" priority="785" operator="equal">
      <formula>"PM"</formula>
    </cfRule>
    <cfRule type="cellIs" dxfId="1795" priority="786" operator="equal">
      <formula>"LM"</formula>
    </cfRule>
    <cfRule type="cellIs" dxfId="1794" priority="787" operator="equal">
      <formula>"FM"</formula>
    </cfRule>
  </conditionalFormatting>
  <conditionalFormatting sqref="I27:J27">
    <cfRule type="cellIs" dxfId="1793" priority="781" operator="equal">
      <formula>"No"</formula>
    </cfRule>
    <cfRule type="cellIs" dxfId="1792" priority="782" operator="equal">
      <formula>"Yes"</formula>
    </cfRule>
  </conditionalFormatting>
  <conditionalFormatting sqref="Q27">
    <cfRule type="cellIs" dxfId="1791" priority="780" operator="equal">
      <formula>"Y"</formula>
    </cfRule>
  </conditionalFormatting>
  <conditionalFormatting sqref="I28">
    <cfRule type="cellIs" dxfId="1790" priority="778" operator="equal">
      <formula>"No"</formula>
    </cfRule>
    <cfRule type="cellIs" dxfId="1789" priority="779" operator="equal">
      <formula>"Yes"</formula>
    </cfRule>
  </conditionalFormatting>
  <conditionalFormatting sqref="Q28">
    <cfRule type="cellIs" dxfId="1788" priority="777" operator="equal">
      <formula>"Y"</formula>
    </cfRule>
  </conditionalFormatting>
  <conditionalFormatting sqref="O29">
    <cfRule type="cellIs" dxfId="1787" priority="772" operator="equal">
      <formula>"NY"</formula>
    </cfRule>
    <cfRule type="cellIs" dxfId="1786" priority="773" operator="equal">
      <formula>"DM"</formula>
    </cfRule>
    <cfRule type="cellIs" dxfId="1785" priority="774" operator="equal">
      <formula>"PM"</formula>
    </cfRule>
    <cfRule type="cellIs" dxfId="1784" priority="775" operator="equal">
      <formula>"LM"</formula>
    </cfRule>
    <cfRule type="cellIs" dxfId="1783" priority="776" operator="equal">
      <formula>"FM"</formula>
    </cfRule>
  </conditionalFormatting>
  <conditionalFormatting sqref="Q29">
    <cfRule type="cellIs" dxfId="1782" priority="771" operator="equal">
      <formula>"Y"</formula>
    </cfRule>
  </conditionalFormatting>
  <conditionalFormatting sqref="O30">
    <cfRule type="cellIs" dxfId="1781" priority="766" operator="equal">
      <formula>"NY"</formula>
    </cfRule>
    <cfRule type="cellIs" dxfId="1780" priority="767" operator="equal">
      <formula>"DM"</formula>
    </cfRule>
    <cfRule type="cellIs" dxfId="1779" priority="768" operator="equal">
      <formula>"PM"</formula>
    </cfRule>
    <cfRule type="cellIs" dxfId="1778" priority="769" operator="equal">
      <formula>"LM"</formula>
    </cfRule>
    <cfRule type="cellIs" dxfId="1777" priority="770" operator="equal">
      <formula>"FM"</formula>
    </cfRule>
  </conditionalFormatting>
  <conditionalFormatting sqref="I30:J30">
    <cfRule type="cellIs" dxfId="1776" priority="764" operator="equal">
      <formula>"No"</formula>
    </cfRule>
    <cfRule type="cellIs" dxfId="1775" priority="765" operator="equal">
      <formula>"Yes"</formula>
    </cfRule>
  </conditionalFormatting>
  <conditionalFormatting sqref="Q30">
    <cfRule type="cellIs" dxfId="1774" priority="763" operator="equal">
      <formula>"Y"</formula>
    </cfRule>
  </conditionalFormatting>
  <conditionalFormatting sqref="I31">
    <cfRule type="cellIs" dxfId="1773" priority="761" operator="equal">
      <formula>"No"</formula>
    </cfRule>
    <cfRule type="cellIs" dxfId="1772" priority="762" operator="equal">
      <formula>"Yes"</formula>
    </cfRule>
  </conditionalFormatting>
  <conditionalFormatting sqref="Q31">
    <cfRule type="cellIs" dxfId="1771" priority="760" operator="equal">
      <formula>"Y"</formula>
    </cfRule>
  </conditionalFormatting>
  <conditionalFormatting sqref="O32">
    <cfRule type="cellIs" dxfId="1770" priority="758" operator="equal">
      <formula>"U"</formula>
    </cfRule>
    <cfRule type="cellIs" dxfId="1769" priority="759" operator="equal">
      <formula>"S"</formula>
    </cfRule>
  </conditionalFormatting>
  <conditionalFormatting sqref="Q32">
    <cfRule type="cellIs" dxfId="1768" priority="757" operator="equal">
      <formula>"Y"</formula>
    </cfRule>
  </conditionalFormatting>
  <conditionalFormatting sqref="O33">
    <cfRule type="cellIs" dxfId="1767" priority="752" operator="equal">
      <formula>"NY"</formula>
    </cfRule>
    <cfRule type="cellIs" dxfId="1766" priority="753" operator="equal">
      <formula>"DM"</formula>
    </cfRule>
    <cfRule type="cellIs" dxfId="1765" priority="754" operator="equal">
      <formula>"PM"</formula>
    </cfRule>
    <cfRule type="cellIs" dxfId="1764" priority="755" operator="equal">
      <formula>"LM"</formula>
    </cfRule>
    <cfRule type="cellIs" dxfId="1763" priority="756" operator="equal">
      <formula>"FM"</formula>
    </cfRule>
  </conditionalFormatting>
  <conditionalFormatting sqref="Q33">
    <cfRule type="cellIs" dxfId="1762" priority="751" operator="equal">
      <formula>"Y"</formula>
    </cfRule>
  </conditionalFormatting>
  <conditionalFormatting sqref="O34">
    <cfRule type="cellIs" dxfId="1761" priority="746" operator="equal">
      <formula>"NY"</formula>
    </cfRule>
    <cfRule type="cellIs" dxfId="1760" priority="747" operator="equal">
      <formula>"DM"</formula>
    </cfRule>
    <cfRule type="cellIs" dxfId="1759" priority="748" operator="equal">
      <formula>"PM"</formula>
    </cfRule>
    <cfRule type="cellIs" dxfId="1758" priority="749" operator="equal">
      <formula>"LM"</formula>
    </cfRule>
    <cfRule type="cellIs" dxfId="1757" priority="750" operator="equal">
      <formula>"FM"</formula>
    </cfRule>
  </conditionalFormatting>
  <conditionalFormatting sqref="Q34">
    <cfRule type="cellIs" dxfId="1756" priority="745" operator="equal">
      <formula>"Y"</formula>
    </cfRule>
  </conditionalFormatting>
  <conditionalFormatting sqref="O35">
    <cfRule type="cellIs" dxfId="1755" priority="740" operator="equal">
      <formula>"NY"</formula>
    </cfRule>
    <cfRule type="cellIs" dxfId="1754" priority="741" operator="equal">
      <formula>"DM"</formula>
    </cfRule>
    <cfRule type="cellIs" dxfId="1753" priority="742" operator="equal">
      <formula>"PM"</formula>
    </cfRule>
    <cfRule type="cellIs" dxfId="1752" priority="743" operator="equal">
      <formula>"LM"</formula>
    </cfRule>
    <cfRule type="cellIs" dxfId="1751" priority="744" operator="equal">
      <formula>"FM"</formula>
    </cfRule>
  </conditionalFormatting>
  <conditionalFormatting sqref="I35:J35">
    <cfRule type="cellIs" dxfId="1750" priority="738" operator="equal">
      <formula>"No"</formula>
    </cfRule>
    <cfRule type="cellIs" dxfId="1749" priority="739" operator="equal">
      <formula>"Yes"</formula>
    </cfRule>
  </conditionalFormatting>
  <conditionalFormatting sqref="Q35">
    <cfRule type="cellIs" dxfId="1748" priority="737" operator="equal">
      <formula>"Y"</formula>
    </cfRule>
  </conditionalFormatting>
  <conditionalFormatting sqref="I36">
    <cfRule type="cellIs" dxfId="1747" priority="735" operator="equal">
      <formula>"No"</formula>
    </cfRule>
    <cfRule type="cellIs" dxfId="1746" priority="736" operator="equal">
      <formula>"Yes"</formula>
    </cfRule>
  </conditionalFormatting>
  <conditionalFormatting sqref="Q36">
    <cfRule type="cellIs" dxfId="1745" priority="734" operator="equal">
      <formula>"Y"</formula>
    </cfRule>
  </conditionalFormatting>
  <conditionalFormatting sqref="O37">
    <cfRule type="cellIs" dxfId="1744" priority="729" operator="equal">
      <formula>"NY"</formula>
    </cfRule>
    <cfRule type="cellIs" dxfId="1743" priority="730" operator="equal">
      <formula>"DM"</formula>
    </cfRule>
    <cfRule type="cellIs" dxfId="1742" priority="731" operator="equal">
      <formula>"PM"</formula>
    </cfRule>
    <cfRule type="cellIs" dxfId="1741" priority="732" operator="equal">
      <formula>"LM"</formula>
    </cfRule>
    <cfRule type="cellIs" dxfId="1740" priority="733" operator="equal">
      <formula>"FM"</formula>
    </cfRule>
  </conditionalFormatting>
  <conditionalFormatting sqref="Q37">
    <cfRule type="cellIs" dxfId="1739" priority="728" operator="equal">
      <formula>"Y"</formula>
    </cfRule>
  </conditionalFormatting>
  <conditionalFormatting sqref="O38">
    <cfRule type="cellIs" dxfId="1738" priority="723" operator="equal">
      <formula>"NY"</formula>
    </cfRule>
    <cfRule type="cellIs" dxfId="1737" priority="724" operator="equal">
      <formula>"DM"</formula>
    </cfRule>
    <cfRule type="cellIs" dxfId="1736" priority="725" operator="equal">
      <formula>"PM"</formula>
    </cfRule>
    <cfRule type="cellIs" dxfId="1735" priority="726" operator="equal">
      <formula>"LM"</formula>
    </cfRule>
    <cfRule type="cellIs" dxfId="1734" priority="727" operator="equal">
      <formula>"FM"</formula>
    </cfRule>
  </conditionalFormatting>
  <conditionalFormatting sqref="I38:J38">
    <cfRule type="cellIs" dxfId="1733" priority="721" operator="equal">
      <formula>"No"</formula>
    </cfRule>
    <cfRule type="cellIs" dxfId="1732" priority="722" operator="equal">
      <formula>"Yes"</formula>
    </cfRule>
  </conditionalFormatting>
  <conditionalFormatting sqref="Q38">
    <cfRule type="cellIs" dxfId="1731" priority="720" operator="equal">
      <formula>"Y"</formula>
    </cfRule>
  </conditionalFormatting>
  <conditionalFormatting sqref="I39">
    <cfRule type="cellIs" dxfId="1730" priority="718" operator="equal">
      <formula>"No"</formula>
    </cfRule>
    <cfRule type="cellIs" dxfId="1729" priority="719" operator="equal">
      <formula>"Yes"</formula>
    </cfRule>
  </conditionalFormatting>
  <conditionalFormatting sqref="Q39">
    <cfRule type="cellIs" dxfId="1728" priority="717" operator="equal">
      <formula>"Y"</formula>
    </cfRule>
  </conditionalFormatting>
  <conditionalFormatting sqref="O40">
    <cfRule type="cellIs" dxfId="1727" priority="712" operator="equal">
      <formula>"NY"</formula>
    </cfRule>
    <cfRule type="cellIs" dxfId="1726" priority="713" operator="equal">
      <formula>"DM"</formula>
    </cfRule>
    <cfRule type="cellIs" dxfId="1725" priority="714" operator="equal">
      <formula>"PM"</formula>
    </cfRule>
    <cfRule type="cellIs" dxfId="1724" priority="715" operator="equal">
      <formula>"LM"</formula>
    </cfRule>
    <cfRule type="cellIs" dxfId="1723" priority="716" operator="equal">
      <formula>"FM"</formula>
    </cfRule>
  </conditionalFormatting>
  <conditionalFormatting sqref="Q40">
    <cfRule type="cellIs" dxfId="1722" priority="711" operator="equal">
      <formula>"Y"</formula>
    </cfRule>
  </conditionalFormatting>
  <conditionalFormatting sqref="O41">
    <cfRule type="cellIs" dxfId="1721" priority="706" operator="equal">
      <formula>"NY"</formula>
    </cfRule>
    <cfRule type="cellIs" dxfId="1720" priority="707" operator="equal">
      <formula>"DM"</formula>
    </cfRule>
    <cfRule type="cellIs" dxfId="1719" priority="708" operator="equal">
      <formula>"PM"</formula>
    </cfRule>
    <cfRule type="cellIs" dxfId="1718" priority="709" operator="equal">
      <formula>"LM"</formula>
    </cfRule>
    <cfRule type="cellIs" dxfId="1717" priority="710" operator="equal">
      <formula>"FM"</formula>
    </cfRule>
  </conditionalFormatting>
  <conditionalFormatting sqref="I41:J41">
    <cfRule type="cellIs" dxfId="1716" priority="704" operator="equal">
      <formula>"No"</formula>
    </cfRule>
    <cfRule type="cellIs" dxfId="1715" priority="705" operator="equal">
      <formula>"Yes"</formula>
    </cfRule>
  </conditionalFormatting>
  <conditionalFormatting sqref="Q41">
    <cfRule type="cellIs" dxfId="1714" priority="703" operator="equal">
      <formula>"Y"</formula>
    </cfRule>
  </conditionalFormatting>
  <conditionalFormatting sqref="I42">
    <cfRule type="cellIs" dxfId="1713" priority="701" operator="equal">
      <formula>"No"</formula>
    </cfRule>
    <cfRule type="cellIs" dxfId="1712" priority="702" operator="equal">
      <formula>"Yes"</formula>
    </cfRule>
  </conditionalFormatting>
  <conditionalFormatting sqref="Q42">
    <cfRule type="cellIs" dxfId="1711" priority="700" operator="equal">
      <formula>"Y"</formula>
    </cfRule>
  </conditionalFormatting>
  <conditionalFormatting sqref="O43">
    <cfRule type="cellIs" dxfId="1710" priority="695" operator="equal">
      <formula>"NY"</formula>
    </cfRule>
    <cfRule type="cellIs" dxfId="1709" priority="696" operator="equal">
      <formula>"DM"</formula>
    </cfRule>
    <cfRule type="cellIs" dxfId="1708" priority="697" operator="equal">
      <formula>"PM"</formula>
    </cfRule>
    <cfRule type="cellIs" dxfId="1707" priority="698" operator="equal">
      <formula>"LM"</formula>
    </cfRule>
    <cfRule type="cellIs" dxfId="1706" priority="699" operator="equal">
      <formula>"FM"</formula>
    </cfRule>
  </conditionalFormatting>
  <conditionalFormatting sqref="Q43">
    <cfRule type="cellIs" dxfId="1705" priority="694" operator="equal">
      <formula>"Y"</formula>
    </cfRule>
  </conditionalFormatting>
  <conditionalFormatting sqref="O44">
    <cfRule type="cellIs" dxfId="1704" priority="689" operator="equal">
      <formula>"NY"</formula>
    </cfRule>
    <cfRule type="cellIs" dxfId="1703" priority="690" operator="equal">
      <formula>"DM"</formula>
    </cfRule>
    <cfRule type="cellIs" dxfId="1702" priority="691" operator="equal">
      <formula>"PM"</formula>
    </cfRule>
    <cfRule type="cellIs" dxfId="1701" priority="692" operator="equal">
      <formula>"LM"</formula>
    </cfRule>
    <cfRule type="cellIs" dxfId="1700" priority="693" operator="equal">
      <formula>"FM"</formula>
    </cfRule>
  </conditionalFormatting>
  <conditionalFormatting sqref="I44:J44">
    <cfRule type="cellIs" dxfId="1699" priority="687" operator="equal">
      <formula>"No"</formula>
    </cfRule>
    <cfRule type="cellIs" dxfId="1698" priority="688" operator="equal">
      <formula>"Yes"</formula>
    </cfRule>
  </conditionalFormatting>
  <conditionalFormatting sqref="Q44">
    <cfRule type="cellIs" dxfId="1697" priority="686" operator="equal">
      <formula>"Y"</formula>
    </cfRule>
  </conditionalFormatting>
  <conditionalFormatting sqref="I45">
    <cfRule type="cellIs" dxfId="1696" priority="684" operator="equal">
      <formula>"No"</formula>
    </cfRule>
    <cfRule type="cellIs" dxfId="1695" priority="685" operator="equal">
      <formula>"Yes"</formula>
    </cfRule>
  </conditionalFormatting>
  <conditionalFormatting sqref="Q45">
    <cfRule type="cellIs" dxfId="1694" priority="683" operator="equal">
      <formula>"Y"</formula>
    </cfRule>
  </conditionalFormatting>
  <conditionalFormatting sqref="O46">
    <cfRule type="cellIs" dxfId="1693" priority="678" operator="equal">
      <formula>"NY"</formula>
    </cfRule>
    <cfRule type="cellIs" dxfId="1692" priority="679" operator="equal">
      <formula>"DM"</formula>
    </cfRule>
    <cfRule type="cellIs" dxfId="1691" priority="680" operator="equal">
      <formula>"PM"</formula>
    </cfRule>
    <cfRule type="cellIs" dxfId="1690" priority="681" operator="equal">
      <formula>"LM"</formula>
    </cfRule>
    <cfRule type="cellIs" dxfId="1689" priority="682" operator="equal">
      <formula>"FM"</formula>
    </cfRule>
  </conditionalFormatting>
  <conditionalFormatting sqref="Q46">
    <cfRule type="cellIs" dxfId="1688" priority="677" operator="equal">
      <formula>"Y"</formula>
    </cfRule>
  </conditionalFormatting>
  <conditionalFormatting sqref="O47">
    <cfRule type="cellIs" dxfId="1687" priority="672" operator="equal">
      <formula>"NY"</formula>
    </cfRule>
    <cfRule type="cellIs" dxfId="1686" priority="673" operator="equal">
      <formula>"DM"</formula>
    </cfRule>
    <cfRule type="cellIs" dxfId="1685" priority="674" operator="equal">
      <formula>"PM"</formula>
    </cfRule>
    <cfRule type="cellIs" dxfId="1684" priority="675" operator="equal">
      <formula>"LM"</formula>
    </cfRule>
    <cfRule type="cellIs" dxfId="1683" priority="676" operator="equal">
      <formula>"FM"</formula>
    </cfRule>
  </conditionalFormatting>
  <conditionalFormatting sqref="I47:J47">
    <cfRule type="cellIs" dxfId="1682" priority="670" operator="equal">
      <formula>"No"</formula>
    </cfRule>
    <cfRule type="cellIs" dxfId="1681" priority="671" operator="equal">
      <formula>"Yes"</formula>
    </cfRule>
  </conditionalFormatting>
  <conditionalFormatting sqref="Q47">
    <cfRule type="cellIs" dxfId="1680" priority="669" operator="equal">
      <formula>"Y"</formula>
    </cfRule>
  </conditionalFormatting>
  <conditionalFormatting sqref="I48">
    <cfRule type="cellIs" dxfId="1679" priority="667" operator="equal">
      <formula>"No"</formula>
    </cfRule>
    <cfRule type="cellIs" dxfId="1678" priority="668" operator="equal">
      <formula>"Yes"</formula>
    </cfRule>
  </conditionalFormatting>
  <conditionalFormatting sqref="Q48">
    <cfRule type="cellIs" dxfId="1677" priority="666" operator="equal">
      <formula>"Y"</formula>
    </cfRule>
  </conditionalFormatting>
  <conditionalFormatting sqref="O49">
    <cfRule type="cellIs" dxfId="1676" priority="661" operator="equal">
      <formula>"NY"</formula>
    </cfRule>
    <cfRule type="cellIs" dxfId="1675" priority="662" operator="equal">
      <formula>"DM"</formula>
    </cfRule>
    <cfRule type="cellIs" dxfId="1674" priority="663" operator="equal">
      <formula>"PM"</formula>
    </cfRule>
    <cfRule type="cellIs" dxfId="1673" priority="664" operator="equal">
      <formula>"LM"</formula>
    </cfRule>
    <cfRule type="cellIs" dxfId="1672" priority="665" operator="equal">
      <formula>"FM"</formula>
    </cfRule>
  </conditionalFormatting>
  <conditionalFormatting sqref="Q49">
    <cfRule type="cellIs" dxfId="1671" priority="660" operator="equal">
      <formula>"Y"</formula>
    </cfRule>
  </conditionalFormatting>
  <conditionalFormatting sqref="O50">
    <cfRule type="cellIs" dxfId="1670" priority="655" operator="equal">
      <formula>"NY"</formula>
    </cfRule>
    <cfRule type="cellIs" dxfId="1669" priority="656" operator="equal">
      <formula>"DM"</formula>
    </cfRule>
    <cfRule type="cellIs" dxfId="1668" priority="657" operator="equal">
      <formula>"PM"</formula>
    </cfRule>
    <cfRule type="cellIs" dxfId="1667" priority="658" operator="equal">
      <formula>"LM"</formula>
    </cfRule>
    <cfRule type="cellIs" dxfId="1666" priority="659" operator="equal">
      <formula>"FM"</formula>
    </cfRule>
  </conditionalFormatting>
  <conditionalFormatting sqref="I50:J50">
    <cfRule type="cellIs" dxfId="1665" priority="653" operator="equal">
      <formula>"No"</formula>
    </cfRule>
    <cfRule type="cellIs" dxfId="1664" priority="654" operator="equal">
      <formula>"Yes"</formula>
    </cfRule>
  </conditionalFormatting>
  <conditionalFormatting sqref="Q50">
    <cfRule type="cellIs" dxfId="1663" priority="652" operator="equal">
      <formula>"Y"</formula>
    </cfRule>
  </conditionalFormatting>
  <conditionalFormatting sqref="I51">
    <cfRule type="cellIs" dxfId="1662" priority="650" operator="equal">
      <formula>"No"</formula>
    </cfRule>
    <cfRule type="cellIs" dxfId="1661" priority="651" operator="equal">
      <formula>"Yes"</formula>
    </cfRule>
  </conditionalFormatting>
  <conditionalFormatting sqref="Q51">
    <cfRule type="cellIs" dxfId="1660" priority="649" operator="equal">
      <formula>"Y"</formula>
    </cfRule>
  </conditionalFormatting>
  <conditionalFormatting sqref="O52">
    <cfRule type="cellIs" dxfId="1659" priority="644" operator="equal">
      <formula>"NY"</formula>
    </cfRule>
    <cfRule type="cellIs" dxfId="1658" priority="645" operator="equal">
      <formula>"DM"</formula>
    </cfRule>
    <cfRule type="cellIs" dxfId="1657" priority="646" operator="equal">
      <formula>"PM"</formula>
    </cfRule>
    <cfRule type="cellIs" dxfId="1656" priority="647" operator="equal">
      <formula>"LM"</formula>
    </cfRule>
    <cfRule type="cellIs" dxfId="1655" priority="648" operator="equal">
      <formula>"FM"</formula>
    </cfRule>
  </conditionalFormatting>
  <conditionalFormatting sqref="Q52">
    <cfRule type="cellIs" dxfId="1654" priority="643" operator="equal">
      <formula>"Y"</formula>
    </cfRule>
  </conditionalFormatting>
  <conditionalFormatting sqref="O53">
    <cfRule type="cellIs" dxfId="1653" priority="638" operator="equal">
      <formula>"NY"</formula>
    </cfRule>
    <cfRule type="cellIs" dxfId="1652" priority="639" operator="equal">
      <formula>"DM"</formula>
    </cfRule>
    <cfRule type="cellIs" dxfId="1651" priority="640" operator="equal">
      <formula>"PM"</formula>
    </cfRule>
    <cfRule type="cellIs" dxfId="1650" priority="641" operator="equal">
      <formula>"LM"</formula>
    </cfRule>
    <cfRule type="cellIs" dxfId="1649" priority="642" operator="equal">
      <formula>"FM"</formula>
    </cfRule>
  </conditionalFormatting>
  <conditionalFormatting sqref="I53:J53">
    <cfRule type="cellIs" dxfId="1648" priority="636" operator="equal">
      <formula>"No"</formula>
    </cfRule>
    <cfRule type="cellIs" dxfId="1647" priority="637" operator="equal">
      <formula>"Yes"</formula>
    </cfRule>
  </conditionalFormatting>
  <conditionalFormatting sqref="Q53">
    <cfRule type="cellIs" dxfId="1646" priority="635" operator="equal">
      <formula>"Y"</formula>
    </cfRule>
  </conditionalFormatting>
  <conditionalFormatting sqref="I54">
    <cfRule type="cellIs" dxfId="1645" priority="633" operator="equal">
      <formula>"No"</formula>
    </cfRule>
    <cfRule type="cellIs" dxfId="1644" priority="634" operator="equal">
      <formula>"Yes"</formula>
    </cfRule>
  </conditionalFormatting>
  <conditionalFormatting sqref="Q54">
    <cfRule type="cellIs" dxfId="1643" priority="632" operator="equal">
      <formula>"Y"</formula>
    </cfRule>
  </conditionalFormatting>
  <conditionalFormatting sqref="O55">
    <cfRule type="cellIs" dxfId="1642" priority="627" operator="equal">
      <formula>"NY"</formula>
    </cfRule>
    <cfRule type="cellIs" dxfId="1641" priority="628" operator="equal">
      <formula>"DM"</formula>
    </cfRule>
    <cfRule type="cellIs" dxfId="1640" priority="629" operator="equal">
      <formula>"PM"</formula>
    </cfRule>
    <cfRule type="cellIs" dxfId="1639" priority="630" operator="equal">
      <formula>"LM"</formula>
    </cfRule>
    <cfRule type="cellIs" dxfId="1638" priority="631" operator="equal">
      <formula>"FM"</formula>
    </cfRule>
  </conditionalFormatting>
  <conditionalFormatting sqref="Q55">
    <cfRule type="cellIs" dxfId="1637" priority="626" operator="equal">
      <formula>"Y"</formula>
    </cfRule>
  </conditionalFormatting>
  <conditionalFormatting sqref="O56">
    <cfRule type="cellIs" dxfId="1636" priority="621" operator="equal">
      <formula>"NY"</formula>
    </cfRule>
    <cfRule type="cellIs" dxfId="1635" priority="622" operator="equal">
      <formula>"DM"</formula>
    </cfRule>
    <cfRule type="cellIs" dxfId="1634" priority="623" operator="equal">
      <formula>"PM"</formula>
    </cfRule>
    <cfRule type="cellIs" dxfId="1633" priority="624" operator="equal">
      <formula>"LM"</formula>
    </cfRule>
    <cfRule type="cellIs" dxfId="1632" priority="625" operator="equal">
      <formula>"FM"</formula>
    </cfRule>
  </conditionalFormatting>
  <conditionalFormatting sqref="Q56">
    <cfRule type="cellIs" dxfId="1631" priority="620" operator="equal">
      <formula>"Y"</formula>
    </cfRule>
  </conditionalFormatting>
  <conditionalFormatting sqref="O57">
    <cfRule type="cellIs" dxfId="1630" priority="615" operator="equal">
      <formula>"NY"</formula>
    </cfRule>
    <cfRule type="cellIs" dxfId="1629" priority="616" operator="equal">
      <formula>"DM"</formula>
    </cfRule>
    <cfRule type="cellIs" dxfId="1628" priority="617" operator="equal">
      <formula>"PM"</formula>
    </cfRule>
    <cfRule type="cellIs" dxfId="1627" priority="618" operator="equal">
      <formula>"LM"</formula>
    </cfRule>
    <cfRule type="cellIs" dxfId="1626" priority="619" operator="equal">
      <formula>"FM"</formula>
    </cfRule>
  </conditionalFormatting>
  <conditionalFormatting sqref="I57:J57">
    <cfRule type="cellIs" dxfId="1625" priority="613" operator="equal">
      <formula>"No"</formula>
    </cfRule>
    <cfRule type="cellIs" dxfId="1624" priority="614" operator="equal">
      <formula>"Yes"</formula>
    </cfRule>
  </conditionalFormatting>
  <conditionalFormatting sqref="Q57">
    <cfRule type="cellIs" dxfId="1623" priority="612" operator="equal">
      <formula>"Y"</formula>
    </cfRule>
  </conditionalFormatting>
  <conditionalFormatting sqref="I58">
    <cfRule type="cellIs" dxfId="1622" priority="610" operator="equal">
      <formula>"No"</formula>
    </cfRule>
    <cfRule type="cellIs" dxfId="1621" priority="611" operator="equal">
      <formula>"Yes"</formula>
    </cfRule>
  </conditionalFormatting>
  <conditionalFormatting sqref="Q58">
    <cfRule type="cellIs" dxfId="1620" priority="609" operator="equal">
      <formula>"Y"</formula>
    </cfRule>
  </conditionalFormatting>
  <conditionalFormatting sqref="O59">
    <cfRule type="cellIs" dxfId="1619" priority="604" operator="equal">
      <formula>"NY"</formula>
    </cfRule>
    <cfRule type="cellIs" dxfId="1618" priority="605" operator="equal">
      <formula>"DM"</formula>
    </cfRule>
    <cfRule type="cellIs" dxfId="1617" priority="606" operator="equal">
      <formula>"PM"</formula>
    </cfRule>
    <cfRule type="cellIs" dxfId="1616" priority="607" operator="equal">
      <formula>"LM"</formula>
    </cfRule>
    <cfRule type="cellIs" dxfId="1615" priority="608" operator="equal">
      <formula>"FM"</formula>
    </cfRule>
  </conditionalFormatting>
  <conditionalFormatting sqref="Q59">
    <cfRule type="cellIs" dxfId="1614" priority="603" operator="equal">
      <formula>"Y"</formula>
    </cfRule>
  </conditionalFormatting>
  <conditionalFormatting sqref="O60">
    <cfRule type="cellIs" dxfId="1613" priority="598" operator="equal">
      <formula>"NY"</formula>
    </cfRule>
    <cfRule type="cellIs" dxfId="1612" priority="599" operator="equal">
      <formula>"DM"</formula>
    </cfRule>
    <cfRule type="cellIs" dxfId="1611" priority="600" operator="equal">
      <formula>"PM"</formula>
    </cfRule>
    <cfRule type="cellIs" dxfId="1610" priority="601" operator="equal">
      <formula>"LM"</formula>
    </cfRule>
    <cfRule type="cellIs" dxfId="1609" priority="602" operator="equal">
      <formula>"FM"</formula>
    </cfRule>
  </conditionalFormatting>
  <conditionalFormatting sqref="I60:J60">
    <cfRule type="cellIs" dxfId="1608" priority="596" operator="equal">
      <formula>"No"</formula>
    </cfRule>
    <cfRule type="cellIs" dxfId="1607" priority="597" operator="equal">
      <formula>"Yes"</formula>
    </cfRule>
  </conditionalFormatting>
  <conditionalFormatting sqref="Q60">
    <cfRule type="cellIs" dxfId="1606" priority="595" operator="equal">
      <formula>"Y"</formula>
    </cfRule>
  </conditionalFormatting>
  <conditionalFormatting sqref="I61">
    <cfRule type="cellIs" dxfId="1605" priority="593" operator="equal">
      <formula>"No"</formula>
    </cfRule>
    <cfRule type="cellIs" dxfId="1604" priority="594" operator="equal">
      <formula>"Yes"</formula>
    </cfRule>
  </conditionalFormatting>
  <conditionalFormatting sqref="Q61">
    <cfRule type="cellIs" dxfId="1603" priority="592" operator="equal">
      <formula>"Y"</formula>
    </cfRule>
  </conditionalFormatting>
  <conditionalFormatting sqref="O62">
    <cfRule type="cellIs" dxfId="1602" priority="587" operator="equal">
      <formula>"NY"</formula>
    </cfRule>
    <cfRule type="cellIs" dxfId="1601" priority="588" operator="equal">
      <formula>"DM"</formula>
    </cfRule>
    <cfRule type="cellIs" dxfId="1600" priority="589" operator="equal">
      <formula>"PM"</formula>
    </cfRule>
    <cfRule type="cellIs" dxfId="1599" priority="590" operator="equal">
      <formula>"LM"</formula>
    </cfRule>
    <cfRule type="cellIs" dxfId="1598" priority="591" operator="equal">
      <formula>"FM"</formula>
    </cfRule>
  </conditionalFormatting>
  <conditionalFormatting sqref="Q62">
    <cfRule type="cellIs" dxfId="1597" priority="586" operator="equal">
      <formula>"Y"</formula>
    </cfRule>
  </conditionalFormatting>
  <conditionalFormatting sqref="O63">
    <cfRule type="cellIs" dxfId="1596" priority="581" operator="equal">
      <formula>"NY"</formula>
    </cfRule>
    <cfRule type="cellIs" dxfId="1595" priority="582" operator="equal">
      <formula>"DM"</formula>
    </cfRule>
    <cfRule type="cellIs" dxfId="1594" priority="583" operator="equal">
      <formula>"PM"</formula>
    </cfRule>
    <cfRule type="cellIs" dxfId="1593" priority="584" operator="equal">
      <formula>"LM"</formula>
    </cfRule>
    <cfRule type="cellIs" dxfId="1592" priority="585" operator="equal">
      <formula>"FM"</formula>
    </cfRule>
  </conditionalFormatting>
  <conditionalFormatting sqref="I63:J63">
    <cfRule type="cellIs" dxfId="1591" priority="579" operator="equal">
      <formula>"No"</formula>
    </cfRule>
    <cfRule type="cellIs" dxfId="1590" priority="580" operator="equal">
      <formula>"Yes"</formula>
    </cfRule>
  </conditionalFormatting>
  <conditionalFormatting sqref="Q63">
    <cfRule type="cellIs" dxfId="1589" priority="578" operator="equal">
      <formula>"Y"</formula>
    </cfRule>
  </conditionalFormatting>
  <conditionalFormatting sqref="I64">
    <cfRule type="cellIs" dxfId="1588" priority="576" operator="equal">
      <formula>"No"</formula>
    </cfRule>
    <cfRule type="cellIs" dxfId="1587" priority="577" operator="equal">
      <formula>"Yes"</formula>
    </cfRule>
  </conditionalFormatting>
  <conditionalFormatting sqref="Q64">
    <cfRule type="cellIs" dxfId="1586" priority="575" operator="equal">
      <formula>"Y"</formula>
    </cfRule>
  </conditionalFormatting>
  <conditionalFormatting sqref="O65">
    <cfRule type="cellIs" dxfId="1585" priority="570" operator="equal">
      <formula>"NY"</formula>
    </cfRule>
    <cfRule type="cellIs" dxfId="1584" priority="571" operator="equal">
      <formula>"DM"</formula>
    </cfRule>
    <cfRule type="cellIs" dxfId="1583" priority="572" operator="equal">
      <formula>"PM"</formula>
    </cfRule>
    <cfRule type="cellIs" dxfId="1582" priority="573" operator="equal">
      <formula>"LM"</formula>
    </cfRule>
    <cfRule type="cellIs" dxfId="1581" priority="574" operator="equal">
      <formula>"FM"</formula>
    </cfRule>
  </conditionalFormatting>
  <conditionalFormatting sqref="Q65">
    <cfRule type="cellIs" dxfId="1580" priority="569" operator="equal">
      <formula>"Y"</formula>
    </cfRule>
  </conditionalFormatting>
  <conditionalFormatting sqref="O66">
    <cfRule type="cellIs" dxfId="1579" priority="564" operator="equal">
      <formula>"NY"</formula>
    </cfRule>
    <cfRule type="cellIs" dxfId="1578" priority="565" operator="equal">
      <formula>"DM"</formula>
    </cfRule>
    <cfRule type="cellIs" dxfId="1577" priority="566" operator="equal">
      <formula>"PM"</formula>
    </cfRule>
    <cfRule type="cellIs" dxfId="1576" priority="567" operator="equal">
      <formula>"LM"</formula>
    </cfRule>
    <cfRule type="cellIs" dxfId="1575" priority="568" operator="equal">
      <formula>"FM"</formula>
    </cfRule>
  </conditionalFormatting>
  <conditionalFormatting sqref="I66:J66">
    <cfRule type="cellIs" dxfId="1574" priority="562" operator="equal">
      <formula>"No"</formula>
    </cfRule>
    <cfRule type="cellIs" dxfId="1573" priority="563" operator="equal">
      <formula>"Yes"</formula>
    </cfRule>
  </conditionalFormatting>
  <conditionalFormatting sqref="Q66">
    <cfRule type="cellIs" dxfId="1572" priority="561" operator="equal">
      <formula>"Y"</formula>
    </cfRule>
  </conditionalFormatting>
  <conditionalFormatting sqref="I67">
    <cfRule type="cellIs" dxfId="1571" priority="559" operator="equal">
      <formula>"No"</formula>
    </cfRule>
    <cfRule type="cellIs" dxfId="1570" priority="560" operator="equal">
      <formula>"Yes"</formula>
    </cfRule>
  </conditionalFormatting>
  <conditionalFormatting sqref="Q67">
    <cfRule type="cellIs" dxfId="1569" priority="558" operator="equal">
      <formula>"Y"</formula>
    </cfRule>
  </conditionalFormatting>
  <conditionalFormatting sqref="O68">
    <cfRule type="cellIs" dxfId="1568" priority="553" operator="equal">
      <formula>"NY"</formula>
    </cfRule>
    <cfRule type="cellIs" dxfId="1567" priority="554" operator="equal">
      <formula>"DM"</formula>
    </cfRule>
    <cfRule type="cellIs" dxfId="1566" priority="555" operator="equal">
      <formula>"PM"</formula>
    </cfRule>
    <cfRule type="cellIs" dxfId="1565" priority="556" operator="equal">
      <formula>"LM"</formula>
    </cfRule>
    <cfRule type="cellIs" dxfId="1564" priority="557" operator="equal">
      <formula>"FM"</formula>
    </cfRule>
  </conditionalFormatting>
  <conditionalFormatting sqref="Q68">
    <cfRule type="cellIs" dxfId="1563" priority="552" operator="equal">
      <formula>"Y"</formula>
    </cfRule>
  </conditionalFormatting>
  <conditionalFormatting sqref="O69">
    <cfRule type="cellIs" dxfId="1562" priority="547" operator="equal">
      <formula>"NY"</formula>
    </cfRule>
    <cfRule type="cellIs" dxfId="1561" priority="548" operator="equal">
      <formula>"DM"</formula>
    </cfRule>
    <cfRule type="cellIs" dxfId="1560" priority="549" operator="equal">
      <formula>"PM"</formula>
    </cfRule>
    <cfRule type="cellIs" dxfId="1559" priority="550" operator="equal">
      <formula>"LM"</formula>
    </cfRule>
    <cfRule type="cellIs" dxfId="1558" priority="551" operator="equal">
      <formula>"FM"</formula>
    </cfRule>
  </conditionalFormatting>
  <conditionalFormatting sqref="I69:J69">
    <cfRule type="cellIs" dxfId="1557" priority="545" operator="equal">
      <formula>"No"</formula>
    </cfRule>
    <cfRule type="cellIs" dxfId="1556" priority="546" operator="equal">
      <formula>"Yes"</formula>
    </cfRule>
  </conditionalFormatting>
  <conditionalFormatting sqref="Q69">
    <cfRule type="cellIs" dxfId="1555" priority="544" operator="equal">
      <formula>"Y"</formula>
    </cfRule>
  </conditionalFormatting>
  <conditionalFormatting sqref="I70">
    <cfRule type="cellIs" dxfId="1554" priority="542" operator="equal">
      <formula>"No"</formula>
    </cfRule>
    <cfRule type="cellIs" dxfId="1553" priority="543" operator="equal">
      <formula>"Yes"</formula>
    </cfRule>
  </conditionalFormatting>
  <conditionalFormatting sqref="Q70">
    <cfRule type="cellIs" dxfId="1552" priority="541" operator="equal">
      <formula>"Y"</formula>
    </cfRule>
  </conditionalFormatting>
  <conditionalFormatting sqref="O71">
    <cfRule type="cellIs" dxfId="1551" priority="536" operator="equal">
      <formula>"NY"</formula>
    </cfRule>
    <cfRule type="cellIs" dxfId="1550" priority="537" operator="equal">
      <formula>"DM"</formula>
    </cfRule>
    <cfRule type="cellIs" dxfId="1549" priority="538" operator="equal">
      <formula>"PM"</formula>
    </cfRule>
    <cfRule type="cellIs" dxfId="1548" priority="539" operator="equal">
      <formula>"LM"</formula>
    </cfRule>
    <cfRule type="cellIs" dxfId="1547" priority="540" operator="equal">
      <formula>"FM"</formula>
    </cfRule>
  </conditionalFormatting>
  <conditionalFormatting sqref="Q71">
    <cfRule type="cellIs" dxfId="1546" priority="535" operator="equal">
      <formula>"Y"</formula>
    </cfRule>
  </conditionalFormatting>
  <conditionalFormatting sqref="O72">
    <cfRule type="cellIs" dxfId="1545" priority="530" operator="equal">
      <formula>"NY"</formula>
    </cfRule>
    <cfRule type="cellIs" dxfId="1544" priority="531" operator="equal">
      <formula>"DM"</formula>
    </cfRule>
    <cfRule type="cellIs" dxfId="1543" priority="532" operator="equal">
      <formula>"PM"</formula>
    </cfRule>
    <cfRule type="cellIs" dxfId="1542" priority="533" operator="equal">
      <formula>"LM"</formula>
    </cfRule>
    <cfRule type="cellIs" dxfId="1541" priority="534" operator="equal">
      <formula>"FM"</formula>
    </cfRule>
  </conditionalFormatting>
  <conditionalFormatting sqref="I72:J72">
    <cfRule type="cellIs" dxfId="1540" priority="528" operator="equal">
      <formula>"No"</formula>
    </cfRule>
    <cfRule type="cellIs" dxfId="1539" priority="529" operator="equal">
      <formula>"Yes"</formula>
    </cfRule>
  </conditionalFormatting>
  <conditionalFormatting sqref="Q72">
    <cfRule type="cellIs" dxfId="1538" priority="527" operator="equal">
      <formula>"Y"</formula>
    </cfRule>
  </conditionalFormatting>
  <conditionalFormatting sqref="I73">
    <cfRule type="cellIs" dxfId="1537" priority="525" operator="equal">
      <formula>"No"</formula>
    </cfRule>
    <cfRule type="cellIs" dxfId="1536" priority="526" operator="equal">
      <formula>"Yes"</formula>
    </cfRule>
  </conditionalFormatting>
  <conditionalFormatting sqref="Q73">
    <cfRule type="cellIs" dxfId="1535" priority="524" operator="equal">
      <formula>"Y"</formula>
    </cfRule>
  </conditionalFormatting>
  <conditionalFormatting sqref="O74">
    <cfRule type="cellIs" dxfId="1534" priority="519" operator="equal">
      <formula>"NY"</formula>
    </cfRule>
    <cfRule type="cellIs" dxfId="1533" priority="520" operator="equal">
      <formula>"DM"</formula>
    </cfRule>
    <cfRule type="cellIs" dxfId="1532" priority="521" operator="equal">
      <formula>"PM"</formula>
    </cfRule>
    <cfRule type="cellIs" dxfId="1531" priority="522" operator="equal">
      <formula>"LM"</formula>
    </cfRule>
    <cfRule type="cellIs" dxfId="1530" priority="523" operator="equal">
      <formula>"FM"</formula>
    </cfRule>
  </conditionalFormatting>
  <conditionalFormatting sqref="Q74">
    <cfRule type="cellIs" dxfId="1529" priority="518" operator="equal">
      <formula>"Y"</formula>
    </cfRule>
  </conditionalFormatting>
  <conditionalFormatting sqref="O75">
    <cfRule type="cellIs" dxfId="1528" priority="513" operator="equal">
      <formula>"NY"</formula>
    </cfRule>
    <cfRule type="cellIs" dxfId="1527" priority="514" operator="equal">
      <formula>"DM"</formula>
    </cfRule>
    <cfRule type="cellIs" dxfId="1526" priority="515" operator="equal">
      <formula>"PM"</formula>
    </cfRule>
    <cfRule type="cellIs" dxfId="1525" priority="516" operator="equal">
      <formula>"LM"</formula>
    </cfRule>
    <cfRule type="cellIs" dxfId="1524" priority="517" operator="equal">
      <formula>"FM"</formula>
    </cfRule>
  </conditionalFormatting>
  <conditionalFormatting sqref="I75:J75">
    <cfRule type="cellIs" dxfId="1523" priority="511" operator="equal">
      <formula>"No"</formula>
    </cfRule>
    <cfRule type="cellIs" dxfId="1522" priority="512" operator="equal">
      <formula>"Yes"</formula>
    </cfRule>
  </conditionalFormatting>
  <conditionalFormatting sqref="Q75">
    <cfRule type="cellIs" dxfId="1521" priority="510" operator="equal">
      <formula>"Y"</formula>
    </cfRule>
  </conditionalFormatting>
  <conditionalFormatting sqref="I76">
    <cfRule type="cellIs" dxfId="1520" priority="508" operator="equal">
      <formula>"No"</formula>
    </cfRule>
    <cfRule type="cellIs" dxfId="1519" priority="509" operator="equal">
      <formula>"Yes"</formula>
    </cfRule>
  </conditionalFormatting>
  <conditionalFormatting sqref="Q76">
    <cfRule type="cellIs" dxfId="1518" priority="507" operator="equal">
      <formula>"Y"</formula>
    </cfRule>
  </conditionalFormatting>
  <conditionalFormatting sqref="O77">
    <cfRule type="cellIs" dxfId="1517" priority="505" operator="equal">
      <formula>"U"</formula>
    </cfRule>
    <cfRule type="cellIs" dxfId="1516" priority="506" operator="equal">
      <formula>"S"</formula>
    </cfRule>
  </conditionalFormatting>
  <conditionalFormatting sqref="Q77">
    <cfRule type="cellIs" dxfId="1515" priority="504" operator="equal">
      <formula>"Y"</formula>
    </cfRule>
  </conditionalFormatting>
  <conditionalFormatting sqref="O78">
    <cfRule type="cellIs" dxfId="1514" priority="499" operator="equal">
      <formula>"NY"</formula>
    </cfRule>
    <cfRule type="cellIs" dxfId="1513" priority="500" operator="equal">
      <formula>"DM"</formula>
    </cfRule>
    <cfRule type="cellIs" dxfId="1512" priority="501" operator="equal">
      <formula>"PM"</formula>
    </cfRule>
    <cfRule type="cellIs" dxfId="1511" priority="502" operator="equal">
      <formula>"LM"</formula>
    </cfRule>
    <cfRule type="cellIs" dxfId="1510" priority="503" operator="equal">
      <formula>"FM"</formula>
    </cfRule>
  </conditionalFormatting>
  <conditionalFormatting sqref="Q78">
    <cfRule type="cellIs" dxfId="1509" priority="498" operator="equal">
      <formula>"Y"</formula>
    </cfRule>
  </conditionalFormatting>
  <conditionalFormatting sqref="O79">
    <cfRule type="cellIs" dxfId="1508" priority="493" operator="equal">
      <formula>"NY"</formula>
    </cfRule>
    <cfRule type="cellIs" dxfId="1507" priority="494" operator="equal">
      <formula>"DM"</formula>
    </cfRule>
    <cfRule type="cellIs" dxfId="1506" priority="495" operator="equal">
      <formula>"PM"</formula>
    </cfRule>
    <cfRule type="cellIs" dxfId="1505" priority="496" operator="equal">
      <formula>"LM"</formula>
    </cfRule>
    <cfRule type="cellIs" dxfId="1504" priority="497" operator="equal">
      <formula>"FM"</formula>
    </cfRule>
  </conditionalFormatting>
  <conditionalFormatting sqref="Q79">
    <cfRule type="cellIs" dxfId="1503" priority="492" operator="equal">
      <formula>"Y"</formula>
    </cfRule>
  </conditionalFormatting>
  <conditionalFormatting sqref="O80">
    <cfRule type="cellIs" dxfId="1502" priority="487" operator="equal">
      <formula>"NY"</formula>
    </cfRule>
    <cfRule type="cellIs" dxfId="1501" priority="488" operator="equal">
      <formula>"DM"</formula>
    </cfRule>
    <cfRule type="cellIs" dxfId="1500" priority="489" operator="equal">
      <formula>"PM"</formula>
    </cfRule>
    <cfRule type="cellIs" dxfId="1499" priority="490" operator="equal">
      <formula>"LM"</formula>
    </cfRule>
    <cfRule type="cellIs" dxfId="1498" priority="491" operator="equal">
      <formula>"FM"</formula>
    </cfRule>
  </conditionalFormatting>
  <conditionalFormatting sqref="I80:J80">
    <cfRule type="cellIs" dxfId="1497" priority="485" operator="equal">
      <formula>"No"</formula>
    </cfRule>
    <cfRule type="cellIs" dxfId="1496" priority="486" operator="equal">
      <formula>"Yes"</formula>
    </cfRule>
  </conditionalFormatting>
  <conditionalFormatting sqref="Q80">
    <cfRule type="cellIs" dxfId="1495" priority="484" operator="equal">
      <formula>"Y"</formula>
    </cfRule>
  </conditionalFormatting>
  <conditionalFormatting sqref="I81">
    <cfRule type="cellIs" dxfId="1494" priority="482" operator="equal">
      <formula>"No"</formula>
    </cfRule>
    <cfRule type="cellIs" dxfId="1493" priority="483" operator="equal">
      <formula>"Yes"</formula>
    </cfRule>
  </conditionalFormatting>
  <conditionalFormatting sqref="Q81">
    <cfRule type="cellIs" dxfId="1492" priority="481" operator="equal">
      <formula>"Y"</formula>
    </cfRule>
  </conditionalFormatting>
  <conditionalFormatting sqref="O82">
    <cfRule type="cellIs" dxfId="1491" priority="476" operator="equal">
      <formula>"NY"</formula>
    </cfRule>
    <cfRule type="cellIs" dxfId="1490" priority="477" operator="equal">
      <formula>"DM"</formula>
    </cfRule>
    <cfRule type="cellIs" dxfId="1489" priority="478" operator="equal">
      <formula>"PM"</formula>
    </cfRule>
    <cfRule type="cellIs" dxfId="1488" priority="479" operator="equal">
      <formula>"LM"</formula>
    </cfRule>
    <cfRule type="cellIs" dxfId="1487" priority="480" operator="equal">
      <formula>"FM"</formula>
    </cfRule>
  </conditionalFormatting>
  <conditionalFormatting sqref="Q82">
    <cfRule type="cellIs" dxfId="1486" priority="475" operator="equal">
      <formula>"Y"</formula>
    </cfRule>
  </conditionalFormatting>
  <conditionalFormatting sqref="O83">
    <cfRule type="cellIs" dxfId="1485" priority="470" operator="equal">
      <formula>"NY"</formula>
    </cfRule>
    <cfRule type="cellIs" dxfId="1484" priority="471" operator="equal">
      <formula>"DM"</formula>
    </cfRule>
    <cfRule type="cellIs" dxfId="1483" priority="472" operator="equal">
      <formula>"PM"</formula>
    </cfRule>
    <cfRule type="cellIs" dxfId="1482" priority="473" operator="equal">
      <formula>"LM"</formula>
    </cfRule>
    <cfRule type="cellIs" dxfId="1481" priority="474" operator="equal">
      <formula>"FM"</formula>
    </cfRule>
  </conditionalFormatting>
  <conditionalFormatting sqref="I83:J83">
    <cfRule type="cellIs" dxfId="1480" priority="468" operator="equal">
      <formula>"No"</formula>
    </cfRule>
    <cfRule type="cellIs" dxfId="1479" priority="469" operator="equal">
      <formula>"Yes"</formula>
    </cfRule>
  </conditionalFormatting>
  <conditionalFormatting sqref="Q83">
    <cfRule type="cellIs" dxfId="1478" priority="467" operator="equal">
      <formula>"Y"</formula>
    </cfRule>
  </conditionalFormatting>
  <conditionalFormatting sqref="I84">
    <cfRule type="cellIs" dxfId="1477" priority="465" operator="equal">
      <formula>"No"</formula>
    </cfRule>
    <cfRule type="cellIs" dxfId="1476" priority="466" operator="equal">
      <formula>"Yes"</formula>
    </cfRule>
  </conditionalFormatting>
  <conditionalFormatting sqref="Q84">
    <cfRule type="cellIs" dxfId="1475" priority="464" operator="equal">
      <formula>"Y"</formula>
    </cfRule>
  </conditionalFormatting>
  <conditionalFormatting sqref="O85">
    <cfRule type="cellIs" dxfId="1474" priority="459" operator="equal">
      <formula>"NY"</formula>
    </cfRule>
    <cfRule type="cellIs" dxfId="1473" priority="460" operator="equal">
      <formula>"DM"</formula>
    </cfRule>
    <cfRule type="cellIs" dxfId="1472" priority="461" operator="equal">
      <formula>"PM"</formula>
    </cfRule>
    <cfRule type="cellIs" dxfId="1471" priority="462" operator="equal">
      <formula>"LM"</formula>
    </cfRule>
    <cfRule type="cellIs" dxfId="1470" priority="463" operator="equal">
      <formula>"FM"</formula>
    </cfRule>
  </conditionalFormatting>
  <conditionalFormatting sqref="Q85">
    <cfRule type="cellIs" dxfId="1469" priority="458" operator="equal">
      <formula>"Y"</formula>
    </cfRule>
  </conditionalFormatting>
  <conditionalFormatting sqref="O86">
    <cfRule type="cellIs" dxfId="1468" priority="453" operator="equal">
      <formula>"NY"</formula>
    </cfRule>
    <cfRule type="cellIs" dxfId="1467" priority="454" operator="equal">
      <formula>"DM"</formula>
    </cfRule>
    <cfRule type="cellIs" dxfId="1466" priority="455" operator="equal">
      <formula>"PM"</formula>
    </cfRule>
    <cfRule type="cellIs" dxfId="1465" priority="456" operator="equal">
      <formula>"LM"</formula>
    </cfRule>
    <cfRule type="cellIs" dxfId="1464" priority="457" operator="equal">
      <formula>"FM"</formula>
    </cfRule>
  </conditionalFormatting>
  <conditionalFormatting sqref="I86:J86">
    <cfRule type="cellIs" dxfId="1463" priority="451" operator="equal">
      <formula>"No"</formula>
    </cfRule>
    <cfRule type="cellIs" dxfId="1462" priority="452" operator="equal">
      <formula>"Yes"</formula>
    </cfRule>
  </conditionalFormatting>
  <conditionalFormatting sqref="Q86">
    <cfRule type="cellIs" dxfId="1461" priority="450" operator="equal">
      <formula>"Y"</formula>
    </cfRule>
  </conditionalFormatting>
  <conditionalFormatting sqref="I87">
    <cfRule type="cellIs" dxfId="1460" priority="448" operator="equal">
      <formula>"No"</formula>
    </cfRule>
    <cfRule type="cellIs" dxfId="1459" priority="449" operator="equal">
      <formula>"Yes"</formula>
    </cfRule>
  </conditionalFormatting>
  <conditionalFormatting sqref="Q87">
    <cfRule type="cellIs" dxfId="1458" priority="447" operator="equal">
      <formula>"Y"</formula>
    </cfRule>
  </conditionalFormatting>
  <conditionalFormatting sqref="O88">
    <cfRule type="cellIs" dxfId="1457" priority="442" operator="equal">
      <formula>"NY"</formula>
    </cfRule>
    <cfRule type="cellIs" dxfId="1456" priority="443" operator="equal">
      <formula>"DM"</formula>
    </cfRule>
    <cfRule type="cellIs" dxfId="1455" priority="444" operator="equal">
      <formula>"PM"</formula>
    </cfRule>
    <cfRule type="cellIs" dxfId="1454" priority="445" operator="equal">
      <formula>"LM"</formula>
    </cfRule>
    <cfRule type="cellIs" dxfId="1453" priority="446" operator="equal">
      <formula>"FM"</formula>
    </cfRule>
  </conditionalFormatting>
  <conditionalFormatting sqref="Q88">
    <cfRule type="cellIs" dxfId="1452" priority="441" operator="equal">
      <formula>"Y"</formula>
    </cfRule>
  </conditionalFormatting>
  <conditionalFormatting sqref="O89">
    <cfRule type="cellIs" dxfId="1451" priority="436" operator="equal">
      <formula>"NY"</formula>
    </cfRule>
    <cfRule type="cellIs" dxfId="1450" priority="437" operator="equal">
      <formula>"DM"</formula>
    </cfRule>
    <cfRule type="cellIs" dxfId="1449" priority="438" operator="equal">
      <formula>"PM"</formula>
    </cfRule>
    <cfRule type="cellIs" dxfId="1448" priority="439" operator="equal">
      <formula>"LM"</formula>
    </cfRule>
    <cfRule type="cellIs" dxfId="1447" priority="440" operator="equal">
      <formula>"FM"</formula>
    </cfRule>
  </conditionalFormatting>
  <conditionalFormatting sqref="I89:J89">
    <cfRule type="cellIs" dxfId="1446" priority="434" operator="equal">
      <formula>"No"</formula>
    </cfRule>
    <cfRule type="cellIs" dxfId="1445" priority="435" operator="equal">
      <formula>"Yes"</formula>
    </cfRule>
  </conditionalFormatting>
  <conditionalFormatting sqref="Q89">
    <cfRule type="cellIs" dxfId="1444" priority="433" operator="equal">
      <formula>"Y"</formula>
    </cfRule>
  </conditionalFormatting>
  <conditionalFormatting sqref="I90">
    <cfRule type="cellIs" dxfId="1443" priority="431" operator="equal">
      <formula>"No"</formula>
    </cfRule>
    <cfRule type="cellIs" dxfId="1442" priority="432" operator="equal">
      <formula>"Yes"</formula>
    </cfRule>
  </conditionalFormatting>
  <conditionalFormatting sqref="Q90">
    <cfRule type="cellIs" dxfId="1441" priority="430" operator="equal">
      <formula>"Y"</formula>
    </cfRule>
  </conditionalFormatting>
  <conditionalFormatting sqref="O91">
    <cfRule type="cellIs" dxfId="1440" priority="425" operator="equal">
      <formula>"NY"</formula>
    </cfRule>
    <cfRule type="cellIs" dxfId="1439" priority="426" operator="equal">
      <formula>"DM"</formula>
    </cfRule>
    <cfRule type="cellIs" dxfId="1438" priority="427" operator="equal">
      <formula>"PM"</formula>
    </cfRule>
    <cfRule type="cellIs" dxfId="1437" priority="428" operator="equal">
      <formula>"LM"</formula>
    </cfRule>
    <cfRule type="cellIs" dxfId="1436" priority="429" operator="equal">
      <formula>"FM"</formula>
    </cfRule>
  </conditionalFormatting>
  <conditionalFormatting sqref="Q91">
    <cfRule type="cellIs" dxfId="1435" priority="424" operator="equal">
      <formula>"Y"</formula>
    </cfRule>
  </conditionalFormatting>
  <conditionalFormatting sqref="O92">
    <cfRule type="cellIs" dxfId="1434" priority="419" operator="equal">
      <formula>"NY"</formula>
    </cfRule>
    <cfRule type="cellIs" dxfId="1433" priority="420" operator="equal">
      <formula>"DM"</formula>
    </cfRule>
    <cfRule type="cellIs" dxfId="1432" priority="421" operator="equal">
      <formula>"PM"</formula>
    </cfRule>
    <cfRule type="cellIs" dxfId="1431" priority="422" operator="equal">
      <formula>"LM"</formula>
    </cfRule>
    <cfRule type="cellIs" dxfId="1430" priority="423" operator="equal">
      <formula>"FM"</formula>
    </cfRule>
  </conditionalFormatting>
  <conditionalFormatting sqref="I92:J92">
    <cfRule type="cellIs" dxfId="1429" priority="417" operator="equal">
      <formula>"No"</formula>
    </cfRule>
    <cfRule type="cellIs" dxfId="1428" priority="418" operator="equal">
      <formula>"Yes"</formula>
    </cfRule>
  </conditionalFormatting>
  <conditionalFormatting sqref="Q92">
    <cfRule type="cellIs" dxfId="1427" priority="416" operator="equal">
      <formula>"Y"</formula>
    </cfRule>
  </conditionalFormatting>
  <conditionalFormatting sqref="I93">
    <cfRule type="cellIs" dxfId="1426" priority="414" operator="equal">
      <formula>"No"</formula>
    </cfRule>
    <cfRule type="cellIs" dxfId="1425" priority="415" operator="equal">
      <formula>"Yes"</formula>
    </cfRule>
  </conditionalFormatting>
  <conditionalFormatting sqref="Q93">
    <cfRule type="cellIs" dxfId="1424" priority="413" operator="equal">
      <formula>"Y"</formula>
    </cfRule>
  </conditionalFormatting>
  <conditionalFormatting sqref="O94">
    <cfRule type="cellIs" dxfId="1423" priority="408" operator="equal">
      <formula>"NY"</formula>
    </cfRule>
    <cfRule type="cellIs" dxfId="1422" priority="409" operator="equal">
      <formula>"DM"</formula>
    </cfRule>
    <cfRule type="cellIs" dxfId="1421" priority="410" operator="equal">
      <formula>"PM"</formula>
    </cfRule>
    <cfRule type="cellIs" dxfId="1420" priority="411" operator="equal">
      <formula>"LM"</formula>
    </cfRule>
    <cfRule type="cellIs" dxfId="1419" priority="412" operator="equal">
      <formula>"FM"</formula>
    </cfRule>
  </conditionalFormatting>
  <conditionalFormatting sqref="Q94">
    <cfRule type="cellIs" dxfId="1418" priority="407" operator="equal">
      <formula>"Y"</formula>
    </cfRule>
  </conditionalFormatting>
  <conditionalFormatting sqref="O95">
    <cfRule type="cellIs" dxfId="1417" priority="402" operator="equal">
      <formula>"NY"</formula>
    </cfRule>
    <cfRule type="cellIs" dxfId="1416" priority="403" operator="equal">
      <formula>"DM"</formula>
    </cfRule>
    <cfRule type="cellIs" dxfId="1415" priority="404" operator="equal">
      <formula>"PM"</formula>
    </cfRule>
    <cfRule type="cellIs" dxfId="1414" priority="405" operator="equal">
      <formula>"LM"</formula>
    </cfRule>
    <cfRule type="cellIs" dxfId="1413" priority="406" operator="equal">
      <formula>"FM"</formula>
    </cfRule>
  </conditionalFormatting>
  <conditionalFormatting sqref="I95:J95">
    <cfRule type="cellIs" dxfId="1412" priority="400" operator="equal">
      <formula>"No"</formula>
    </cfRule>
    <cfRule type="cellIs" dxfId="1411" priority="401" operator="equal">
      <formula>"Yes"</formula>
    </cfRule>
  </conditionalFormatting>
  <conditionalFormatting sqref="Q95">
    <cfRule type="cellIs" dxfId="1410" priority="399" operator="equal">
      <formula>"Y"</formula>
    </cfRule>
  </conditionalFormatting>
  <conditionalFormatting sqref="I96">
    <cfRule type="cellIs" dxfId="1409" priority="397" operator="equal">
      <formula>"No"</formula>
    </cfRule>
    <cfRule type="cellIs" dxfId="1408" priority="398" operator="equal">
      <formula>"Yes"</formula>
    </cfRule>
  </conditionalFormatting>
  <conditionalFormatting sqref="Q96">
    <cfRule type="cellIs" dxfId="1407" priority="396" operator="equal">
      <formula>"Y"</formula>
    </cfRule>
  </conditionalFormatting>
  <conditionalFormatting sqref="O97">
    <cfRule type="cellIs" dxfId="1406" priority="391" operator="equal">
      <formula>"NY"</formula>
    </cfRule>
    <cfRule type="cellIs" dxfId="1405" priority="392" operator="equal">
      <formula>"DM"</formula>
    </cfRule>
    <cfRule type="cellIs" dxfId="1404" priority="393" operator="equal">
      <formula>"PM"</formula>
    </cfRule>
    <cfRule type="cellIs" dxfId="1403" priority="394" operator="equal">
      <formula>"LM"</formula>
    </cfRule>
    <cfRule type="cellIs" dxfId="1402" priority="395" operator="equal">
      <formula>"FM"</formula>
    </cfRule>
  </conditionalFormatting>
  <conditionalFormatting sqref="Q97">
    <cfRule type="cellIs" dxfId="1401" priority="390" operator="equal">
      <formula>"Y"</formula>
    </cfRule>
  </conditionalFormatting>
  <conditionalFormatting sqref="O98">
    <cfRule type="cellIs" dxfId="1400" priority="385" operator="equal">
      <formula>"NY"</formula>
    </cfRule>
    <cfRule type="cellIs" dxfId="1399" priority="386" operator="equal">
      <formula>"DM"</formula>
    </cfRule>
    <cfRule type="cellIs" dxfId="1398" priority="387" operator="equal">
      <formula>"PM"</formula>
    </cfRule>
    <cfRule type="cellIs" dxfId="1397" priority="388" operator="equal">
      <formula>"LM"</formula>
    </cfRule>
    <cfRule type="cellIs" dxfId="1396" priority="389" operator="equal">
      <formula>"FM"</formula>
    </cfRule>
  </conditionalFormatting>
  <conditionalFormatting sqref="I98:J98">
    <cfRule type="cellIs" dxfId="1395" priority="383" operator="equal">
      <formula>"No"</formula>
    </cfRule>
    <cfRule type="cellIs" dxfId="1394" priority="384" operator="equal">
      <formula>"Yes"</formula>
    </cfRule>
  </conditionalFormatting>
  <conditionalFormatting sqref="Q98">
    <cfRule type="cellIs" dxfId="1393" priority="382" operator="equal">
      <formula>"Y"</formula>
    </cfRule>
  </conditionalFormatting>
  <conditionalFormatting sqref="I99">
    <cfRule type="cellIs" dxfId="1392" priority="380" operator="equal">
      <formula>"No"</formula>
    </cfRule>
    <cfRule type="cellIs" dxfId="1391" priority="381" operator="equal">
      <formula>"Yes"</formula>
    </cfRule>
  </conditionalFormatting>
  <conditionalFormatting sqref="Q99">
    <cfRule type="cellIs" dxfId="1390" priority="379" operator="equal">
      <formula>"Y"</formula>
    </cfRule>
  </conditionalFormatting>
  <conditionalFormatting sqref="O100">
    <cfRule type="cellIs" dxfId="1389" priority="374" operator="equal">
      <formula>"NY"</formula>
    </cfRule>
    <cfRule type="cellIs" dxfId="1388" priority="375" operator="equal">
      <formula>"DM"</formula>
    </cfRule>
    <cfRule type="cellIs" dxfId="1387" priority="376" operator="equal">
      <formula>"PM"</formula>
    </cfRule>
    <cfRule type="cellIs" dxfId="1386" priority="377" operator="equal">
      <formula>"LM"</formula>
    </cfRule>
    <cfRule type="cellIs" dxfId="1385" priority="378" operator="equal">
      <formula>"FM"</formula>
    </cfRule>
  </conditionalFormatting>
  <conditionalFormatting sqref="Q100">
    <cfRule type="cellIs" dxfId="1384" priority="373" operator="equal">
      <formula>"Y"</formula>
    </cfRule>
  </conditionalFormatting>
  <conditionalFormatting sqref="O101">
    <cfRule type="cellIs" dxfId="1383" priority="368" operator="equal">
      <formula>"NY"</formula>
    </cfRule>
    <cfRule type="cellIs" dxfId="1382" priority="369" operator="equal">
      <formula>"DM"</formula>
    </cfRule>
    <cfRule type="cellIs" dxfId="1381" priority="370" operator="equal">
      <formula>"PM"</formula>
    </cfRule>
    <cfRule type="cellIs" dxfId="1380" priority="371" operator="equal">
      <formula>"LM"</formula>
    </cfRule>
    <cfRule type="cellIs" dxfId="1379" priority="372" operator="equal">
      <formula>"FM"</formula>
    </cfRule>
  </conditionalFormatting>
  <conditionalFormatting sqref="Q101">
    <cfRule type="cellIs" dxfId="1378" priority="367" operator="equal">
      <formula>"Y"</formula>
    </cfRule>
  </conditionalFormatting>
  <conditionalFormatting sqref="O102">
    <cfRule type="cellIs" dxfId="1377" priority="362" operator="equal">
      <formula>"NY"</formula>
    </cfRule>
    <cfRule type="cellIs" dxfId="1376" priority="363" operator="equal">
      <formula>"DM"</formula>
    </cfRule>
    <cfRule type="cellIs" dxfId="1375" priority="364" operator="equal">
      <formula>"PM"</formula>
    </cfRule>
    <cfRule type="cellIs" dxfId="1374" priority="365" operator="equal">
      <formula>"LM"</formula>
    </cfRule>
    <cfRule type="cellIs" dxfId="1373" priority="366" operator="equal">
      <formula>"FM"</formula>
    </cfRule>
  </conditionalFormatting>
  <conditionalFormatting sqref="I102:J102">
    <cfRule type="cellIs" dxfId="1372" priority="360" operator="equal">
      <formula>"No"</formula>
    </cfRule>
    <cfRule type="cellIs" dxfId="1371" priority="361" operator="equal">
      <formula>"Yes"</formula>
    </cfRule>
  </conditionalFormatting>
  <conditionalFormatting sqref="Q102">
    <cfRule type="cellIs" dxfId="1370" priority="359" operator="equal">
      <formula>"Y"</formula>
    </cfRule>
  </conditionalFormatting>
  <conditionalFormatting sqref="I103">
    <cfRule type="cellIs" dxfId="1369" priority="357" operator="equal">
      <formula>"No"</formula>
    </cfRule>
    <cfRule type="cellIs" dxfId="1368" priority="358" operator="equal">
      <formula>"Yes"</formula>
    </cfRule>
  </conditionalFormatting>
  <conditionalFormatting sqref="Q103">
    <cfRule type="cellIs" dxfId="1367" priority="356" operator="equal">
      <formula>"Y"</formula>
    </cfRule>
  </conditionalFormatting>
  <conditionalFormatting sqref="O104">
    <cfRule type="cellIs" dxfId="1366" priority="351" operator="equal">
      <formula>"NY"</formula>
    </cfRule>
    <cfRule type="cellIs" dxfId="1365" priority="352" operator="equal">
      <formula>"DM"</formula>
    </cfRule>
    <cfRule type="cellIs" dxfId="1364" priority="353" operator="equal">
      <formula>"PM"</formula>
    </cfRule>
    <cfRule type="cellIs" dxfId="1363" priority="354" operator="equal">
      <formula>"LM"</formula>
    </cfRule>
    <cfRule type="cellIs" dxfId="1362" priority="355" operator="equal">
      <formula>"FM"</formula>
    </cfRule>
  </conditionalFormatting>
  <conditionalFormatting sqref="Q104">
    <cfRule type="cellIs" dxfId="1361" priority="350" operator="equal">
      <formula>"Y"</formula>
    </cfRule>
  </conditionalFormatting>
  <conditionalFormatting sqref="O105">
    <cfRule type="cellIs" dxfId="1360" priority="345" operator="equal">
      <formula>"NY"</formula>
    </cfRule>
    <cfRule type="cellIs" dxfId="1359" priority="346" operator="equal">
      <formula>"DM"</formula>
    </cfRule>
    <cfRule type="cellIs" dxfId="1358" priority="347" operator="equal">
      <formula>"PM"</formula>
    </cfRule>
    <cfRule type="cellIs" dxfId="1357" priority="348" operator="equal">
      <formula>"LM"</formula>
    </cfRule>
    <cfRule type="cellIs" dxfId="1356" priority="349" operator="equal">
      <formula>"FM"</formula>
    </cfRule>
  </conditionalFormatting>
  <conditionalFormatting sqref="I105:J105">
    <cfRule type="cellIs" dxfId="1355" priority="343" operator="equal">
      <formula>"No"</formula>
    </cfRule>
    <cfRule type="cellIs" dxfId="1354" priority="344" operator="equal">
      <formula>"Yes"</formula>
    </cfRule>
  </conditionalFormatting>
  <conditionalFormatting sqref="Q105">
    <cfRule type="cellIs" dxfId="1353" priority="342" operator="equal">
      <formula>"Y"</formula>
    </cfRule>
  </conditionalFormatting>
  <conditionalFormatting sqref="I106">
    <cfRule type="cellIs" dxfId="1352" priority="340" operator="equal">
      <formula>"No"</formula>
    </cfRule>
    <cfRule type="cellIs" dxfId="1351" priority="341" operator="equal">
      <formula>"Yes"</formula>
    </cfRule>
  </conditionalFormatting>
  <conditionalFormatting sqref="Q106">
    <cfRule type="cellIs" dxfId="1350" priority="339" operator="equal">
      <formula>"Y"</formula>
    </cfRule>
  </conditionalFormatting>
  <conditionalFormatting sqref="O107">
    <cfRule type="cellIs" dxfId="1349" priority="334" operator="equal">
      <formula>"NY"</formula>
    </cfRule>
    <cfRule type="cellIs" dxfId="1348" priority="335" operator="equal">
      <formula>"DM"</formula>
    </cfRule>
    <cfRule type="cellIs" dxfId="1347" priority="336" operator="equal">
      <formula>"PM"</formula>
    </cfRule>
    <cfRule type="cellIs" dxfId="1346" priority="337" operator="equal">
      <formula>"LM"</formula>
    </cfRule>
    <cfRule type="cellIs" dxfId="1345" priority="338" operator="equal">
      <formula>"FM"</formula>
    </cfRule>
  </conditionalFormatting>
  <conditionalFormatting sqref="Q107">
    <cfRule type="cellIs" dxfId="1344" priority="333" operator="equal">
      <formula>"Y"</formula>
    </cfRule>
  </conditionalFormatting>
  <conditionalFormatting sqref="O108">
    <cfRule type="cellIs" dxfId="1343" priority="328" operator="equal">
      <formula>"NY"</formula>
    </cfRule>
    <cfRule type="cellIs" dxfId="1342" priority="329" operator="equal">
      <formula>"DM"</formula>
    </cfRule>
    <cfRule type="cellIs" dxfId="1341" priority="330" operator="equal">
      <formula>"PM"</formula>
    </cfRule>
    <cfRule type="cellIs" dxfId="1340" priority="331" operator="equal">
      <formula>"LM"</formula>
    </cfRule>
    <cfRule type="cellIs" dxfId="1339" priority="332" operator="equal">
      <formula>"FM"</formula>
    </cfRule>
  </conditionalFormatting>
  <conditionalFormatting sqref="I108:J108">
    <cfRule type="cellIs" dxfId="1338" priority="326" operator="equal">
      <formula>"No"</formula>
    </cfRule>
    <cfRule type="cellIs" dxfId="1337" priority="327" operator="equal">
      <formula>"Yes"</formula>
    </cfRule>
  </conditionalFormatting>
  <conditionalFormatting sqref="Q108">
    <cfRule type="cellIs" dxfId="1336" priority="325" operator="equal">
      <formula>"Y"</formula>
    </cfRule>
  </conditionalFormatting>
  <conditionalFormatting sqref="I109">
    <cfRule type="cellIs" dxfId="1335" priority="323" operator="equal">
      <formula>"No"</formula>
    </cfRule>
    <cfRule type="cellIs" dxfId="1334" priority="324" operator="equal">
      <formula>"Yes"</formula>
    </cfRule>
  </conditionalFormatting>
  <conditionalFormatting sqref="Q109">
    <cfRule type="cellIs" dxfId="1333" priority="322" operator="equal">
      <formula>"Y"</formula>
    </cfRule>
  </conditionalFormatting>
  <conditionalFormatting sqref="O110">
    <cfRule type="cellIs" dxfId="1332" priority="317" operator="equal">
      <formula>"NY"</formula>
    </cfRule>
    <cfRule type="cellIs" dxfId="1331" priority="318" operator="equal">
      <formula>"DM"</formula>
    </cfRule>
    <cfRule type="cellIs" dxfId="1330" priority="319" operator="equal">
      <formula>"PM"</formula>
    </cfRule>
    <cfRule type="cellIs" dxfId="1329" priority="320" operator="equal">
      <formula>"LM"</formula>
    </cfRule>
    <cfRule type="cellIs" dxfId="1328" priority="321" operator="equal">
      <formula>"FM"</formula>
    </cfRule>
  </conditionalFormatting>
  <conditionalFormatting sqref="Q110">
    <cfRule type="cellIs" dxfId="1327" priority="316" operator="equal">
      <formula>"Y"</formula>
    </cfRule>
  </conditionalFormatting>
  <conditionalFormatting sqref="O111">
    <cfRule type="cellIs" dxfId="1326" priority="311" operator="equal">
      <formula>"NY"</formula>
    </cfRule>
    <cfRule type="cellIs" dxfId="1325" priority="312" operator="equal">
      <formula>"DM"</formula>
    </cfRule>
    <cfRule type="cellIs" dxfId="1324" priority="313" operator="equal">
      <formula>"PM"</formula>
    </cfRule>
    <cfRule type="cellIs" dxfId="1323" priority="314" operator="equal">
      <formula>"LM"</formula>
    </cfRule>
    <cfRule type="cellIs" dxfId="1322" priority="315" operator="equal">
      <formula>"FM"</formula>
    </cfRule>
  </conditionalFormatting>
  <conditionalFormatting sqref="I111:J111">
    <cfRule type="cellIs" dxfId="1321" priority="309" operator="equal">
      <formula>"No"</formula>
    </cfRule>
    <cfRule type="cellIs" dxfId="1320" priority="310" operator="equal">
      <formula>"Yes"</formula>
    </cfRule>
  </conditionalFormatting>
  <conditionalFormatting sqref="Q111">
    <cfRule type="cellIs" dxfId="1319" priority="308" operator="equal">
      <formula>"Y"</formula>
    </cfRule>
  </conditionalFormatting>
  <conditionalFormatting sqref="I112">
    <cfRule type="cellIs" dxfId="1318" priority="306" operator="equal">
      <formula>"No"</formula>
    </cfRule>
    <cfRule type="cellIs" dxfId="1317" priority="307" operator="equal">
      <formula>"Yes"</formula>
    </cfRule>
  </conditionalFormatting>
  <conditionalFormatting sqref="Q112">
    <cfRule type="cellIs" dxfId="1316" priority="305" operator="equal">
      <formula>"Y"</formula>
    </cfRule>
  </conditionalFormatting>
  <conditionalFormatting sqref="O113">
    <cfRule type="cellIs" dxfId="1315" priority="300" operator="equal">
      <formula>"NY"</formula>
    </cfRule>
    <cfRule type="cellIs" dxfId="1314" priority="301" operator="equal">
      <formula>"DM"</formula>
    </cfRule>
    <cfRule type="cellIs" dxfId="1313" priority="302" operator="equal">
      <formula>"PM"</formula>
    </cfRule>
    <cfRule type="cellIs" dxfId="1312" priority="303" operator="equal">
      <formula>"LM"</formula>
    </cfRule>
    <cfRule type="cellIs" dxfId="1311" priority="304" operator="equal">
      <formula>"FM"</formula>
    </cfRule>
  </conditionalFormatting>
  <conditionalFormatting sqref="Q113">
    <cfRule type="cellIs" dxfId="1310" priority="299" operator="equal">
      <formula>"Y"</formula>
    </cfRule>
  </conditionalFormatting>
  <conditionalFormatting sqref="O114">
    <cfRule type="cellIs" dxfId="1309" priority="294" operator="equal">
      <formula>"NY"</formula>
    </cfRule>
    <cfRule type="cellIs" dxfId="1308" priority="295" operator="equal">
      <formula>"DM"</formula>
    </cfRule>
    <cfRule type="cellIs" dxfId="1307" priority="296" operator="equal">
      <formula>"PM"</formula>
    </cfRule>
    <cfRule type="cellIs" dxfId="1306" priority="297" operator="equal">
      <formula>"LM"</formula>
    </cfRule>
    <cfRule type="cellIs" dxfId="1305" priority="298" operator="equal">
      <formula>"FM"</formula>
    </cfRule>
  </conditionalFormatting>
  <conditionalFormatting sqref="I114:J114">
    <cfRule type="cellIs" dxfId="1304" priority="292" operator="equal">
      <formula>"No"</formula>
    </cfRule>
    <cfRule type="cellIs" dxfId="1303" priority="293" operator="equal">
      <formula>"Yes"</formula>
    </cfRule>
  </conditionalFormatting>
  <conditionalFormatting sqref="Q114">
    <cfRule type="cellIs" dxfId="1302" priority="291" operator="equal">
      <formula>"Y"</formula>
    </cfRule>
  </conditionalFormatting>
  <conditionalFormatting sqref="I115">
    <cfRule type="cellIs" dxfId="1301" priority="289" operator="equal">
      <formula>"No"</formula>
    </cfRule>
    <cfRule type="cellIs" dxfId="1300" priority="290" operator="equal">
      <formula>"Yes"</formula>
    </cfRule>
  </conditionalFormatting>
  <conditionalFormatting sqref="Q115">
    <cfRule type="cellIs" dxfId="1299" priority="288" operator="equal">
      <formula>"Y"</formula>
    </cfRule>
  </conditionalFormatting>
  <conditionalFormatting sqref="O116">
    <cfRule type="cellIs" dxfId="1298" priority="283" operator="equal">
      <formula>"NY"</formula>
    </cfRule>
    <cfRule type="cellIs" dxfId="1297" priority="284" operator="equal">
      <formula>"DM"</formula>
    </cfRule>
    <cfRule type="cellIs" dxfId="1296" priority="285" operator="equal">
      <formula>"PM"</formula>
    </cfRule>
    <cfRule type="cellIs" dxfId="1295" priority="286" operator="equal">
      <formula>"LM"</formula>
    </cfRule>
    <cfRule type="cellIs" dxfId="1294" priority="287" operator="equal">
      <formula>"FM"</formula>
    </cfRule>
  </conditionalFormatting>
  <conditionalFormatting sqref="Q116">
    <cfRule type="cellIs" dxfId="1293" priority="282" operator="equal">
      <formula>"Y"</formula>
    </cfRule>
  </conditionalFormatting>
  <conditionalFormatting sqref="O117">
    <cfRule type="cellIs" dxfId="1292" priority="277" operator="equal">
      <formula>"NY"</formula>
    </cfRule>
    <cfRule type="cellIs" dxfId="1291" priority="278" operator="equal">
      <formula>"DM"</formula>
    </cfRule>
    <cfRule type="cellIs" dxfId="1290" priority="279" operator="equal">
      <formula>"PM"</formula>
    </cfRule>
    <cfRule type="cellIs" dxfId="1289" priority="280" operator="equal">
      <formula>"LM"</formula>
    </cfRule>
    <cfRule type="cellIs" dxfId="1288" priority="281" operator="equal">
      <formula>"FM"</formula>
    </cfRule>
  </conditionalFormatting>
  <conditionalFormatting sqref="I117:J117">
    <cfRule type="cellIs" dxfId="1287" priority="275" operator="equal">
      <formula>"No"</formula>
    </cfRule>
    <cfRule type="cellIs" dxfId="1286" priority="276" operator="equal">
      <formula>"Yes"</formula>
    </cfRule>
  </conditionalFormatting>
  <conditionalFormatting sqref="Q117">
    <cfRule type="cellIs" dxfId="1285" priority="274" operator="equal">
      <formula>"Y"</formula>
    </cfRule>
  </conditionalFormatting>
  <conditionalFormatting sqref="I118">
    <cfRule type="cellIs" dxfId="1284" priority="272" operator="equal">
      <formula>"No"</formula>
    </cfRule>
    <cfRule type="cellIs" dxfId="1283" priority="273" operator="equal">
      <formula>"Yes"</formula>
    </cfRule>
  </conditionalFormatting>
  <conditionalFormatting sqref="Q118">
    <cfRule type="cellIs" dxfId="1282" priority="271" operator="equal">
      <formula>"Y"</formula>
    </cfRule>
  </conditionalFormatting>
  <conditionalFormatting sqref="O119">
    <cfRule type="cellIs" dxfId="1281" priority="266" operator="equal">
      <formula>"NY"</formula>
    </cfRule>
    <cfRule type="cellIs" dxfId="1280" priority="267" operator="equal">
      <formula>"DM"</formula>
    </cfRule>
    <cfRule type="cellIs" dxfId="1279" priority="268" operator="equal">
      <formula>"PM"</formula>
    </cfRule>
    <cfRule type="cellIs" dxfId="1278" priority="269" operator="equal">
      <formula>"LM"</formula>
    </cfRule>
    <cfRule type="cellIs" dxfId="1277" priority="270" operator="equal">
      <formula>"FM"</formula>
    </cfRule>
  </conditionalFormatting>
  <conditionalFormatting sqref="Q119">
    <cfRule type="cellIs" dxfId="1276" priority="265" operator="equal">
      <formula>"Y"</formula>
    </cfRule>
  </conditionalFormatting>
  <conditionalFormatting sqref="O120">
    <cfRule type="cellIs" dxfId="1275" priority="260" operator="equal">
      <formula>"NY"</formula>
    </cfRule>
    <cfRule type="cellIs" dxfId="1274" priority="261" operator="equal">
      <formula>"DM"</formula>
    </cfRule>
    <cfRule type="cellIs" dxfId="1273" priority="262" operator="equal">
      <formula>"PM"</formula>
    </cfRule>
    <cfRule type="cellIs" dxfId="1272" priority="263" operator="equal">
      <formula>"LM"</formula>
    </cfRule>
    <cfRule type="cellIs" dxfId="1271" priority="264" operator="equal">
      <formula>"FM"</formula>
    </cfRule>
  </conditionalFormatting>
  <conditionalFormatting sqref="I120:J120">
    <cfRule type="cellIs" dxfId="1270" priority="258" operator="equal">
      <formula>"No"</formula>
    </cfRule>
    <cfRule type="cellIs" dxfId="1269" priority="259" operator="equal">
      <formula>"Yes"</formula>
    </cfRule>
  </conditionalFormatting>
  <conditionalFormatting sqref="Q120">
    <cfRule type="cellIs" dxfId="1268" priority="257" operator="equal">
      <formula>"Y"</formula>
    </cfRule>
  </conditionalFormatting>
  <conditionalFormatting sqref="I121">
    <cfRule type="cellIs" dxfId="1267" priority="255" operator="equal">
      <formula>"No"</formula>
    </cfRule>
    <cfRule type="cellIs" dxfId="1266" priority="256" operator="equal">
      <formula>"Yes"</formula>
    </cfRule>
  </conditionalFormatting>
  <conditionalFormatting sqref="Q121">
    <cfRule type="cellIs" dxfId="1265" priority="254" operator="equal">
      <formula>"Y"</formula>
    </cfRule>
  </conditionalFormatting>
  <conditionalFormatting sqref="O122">
    <cfRule type="cellIs" dxfId="1264" priority="249" operator="equal">
      <formula>"NY"</formula>
    </cfRule>
    <cfRule type="cellIs" dxfId="1263" priority="250" operator="equal">
      <formula>"DM"</formula>
    </cfRule>
    <cfRule type="cellIs" dxfId="1262" priority="251" operator="equal">
      <formula>"PM"</formula>
    </cfRule>
    <cfRule type="cellIs" dxfId="1261" priority="252" operator="equal">
      <formula>"LM"</formula>
    </cfRule>
    <cfRule type="cellIs" dxfId="1260" priority="253" operator="equal">
      <formula>"FM"</formula>
    </cfRule>
  </conditionalFormatting>
  <conditionalFormatting sqref="Q122">
    <cfRule type="cellIs" dxfId="1259" priority="248" operator="equal">
      <formula>"Y"</formula>
    </cfRule>
  </conditionalFormatting>
  <conditionalFormatting sqref="O123">
    <cfRule type="cellIs" dxfId="1258" priority="243" operator="equal">
      <formula>"NY"</formula>
    </cfRule>
    <cfRule type="cellIs" dxfId="1257" priority="244" operator="equal">
      <formula>"DM"</formula>
    </cfRule>
    <cfRule type="cellIs" dxfId="1256" priority="245" operator="equal">
      <formula>"PM"</formula>
    </cfRule>
    <cfRule type="cellIs" dxfId="1255" priority="246" operator="equal">
      <formula>"LM"</formula>
    </cfRule>
    <cfRule type="cellIs" dxfId="1254" priority="247" operator="equal">
      <formula>"FM"</formula>
    </cfRule>
  </conditionalFormatting>
  <conditionalFormatting sqref="Q123">
    <cfRule type="cellIs" dxfId="1253" priority="242" operator="equal">
      <formula>"Y"</formula>
    </cfRule>
  </conditionalFormatting>
  <conditionalFormatting sqref="O124">
    <cfRule type="cellIs" dxfId="1252" priority="237" operator="equal">
      <formula>"NY"</formula>
    </cfRule>
    <cfRule type="cellIs" dxfId="1251" priority="238" operator="equal">
      <formula>"DM"</formula>
    </cfRule>
    <cfRule type="cellIs" dxfId="1250" priority="239" operator="equal">
      <formula>"PM"</formula>
    </cfRule>
    <cfRule type="cellIs" dxfId="1249" priority="240" operator="equal">
      <formula>"LM"</formula>
    </cfRule>
    <cfRule type="cellIs" dxfId="1248" priority="241" operator="equal">
      <formula>"FM"</formula>
    </cfRule>
  </conditionalFormatting>
  <conditionalFormatting sqref="I124:J124">
    <cfRule type="cellIs" dxfId="1247" priority="235" operator="equal">
      <formula>"No"</formula>
    </cfRule>
    <cfRule type="cellIs" dxfId="1246" priority="236" operator="equal">
      <formula>"Yes"</formula>
    </cfRule>
  </conditionalFormatting>
  <conditionalFormatting sqref="Q124">
    <cfRule type="cellIs" dxfId="1245" priority="234" operator="equal">
      <formula>"Y"</formula>
    </cfRule>
  </conditionalFormatting>
  <conditionalFormatting sqref="I125">
    <cfRule type="cellIs" dxfId="1244" priority="232" operator="equal">
      <formula>"No"</formula>
    </cfRule>
    <cfRule type="cellIs" dxfId="1243" priority="233" operator="equal">
      <formula>"Yes"</formula>
    </cfRule>
  </conditionalFormatting>
  <conditionalFormatting sqref="Q125">
    <cfRule type="cellIs" dxfId="1242" priority="231" operator="equal">
      <formula>"Y"</formula>
    </cfRule>
  </conditionalFormatting>
  <conditionalFormatting sqref="O126">
    <cfRule type="cellIs" dxfId="1241" priority="226" operator="equal">
      <formula>"NY"</formula>
    </cfRule>
    <cfRule type="cellIs" dxfId="1240" priority="227" operator="equal">
      <formula>"DM"</formula>
    </cfRule>
    <cfRule type="cellIs" dxfId="1239" priority="228" operator="equal">
      <formula>"PM"</formula>
    </cfRule>
    <cfRule type="cellIs" dxfId="1238" priority="229" operator="equal">
      <formula>"LM"</formula>
    </cfRule>
    <cfRule type="cellIs" dxfId="1237" priority="230" operator="equal">
      <formula>"FM"</formula>
    </cfRule>
  </conditionalFormatting>
  <conditionalFormatting sqref="Q126">
    <cfRule type="cellIs" dxfId="1236" priority="225" operator="equal">
      <formula>"Y"</formula>
    </cfRule>
  </conditionalFormatting>
  <conditionalFormatting sqref="O127">
    <cfRule type="cellIs" dxfId="1235" priority="220" operator="equal">
      <formula>"NY"</formula>
    </cfRule>
    <cfRule type="cellIs" dxfId="1234" priority="221" operator="equal">
      <formula>"DM"</formula>
    </cfRule>
    <cfRule type="cellIs" dxfId="1233" priority="222" operator="equal">
      <formula>"PM"</formula>
    </cfRule>
    <cfRule type="cellIs" dxfId="1232" priority="223" operator="equal">
      <formula>"LM"</formula>
    </cfRule>
    <cfRule type="cellIs" dxfId="1231" priority="224" operator="equal">
      <formula>"FM"</formula>
    </cfRule>
  </conditionalFormatting>
  <conditionalFormatting sqref="I127:J127">
    <cfRule type="cellIs" dxfId="1230" priority="218" operator="equal">
      <formula>"No"</formula>
    </cfRule>
    <cfRule type="cellIs" dxfId="1229" priority="219" operator="equal">
      <formula>"Yes"</formula>
    </cfRule>
  </conditionalFormatting>
  <conditionalFormatting sqref="Q127">
    <cfRule type="cellIs" dxfId="1228" priority="217" operator="equal">
      <formula>"Y"</formula>
    </cfRule>
  </conditionalFormatting>
  <conditionalFormatting sqref="I128">
    <cfRule type="cellIs" dxfId="1227" priority="215" operator="equal">
      <formula>"No"</formula>
    </cfRule>
    <cfRule type="cellIs" dxfId="1226" priority="216" operator="equal">
      <formula>"Yes"</formula>
    </cfRule>
  </conditionalFormatting>
  <conditionalFormatting sqref="Q128">
    <cfRule type="cellIs" dxfId="1225" priority="214" operator="equal">
      <formula>"Y"</formula>
    </cfRule>
  </conditionalFormatting>
  <conditionalFormatting sqref="O129">
    <cfRule type="cellIs" dxfId="1224" priority="209" operator="equal">
      <formula>"NY"</formula>
    </cfRule>
    <cfRule type="cellIs" dxfId="1223" priority="210" operator="equal">
      <formula>"DM"</formula>
    </cfRule>
    <cfRule type="cellIs" dxfId="1222" priority="211" operator="equal">
      <formula>"PM"</formula>
    </cfRule>
    <cfRule type="cellIs" dxfId="1221" priority="212" operator="equal">
      <formula>"LM"</formula>
    </cfRule>
    <cfRule type="cellIs" dxfId="1220" priority="213" operator="equal">
      <formula>"FM"</formula>
    </cfRule>
  </conditionalFormatting>
  <conditionalFormatting sqref="Q129">
    <cfRule type="cellIs" dxfId="1219" priority="208" operator="equal">
      <formula>"Y"</formula>
    </cfRule>
  </conditionalFormatting>
  <conditionalFormatting sqref="O130">
    <cfRule type="cellIs" dxfId="1218" priority="203" operator="equal">
      <formula>"NY"</formula>
    </cfRule>
    <cfRule type="cellIs" dxfId="1217" priority="204" operator="equal">
      <formula>"DM"</formula>
    </cfRule>
    <cfRule type="cellIs" dxfId="1216" priority="205" operator="equal">
      <formula>"PM"</formula>
    </cfRule>
    <cfRule type="cellIs" dxfId="1215" priority="206" operator="equal">
      <formula>"LM"</formula>
    </cfRule>
    <cfRule type="cellIs" dxfId="1214" priority="207" operator="equal">
      <formula>"FM"</formula>
    </cfRule>
  </conditionalFormatting>
  <conditionalFormatting sqref="I130:J130">
    <cfRule type="cellIs" dxfId="1213" priority="201" operator="equal">
      <formula>"No"</formula>
    </cfRule>
    <cfRule type="cellIs" dxfId="1212" priority="202" operator="equal">
      <formula>"Yes"</formula>
    </cfRule>
  </conditionalFormatting>
  <conditionalFormatting sqref="Q130">
    <cfRule type="cellIs" dxfId="1211" priority="200" operator="equal">
      <formula>"Y"</formula>
    </cfRule>
  </conditionalFormatting>
  <conditionalFormatting sqref="I131">
    <cfRule type="cellIs" dxfId="1210" priority="198" operator="equal">
      <formula>"No"</formula>
    </cfRule>
    <cfRule type="cellIs" dxfId="1209" priority="199" operator="equal">
      <formula>"Yes"</formula>
    </cfRule>
  </conditionalFormatting>
  <conditionalFormatting sqref="Q131">
    <cfRule type="cellIs" dxfId="1208" priority="197" operator="equal">
      <formula>"Y"</formula>
    </cfRule>
  </conditionalFormatting>
  <conditionalFormatting sqref="O132">
    <cfRule type="cellIs" dxfId="1207" priority="192" operator="equal">
      <formula>"NY"</formula>
    </cfRule>
    <cfRule type="cellIs" dxfId="1206" priority="193" operator="equal">
      <formula>"DM"</formula>
    </cfRule>
    <cfRule type="cellIs" dxfId="1205" priority="194" operator="equal">
      <formula>"PM"</formula>
    </cfRule>
    <cfRule type="cellIs" dxfId="1204" priority="195" operator="equal">
      <formula>"LM"</formula>
    </cfRule>
    <cfRule type="cellIs" dxfId="1203" priority="196" operator="equal">
      <formula>"FM"</formula>
    </cfRule>
  </conditionalFormatting>
  <conditionalFormatting sqref="Q132">
    <cfRule type="cellIs" dxfId="1202" priority="191" operator="equal">
      <formula>"Y"</formula>
    </cfRule>
  </conditionalFormatting>
  <conditionalFormatting sqref="O133">
    <cfRule type="cellIs" dxfId="1201" priority="186" operator="equal">
      <formula>"NY"</formula>
    </cfRule>
    <cfRule type="cellIs" dxfId="1200" priority="187" operator="equal">
      <formula>"DM"</formula>
    </cfRule>
    <cfRule type="cellIs" dxfId="1199" priority="188" operator="equal">
      <formula>"PM"</formula>
    </cfRule>
    <cfRule type="cellIs" dxfId="1198" priority="189" operator="equal">
      <formula>"LM"</formula>
    </cfRule>
    <cfRule type="cellIs" dxfId="1197" priority="190" operator="equal">
      <formula>"FM"</formula>
    </cfRule>
  </conditionalFormatting>
  <conditionalFormatting sqref="I133:J133">
    <cfRule type="cellIs" dxfId="1196" priority="184" operator="equal">
      <formula>"No"</formula>
    </cfRule>
    <cfRule type="cellIs" dxfId="1195" priority="185" operator="equal">
      <formula>"Yes"</formula>
    </cfRule>
  </conditionalFormatting>
  <conditionalFormatting sqref="Q133">
    <cfRule type="cellIs" dxfId="1194" priority="183" operator="equal">
      <formula>"Y"</formula>
    </cfRule>
  </conditionalFormatting>
  <conditionalFormatting sqref="I134">
    <cfRule type="cellIs" dxfId="1193" priority="181" operator="equal">
      <formula>"No"</formula>
    </cfRule>
    <cfRule type="cellIs" dxfId="1192" priority="182" operator="equal">
      <formula>"Yes"</formula>
    </cfRule>
  </conditionalFormatting>
  <conditionalFormatting sqref="Q134">
    <cfRule type="cellIs" dxfId="1191" priority="180" operator="equal">
      <formula>"Y"</formula>
    </cfRule>
  </conditionalFormatting>
  <conditionalFormatting sqref="O135">
    <cfRule type="cellIs" dxfId="1190" priority="175" operator="equal">
      <formula>"NY"</formula>
    </cfRule>
    <cfRule type="cellIs" dxfId="1189" priority="176" operator="equal">
      <formula>"DM"</formula>
    </cfRule>
    <cfRule type="cellIs" dxfId="1188" priority="177" operator="equal">
      <formula>"PM"</formula>
    </cfRule>
    <cfRule type="cellIs" dxfId="1187" priority="178" operator="equal">
      <formula>"LM"</formula>
    </cfRule>
    <cfRule type="cellIs" dxfId="1186" priority="179" operator="equal">
      <formula>"FM"</formula>
    </cfRule>
  </conditionalFormatting>
  <conditionalFormatting sqref="Q135">
    <cfRule type="cellIs" dxfId="1185" priority="174" operator="equal">
      <formula>"Y"</formula>
    </cfRule>
  </conditionalFormatting>
  <conditionalFormatting sqref="O136">
    <cfRule type="cellIs" dxfId="1184" priority="169" operator="equal">
      <formula>"NY"</formula>
    </cfRule>
    <cfRule type="cellIs" dxfId="1183" priority="170" operator="equal">
      <formula>"DM"</formula>
    </cfRule>
    <cfRule type="cellIs" dxfId="1182" priority="171" operator="equal">
      <formula>"PM"</formula>
    </cfRule>
    <cfRule type="cellIs" dxfId="1181" priority="172" operator="equal">
      <formula>"LM"</formula>
    </cfRule>
    <cfRule type="cellIs" dxfId="1180" priority="173" operator="equal">
      <formula>"FM"</formula>
    </cfRule>
  </conditionalFormatting>
  <conditionalFormatting sqref="I136:J136">
    <cfRule type="cellIs" dxfId="1179" priority="167" operator="equal">
      <formula>"No"</formula>
    </cfRule>
    <cfRule type="cellIs" dxfId="1178" priority="168" operator="equal">
      <formula>"Yes"</formula>
    </cfRule>
  </conditionalFormatting>
  <conditionalFormatting sqref="Q136">
    <cfRule type="cellIs" dxfId="1177" priority="166" operator="equal">
      <formula>"Y"</formula>
    </cfRule>
  </conditionalFormatting>
  <conditionalFormatting sqref="I137">
    <cfRule type="cellIs" dxfId="1176" priority="164" operator="equal">
      <formula>"No"</formula>
    </cfRule>
    <cfRule type="cellIs" dxfId="1175" priority="165" operator="equal">
      <formula>"Yes"</formula>
    </cfRule>
  </conditionalFormatting>
  <conditionalFormatting sqref="Q137">
    <cfRule type="cellIs" dxfId="1174" priority="163" operator="equal">
      <formula>"Y"</formula>
    </cfRule>
  </conditionalFormatting>
  <conditionalFormatting sqref="O138">
    <cfRule type="cellIs" dxfId="1173" priority="158" operator="equal">
      <formula>"NY"</formula>
    </cfRule>
    <cfRule type="cellIs" dxfId="1172" priority="159" operator="equal">
      <formula>"DM"</formula>
    </cfRule>
    <cfRule type="cellIs" dxfId="1171" priority="160" operator="equal">
      <formula>"PM"</formula>
    </cfRule>
    <cfRule type="cellIs" dxfId="1170" priority="161" operator="equal">
      <formula>"LM"</formula>
    </cfRule>
    <cfRule type="cellIs" dxfId="1169" priority="162" operator="equal">
      <formula>"FM"</formula>
    </cfRule>
  </conditionalFormatting>
  <conditionalFormatting sqref="Q138">
    <cfRule type="cellIs" dxfId="1168" priority="157" operator="equal">
      <formula>"Y"</formula>
    </cfRule>
  </conditionalFormatting>
  <conditionalFormatting sqref="O139">
    <cfRule type="cellIs" dxfId="1167" priority="152" operator="equal">
      <formula>"NY"</formula>
    </cfRule>
    <cfRule type="cellIs" dxfId="1166" priority="153" operator="equal">
      <formula>"DM"</formula>
    </cfRule>
    <cfRule type="cellIs" dxfId="1165" priority="154" operator="equal">
      <formula>"PM"</formula>
    </cfRule>
    <cfRule type="cellIs" dxfId="1164" priority="155" operator="equal">
      <formula>"LM"</formula>
    </cfRule>
    <cfRule type="cellIs" dxfId="1163" priority="156" operator="equal">
      <formula>"FM"</formula>
    </cfRule>
  </conditionalFormatting>
  <conditionalFormatting sqref="I139:J139">
    <cfRule type="cellIs" dxfId="1162" priority="150" operator="equal">
      <formula>"No"</formula>
    </cfRule>
    <cfRule type="cellIs" dxfId="1161" priority="151" operator="equal">
      <formula>"Yes"</formula>
    </cfRule>
  </conditionalFormatting>
  <conditionalFormatting sqref="Q139">
    <cfRule type="cellIs" dxfId="1160" priority="149" operator="equal">
      <formula>"Y"</formula>
    </cfRule>
  </conditionalFormatting>
  <conditionalFormatting sqref="I140">
    <cfRule type="cellIs" dxfId="1159" priority="147" operator="equal">
      <formula>"No"</formula>
    </cfRule>
    <cfRule type="cellIs" dxfId="1158" priority="148" operator="equal">
      <formula>"Yes"</formula>
    </cfRule>
  </conditionalFormatting>
  <conditionalFormatting sqref="Q140">
    <cfRule type="cellIs" dxfId="1157" priority="146" operator="equal">
      <formula>"Y"</formula>
    </cfRule>
  </conditionalFormatting>
  <conditionalFormatting sqref="O141">
    <cfRule type="cellIs" dxfId="1156" priority="141" operator="equal">
      <formula>"NY"</formula>
    </cfRule>
    <cfRule type="cellIs" dxfId="1155" priority="142" operator="equal">
      <formula>"DM"</formula>
    </cfRule>
    <cfRule type="cellIs" dxfId="1154" priority="143" operator="equal">
      <formula>"PM"</formula>
    </cfRule>
    <cfRule type="cellIs" dxfId="1153" priority="144" operator="equal">
      <formula>"LM"</formula>
    </cfRule>
    <cfRule type="cellIs" dxfId="1152" priority="145" operator="equal">
      <formula>"FM"</formula>
    </cfRule>
  </conditionalFormatting>
  <conditionalFormatting sqref="Q141">
    <cfRule type="cellIs" dxfId="1151" priority="140" operator="equal">
      <formula>"Y"</formula>
    </cfRule>
  </conditionalFormatting>
  <conditionalFormatting sqref="O142">
    <cfRule type="cellIs" dxfId="1150" priority="135" operator="equal">
      <formula>"NY"</formula>
    </cfRule>
    <cfRule type="cellIs" dxfId="1149" priority="136" operator="equal">
      <formula>"DM"</formula>
    </cfRule>
    <cfRule type="cellIs" dxfId="1148" priority="137" operator="equal">
      <formula>"PM"</formula>
    </cfRule>
    <cfRule type="cellIs" dxfId="1147" priority="138" operator="equal">
      <formula>"LM"</formula>
    </cfRule>
    <cfRule type="cellIs" dxfId="1146" priority="139" operator="equal">
      <formula>"FM"</formula>
    </cfRule>
  </conditionalFormatting>
  <conditionalFormatting sqref="I142:J142">
    <cfRule type="cellIs" dxfId="1145" priority="133" operator="equal">
      <formula>"No"</formula>
    </cfRule>
    <cfRule type="cellIs" dxfId="1144" priority="134" operator="equal">
      <formula>"Yes"</formula>
    </cfRule>
  </conditionalFormatting>
  <conditionalFormatting sqref="Q142">
    <cfRule type="cellIs" dxfId="1143" priority="132" operator="equal">
      <formula>"Y"</formula>
    </cfRule>
  </conditionalFormatting>
  <conditionalFormatting sqref="I143">
    <cfRule type="cellIs" dxfId="1142" priority="130" operator="equal">
      <formula>"No"</formula>
    </cfRule>
    <cfRule type="cellIs" dxfId="1141" priority="131" operator="equal">
      <formula>"Yes"</formula>
    </cfRule>
  </conditionalFormatting>
  <conditionalFormatting sqref="Q143">
    <cfRule type="cellIs" dxfId="1140" priority="129" operator="equal">
      <formula>"Y"</formula>
    </cfRule>
  </conditionalFormatting>
  <conditionalFormatting sqref="O144">
    <cfRule type="cellIs" dxfId="1139" priority="127" operator="equal">
      <formula>"U"</formula>
    </cfRule>
    <cfRule type="cellIs" dxfId="1138" priority="128" operator="equal">
      <formula>"S"</formula>
    </cfRule>
  </conditionalFormatting>
  <conditionalFormatting sqref="Q144">
    <cfRule type="cellIs" dxfId="1137" priority="126" operator="equal">
      <formula>"Y"</formula>
    </cfRule>
  </conditionalFormatting>
  <conditionalFormatting sqref="O145">
    <cfRule type="cellIs" dxfId="1136" priority="121" operator="equal">
      <formula>"NY"</formula>
    </cfRule>
    <cfRule type="cellIs" dxfId="1135" priority="122" operator="equal">
      <formula>"DM"</formula>
    </cfRule>
    <cfRule type="cellIs" dxfId="1134" priority="123" operator="equal">
      <formula>"PM"</formula>
    </cfRule>
    <cfRule type="cellIs" dxfId="1133" priority="124" operator="equal">
      <formula>"LM"</formula>
    </cfRule>
    <cfRule type="cellIs" dxfId="1132" priority="125" operator="equal">
      <formula>"FM"</formula>
    </cfRule>
  </conditionalFormatting>
  <conditionalFormatting sqref="Q145">
    <cfRule type="cellIs" dxfId="1131" priority="120" operator="equal">
      <formula>"Y"</formula>
    </cfRule>
  </conditionalFormatting>
  <conditionalFormatting sqref="O146">
    <cfRule type="cellIs" dxfId="1130" priority="115" operator="equal">
      <formula>"NY"</formula>
    </cfRule>
    <cfRule type="cellIs" dxfId="1129" priority="116" operator="equal">
      <formula>"DM"</formula>
    </cfRule>
    <cfRule type="cellIs" dxfId="1128" priority="117" operator="equal">
      <formula>"PM"</formula>
    </cfRule>
    <cfRule type="cellIs" dxfId="1127" priority="118" operator="equal">
      <formula>"LM"</formula>
    </cfRule>
    <cfRule type="cellIs" dxfId="1126" priority="119" operator="equal">
      <formula>"FM"</formula>
    </cfRule>
  </conditionalFormatting>
  <conditionalFormatting sqref="Q146">
    <cfRule type="cellIs" dxfId="1125" priority="114" operator="equal">
      <formula>"Y"</formula>
    </cfRule>
  </conditionalFormatting>
  <conditionalFormatting sqref="O147">
    <cfRule type="cellIs" dxfId="1124" priority="109" operator="equal">
      <formula>"NY"</formula>
    </cfRule>
    <cfRule type="cellIs" dxfId="1123" priority="110" operator="equal">
      <formula>"DM"</formula>
    </cfRule>
    <cfRule type="cellIs" dxfId="1122" priority="111" operator="equal">
      <formula>"PM"</formula>
    </cfRule>
    <cfRule type="cellIs" dxfId="1121" priority="112" operator="equal">
      <formula>"LM"</formula>
    </cfRule>
    <cfRule type="cellIs" dxfId="1120" priority="113" operator="equal">
      <formula>"FM"</formula>
    </cfRule>
  </conditionalFormatting>
  <conditionalFormatting sqref="I147:J147">
    <cfRule type="cellIs" dxfId="1119" priority="107" operator="equal">
      <formula>"No"</formula>
    </cfRule>
    <cfRule type="cellIs" dxfId="1118" priority="108" operator="equal">
      <formula>"Yes"</formula>
    </cfRule>
  </conditionalFormatting>
  <conditionalFormatting sqref="Q147">
    <cfRule type="cellIs" dxfId="1117" priority="106" operator="equal">
      <formula>"Y"</formula>
    </cfRule>
  </conditionalFormatting>
  <conditionalFormatting sqref="I148">
    <cfRule type="cellIs" dxfId="1116" priority="104" operator="equal">
      <formula>"No"</formula>
    </cfRule>
    <cfRule type="cellIs" dxfId="1115" priority="105" operator="equal">
      <formula>"Yes"</formula>
    </cfRule>
  </conditionalFormatting>
  <conditionalFormatting sqref="Q148">
    <cfRule type="cellIs" dxfId="1114" priority="103" operator="equal">
      <formula>"Y"</formula>
    </cfRule>
  </conditionalFormatting>
  <conditionalFormatting sqref="O149">
    <cfRule type="cellIs" dxfId="1113" priority="98" operator="equal">
      <formula>"NY"</formula>
    </cfRule>
    <cfRule type="cellIs" dxfId="1112" priority="99" operator="equal">
      <formula>"DM"</formula>
    </cfRule>
    <cfRule type="cellIs" dxfId="1111" priority="100" operator="equal">
      <formula>"PM"</formula>
    </cfRule>
    <cfRule type="cellIs" dxfId="1110" priority="101" operator="equal">
      <formula>"LM"</formula>
    </cfRule>
    <cfRule type="cellIs" dxfId="1109" priority="102" operator="equal">
      <formula>"FM"</formula>
    </cfRule>
  </conditionalFormatting>
  <conditionalFormatting sqref="Q149">
    <cfRule type="cellIs" dxfId="1108" priority="97" operator="equal">
      <formula>"Y"</formula>
    </cfRule>
  </conditionalFormatting>
  <conditionalFormatting sqref="O150">
    <cfRule type="cellIs" dxfId="1107" priority="92" operator="equal">
      <formula>"NY"</formula>
    </cfRule>
    <cfRule type="cellIs" dxfId="1106" priority="93" operator="equal">
      <formula>"DM"</formula>
    </cfRule>
    <cfRule type="cellIs" dxfId="1105" priority="94" operator="equal">
      <formula>"PM"</formula>
    </cfRule>
    <cfRule type="cellIs" dxfId="1104" priority="95" operator="equal">
      <formula>"LM"</formula>
    </cfRule>
    <cfRule type="cellIs" dxfId="1103" priority="96" operator="equal">
      <formula>"FM"</formula>
    </cfRule>
  </conditionalFormatting>
  <conditionalFormatting sqref="I150:J150">
    <cfRule type="cellIs" dxfId="1102" priority="90" operator="equal">
      <formula>"No"</formula>
    </cfRule>
    <cfRule type="cellIs" dxfId="1101" priority="91" operator="equal">
      <formula>"Yes"</formula>
    </cfRule>
  </conditionalFormatting>
  <conditionalFormatting sqref="Q150">
    <cfRule type="cellIs" dxfId="1100" priority="89" operator="equal">
      <formula>"Y"</formula>
    </cfRule>
  </conditionalFormatting>
  <conditionalFormatting sqref="I151">
    <cfRule type="cellIs" dxfId="1099" priority="87" operator="equal">
      <formula>"No"</formula>
    </cfRule>
    <cfRule type="cellIs" dxfId="1098" priority="88" operator="equal">
      <formula>"Yes"</formula>
    </cfRule>
  </conditionalFormatting>
  <conditionalFormatting sqref="Q151">
    <cfRule type="cellIs" dxfId="1097" priority="86" operator="equal">
      <formula>"Y"</formula>
    </cfRule>
  </conditionalFormatting>
  <conditionalFormatting sqref="O152">
    <cfRule type="cellIs" dxfId="1096" priority="81" operator="equal">
      <formula>"NY"</formula>
    </cfRule>
    <cfRule type="cellIs" dxfId="1095" priority="82" operator="equal">
      <formula>"DM"</formula>
    </cfRule>
    <cfRule type="cellIs" dxfId="1094" priority="83" operator="equal">
      <formula>"PM"</formula>
    </cfRule>
    <cfRule type="cellIs" dxfId="1093" priority="84" operator="equal">
      <formula>"LM"</formula>
    </cfRule>
    <cfRule type="cellIs" dxfId="1092" priority="85" operator="equal">
      <formula>"FM"</formula>
    </cfRule>
  </conditionalFormatting>
  <conditionalFormatting sqref="Q152">
    <cfRule type="cellIs" dxfId="1091" priority="80" operator="equal">
      <formula>"Y"</formula>
    </cfRule>
  </conditionalFormatting>
  <conditionalFormatting sqref="O153">
    <cfRule type="cellIs" dxfId="1090" priority="75" operator="equal">
      <formula>"NY"</formula>
    </cfRule>
    <cfRule type="cellIs" dxfId="1089" priority="76" operator="equal">
      <formula>"DM"</formula>
    </cfRule>
    <cfRule type="cellIs" dxfId="1088" priority="77" operator="equal">
      <formula>"PM"</formula>
    </cfRule>
    <cfRule type="cellIs" dxfId="1087" priority="78" operator="equal">
      <formula>"LM"</formula>
    </cfRule>
    <cfRule type="cellIs" dxfId="1086" priority="79" operator="equal">
      <formula>"FM"</formula>
    </cfRule>
  </conditionalFormatting>
  <conditionalFormatting sqref="I153:J153">
    <cfRule type="cellIs" dxfId="1085" priority="73" operator="equal">
      <formula>"No"</formula>
    </cfRule>
    <cfRule type="cellIs" dxfId="1084" priority="74" operator="equal">
      <formula>"Yes"</formula>
    </cfRule>
  </conditionalFormatting>
  <conditionalFormatting sqref="Q153">
    <cfRule type="cellIs" dxfId="1083" priority="72" operator="equal">
      <formula>"Y"</formula>
    </cfRule>
  </conditionalFormatting>
  <conditionalFormatting sqref="I154">
    <cfRule type="cellIs" dxfId="1082" priority="70" operator="equal">
      <formula>"No"</formula>
    </cfRule>
    <cfRule type="cellIs" dxfId="1081" priority="71" operator="equal">
      <formula>"Yes"</formula>
    </cfRule>
  </conditionalFormatting>
  <conditionalFormatting sqref="Q154">
    <cfRule type="cellIs" dxfId="1080" priority="69" operator="equal">
      <formula>"Y"</formula>
    </cfRule>
  </conditionalFormatting>
  <conditionalFormatting sqref="O155">
    <cfRule type="cellIs" dxfId="1079" priority="64" operator="equal">
      <formula>"NY"</formula>
    </cfRule>
    <cfRule type="cellIs" dxfId="1078" priority="65" operator="equal">
      <formula>"DM"</formula>
    </cfRule>
    <cfRule type="cellIs" dxfId="1077" priority="66" operator="equal">
      <formula>"PM"</formula>
    </cfRule>
    <cfRule type="cellIs" dxfId="1076" priority="67" operator="equal">
      <formula>"LM"</formula>
    </cfRule>
    <cfRule type="cellIs" dxfId="1075" priority="68" operator="equal">
      <formula>"FM"</formula>
    </cfRule>
  </conditionalFormatting>
  <conditionalFormatting sqref="Q155">
    <cfRule type="cellIs" dxfId="1074" priority="63" operator="equal">
      <formula>"Y"</formula>
    </cfRule>
  </conditionalFormatting>
  <conditionalFormatting sqref="O156">
    <cfRule type="cellIs" dxfId="1073" priority="58" operator="equal">
      <formula>"NY"</formula>
    </cfRule>
    <cfRule type="cellIs" dxfId="1072" priority="59" operator="equal">
      <formula>"DM"</formula>
    </cfRule>
    <cfRule type="cellIs" dxfId="1071" priority="60" operator="equal">
      <formula>"PM"</formula>
    </cfRule>
    <cfRule type="cellIs" dxfId="1070" priority="61" operator="equal">
      <formula>"LM"</formula>
    </cfRule>
    <cfRule type="cellIs" dxfId="1069" priority="62" operator="equal">
      <formula>"FM"</formula>
    </cfRule>
  </conditionalFormatting>
  <conditionalFormatting sqref="I156:J156">
    <cfRule type="cellIs" dxfId="1068" priority="56" operator="equal">
      <formula>"No"</formula>
    </cfRule>
    <cfRule type="cellIs" dxfId="1067" priority="57" operator="equal">
      <formula>"Yes"</formula>
    </cfRule>
  </conditionalFormatting>
  <conditionalFormatting sqref="Q156">
    <cfRule type="cellIs" dxfId="1066" priority="55" operator="equal">
      <formula>"Y"</formula>
    </cfRule>
  </conditionalFormatting>
  <conditionalFormatting sqref="I157">
    <cfRule type="cellIs" dxfId="1065" priority="53" operator="equal">
      <formula>"No"</formula>
    </cfRule>
    <cfRule type="cellIs" dxfId="1064" priority="54" operator="equal">
      <formula>"Yes"</formula>
    </cfRule>
  </conditionalFormatting>
  <conditionalFormatting sqref="Q157">
    <cfRule type="cellIs" dxfId="1063" priority="52" operator="equal">
      <formula>"Y"</formula>
    </cfRule>
  </conditionalFormatting>
  <conditionalFormatting sqref="O158">
    <cfRule type="cellIs" dxfId="1062" priority="47" operator="equal">
      <formula>"NY"</formula>
    </cfRule>
    <cfRule type="cellIs" dxfId="1061" priority="48" operator="equal">
      <formula>"DM"</formula>
    </cfRule>
    <cfRule type="cellIs" dxfId="1060" priority="49" operator="equal">
      <formula>"PM"</formula>
    </cfRule>
    <cfRule type="cellIs" dxfId="1059" priority="50" operator="equal">
      <formula>"LM"</formula>
    </cfRule>
    <cfRule type="cellIs" dxfId="1058" priority="51" operator="equal">
      <formula>"FM"</formula>
    </cfRule>
  </conditionalFormatting>
  <conditionalFormatting sqref="Q158">
    <cfRule type="cellIs" dxfId="1057" priority="46" operator="equal">
      <formula>"Y"</formula>
    </cfRule>
  </conditionalFormatting>
  <conditionalFormatting sqref="O159">
    <cfRule type="cellIs" dxfId="1056" priority="41" operator="equal">
      <formula>"NY"</formula>
    </cfRule>
    <cfRule type="cellIs" dxfId="1055" priority="42" operator="equal">
      <formula>"DM"</formula>
    </cfRule>
    <cfRule type="cellIs" dxfId="1054" priority="43" operator="equal">
      <formula>"PM"</formula>
    </cfRule>
    <cfRule type="cellIs" dxfId="1053" priority="44" operator="equal">
      <formula>"LM"</formula>
    </cfRule>
    <cfRule type="cellIs" dxfId="1052" priority="45" operator="equal">
      <formula>"FM"</formula>
    </cfRule>
  </conditionalFormatting>
  <conditionalFormatting sqref="I159:J159">
    <cfRule type="cellIs" dxfId="1051" priority="39" operator="equal">
      <formula>"No"</formula>
    </cfRule>
    <cfRule type="cellIs" dxfId="1050" priority="40" operator="equal">
      <formula>"Yes"</formula>
    </cfRule>
  </conditionalFormatting>
  <conditionalFormatting sqref="Q159">
    <cfRule type="cellIs" dxfId="1049" priority="38" operator="equal">
      <formula>"Y"</formula>
    </cfRule>
  </conditionalFormatting>
  <conditionalFormatting sqref="I160">
    <cfRule type="cellIs" dxfId="1048" priority="36" operator="equal">
      <formula>"No"</formula>
    </cfRule>
    <cfRule type="cellIs" dxfId="1047" priority="37" operator="equal">
      <formula>"Yes"</formula>
    </cfRule>
  </conditionalFormatting>
  <conditionalFormatting sqref="Q160">
    <cfRule type="cellIs" dxfId="1046" priority="35" operator="equal">
      <formula>"Y"</formula>
    </cfRule>
  </conditionalFormatting>
  <conditionalFormatting sqref="O161">
    <cfRule type="cellIs" dxfId="1045" priority="30" operator="equal">
      <formula>"NY"</formula>
    </cfRule>
    <cfRule type="cellIs" dxfId="1044" priority="31" operator="equal">
      <formula>"DM"</formula>
    </cfRule>
    <cfRule type="cellIs" dxfId="1043" priority="32" operator="equal">
      <formula>"PM"</formula>
    </cfRule>
    <cfRule type="cellIs" dxfId="1042" priority="33" operator="equal">
      <formula>"LM"</formula>
    </cfRule>
    <cfRule type="cellIs" dxfId="1041" priority="34" operator="equal">
      <formula>"FM"</formula>
    </cfRule>
  </conditionalFormatting>
  <conditionalFormatting sqref="Q161">
    <cfRule type="cellIs" dxfId="1040" priority="29" operator="equal">
      <formula>"Y"</formula>
    </cfRule>
  </conditionalFormatting>
  <conditionalFormatting sqref="O162">
    <cfRule type="cellIs" dxfId="1039" priority="24" operator="equal">
      <formula>"NY"</formula>
    </cfRule>
    <cfRule type="cellIs" dxfId="1038" priority="25" operator="equal">
      <formula>"DM"</formula>
    </cfRule>
    <cfRule type="cellIs" dxfId="1037" priority="26" operator="equal">
      <formula>"PM"</formula>
    </cfRule>
    <cfRule type="cellIs" dxfId="1036" priority="27" operator="equal">
      <formula>"LM"</formula>
    </cfRule>
    <cfRule type="cellIs" dxfId="1035" priority="28" operator="equal">
      <formula>"FM"</formula>
    </cfRule>
  </conditionalFormatting>
  <conditionalFormatting sqref="I162:J162">
    <cfRule type="cellIs" dxfId="1034" priority="22" operator="equal">
      <formula>"No"</formula>
    </cfRule>
    <cfRule type="cellIs" dxfId="1033" priority="23" operator="equal">
      <formula>"Yes"</formula>
    </cfRule>
  </conditionalFormatting>
  <conditionalFormatting sqref="Q162">
    <cfRule type="cellIs" dxfId="1032" priority="21" operator="equal">
      <formula>"Y"</formula>
    </cfRule>
  </conditionalFormatting>
  <conditionalFormatting sqref="I163">
    <cfRule type="cellIs" dxfId="1031" priority="19" operator="equal">
      <formula>"No"</formula>
    </cfRule>
    <cfRule type="cellIs" dxfId="1030" priority="20" operator="equal">
      <formula>"Yes"</formula>
    </cfRule>
  </conditionalFormatting>
  <conditionalFormatting sqref="Q163">
    <cfRule type="cellIs" dxfId="1029" priority="18" operator="equal">
      <formula>"Y"</formula>
    </cfRule>
  </conditionalFormatting>
  <conditionalFormatting sqref="O164">
    <cfRule type="cellIs" dxfId="1028" priority="13" operator="equal">
      <formula>"NY"</formula>
    </cfRule>
    <cfRule type="cellIs" dxfId="1027" priority="14" operator="equal">
      <formula>"DM"</formula>
    </cfRule>
    <cfRule type="cellIs" dxfId="1026" priority="15" operator="equal">
      <formula>"PM"</formula>
    </cfRule>
    <cfRule type="cellIs" dxfId="1025" priority="16" operator="equal">
      <formula>"LM"</formula>
    </cfRule>
    <cfRule type="cellIs" dxfId="1024" priority="17" operator="equal">
      <formula>"FM"</formula>
    </cfRule>
  </conditionalFormatting>
  <conditionalFormatting sqref="Q164">
    <cfRule type="cellIs" dxfId="1023" priority="12" operator="equal">
      <formula>"Y"</formula>
    </cfRule>
  </conditionalFormatting>
  <conditionalFormatting sqref="O165">
    <cfRule type="cellIs" dxfId="1022" priority="7" operator="equal">
      <formula>"NY"</formula>
    </cfRule>
    <cfRule type="cellIs" dxfId="1021" priority="8" operator="equal">
      <formula>"DM"</formula>
    </cfRule>
    <cfRule type="cellIs" dxfId="1020" priority="9" operator="equal">
      <formula>"PM"</formula>
    </cfRule>
    <cfRule type="cellIs" dxfId="1019" priority="10" operator="equal">
      <formula>"LM"</formula>
    </cfRule>
    <cfRule type="cellIs" dxfId="1018" priority="11" operator="equal">
      <formula>"FM"</formula>
    </cfRule>
  </conditionalFormatting>
  <conditionalFormatting sqref="I165:J165">
    <cfRule type="cellIs" dxfId="1017" priority="5" operator="equal">
      <formula>"No"</formula>
    </cfRule>
    <cfRule type="cellIs" dxfId="1016" priority="6" operator="equal">
      <formula>"Yes"</formula>
    </cfRule>
  </conditionalFormatting>
  <conditionalFormatting sqref="Q165">
    <cfRule type="cellIs" dxfId="1015" priority="4" operator="equal">
      <formula>"Y"</formula>
    </cfRule>
  </conditionalFormatting>
  <conditionalFormatting sqref="I166">
    <cfRule type="cellIs" dxfId="1014" priority="2" operator="equal">
      <formula>"No"</formula>
    </cfRule>
    <cfRule type="cellIs" dxfId="1013" priority="3" operator="equal">
      <formula>"Yes"</formula>
    </cfRule>
  </conditionalFormatting>
  <conditionalFormatting sqref="Q166">
    <cfRule type="cellIs" dxfId="1012" priority="1" operator="equal">
      <formula>"Y"</formula>
    </cfRule>
  </conditionalFormatting>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93CE9-A978-49C6-BF13-12CF0D18F445}">
  <sheetPr codeName="Sheet53"/>
  <dimension ref="A1:Q188"/>
  <sheetViews>
    <sheetView tabSelected="1"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1442</v>
      </c>
    </row>
    <row r="2" spans="1:17" s="61" customFormat="1" ht="21">
      <c r="A2" s="60" t="s">
        <v>1443</v>
      </c>
    </row>
    <row r="3" spans="1:17">
      <c r="A3" s="62" t="s">
        <v>1707</v>
      </c>
      <c r="B3" s="63" t="s">
        <v>1444</v>
      </c>
    </row>
    <row r="4" spans="1:17">
      <c r="A4" s="63" t="s">
        <v>1401</v>
      </c>
      <c r="B4" s="63" t="s">
        <v>1445</v>
      </c>
    </row>
    <row r="5" spans="1:17">
      <c r="A5" s="62" t="s">
        <v>1709</v>
      </c>
      <c r="B5" s="63" t="s">
        <v>1446</v>
      </c>
    </row>
    <row r="6" spans="1:17">
      <c r="A6" s="63" t="s">
        <v>1402</v>
      </c>
      <c r="B6" s="63" t="s">
        <v>1447</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1141</v>
      </c>
      <c r="C10" s="322" t="s">
        <v>1448</v>
      </c>
      <c r="D10" s="322"/>
      <c r="E10" s="322"/>
      <c r="F10" s="322"/>
      <c r="G10" s="322"/>
      <c r="H10" s="322"/>
      <c r="I10" s="20" t="s">
        <v>2313</v>
      </c>
      <c r="J10" s="20" t="s">
        <v>2314</v>
      </c>
      <c r="K10" s="11" t="s">
        <v>2315</v>
      </c>
      <c r="L10" s="11"/>
      <c r="M10" s="11"/>
      <c r="N10" s="11"/>
      <c r="O10" s="9"/>
      <c r="P10" s="10"/>
      <c r="Q10" s="9"/>
    </row>
    <row r="11" spans="1:17" s="58" customFormat="1" ht="13.8">
      <c r="A11" s="54" t="s">
        <v>1389</v>
      </c>
      <c r="B11" s="20" t="s">
        <v>1141</v>
      </c>
      <c r="C11" s="323" t="s">
        <v>1356</v>
      </c>
      <c r="D11" s="324"/>
      <c r="E11" s="324"/>
      <c r="F11" s="324"/>
      <c r="G11" s="324"/>
      <c r="H11" s="324"/>
      <c r="I11" s="324"/>
      <c r="J11" s="324"/>
      <c r="K11" s="325"/>
      <c r="L11" s="9"/>
      <c r="M11" s="9"/>
      <c r="N11" s="9"/>
      <c r="O11" s="9"/>
      <c r="P11" s="9"/>
      <c r="Q11" s="9"/>
    </row>
    <row r="12" spans="1:17" s="58" customFormat="1" ht="13.8">
      <c r="A12" s="54" t="s">
        <v>1391</v>
      </c>
      <c r="B12" s="19" t="s">
        <v>1141</v>
      </c>
      <c r="C12" s="326" t="s">
        <v>1727</v>
      </c>
      <c r="D12" s="327"/>
      <c r="E12" s="327"/>
      <c r="F12" s="327"/>
      <c r="G12" s="328"/>
      <c r="H12" s="4" t="s">
        <v>1728</v>
      </c>
      <c r="I12" s="9"/>
      <c r="J12" s="9"/>
      <c r="K12" s="9"/>
      <c r="L12" s="9"/>
      <c r="M12" s="9"/>
      <c r="N12" s="9"/>
      <c r="O12" s="9"/>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8" customFormat="1" ht="13.8">
      <c r="A14" s="54" t="s">
        <v>1389</v>
      </c>
      <c r="B14" s="20" t="s">
        <v>1141</v>
      </c>
      <c r="C14" s="323" t="s">
        <v>1357</v>
      </c>
      <c r="D14" s="324"/>
      <c r="E14" s="324"/>
      <c r="F14" s="324"/>
      <c r="G14" s="324"/>
      <c r="H14" s="324"/>
      <c r="I14" s="324"/>
      <c r="J14" s="324"/>
      <c r="K14" s="325"/>
      <c r="L14" s="9"/>
      <c r="M14" s="9"/>
      <c r="N14" s="9"/>
      <c r="O14" s="9"/>
      <c r="P14" s="9"/>
      <c r="Q14" s="9"/>
    </row>
    <row r="15" spans="1:17" s="58" customFormat="1" ht="13.8">
      <c r="A15" s="54" t="s">
        <v>1391</v>
      </c>
      <c r="B15" s="19" t="s">
        <v>1141</v>
      </c>
      <c r="C15" s="326" t="s">
        <v>2033</v>
      </c>
      <c r="D15" s="327"/>
      <c r="E15" s="327"/>
      <c r="F15" s="327"/>
      <c r="G15" s="328"/>
      <c r="H15" s="4" t="s">
        <v>2034</v>
      </c>
      <c r="I15" s="9"/>
      <c r="J15" s="9"/>
      <c r="K15" s="9"/>
      <c r="L15" s="9"/>
      <c r="M15" s="9"/>
      <c r="N15" s="9"/>
      <c r="O15" s="9"/>
      <c r="P15" s="9"/>
      <c r="Q15" s="9"/>
    </row>
    <row r="16" spans="1:17" s="58" customFormat="1" ht="13.8">
      <c r="A16" s="5" t="s">
        <v>1394</v>
      </c>
      <c r="B16" s="5" t="s">
        <v>2033</v>
      </c>
      <c r="C16" s="59" t="s">
        <v>1395</v>
      </c>
      <c r="D16" s="6" t="s">
        <v>97</v>
      </c>
      <c r="E16" s="6" t="s">
        <v>98</v>
      </c>
      <c r="F16" s="6" t="s">
        <v>1396</v>
      </c>
      <c r="G16" s="6" t="s">
        <v>1397</v>
      </c>
      <c r="H16" s="7"/>
      <c r="I16" s="9"/>
      <c r="J16" s="7"/>
      <c r="K16" s="12"/>
      <c r="L16" s="6"/>
      <c r="M16" s="6"/>
      <c r="N16" s="12"/>
      <c r="O16" s="7"/>
      <c r="P16" s="9"/>
      <c r="Q16" s="9"/>
    </row>
    <row r="17" spans="1:17" s="58" customFormat="1" ht="13.8">
      <c r="A17" s="54" t="s">
        <v>1389</v>
      </c>
      <c r="B17" s="20" t="s">
        <v>1141</v>
      </c>
      <c r="C17" s="323" t="s">
        <v>2291</v>
      </c>
      <c r="D17" s="324"/>
      <c r="E17" s="324"/>
      <c r="F17" s="324"/>
      <c r="G17" s="324"/>
      <c r="H17" s="324"/>
      <c r="I17" s="324"/>
      <c r="J17" s="324"/>
      <c r="K17" s="325"/>
      <c r="L17" s="9"/>
      <c r="M17" s="9"/>
      <c r="N17" s="9"/>
      <c r="O17" s="9"/>
      <c r="P17" s="9"/>
      <c r="Q17" s="9"/>
    </row>
    <row r="18" spans="1:17" s="58" customFormat="1" ht="13.8">
      <c r="A18" s="54" t="s">
        <v>1391</v>
      </c>
      <c r="B18" s="19" t="s">
        <v>1141</v>
      </c>
      <c r="C18" s="326" t="s">
        <v>2198</v>
      </c>
      <c r="D18" s="327"/>
      <c r="E18" s="327"/>
      <c r="F18" s="327"/>
      <c r="G18" s="328"/>
      <c r="H18" s="4" t="s">
        <v>2199</v>
      </c>
      <c r="I18" s="9"/>
      <c r="J18" s="9"/>
      <c r="K18" s="9"/>
      <c r="L18" s="9"/>
      <c r="M18" s="9"/>
      <c r="N18" s="9"/>
      <c r="O18" s="9"/>
      <c r="P18" s="9"/>
      <c r="Q18" s="9"/>
    </row>
    <row r="19" spans="1:17" s="58" customFormat="1" ht="13.8">
      <c r="A19" s="5" t="s">
        <v>1394</v>
      </c>
      <c r="B19" s="5" t="s">
        <v>2198</v>
      </c>
      <c r="C19" s="59" t="s">
        <v>1395</v>
      </c>
      <c r="D19" s="6" t="s">
        <v>97</v>
      </c>
      <c r="E19" s="6" t="s">
        <v>98</v>
      </c>
      <c r="F19" s="6" t="s">
        <v>1396</v>
      </c>
      <c r="G19" s="6" t="s">
        <v>1397</v>
      </c>
      <c r="H19" s="7"/>
      <c r="I19" s="9"/>
      <c r="J19" s="7"/>
      <c r="K19" s="12"/>
      <c r="L19" s="6"/>
      <c r="M19" s="6"/>
      <c r="N19" s="12"/>
      <c r="O19" s="7"/>
      <c r="P19" s="9"/>
      <c r="Q19" s="9"/>
    </row>
    <row r="20" spans="1:17" s="58" customFormat="1" ht="13.8">
      <c r="A20" s="54" t="s">
        <v>1389</v>
      </c>
      <c r="B20" s="20" t="s">
        <v>1141</v>
      </c>
      <c r="C20" s="323" t="s">
        <v>1359</v>
      </c>
      <c r="D20" s="324"/>
      <c r="E20" s="324"/>
      <c r="F20" s="324"/>
      <c r="G20" s="324"/>
      <c r="H20" s="324"/>
      <c r="I20" s="324"/>
      <c r="J20" s="324"/>
      <c r="K20" s="325"/>
      <c r="L20" s="9"/>
      <c r="M20" s="9"/>
      <c r="N20" s="9"/>
      <c r="O20" s="9"/>
      <c r="P20" s="9"/>
      <c r="Q20" s="9"/>
    </row>
    <row r="21" spans="1:17" s="58" customFormat="1" ht="13.8">
      <c r="A21" s="54" t="s">
        <v>1391</v>
      </c>
      <c r="B21" s="19" t="s">
        <v>1141</v>
      </c>
      <c r="C21" s="326" t="s">
        <v>1905</v>
      </c>
      <c r="D21" s="327"/>
      <c r="E21" s="327"/>
      <c r="F21" s="327"/>
      <c r="G21" s="328"/>
      <c r="H21" s="4" t="s">
        <v>1977</v>
      </c>
      <c r="I21" s="9"/>
      <c r="J21" s="9"/>
      <c r="K21" s="9"/>
      <c r="L21" s="9"/>
      <c r="M21" s="9"/>
      <c r="N21" s="9"/>
      <c r="O21" s="9"/>
      <c r="P21" s="9"/>
      <c r="Q21" s="9"/>
    </row>
    <row r="22" spans="1:17" s="58" customFormat="1" ht="13.8">
      <c r="A22" s="5" t="s">
        <v>1394</v>
      </c>
      <c r="B22" s="5" t="s">
        <v>1905</v>
      </c>
      <c r="C22" s="59" t="s">
        <v>1395</v>
      </c>
      <c r="D22" s="6" t="s">
        <v>97</v>
      </c>
      <c r="E22" s="6" t="s">
        <v>98</v>
      </c>
      <c r="F22" s="6" t="s">
        <v>1396</v>
      </c>
      <c r="G22" s="6" t="s">
        <v>1397</v>
      </c>
      <c r="H22" s="7"/>
      <c r="I22" s="9"/>
      <c r="J22" s="7"/>
      <c r="K22" s="12"/>
      <c r="L22" s="6"/>
      <c r="M22" s="6"/>
      <c r="N22" s="12"/>
      <c r="O22" s="7"/>
      <c r="P22" s="9"/>
      <c r="Q22" s="9"/>
    </row>
    <row r="23" spans="1:17" s="58" customFormat="1" ht="13.8">
      <c r="A23" s="54" t="s">
        <v>1389</v>
      </c>
      <c r="B23" s="20" t="s">
        <v>1141</v>
      </c>
      <c r="C23" s="323" t="s">
        <v>1362</v>
      </c>
      <c r="D23" s="324"/>
      <c r="E23" s="324"/>
      <c r="F23" s="324"/>
      <c r="G23" s="324"/>
      <c r="H23" s="324"/>
      <c r="I23" s="324"/>
      <c r="J23" s="324"/>
      <c r="K23" s="325"/>
      <c r="L23" s="9"/>
      <c r="M23" s="9"/>
      <c r="N23" s="9"/>
      <c r="O23" s="9"/>
      <c r="P23" s="9"/>
      <c r="Q23" s="9"/>
    </row>
    <row r="24" spans="1:17" s="58" customFormat="1" ht="13.8">
      <c r="A24" s="54" t="s">
        <v>1391</v>
      </c>
      <c r="B24" s="19" t="s">
        <v>1141</v>
      </c>
      <c r="C24" s="326" t="s">
        <v>1905</v>
      </c>
      <c r="D24" s="327"/>
      <c r="E24" s="327"/>
      <c r="F24" s="327"/>
      <c r="G24" s="328"/>
      <c r="H24" s="4" t="s">
        <v>1977</v>
      </c>
      <c r="I24" s="9"/>
      <c r="J24" s="9"/>
      <c r="K24" s="9"/>
      <c r="L24" s="9"/>
      <c r="M24" s="9"/>
      <c r="N24" s="9"/>
      <c r="O24" s="9"/>
      <c r="P24" s="9"/>
      <c r="Q24" s="9"/>
    </row>
    <row r="25" spans="1:17" s="58" customFormat="1" ht="13.8">
      <c r="A25" s="5" t="s">
        <v>1394</v>
      </c>
      <c r="B25" s="5" t="s">
        <v>1905</v>
      </c>
      <c r="C25" s="59" t="s">
        <v>1395</v>
      </c>
      <c r="D25" s="6" t="s">
        <v>97</v>
      </c>
      <c r="E25" s="6" t="s">
        <v>98</v>
      </c>
      <c r="F25" s="6" t="s">
        <v>1396</v>
      </c>
      <c r="G25" s="6" t="s">
        <v>1397</v>
      </c>
      <c r="H25" s="7"/>
      <c r="I25" s="9"/>
      <c r="J25" s="7"/>
      <c r="K25" s="12"/>
      <c r="L25" s="6"/>
      <c r="M25" s="6"/>
      <c r="N25" s="12"/>
      <c r="O25" s="7"/>
      <c r="P25" s="9"/>
      <c r="Q25" s="9"/>
    </row>
    <row r="26" spans="1:17" s="58" customFormat="1" ht="13.8">
      <c r="A26" s="54" t="s">
        <v>1389</v>
      </c>
      <c r="B26" s="20" t="s">
        <v>1141</v>
      </c>
      <c r="C26" s="323" t="s">
        <v>2292</v>
      </c>
      <c r="D26" s="324"/>
      <c r="E26" s="324"/>
      <c r="F26" s="324"/>
      <c r="G26" s="324"/>
      <c r="H26" s="324"/>
      <c r="I26" s="324"/>
      <c r="J26" s="324"/>
      <c r="K26" s="325"/>
      <c r="L26" s="9"/>
      <c r="M26" s="9"/>
      <c r="N26" s="9"/>
      <c r="O26" s="9"/>
      <c r="P26" s="9"/>
      <c r="Q26" s="9"/>
    </row>
    <row r="27" spans="1:17" s="58" customFormat="1" ht="13.8">
      <c r="A27" s="54" t="s">
        <v>1391</v>
      </c>
      <c r="B27" s="19" t="s">
        <v>1141</v>
      </c>
      <c r="C27" s="326" t="s">
        <v>2055</v>
      </c>
      <c r="D27" s="327"/>
      <c r="E27" s="327"/>
      <c r="F27" s="327"/>
      <c r="G27" s="328"/>
      <c r="H27" s="4" t="s">
        <v>2056</v>
      </c>
      <c r="I27" s="9"/>
      <c r="J27" s="9"/>
      <c r="K27" s="9"/>
      <c r="L27" s="9"/>
      <c r="M27" s="9"/>
      <c r="N27" s="9"/>
      <c r="O27" s="9"/>
      <c r="P27" s="9"/>
      <c r="Q27" s="9"/>
    </row>
    <row r="28" spans="1:17" s="58" customFormat="1" ht="13.8">
      <c r="A28" s="5" t="s">
        <v>1394</v>
      </c>
      <c r="B28" s="5" t="s">
        <v>2055</v>
      </c>
      <c r="C28" s="59" t="s">
        <v>1395</v>
      </c>
      <c r="D28" s="6" t="s">
        <v>97</v>
      </c>
      <c r="E28" s="6" t="s">
        <v>98</v>
      </c>
      <c r="F28" s="6" t="s">
        <v>1396</v>
      </c>
      <c r="G28" s="6" t="s">
        <v>1397</v>
      </c>
      <c r="H28" s="7"/>
      <c r="I28" s="9"/>
      <c r="J28" s="7"/>
      <c r="K28" s="12"/>
      <c r="L28" s="6"/>
      <c r="M28" s="6"/>
      <c r="N28" s="12"/>
      <c r="O28" s="7"/>
      <c r="P28" s="9"/>
      <c r="Q28" s="9"/>
    </row>
    <row r="29" spans="1:17" s="58" customFormat="1" ht="13.8">
      <c r="A29" s="54" t="s">
        <v>1389</v>
      </c>
      <c r="B29" s="20" t="s">
        <v>1141</v>
      </c>
      <c r="C29" s="323" t="s">
        <v>1361</v>
      </c>
      <c r="D29" s="324"/>
      <c r="E29" s="324"/>
      <c r="F29" s="324"/>
      <c r="G29" s="324"/>
      <c r="H29" s="324"/>
      <c r="I29" s="324"/>
      <c r="J29" s="324"/>
      <c r="K29" s="325"/>
      <c r="L29" s="9"/>
      <c r="M29" s="9"/>
      <c r="N29" s="9"/>
      <c r="O29" s="9"/>
      <c r="P29" s="9"/>
      <c r="Q29" s="9"/>
    </row>
    <row r="30" spans="1:17" s="58" customFormat="1" ht="13.8">
      <c r="A30" s="54" t="s">
        <v>1391</v>
      </c>
      <c r="B30" s="19" t="s">
        <v>1141</v>
      </c>
      <c r="C30" s="326" t="s">
        <v>1798</v>
      </c>
      <c r="D30" s="327"/>
      <c r="E30" s="327"/>
      <c r="F30" s="327"/>
      <c r="G30" s="328"/>
      <c r="H30" s="4" t="s">
        <v>1799</v>
      </c>
      <c r="I30" s="9"/>
      <c r="J30" s="9"/>
      <c r="K30" s="9"/>
      <c r="L30" s="9"/>
      <c r="M30" s="9"/>
      <c r="N30" s="9"/>
      <c r="O30" s="9"/>
      <c r="P30" s="9"/>
      <c r="Q30" s="9"/>
    </row>
    <row r="31" spans="1:17" s="58" customFormat="1" ht="13.8">
      <c r="A31" s="5" t="s">
        <v>1394</v>
      </c>
      <c r="B31" s="5" t="s">
        <v>1798</v>
      </c>
      <c r="C31" s="59" t="s">
        <v>1395</v>
      </c>
      <c r="D31" s="6" t="s">
        <v>97</v>
      </c>
      <c r="E31" s="6" t="s">
        <v>98</v>
      </c>
      <c r="F31" s="6" t="s">
        <v>1396</v>
      </c>
      <c r="G31" s="6" t="s">
        <v>1397</v>
      </c>
      <c r="H31" s="7"/>
      <c r="I31" s="9"/>
      <c r="J31" s="7"/>
      <c r="K31" s="12"/>
      <c r="L31" s="6"/>
      <c r="M31" s="6"/>
      <c r="N31" s="12"/>
      <c r="O31" s="7"/>
      <c r="P31" s="9"/>
      <c r="Q31" s="9"/>
    </row>
    <row r="32" spans="1:17" s="55" customFormat="1" ht="13.8">
      <c r="A32" s="54" t="s">
        <v>1385</v>
      </c>
      <c r="B32" s="17" t="s">
        <v>28</v>
      </c>
      <c r="C32" s="18"/>
      <c r="D32" s="18"/>
      <c r="E32" s="18"/>
      <c r="F32" s="18"/>
      <c r="G32" s="18"/>
      <c r="H32" s="18"/>
      <c r="I32" s="18"/>
      <c r="J32" s="18"/>
      <c r="K32" s="18"/>
      <c r="L32" s="8"/>
      <c r="M32" s="8"/>
      <c r="N32" s="8"/>
      <c r="O32" s="9"/>
      <c r="P32" s="10"/>
      <c r="Q32" s="9"/>
    </row>
    <row r="33" spans="1:17" s="57" customFormat="1" ht="51.6" customHeight="1">
      <c r="A33" s="56" t="s">
        <v>1386</v>
      </c>
      <c r="B33" s="3" t="s">
        <v>1142</v>
      </c>
      <c r="C33" s="322" t="s">
        <v>1449</v>
      </c>
      <c r="D33" s="322"/>
      <c r="E33" s="322"/>
      <c r="F33" s="322"/>
      <c r="G33" s="322"/>
      <c r="H33" s="322"/>
      <c r="I33" s="20" t="s">
        <v>2316</v>
      </c>
      <c r="J33" s="20" t="s">
        <v>2317</v>
      </c>
      <c r="K33" s="11" t="s">
        <v>2318</v>
      </c>
      <c r="L33" s="11"/>
      <c r="M33" s="11"/>
      <c r="N33" s="11"/>
      <c r="O33" s="9"/>
      <c r="P33" s="10"/>
      <c r="Q33" s="9"/>
    </row>
    <row r="34" spans="1:17" s="58" customFormat="1" ht="13.8">
      <c r="A34" s="54" t="s">
        <v>1389</v>
      </c>
      <c r="B34" s="20" t="s">
        <v>1142</v>
      </c>
      <c r="C34" s="323" t="s">
        <v>1356</v>
      </c>
      <c r="D34" s="324"/>
      <c r="E34" s="324"/>
      <c r="F34" s="324"/>
      <c r="G34" s="324"/>
      <c r="H34" s="324"/>
      <c r="I34" s="324"/>
      <c r="J34" s="324"/>
      <c r="K34" s="325"/>
      <c r="L34" s="9"/>
      <c r="M34" s="9"/>
      <c r="N34" s="9"/>
      <c r="O34" s="9"/>
      <c r="P34" s="9"/>
      <c r="Q34" s="9"/>
    </row>
    <row r="35" spans="1:17" s="58" customFormat="1" ht="13.8">
      <c r="A35" s="54" t="s">
        <v>1391</v>
      </c>
      <c r="B35" s="19" t="s">
        <v>1142</v>
      </c>
      <c r="C35" s="326" t="s">
        <v>1727</v>
      </c>
      <c r="D35" s="327"/>
      <c r="E35" s="327"/>
      <c r="F35" s="327"/>
      <c r="G35" s="328"/>
      <c r="H35" s="4" t="s">
        <v>1728</v>
      </c>
      <c r="I35" s="9"/>
      <c r="J35" s="9"/>
      <c r="K35" s="9"/>
      <c r="L35" s="9"/>
      <c r="M35" s="9"/>
      <c r="N35" s="9"/>
      <c r="O35" s="9"/>
      <c r="P35" s="9"/>
      <c r="Q35" s="9"/>
    </row>
    <row r="36" spans="1:17" s="58" customFormat="1" ht="13.8">
      <c r="A36" s="5" t="s">
        <v>1394</v>
      </c>
      <c r="B36" s="5" t="s">
        <v>1727</v>
      </c>
      <c r="C36" s="59" t="s">
        <v>1395</v>
      </c>
      <c r="D36" s="6" t="s">
        <v>97</v>
      </c>
      <c r="E36" s="6" t="s">
        <v>98</v>
      </c>
      <c r="F36" s="6" t="s">
        <v>1396</v>
      </c>
      <c r="G36" s="6" t="s">
        <v>1397</v>
      </c>
      <c r="H36" s="7"/>
      <c r="I36" s="9"/>
      <c r="J36" s="7"/>
      <c r="K36" s="12"/>
      <c r="L36" s="6"/>
      <c r="M36" s="6"/>
      <c r="N36" s="12"/>
      <c r="O36" s="7"/>
      <c r="P36" s="9"/>
      <c r="Q36" s="9"/>
    </row>
    <row r="37" spans="1:17" s="58" customFormat="1" ht="13.8">
      <c r="A37" s="54" t="s">
        <v>1389</v>
      </c>
      <c r="B37" s="20" t="s">
        <v>1142</v>
      </c>
      <c r="C37" s="323" t="s">
        <v>1357</v>
      </c>
      <c r="D37" s="324"/>
      <c r="E37" s="324"/>
      <c r="F37" s="324"/>
      <c r="G37" s="324"/>
      <c r="H37" s="324"/>
      <c r="I37" s="324"/>
      <c r="J37" s="324"/>
      <c r="K37" s="325"/>
      <c r="L37" s="9"/>
      <c r="M37" s="9"/>
      <c r="N37" s="9"/>
      <c r="O37" s="9"/>
      <c r="P37" s="9"/>
      <c r="Q37" s="9"/>
    </row>
    <row r="38" spans="1:17" s="58" customFormat="1" ht="13.8">
      <c r="A38" s="54" t="s">
        <v>1391</v>
      </c>
      <c r="B38" s="19" t="s">
        <v>1142</v>
      </c>
      <c r="C38" s="326" t="s">
        <v>2033</v>
      </c>
      <c r="D38" s="327"/>
      <c r="E38" s="327"/>
      <c r="F38" s="327"/>
      <c r="G38" s="328"/>
      <c r="H38" s="4" t="s">
        <v>2034</v>
      </c>
      <c r="I38" s="9"/>
      <c r="J38" s="9"/>
      <c r="K38" s="9"/>
      <c r="L38" s="9"/>
      <c r="M38" s="9"/>
      <c r="N38" s="9"/>
      <c r="O38" s="9"/>
      <c r="P38" s="9"/>
      <c r="Q38" s="9"/>
    </row>
    <row r="39" spans="1:17" s="58" customFormat="1" ht="13.8">
      <c r="A39" s="5" t="s">
        <v>1394</v>
      </c>
      <c r="B39" s="5" t="s">
        <v>2033</v>
      </c>
      <c r="C39" s="59" t="s">
        <v>1395</v>
      </c>
      <c r="D39" s="6" t="s">
        <v>97</v>
      </c>
      <c r="E39" s="6" t="s">
        <v>98</v>
      </c>
      <c r="F39" s="6" t="s">
        <v>1396</v>
      </c>
      <c r="G39" s="6" t="s">
        <v>1397</v>
      </c>
      <c r="H39" s="7"/>
      <c r="I39" s="9"/>
      <c r="J39" s="7"/>
      <c r="K39" s="12"/>
      <c r="L39" s="6"/>
      <c r="M39" s="6"/>
      <c r="N39" s="12"/>
      <c r="O39" s="7"/>
      <c r="P39" s="9"/>
      <c r="Q39" s="9"/>
    </row>
    <row r="40" spans="1:17" s="58" customFormat="1" ht="13.8">
      <c r="A40" s="54" t="s">
        <v>1389</v>
      </c>
      <c r="B40" s="20" t="s">
        <v>1142</v>
      </c>
      <c r="C40" s="323" t="s">
        <v>2291</v>
      </c>
      <c r="D40" s="324"/>
      <c r="E40" s="324"/>
      <c r="F40" s="324"/>
      <c r="G40" s="324"/>
      <c r="H40" s="324"/>
      <c r="I40" s="324"/>
      <c r="J40" s="324"/>
      <c r="K40" s="325"/>
      <c r="L40" s="9"/>
      <c r="M40" s="9"/>
      <c r="N40" s="9"/>
      <c r="O40" s="9"/>
      <c r="P40" s="9"/>
      <c r="Q40" s="9"/>
    </row>
    <row r="41" spans="1:17" s="58" customFormat="1" ht="13.8">
      <c r="A41" s="54" t="s">
        <v>1391</v>
      </c>
      <c r="B41" s="19" t="s">
        <v>1142</v>
      </c>
      <c r="C41" s="326" t="s">
        <v>2198</v>
      </c>
      <c r="D41" s="327"/>
      <c r="E41" s="327"/>
      <c r="F41" s="327"/>
      <c r="G41" s="328"/>
      <c r="H41" s="4" t="s">
        <v>2199</v>
      </c>
      <c r="I41" s="9"/>
      <c r="J41" s="9"/>
      <c r="K41" s="9"/>
      <c r="L41" s="9"/>
      <c r="M41" s="9"/>
      <c r="N41" s="9"/>
      <c r="O41" s="9"/>
      <c r="P41" s="9"/>
      <c r="Q41" s="9"/>
    </row>
    <row r="42" spans="1:17" s="58" customFormat="1" ht="13.8">
      <c r="A42" s="5" t="s">
        <v>1394</v>
      </c>
      <c r="B42" s="5" t="s">
        <v>2198</v>
      </c>
      <c r="C42" s="59" t="s">
        <v>1395</v>
      </c>
      <c r="D42" s="6" t="s">
        <v>97</v>
      </c>
      <c r="E42" s="6" t="s">
        <v>98</v>
      </c>
      <c r="F42" s="6" t="s">
        <v>1396</v>
      </c>
      <c r="G42" s="6" t="s">
        <v>1397</v>
      </c>
      <c r="H42" s="7"/>
      <c r="I42" s="9"/>
      <c r="J42" s="7"/>
      <c r="K42" s="12"/>
      <c r="L42" s="6"/>
      <c r="M42" s="6"/>
      <c r="N42" s="12"/>
      <c r="O42" s="7"/>
      <c r="P42" s="9"/>
      <c r="Q42" s="9"/>
    </row>
    <row r="43" spans="1:17" s="58" customFormat="1" ht="13.8">
      <c r="A43" s="54" t="s">
        <v>1389</v>
      </c>
      <c r="B43" s="20" t="s">
        <v>1142</v>
      </c>
      <c r="C43" s="323" t="s">
        <v>1359</v>
      </c>
      <c r="D43" s="324"/>
      <c r="E43" s="324"/>
      <c r="F43" s="324"/>
      <c r="G43" s="324"/>
      <c r="H43" s="324"/>
      <c r="I43" s="324"/>
      <c r="J43" s="324"/>
      <c r="K43" s="325"/>
      <c r="L43" s="9"/>
      <c r="M43" s="9"/>
      <c r="N43" s="9"/>
      <c r="O43" s="9"/>
      <c r="P43" s="9"/>
      <c r="Q43" s="9"/>
    </row>
    <row r="44" spans="1:17" s="58" customFormat="1" ht="13.8">
      <c r="A44" s="54" t="s">
        <v>1391</v>
      </c>
      <c r="B44" s="19" t="s">
        <v>1142</v>
      </c>
      <c r="C44" s="326" t="s">
        <v>1905</v>
      </c>
      <c r="D44" s="327"/>
      <c r="E44" s="327"/>
      <c r="F44" s="327"/>
      <c r="G44" s="328"/>
      <c r="H44" s="4" t="s">
        <v>1977</v>
      </c>
      <c r="I44" s="9"/>
      <c r="J44" s="9"/>
      <c r="K44" s="9"/>
      <c r="L44" s="9"/>
      <c r="M44" s="9"/>
      <c r="N44" s="9"/>
      <c r="O44" s="9"/>
      <c r="P44" s="9"/>
      <c r="Q44" s="9"/>
    </row>
    <row r="45" spans="1:17" s="58" customFormat="1" ht="13.8">
      <c r="A45" s="5" t="s">
        <v>1394</v>
      </c>
      <c r="B45" s="5" t="s">
        <v>1905</v>
      </c>
      <c r="C45" s="59" t="s">
        <v>1395</v>
      </c>
      <c r="D45" s="6" t="s">
        <v>97</v>
      </c>
      <c r="E45" s="6" t="s">
        <v>98</v>
      </c>
      <c r="F45" s="6" t="s">
        <v>1396</v>
      </c>
      <c r="G45" s="6" t="s">
        <v>1397</v>
      </c>
      <c r="H45" s="7"/>
      <c r="I45" s="9"/>
      <c r="J45" s="7"/>
      <c r="K45" s="12"/>
      <c r="L45" s="6"/>
      <c r="M45" s="6"/>
      <c r="N45" s="12"/>
      <c r="O45" s="7"/>
      <c r="P45" s="9"/>
      <c r="Q45" s="9"/>
    </row>
    <row r="46" spans="1:17" s="58" customFormat="1" ht="13.8">
      <c r="A46" s="54" t="s">
        <v>1389</v>
      </c>
      <c r="B46" s="20" t="s">
        <v>1142</v>
      </c>
      <c r="C46" s="323" t="s">
        <v>1362</v>
      </c>
      <c r="D46" s="324"/>
      <c r="E46" s="324"/>
      <c r="F46" s="324"/>
      <c r="G46" s="324"/>
      <c r="H46" s="324"/>
      <c r="I46" s="324"/>
      <c r="J46" s="324"/>
      <c r="K46" s="325"/>
      <c r="L46" s="9"/>
      <c r="M46" s="9"/>
      <c r="N46" s="9"/>
      <c r="O46" s="9"/>
      <c r="P46" s="9"/>
      <c r="Q46" s="9"/>
    </row>
    <row r="47" spans="1:17" s="58" customFormat="1" ht="13.8">
      <c r="A47" s="54" t="s">
        <v>1391</v>
      </c>
      <c r="B47" s="19" t="s">
        <v>1142</v>
      </c>
      <c r="C47" s="326" t="s">
        <v>1905</v>
      </c>
      <c r="D47" s="327"/>
      <c r="E47" s="327"/>
      <c r="F47" s="327"/>
      <c r="G47" s="328"/>
      <c r="H47" s="4" t="s">
        <v>1977</v>
      </c>
      <c r="I47" s="9"/>
      <c r="J47" s="9"/>
      <c r="K47" s="9"/>
      <c r="L47" s="9"/>
      <c r="M47" s="9"/>
      <c r="N47" s="9"/>
      <c r="O47" s="9"/>
      <c r="P47" s="9"/>
      <c r="Q47" s="9"/>
    </row>
    <row r="48" spans="1:17" s="58" customFormat="1" ht="13.8">
      <c r="A48" s="5" t="s">
        <v>1394</v>
      </c>
      <c r="B48" s="5" t="s">
        <v>1905</v>
      </c>
      <c r="C48" s="59" t="s">
        <v>1395</v>
      </c>
      <c r="D48" s="6" t="s">
        <v>97</v>
      </c>
      <c r="E48" s="6" t="s">
        <v>98</v>
      </c>
      <c r="F48" s="6" t="s">
        <v>1396</v>
      </c>
      <c r="G48" s="6" t="s">
        <v>1397</v>
      </c>
      <c r="H48" s="7"/>
      <c r="I48" s="9"/>
      <c r="J48" s="7"/>
      <c r="K48" s="12"/>
      <c r="L48" s="6"/>
      <c r="M48" s="6"/>
      <c r="N48" s="12"/>
      <c r="O48" s="7"/>
      <c r="P48" s="9"/>
      <c r="Q48" s="9"/>
    </row>
    <row r="49" spans="1:17" s="58" customFormat="1" ht="13.8">
      <c r="A49" s="54" t="s">
        <v>1389</v>
      </c>
      <c r="B49" s="20" t="s">
        <v>1142</v>
      </c>
      <c r="C49" s="323" t="s">
        <v>2292</v>
      </c>
      <c r="D49" s="324"/>
      <c r="E49" s="324"/>
      <c r="F49" s="324"/>
      <c r="G49" s="324"/>
      <c r="H49" s="324"/>
      <c r="I49" s="324"/>
      <c r="J49" s="324"/>
      <c r="K49" s="325"/>
      <c r="L49" s="9"/>
      <c r="M49" s="9"/>
      <c r="N49" s="9"/>
      <c r="O49" s="9"/>
      <c r="P49" s="9"/>
      <c r="Q49" s="9"/>
    </row>
    <row r="50" spans="1:17" s="58" customFormat="1" ht="13.8">
      <c r="A50" s="54" t="s">
        <v>1391</v>
      </c>
      <c r="B50" s="19" t="s">
        <v>1142</v>
      </c>
      <c r="C50" s="326" t="s">
        <v>2055</v>
      </c>
      <c r="D50" s="327"/>
      <c r="E50" s="327"/>
      <c r="F50" s="327"/>
      <c r="G50" s="328"/>
      <c r="H50" s="4" t="s">
        <v>2056</v>
      </c>
      <c r="I50" s="9"/>
      <c r="J50" s="9"/>
      <c r="K50" s="9"/>
      <c r="L50" s="9"/>
      <c r="M50" s="9"/>
      <c r="N50" s="9"/>
      <c r="O50" s="9"/>
      <c r="P50" s="9"/>
      <c r="Q50" s="9"/>
    </row>
    <row r="51" spans="1:17" s="58" customFormat="1" ht="13.8">
      <c r="A51" s="5" t="s">
        <v>1394</v>
      </c>
      <c r="B51" s="5" t="s">
        <v>2055</v>
      </c>
      <c r="C51" s="59" t="s">
        <v>1395</v>
      </c>
      <c r="D51" s="6" t="s">
        <v>97</v>
      </c>
      <c r="E51" s="6" t="s">
        <v>98</v>
      </c>
      <c r="F51" s="6" t="s">
        <v>1396</v>
      </c>
      <c r="G51" s="6" t="s">
        <v>1397</v>
      </c>
      <c r="H51" s="7"/>
      <c r="I51" s="9"/>
      <c r="J51" s="7"/>
      <c r="K51" s="12"/>
      <c r="L51" s="6"/>
      <c r="M51" s="6"/>
      <c r="N51" s="12"/>
      <c r="O51" s="7"/>
      <c r="P51" s="9"/>
      <c r="Q51" s="9"/>
    </row>
    <row r="52" spans="1:17" s="58" customFormat="1" ht="13.8">
      <c r="A52" s="54" t="s">
        <v>1389</v>
      </c>
      <c r="B52" s="20" t="s">
        <v>1142</v>
      </c>
      <c r="C52" s="323" t="s">
        <v>1361</v>
      </c>
      <c r="D52" s="324"/>
      <c r="E52" s="324"/>
      <c r="F52" s="324"/>
      <c r="G52" s="324"/>
      <c r="H52" s="324"/>
      <c r="I52" s="324"/>
      <c r="J52" s="324"/>
      <c r="K52" s="325"/>
      <c r="L52" s="9"/>
      <c r="M52" s="9"/>
      <c r="N52" s="9"/>
      <c r="O52" s="9"/>
      <c r="P52" s="9"/>
      <c r="Q52" s="9"/>
    </row>
    <row r="53" spans="1:17" s="58" customFormat="1" ht="13.8">
      <c r="A53" s="54" t="s">
        <v>1391</v>
      </c>
      <c r="B53" s="19" t="s">
        <v>1142</v>
      </c>
      <c r="C53" s="326" t="s">
        <v>1798</v>
      </c>
      <c r="D53" s="327"/>
      <c r="E53" s="327"/>
      <c r="F53" s="327"/>
      <c r="G53" s="328"/>
      <c r="H53" s="4" t="s">
        <v>1799</v>
      </c>
      <c r="I53" s="9"/>
      <c r="J53" s="9"/>
      <c r="K53" s="9"/>
      <c r="L53" s="9"/>
      <c r="M53" s="9"/>
      <c r="N53" s="9"/>
      <c r="O53" s="9"/>
      <c r="P53" s="9"/>
      <c r="Q53" s="9"/>
    </row>
    <row r="54" spans="1:17" s="58" customFormat="1" ht="13.8">
      <c r="A54" s="5" t="s">
        <v>1394</v>
      </c>
      <c r="B54" s="5" t="s">
        <v>1798</v>
      </c>
      <c r="C54" s="59" t="s">
        <v>1395</v>
      </c>
      <c r="D54" s="6" t="s">
        <v>97</v>
      </c>
      <c r="E54" s="6" t="s">
        <v>98</v>
      </c>
      <c r="F54" s="6" t="s">
        <v>1396</v>
      </c>
      <c r="G54" s="6" t="s">
        <v>1397</v>
      </c>
      <c r="H54" s="7"/>
      <c r="I54" s="9"/>
      <c r="J54" s="7"/>
      <c r="K54" s="12"/>
      <c r="L54" s="6"/>
      <c r="M54" s="6"/>
      <c r="N54" s="12"/>
      <c r="O54" s="7"/>
      <c r="P54" s="9"/>
      <c r="Q54" s="9"/>
    </row>
    <row r="55" spans="1:17" s="57" customFormat="1" ht="51.6" customHeight="1">
      <c r="A55" s="56" t="s">
        <v>1386</v>
      </c>
      <c r="B55" s="3" t="s">
        <v>1143</v>
      </c>
      <c r="C55" s="322" t="s">
        <v>1450</v>
      </c>
      <c r="D55" s="322"/>
      <c r="E55" s="322"/>
      <c r="F55" s="322"/>
      <c r="G55" s="322"/>
      <c r="H55" s="322"/>
      <c r="I55" s="20" t="s">
        <v>2319</v>
      </c>
      <c r="J55" s="20" t="s">
        <v>2320</v>
      </c>
      <c r="K55" s="11" t="s">
        <v>2321</v>
      </c>
      <c r="L55" s="11"/>
      <c r="M55" s="11"/>
      <c r="N55" s="11"/>
      <c r="O55" s="9"/>
      <c r="P55" s="10"/>
      <c r="Q55" s="9"/>
    </row>
    <row r="56" spans="1:17" s="58" customFormat="1" ht="13.8">
      <c r="A56" s="54" t="s">
        <v>1389</v>
      </c>
      <c r="B56" s="20" t="s">
        <v>1143</v>
      </c>
      <c r="C56" s="323" t="s">
        <v>1356</v>
      </c>
      <c r="D56" s="324"/>
      <c r="E56" s="324"/>
      <c r="F56" s="324"/>
      <c r="G56" s="324"/>
      <c r="H56" s="324"/>
      <c r="I56" s="324"/>
      <c r="J56" s="324"/>
      <c r="K56" s="325"/>
      <c r="L56" s="9"/>
      <c r="M56" s="9"/>
      <c r="N56" s="9"/>
      <c r="O56" s="9"/>
      <c r="P56" s="9"/>
      <c r="Q56" s="9"/>
    </row>
    <row r="57" spans="1:17" s="58" customFormat="1" ht="13.8">
      <c r="A57" s="54" t="s">
        <v>1391</v>
      </c>
      <c r="B57" s="19" t="s">
        <v>1143</v>
      </c>
      <c r="C57" s="326" t="s">
        <v>1727</v>
      </c>
      <c r="D57" s="327"/>
      <c r="E57" s="327"/>
      <c r="F57" s="327"/>
      <c r="G57" s="328"/>
      <c r="H57" s="4" t="s">
        <v>1728</v>
      </c>
      <c r="I57" s="9"/>
      <c r="J57" s="9"/>
      <c r="K57" s="9"/>
      <c r="L57" s="9"/>
      <c r="M57" s="9"/>
      <c r="N57" s="9"/>
      <c r="O57" s="9"/>
      <c r="P57" s="9"/>
      <c r="Q57" s="9"/>
    </row>
    <row r="58" spans="1:17" s="58" customFormat="1" ht="13.8">
      <c r="A58" s="5" t="s">
        <v>1394</v>
      </c>
      <c r="B58" s="5" t="s">
        <v>1727</v>
      </c>
      <c r="C58" s="59" t="s">
        <v>1395</v>
      </c>
      <c r="D58" s="6" t="s">
        <v>97</v>
      </c>
      <c r="E58" s="6" t="s">
        <v>98</v>
      </c>
      <c r="F58" s="6" t="s">
        <v>1396</v>
      </c>
      <c r="G58" s="6" t="s">
        <v>1397</v>
      </c>
      <c r="H58" s="7"/>
      <c r="I58" s="9"/>
      <c r="J58" s="7"/>
      <c r="K58" s="12"/>
      <c r="L58" s="6"/>
      <c r="M58" s="6"/>
      <c r="N58" s="12"/>
      <c r="O58" s="7"/>
      <c r="P58" s="9"/>
      <c r="Q58" s="9"/>
    </row>
    <row r="59" spans="1:17" s="58" customFormat="1" ht="13.8">
      <c r="A59" s="54" t="s">
        <v>1389</v>
      </c>
      <c r="B59" s="20" t="s">
        <v>1143</v>
      </c>
      <c r="C59" s="323" t="s">
        <v>1357</v>
      </c>
      <c r="D59" s="324"/>
      <c r="E59" s="324"/>
      <c r="F59" s="324"/>
      <c r="G59" s="324"/>
      <c r="H59" s="324"/>
      <c r="I59" s="324"/>
      <c r="J59" s="324"/>
      <c r="K59" s="325"/>
      <c r="L59" s="9"/>
      <c r="M59" s="9"/>
      <c r="N59" s="9"/>
      <c r="O59" s="9"/>
      <c r="P59" s="9"/>
      <c r="Q59" s="9"/>
    </row>
    <row r="60" spans="1:17" s="58" customFormat="1" ht="13.8">
      <c r="A60" s="54" t="s">
        <v>1391</v>
      </c>
      <c r="B60" s="19" t="s">
        <v>1143</v>
      </c>
      <c r="C60" s="326" t="s">
        <v>2033</v>
      </c>
      <c r="D60" s="327"/>
      <c r="E60" s="327"/>
      <c r="F60" s="327"/>
      <c r="G60" s="328"/>
      <c r="H60" s="4" t="s">
        <v>2034</v>
      </c>
      <c r="I60" s="9"/>
      <c r="J60" s="9"/>
      <c r="K60" s="9"/>
      <c r="L60" s="9"/>
      <c r="M60" s="9"/>
      <c r="N60" s="9"/>
      <c r="O60" s="9"/>
      <c r="P60" s="9"/>
      <c r="Q60" s="9"/>
    </row>
    <row r="61" spans="1:17" s="58" customFormat="1" ht="13.8">
      <c r="A61" s="5" t="s">
        <v>1394</v>
      </c>
      <c r="B61" s="5" t="s">
        <v>2033</v>
      </c>
      <c r="C61" s="59" t="s">
        <v>1395</v>
      </c>
      <c r="D61" s="6" t="s">
        <v>97</v>
      </c>
      <c r="E61" s="6" t="s">
        <v>98</v>
      </c>
      <c r="F61" s="6" t="s">
        <v>1396</v>
      </c>
      <c r="G61" s="6" t="s">
        <v>1397</v>
      </c>
      <c r="H61" s="7"/>
      <c r="I61" s="9"/>
      <c r="J61" s="7"/>
      <c r="K61" s="12"/>
      <c r="L61" s="6"/>
      <c r="M61" s="6"/>
      <c r="N61" s="12"/>
      <c r="O61" s="7"/>
      <c r="P61" s="9"/>
      <c r="Q61" s="9"/>
    </row>
    <row r="62" spans="1:17" s="58" customFormat="1" ht="13.8">
      <c r="A62" s="54" t="s">
        <v>1389</v>
      </c>
      <c r="B62" s="20" t="s">
        <v>1143</v>
      </c>
      <c r="C62" s="323" t="s">
        <v>2291</v>
      </c>
      <c r="D62" s="324"/>
      <c r="E62" s="324"/>
      <c r="F62" s="324"/>
      <c r="G62" s="324"/>
      <c r="H62" s="324"/>
      <c r="I62" s="324"/>
      <c r="J62" s="324"/>
      <c r="K62" s="325"/>
      <c r="L62" s="9"/>
      <c r="M62" s="9"/>
      <c r="N62" s="9"/>
      <c r="O62" s="9"/>
      <c r="P62" s="9"/>
      <c r="Q62" s="9"/>
    </row>
    <row r="63" spans="1:17" s="58" customFormat="1" ht="13.8">
      <c r="A63" s="54" t="s">
        <v>1391</v>
      </c>
      <c r="B63" s="19" t="s">
        <v>1143</v>
      </c>
      <c r="C63" s="326" t="s">
        <v>2198</v>
      </c>
      <c r="D63" s="327"/>
      <c r="E63" s="327"/>
      <c r="F63" s="327"/>
      <c r="G63" s="328"/>
      <c r="H63" s="4" t="s">
        <v>2199</v>
      </c>
      <c r="I63" s="9"/>
      <c r="J63" s="9"/>
      <c r="K63" s="9"/>
      <c r="L63" s="9"/>
      <c r="M63" s="9"/>
      <c r="N63" s="9"/>
      <c r="O63" s="9"/>
      <c r="P63" s="9"/>
      <c r="Q63" s="9"/>
    </row>
    <row r="64" spans="1:17" s="58" customFormat="1" ht="13.8">
      <c r="A64" s="5" t="s">
        <v>1394</v>
      </c>
      <c r="B64" s="5" t="s">
        <v>2198</v>
      </c>
      <c r="C64" s="59" t="s">
        <v>1395</v>
      </c>
      <c r="D64" s="6" t="s">
        <v>97</v>
      </c>
      <c r="E64" s="6" t="s">
        <v>98</v>
      </c>
      <c r="F64" s="6" t="s">
        <v>1396</v>
      </c>
      <c r="G64" s="6" t="s">
        <v>1397</v>
      </c>
      <c r="H64" s="7"/>
      <c r="I64" s="9"/>
      <c r="J64" s="7"/>
      <c r="K64" s="12"/>
      <c r="L64" s="6"/>
      <c r="M64" s="6"/>
      <c r="N64" s="12"/>
      <c r="O64" s="7"/>
      <c r="P64" s="9"/>
      <c r="Q64" s="9"/>
    </row>
    <row r="65" spans="1:17" s="58" customFormat="1" ht="13.8">
      <c r="A65" s="54" t="s">
        <v>1389</v>
      </c>
      <c r="B65" s="20" t="s">
        <v>1143</v>
      </c>
      <c r="C65" s="323" t="s">
        <v>1359</v>
      </c>
      <c r="D65" s="324"/>
      <c r="E65" s="324"/>
      <c r="F65" s="324"/>
      <c r="G65" s="324"/>
      <c r="H65" s="324"/>
      <c r="I65" s="324"/>
      <c r="J65" s="324"/>
      <c r="K65" s="325"/>
      <c r="L65" s="9"/>
      <c r="M65" s="9"/>
      <c r="N65" s="9"/>
      <c r="O65" s="9"/>
      <c r="P65" s="9"/>
      <c r="Q65" s="9"/>
    </row>
    <row r="66" spans="1:17" s="58" customFormat="1" ht="13.8">
      <c r="A66" s="54" t="s">
        <v>1391</v>
      </c>
      <c r="B66" s="19" t="s">
        <v>1143</v>
      </c>
      <c r="C66" s="326" t="s">
        <v>1905</v>
      </c>
      <c r="D66" s="327"/>
      <c r="E66" s="327"/>
      <c r="F66" s="327"/>
      <c r="G66" s="328"/>
      <c r="H66" s="4" t="s">
        <v>1977</v>
      </c>
      <c r="I66" s="9"/>
      <c r="J66" s="9"/>
      <c r="K66" s="9"/>
      <c r="L66" s="9"/>
      <c r="M66" s="9"/>
      <c r="N66" s="9"/>
      <c r="O66" s="9"/>
      <c r="P66" s="9"/>
      <c r="Q66" s="9"/>
    </row>
    <row r="67" spans="1:17" s="58" customFormat="1" ht="13.8">
      <c r="A67" s="5" t="s">
        <v>1394</v>
      </c>
      <c r="B67" s="5" t="s">
        <v>1905</v>
      </c>
      <c r="C67" s="59" t="s">
        <v>1395</v>
      </c>
      <c r="D67" s="6" t="s">
        <v>97</v>
      </c>
      <c r="E67" s="6" t="s">
        <v>98</v>
      </c>
      <c r="F67" s="6" t="s">
        <v>1396</v>
      </c>
      <c r="G67" s="6" t="s">
        <v>1397</v>
      </c>
      <c r="H67" s="7"/>
      <c r="I67" s="9"/>
      <c r="J67" s="7"/>
      <c r="K67" s="12"/>
      <c r="L67" s="6"/>
      <c r="M67" s="6"/>
      <c r="N67" s="12"/>
      <c r="O67" s="7"/>
      <c r="P67" s="9"/>
      <c r="Q67" s="9"/>
    </row>
    <row r="68" spans="1:17" s="58" customFormat="1" ht="13.8">
      <c r="A68" s="54" t="s">
        <v>1389</v>
      </c>
      <c r="B68" s="20" t="s">
        <v>1143</v>
      </c>
      <c r="C68" s="323" t="s">
        <v>1362</v>
      </c>
      <c r="D68" s="324"/>
      <c r="E68" s="324"/>
      <c r="F68" s="324"/>
      <c r="G68" s="324"/>
      <c r="H68" s="324"/>
      <c r="I68" s="324"/>
      <c r="J68" s="324"/>
      <c r="K68" s="325"/>
      <c r="L68" s="9"/>
      <c r="M68" s="9"/>
      <c r="N68" s="9"/>
      <c r="O68" s="9"/>
      <c r="P68" s="9"/>
      <c r="Q68" s="9"/>
    </row>
    <row r="69" spans="1:17" s="58" customFormat="1" ht="13.8">
      <c r="A69" s="54" t="s">
        <v>1391</v>
      </c>
      <c r="B69" s="19" t="s">
        <v>1143</v>
      </c>
      <c r="C69" s="326" t="s">
        <v>1905</v>
      </c>
      <c r="D69" s="327"/>
      <c r="E69" s="327"/>
      <c r="F69" s="327"/>
      <c r="G69" s="328"/>
      <c r="H69" s="4" t="s">
        <v>1977</v>
      </c>
      <c r="I69" s="9"/>
      <c r="J69" s="9"/>
      <c r="K69" s="9"/>
      <c r="L69" s="9"/>
      <c r="M69" s="9"/>
      <c r="N69" s="9"/>
      <c r="O69" s="9"/>
      <c r="P69" s="9"/>
      <c r="Q69" s="9"/>
    </row>
    <row r="70" spans="1:17" s="58" customFormat="1" ht="13.8">
      <c r="A70" s="5" t="s">
        <v>1394</v>
      </c>
      <c r="B70" s="5" t="s">
        <v>1905</v>
      </c>
      <c r="C70" s="59" t="s">
        <v>1395</v>
      </c>
      <c r="D70" s="6" t="s">
        <v>97</v>
      </c>
      <c r="E70" s="6" t="s">
        <v>98</v>
      </c>
      <c r="F70" s="6" t="s">
        <v>1396</v>
      </c>
      <c r="G70" s="6" t="s">
        <v>1397</v>
      </c>
      <c r="H70" s="7"/>
      <c r="I70" s="9"/>
      <c r="J70" s="7"/>
      <c r="K70" s="12"/>
      <c r="L70" s="6"/>
      <c r="M70" s="6"/>
      <c r="N70" s="12"/>
      <c r="O70" s="7"/>
      <c r="P70" s="9"/>
      <c r="Q70" s="9"/>
    </row>
    <row r="71" spans="1:17" s="58" customFormat="1" ht="13.8">
      <c r="A71" s="54" t="s">
        <v>1389</v>
      </c>
      <c r="B71" s="20" t="s">
        <v>1143</v>
      </c>
      <c r="C71" s="323" t="s">
        <v>2292</v>
      </c>
      <c r="D71" s="324"/>
      <c r="E71" s="324"/>
      <c r="F71" s="324"/>
      <c r="G71" s="324"/>
      <c r="H71" s="324"/>
      <c r="I71" s="324"/>
      <c r="J71" s="324"/>
      <c r="K71" s="325"/>
      <c r="L71" s="9"/>
      <c r="M71" s="9"/>
      <c r="N71" s="9"/>
      <c r="O71" s="9"/>
      <c r="P71" s="9"/>
      <c r="Q71" s="9"/>
    </row>
    <row r="72" spans="1:17" s="58" customFormat="1" ht="13.8">
      <c r="A72" s="54" t="s">
        <v>1391</v>
      </c>
      <c r="B72" s="19" t="s">
        <v>1143</v>
      </c>
      <c r="C72" s="326" t="s">
        <v>2055</v>
      </c>
      <c r="D72" s="327"/>
      <c r="E72" s="327"/>
      <c r="F72" s="327"/>
      <c r="G72" s="328"/>
      <c r="H72" s="4" t="s">
        <v>2056</v>
      </c>
      <c r="I72" s="9"/>
      <c r="J72" s="9"/>
      <c r="K72" s="9"/>
      <c r="L72" s="9"/>
      <c r="M72" s="9"/>
      <c r="N72" s="9"/>
      <c r="O72" s="9"/>
      <c r="P72" s="9"/>
      <c r="Q72" s="9"/>
    </row>
    <row r="73" spans="1:17" s="58" customFormat="1" ht="13.8">
      <c r="A73" s="5" t="s">
        <v>1394</v>
      </c>
      <c r="B73" s="5" t="s">
        <v>2055</v>
      </c>
      <c r="C73" s="59" t="s">
        <v>1395</v>
      </c>
      <c r="D73" s="6" t="s">
        <v>97</v>
      </c>
      <c r="E73" s="6" t="s">
        <v>98</v>
      </c>
      <c r="F73" s="6" t="s">
        <v>1396</v>
      </c>
      <c r="G73" s="6" t="s">
        <v>1397</v>
      </c>
      <c r="H73" s="7"/>
      <c r="I73" s="9"/>
      <c r="J73" s="7"/>
      <c r="K73" s="12"/>
      <c r="L73" s="6"/>
      <c r="M73" s="6"/>
      <c r="N73" s="12"/>
      <c r="O73" s="7"/>
      <c r="P73" s="9"/>
      <c r="Q73" s="9"/>
    </row>
    <row r="74" spans="1:17" s="58" customFormat="1" ht="13.8">
      <c r="A74" s="54" t="s">
        <v>1389</v>
      </c>
      <c r="B74" s="20" t="s">
        <v>1143</v>
      </c>
      <c r="C74" s="323" t="s">
        <v>1361</v>
      </c>
      <c r="D74" s="324"/>
      <c r="E74" s="324"/>
      <c r="F74" s="324"/>
      <c r="G74" s="324"/>
      <c r="H74" s="324"/>
      <c r="I74" s="324"/>
      <c r="J74" s="324"/>
      <c r="K74" s="325"/>
      <c r="L74" s="9"/>
      <c r="M74" s="9"/>
      <c r="N74" s="9"/>
      <c r="O74" s="9"/>
      <c r="P74" s="9"/>
      <c r="Q74" s="9"/>
    </row>
    <row r="75" spans="1:17" s="58" customFormat="1" ht="13.8">
      <c r="A75" s="54" t="s">
        <v>1391</v>
      </c>
      <c r="B75" s="19" t="s">
        <v>1143</v>
      </c>
      <c r="C75" s="326" t="s">
        <v>1798</v>
      </c>
      <c r="D75" s="327"/>
      <c r="E75" s="327"/>
      <c r="F75" s="327"/>
      <c r="G75" s="328"/>
      <c r="H75" s="4" t="s">
        <v>1799</v>
      </c>
      <c r="I75" s="9"/>
      <c r="J75" s="9"/>
      <c r="K75" s="9"/>
      <c r="L75" s="9"/>
      <c r="M75" s="9"/>
      <c r="N75" s="9"/>
      <c r="O75" s="9"/>
      <c r="P75" s="9"/>
      <c r="Q75" s="9"/>
    </row>
    <row r="76" spans="1:17" s="58" customFormat="1" ht="13.8">
      <c r="A76" s="5" t="s">
        <v>1394</v>
      </c>
      <c r="B76" s="5" t="s">
        <v>1798</v>
      </c>
      <c r="C76" s="59" t="s">
        <v>1395</v>
      </c>
      <c r="D76" s="6" t="s">
        <v>97</v>
      </c>
      <c r="E76" s="6" t="s">
        <v>98</v>
      </c>
      <c r="F76" s="6" t="s">
        <v>1396</v>
      </c>
      <c r="G76" s="6" t="s">
        <v>1397</v>
      </c>
      <c r="H76" s="7"/>
      <c r="I76" s="9"/>
      <c r="J76" s="7"/>
      <c r="K76" s="12"/>
      <c r="L76" s="6"/>
      <c r="M76" s="6"/>
      <c r="N76" s="12"/>
      <c r="O76" s="7"/>
      <c r="P76" s="9"/>
      <c r="Q76" s="9"/>
    </row>
    <row r="77" spans="1:17" s="57" customFormat="1" ht="51.6" customHeight="1">
      <c r="A77" s="56" t="s">
        <v>1386</v>
      </c>
      <c r="B77" s="3" t="s">
        <v>1144</v>
      </c>
      <c r="C77" s="322" t="s">
        <v>1451</v>
      </c>
      <c r="D77" s="322"/>
      <c r="E77" s="322"/>
      <c r="F77" s="322"/>
      <c r="G77" s="322"/>
      <c r="H77" s="322"/>
      <c r="I77" s="20" t="s">
        <v>2322</v>
      </c>
      <c r="J77" s="20" t="s">
        <v>2323</v>
      </c>
      <c r="K77" s="11" t="s">
        <v>2324</v>
      </c>
      <c r="L77" s="11"/>
      <c r="M77" s="11"/>
      <c r="N77" s="11"/>
      <c r="O77" s="9"/>
      <c r="P77" s="10"/>
      <c r="Q77" s="9"/>
    </row>
    <row r="78" spans="1:17" s="58" customFormat="1" ht="13.8">
      <c r="A78" s="54" t="s">
        <v>1389</v>
      </c>
      <c r="B78" s="20" t="s">
        <v>1144</v>
      </c>
      <c r="C78" s="323" t="s">
        <v>1356</v>
      </c>
      <c r="D78" s="324"/>
      <c r="E78" s="324"/>
      <c r="F78" s="324"/>
      <c r="G78" s="324"/>
      <c r="H78" s="324"/>
      <c r="I78" s="324"/>
      <c r="J78" s="324"/>
      <c r="K78" s="325"/>
      <c r="L78" s="9"/>
      <c r="M78" s="9"/>
      <c r="N78" s="9"/>
      <c r="O78" s="9"/>
      <c r="P78" s="9"/>
      <c r="Q78" s="9"/>
    </row>
    <row r="79" spans="1:17" s="58" customFormat="1" ht="13.8">
      <c r="A79" s="54" t="s">
        <v>1391</v>
      </c>
      <c r="B79" s="19" t="s">
        <v>1144</v>
      </c>
      <c r="C79" s="326" t="s">
        <v>1727</v>
      </c>
      <c r="D79" s="327"/>
      <c r="E79" s="327"/>
      <c r="F79" s="327"/>
      <c r="G79" s="328"/>
      <c r="H79" s="4" t="s">
        <v>1728</v>
      </c>
      <c r="I79" s="9"/>
      <c r="J79" s="9"/>
      <c r="K79" s="9"/>
      <c r="L79" s="9"/>
      <c r="M79" s="9"/>
      <c r="N79" s="9"/>
      <c r="O79" s="9"/>
      <c r="P79" s="9"/>
      <c r="Q79" s="9"/>
    </row>
    <row r="80" spans="1:17" s="58" customFormat="1" ht="13.8">
      <c r="A80" s="5" t="s">
        <v>1394</v>
      </c>
      <c r="B80" s="5" t="s">
        <v>1727</v>
      </c>
      <c r="C80" s="59" t="s">
        <v>1395</v>
      </c>
      <c r="D80" s="6" t="s">
        <v>97</v>
      </c>
      <c r="E80" s="6" t="s">
        <v>98</v>
      </c>
      <c r="F80" s="6" t="s">
        <v>1396</v>
      </c>
      <c r="G80" s="6" t="s">
        <v>1397</v>
      </c>
      <c r="H80" s="7"/>
      <c r="I80" s="9"/>
      <c r="J80" s="7"/>
      <c r="K80" s="12"/>
      <c r="L80" s="6"/>
      <c r="M80" s="6"/>
      <c r="N80" s="12"/>
      <c r="O80" s="7"/>
      <c r="P80" s="9"/>
      <c r="Q80" s="9"/>
    </row>
    <row r="81" spans="1:17" s="58" customFormat="1" ht="13.8">
      <c r="A81" s="54" t="s">
        <v>1389</v>
      </c>
      <c r="B81" s="20" t="s">
        <v>1144</v>
      </c>
      <c r="C81" s="323" t="s">
        <v>1357</v>
      </c>
      <c r="D81" s="324"/>
      <c r="E81" s="324"/>
      <c r="F81" s="324"/>
      <c r="G81" s="324"/>
      <c r="H81" s="324"/>
      <c r="I81" s="324"/>
      <c r="J81" s="324"/>
      <c r="K81" s="325"/>
      <c r="L81" s="9"/>
      <c r="M81" s="9"/>
      <c r="N81" s="9"/>
      <c r="O81" s="9"/>
      <c r="P81" s="9"/>
      <c r="Q81" s="9"/>
    </row>
    <row r="82" spans="1:17" s="58" customFormat="1" ht="13.8">
      <c r="A82" s="54" t="s">
        <v>1391</v>
      </c>
      <c r="B82" s="19" t="s">
        <v>1144</v>
      </c>
      <c r="C82" s="326" t="s">
        <v>2033</v>
      </c>
      <c r="D82" s="327"/>
      <c r="E82" s="327"/>
      <c r="F82" s="327"/>
      <c r="G82" s="328"/>
      <c r="H82" s="4" t="s">
        <v>2034</v>
      </c>
      <c r="I82" s="9"/>
      <c r="J82" s="9"/>
      <c r="K82" s="9"/>
      <c r="L82" s="9"/>
      <c r="M82" s="9"/>
      <c r="N82" s="9"/>
      <c r="O82" s="9"/>
      <c r="P82" s="9"/>
      <c r="Q82" s="9"/>
    </row>
    <row r="83" spans="1:17" s="58" customFormat="1" ht="13.8">
      <c r="A83" s="5" t="s">
        <v>1394</v>
      </c>
      <c r="B83" s="5" t="s">
        <v>2033</v>
      </c>
      <c r="C83" s="59" t="s">
        <v>1395</v>
      </c>
      <c r="D83" s="6" t="s">
        <v>97</v>
      </c>
      <c r="E83" s="6" t="s">
        <v>98</v>
      </c>
      <c r="F83" s="6" t="s">
        <v>1396</v>
      </c>
      <c r="G83" s="6" t="s">
        <v>1397</v>
      </c>
      <c r="H83" s="7"/>
      <c r="I83" s="9"/>
      <c r="J83" s="7"/>
      <c r="K83" s="12"/>
      <c r="L83" s="6"/>
      <c r="M83" s="6"/>
      <c r="N83" s="12"/>
      <c r="O83" s="7"/>
      <c r="P83" s="9"/>
      <c r="Q83" s="9"/>
    </row>
    <row r="84" spans="1:17" s="58" customFormat="1" ht="13.8">
      <c r="A84" s="54" t="s">
        <v>1389</v>
      </c>
      <c r="B84" s="20" t="s">
        <v>1144</v>
      </c>
      <c r="C84" s="323" t="s">
        <v>2291</v>
      </c>
      <c r="D84" s="324"/>
      <c r="E84" s="324"/>
      <c r="F84" s="324"/>
      <c r="G84" s="324"/>
      <c r="H84" s="324"/>
      <c r="I84" s="324"/>
      <c r="J84" s="324"/>
      <c r="K84" s="325"/>
      <c r="L84" s="9"/>
      <c r="M84" s="9"/>
      <c r="N84" s="9"/>
      <c r="O84" s="9"/>
      <c r="P84" s="9"/>
      <c r="Q84" s="9"/>
    </row>
    <row r="85" spans="1:17" s="58" customFormat="1" ht="13.8">
      <c r="A85" s="54" t="s">
        <v>1391</v>
      </c>
      <c r="B85" s="19" t="s">
        <v>1144</v>
      </c>
      <c r="C85" s="326" t="s">
        <v>2198</v>
      </c>
      <c r="D85" s="327"/>
      <c r="E85" s="327"/>
      <c r="F85" s="327"/>
      <c r="G85" s="328"/>
      <c r="H85" s="4" t="s">
        <v>2199</v>
      </c>
      <c r="I85" s="9"/>
      <c r="J85" s="9"/>
      <c r="K85" s="9"/>
      <c r="L85" s="9"/>
      <c r="M85" s="9"/>
      <c r="N85" s="9"/>
      <c r="O85" s="9"/>
      <c r="P85" s="9"/>
      <c r="Q85" s="9"/>
    </row>
    <row r="86" spans="1:17" s="58" customFormat="1" ht="13.8">
      <c r="A86" s="5" t="s">
        <v>1394</v>
      </c>
      <c r="B86" s="5" t="s">
        <v>2198</v>
      </c>
      <c r="C86" s="59" t="s">
        <v>1395</v>
      </c>
      <c r="D86" s="6" t="s">
        <v>97</v>
      </c>
      <c r="E86" s="6" t="s">
        <v>98</v>
      </c>
      <c r="F86" s="6" t="s">
        <v>1396</v>
      </c>
      <c r="G86" s="6" t="s">
        <v>1397</v>
      </c>
      <c r="H86" s="7"/>
      <c r="I86" s="9"/>
      <c r="J86" s="7"/>
      <c r="K86" s="12"/>
      <c r="L86" s="6"/>
      <c r="M86" s="6"/>
      <c r="N86" s="12"/>
      <c r="O86" s="7"/>
      <c r="P86" s="9"/>
      <c r="Q86" s="9"/>
    </row>
    <row r="87" spans="1:17" s="58" customFormat="1" ht="13.8">
      <c r="A87" s="54" t="s">
        <v>1389</v>
      </c>
      <c r="B87" s="20" t="s">
        <v>1144</v>
      </c>
      <c r="C87" s="323" t="s">
        <v>1359</v>
      </c>
      <c r="D87" s="324"/>
      <c r="E87" s="324"/>
      <c r="F87" s="324"/>
      <c r="G87" s="324"/>
      <c r="H87" s="324"/>
      <c r="I87" s="324"/>
      <c r="J87" s="324"/>
      <c r="K87" s="325"/>
      <c r="L87" s="9"/>
      <c r="M87" s="9"/>
      <c r="N87" s="9"/>
      <c r="O87" s="9"/>
      <c r="P87" s="9"/>
      <c r="Q87" s="9"/>
    </row>
    <row r="88" spans="1:17" s="58" customFormat="1" ht="13.8">
      <c r="A88" s="54" t="s">
        <v>1391</v>
      </c>
      <c r="B88" s="19" t="s">
        <v>1144</v>
      </c>
      <c r="C88" s="326" t="s">
        <v>1905</v>
      </c>
      <c r="D88" s="327"/>
      <c r="E88" s="327"/>
      <c r="F88" s="327"/>
      <c r="G88" s="328"/>
      <c r="H88" s="4" t="s">
        <v>1977</v>
      </c>
      <c r="I88" s="9"/>
      <c r="J88" s="9"/>
      <c r="K88" s="9"/>
      <c r="L88" s="9"/>
      <c r="M88" s="9"/>
      <c r="N88" s="9"/>
      <c r="O88" s="9"/>
      <c r="P88" s="9"/>
      <c r="Q88" s="9"/>
    </row>
    <row r="89" spans="1:17" s="58" customFormat="1" ht="13.8">
      <c r="A89" s="5" t="s">
        <v>1394</v>
      </c>
      <c r="B89" s="5" t="s">
        <v>1905</v>
      </c>
      <c r="C89" s="59" t="s">
        <v>1395</v>
      </c>
      <c r="D89" s="6" t="s">
        <v>97</v>
      </c>
      <c r="E89" s="6" t="s">
        <v>98</v>
      </c>
      <c r="F89" s="6" t="s">
        <v>1396</v>
      </c>
      <c r="G89" s="6" t="s">
        <v>1397</v>
      </c>
      <c r="H89" s="7"/>
      <c r="I89" s="9"/>
      <c r="J89" s="7"/>
      <c r="K89" s="12"/>
      <c r="L89" s="6"/>
      <c r="M89" s="6"/>
      <c r="N89" s="12"/>
      <c r="O89" s="7"/>
      <c r="P89" s="9"/>
      <c r="Q89" s="9"/>
    </row>
    <row r="90" spans="1:17" s="58" customFormat="1" ht="13.8">
      <c r="A90" s="54" t="s">
        <v>1389</v>
      </c>
      <c r="B90" s="20" t="s">
        <v>1144</v>
      </c>
      <c r="C90" s="323" t="s">
        <v>1362</v>
      </c>
      <c r="D90" s="324"/>
      <c r="E90" s="324"/>
      <c r="F90" s="324"/>
      <c r="G90" s="324"/>
      <c r="H90" s="324"/>
      <c r="I90" s="324"/>
      <c r="J90" s="324"/>
      <c r="K90" s="325"/>
      <c r="L90" s="9"/>
      <c r="M90" s="9"/>
      <c r="N90" s="9"/>
      <c r="O90" s="9"/>
      <c r="P90" s="9"/>
      <c r="Q90" s="9"/>
    </row>
    <row r="91" spans="1:17" s="58" customFormat="1" ht="13.8">
      <c r="A91" s="54" t="s">
        <v>1391</v>
      </c>
      <c r="B91" s="19" t="s">
        <v>1144</v>
      </c>
      <c r="C91" s="326" t="s">
        <v>1905</v>
      </c>
      <c r="D91" s="327"/>
      <c r="E91" s="327"/>
      <c r="F91" s="327"/>
      <c r="G91" s="328"/>
      <c r="H91" s="4" t="s">
        <v>1977</v>
      </c>
      <c r="I91" s="9"/>
      <c r="J91" s="9"/>
      <c r="K91" s="9"/>
      <c r="L91" s="9"/>
      <c r="M91" s="9"/>
      <c r="N91" s="9"/>
      <c r="O91" s="9"/>
      <c r="P91" s="9"/>
      <c r="Q91" s="9"/>
    </row>
    <row r="92" spans="1:17" s="58" customFormat="1" ht="13.8">
      <c r="A92" s="5" t="s">
        <v>1394</v>
      </c>
      <c r="B92" s="5" t="s">
        <v>1905</v>
      </c>
      <c r="C92" s="59" t="s">
        <v>1395</v>
      </c>
      <c r="D92" s="6" t="s">
        <v>97</v>
      </c>
      <c r="E92" s="6" t="s">
        <v>98</v>
      </c>
      <c r="F92" s="6" t="s">
        <v>1396</v>
      </c>
      <c r="G92" s="6" t="s">
        <v>1397</v>
      </c>
      <c r="H92" s="7"/>
      <c r="I92" s="9"/>
      <c r="J92" s="7"/>
      <c r="K92" s="12"/>
      <c r="L92" s="6"/>
      <c r="M92" s="6"/>
      <c r="N92" s="12"/>
      <c r="O92" s="7"/>
      <c r="P92" s="9"/>
      <c r="Q92" s="9"/>
    </row>
    <row r="93" spans="1:17" s="58" customFormat="1" ht="13.8">
      <c r="A93" s="54" t="s">
        <v>1389</v>
      </c>
      <c r="B93" s="20" t="s">
        <v>1144</v>
      </c>
      <c r="C93" s="323" t="s">
        <v>2292</v>
      </c>
      <c r="D93" s="324"/>
      <c r="E93" s="324"/>
      <c r="F93" s="324"/>
      <c r="G93" s="324"/>
      <c r="H93" s="324"/>
      <c r="I93" s="324"/>
      <c r="J93" s="324"/>
      <c r="K93" s="325"/>
      <c r="L93" s="9"/>
      <c r="M93" s="9"/>
      <c r="N93" s="9"/>
      <c r="O93" s="9"/>
      <c r="P93" s="9"/>
      <c r="Q93" s="9"/>
    </row>
    <row r="94" spans="1:17" s="58" customFormat="1" ht="13.8">
      <c r="A94" s="54" t="s">
        <v>1391</v>
      </c>
      <c r="B94" s="19" t="s">
        <v>1144</v>
      </c>
      <c r="C94" s="326" t="s">
        <v>2055</v>
      </c>
      <c r="D94" s="327"/>
      <c r="E94" s="327"/>
      <c r="F94" s="327"/>
      <c r="G94" s="328"/>
      <c r="H94" s="4" t="s">
        <v>2056</v>
      </c>
      <c r="I94" s="9"/>
      <c r="J94" s="9"/>
      <c r="K94" s="9"/>
      <c r="L94" s="9"/>
      <c r="M94" s="9"/>
      <c r="N94" s="9"/>
      <c r="O94" s="9"/>
      <c r="P94" s="9"/>
      <c r="Q94" s="9"/>
    </row>
    <row r="95" spans="1:17" s="58" customFormat="1" ht="13.8">
      <c r="A95" s="5" t="s">
        <v>1394</v>
      </c>
      <c r="B95" s="5" t="s">
        <v>2055</v>
      </c>
      <c r="C95" s="59" t="s">
        <v>1395</v>
      </c>
      <c r="D95" s="6" t="s">
        <v>97</v>
      </c>
      <c r="E95" s="6" t="s">
        <v>98</v>
      </c>
      <c r="F95" s="6" t="s">
        <v>1396</v>
      </c>
      <c r="G95" s="6" t="s">
        <v>1397</v>
      </c>
      <c r="H95" s="7"/>
      <c r="I95" s="9"/>
      <c r="J95" s="7"/>
      <c r="K95" s="12"/>
      <c r="L95" s="6"/>
      <c r="M95" s="6"/>
      <c r="N95" s="12"/>
      <c r="O95" s="7"/>
      <c r="P95" s="9"/>
      <c r="Q95" s="9"/>
    </row>
    <row r="96" spans="1:17" s="58" customFormat="1" ht="13.8">
      <c r="A96" s="54" t="s">
        <v>1389</v>
      </c>
      <c r="B96" s="20" t="s">
        <v>1144</v>
      </c>
      <c r="C96" s="323" t="s">
        <v>1361</v>
      </c>
      <c r="D96" s="324"/>
      <c r="E96" s="324"/>
      <c r="F96" s="324"/>
      <c r="G96" s="324"/>
      <c r="H96" s="324"/>
      <c r="I96" s="324"/>
      <c r="J96" s="324"/>
      <c r="K96" s="325"/>
      <c r="L96" s="9"/>
      <c r="M96" s="9"/>
      <c r="N96" s="9"/>
      <c r="O96" s="9"/>
      <c r="P96" s="9"/>
      <c r="Q96" s="9"/>
    </row>
    <row r="97" spans="1:17" s="58" customFormat="1" ht="13.8">
      <c r="A97" s="54" t="s">
        <v>1391</v>
      </c>
      <c r="B97" s="19" t="s">
        <v>1144</v>
      </c>
      <c r="C97" s="326" t="s">
        <v>1798</v>
      </c>
      <c r="D97" s="327"/>
      <c r="E97" s="327"/>
      <c r="F97" s="327"/>
      <c r="G97" s="328"/>
      <c r="H97" s="4" t="s">
        <v>1799</v>
      </c>
      <c r="I97" s="9"/>
      <c r="J97" s="9"/>
      <c r="K97" s="9"/>
      <c r="L97" s="9"/>
      <c r="M97" s="9"/>
      <c r="N97" s="9"/>
      <c r="O97" s="9"/>
      <c r="P97" s="9"/>
      <c r="Q97" s="9"/>
    </row>
    <row r="98" spans="1:17" s="58" customFormat="1" ht="13.8">
      <c r="A98" s="5" t="s">
        <v>1394</v>
      </c>
      <c r="B98" s="5" t="s">
        <v>1798</v>
      </c>
      <c r="C98" s="59" t="s">
        <v>1395</v>
      </c>
      <c r="D98" s="6" t="s">
        <v>97</v>
      </c>
      <c r="E98" s="6" t="s">
        <v>98</v>
      </c>
      <c r="F98" s="6" t="s">
        <v>1396</v>
      </c>
      <c r="G98" s="6" t="s">
        <v>1397</v>
      </c>
      <c r="H98" s="7"/>
      <c r="I98" s="9"/>
      <c r="J98" s="7"/>
      <c r="K98" s="12"/>
      <c r="L98" s="6"/>
      <c r="M98" s="6"/>
      <c r="N98" s="12"/>
      <c r="O98" s="7"/>
      <c r="P98" s="9"/>
      <c r="Q98" s="9"/>
    </row>
    <row r="99" spans="1:17" s="57" customFormat="1" ht="51.6" customHeight="1">
      <c r="A99" s="56" t="s">
        <v>1386</v>
      </c>
      <c r="B99" s="3" t="s">
        <v>1145</v>
      </c>
      <c r="C99" s="322" t="s">
        <v>1452</v>
      </c>
      <c r="D99" s="322"/>
      <c r="E99" s="322"/>
      <c r="F99" s="322"/>
      <c r="G99" s="322"/>
      <c r="H99" s="322"/>
      <c r="I99" s="20" t="s">
        <v>2325</v>
      </c>
      <c r="J99" s="20" t="s">
        <v>2326</v>
      </c>
      <c r="K99" s="11" t="s">
        <v>2327</v>
      </c>
      <c r="L99" s="11"/>
      <c r="M99" s="11"/>
      <c r="N99" s="11"/>
      <c r="O99" s="9"/>
      <c r="P99" s="10"/>
      <c r="Q99" s="9"/>
    </row>
    <row r="100" spans="1:17" s="58" customFormat="1" ht="13.8">
      <c r="A100" s="54" t="s">
        <v>1389</v>
      </c>
      <c r="B100" s="20" t="s">
        <v>1145</v>
      </c>
      <c r="C100" s="323" t="s">
        <v>1356</v>
      </c>
      <c r="D100" s="324"/>
      <c r="E100" s="324"/>
      <c r="F100" s="324"/>
      <c r="G100" s="324"/>
      <c r="H100" s="324"/>
      <c r="I100" s="324"/>
      <c r="J100" s="324"/>
      <c r="K100" s="325"/>
      <c r="L100" s="9"/>
      <c r="M100" s="9"/>
      <c r="N100" s="9"/>
      <c r="O100" s="9"/>
      <c r="P100" s="9"/>
      <c r="Q100" s="9"/>
    </row>
    <row r="101" spans="1:17" s="58" customFormat="1" ht="13.8">
      <c r="A101" s="54" t="s">
        <v>1391</v>
      </c>
      <c r="B101" s="19" t="s">
        <v>1145</v>
      </c>
      <c r="C101" s="326" t="s">
        <v>1727</v>
      </c>
      <c r="D101" s="327"/>
      <c r="E101" s="327"/>
      <c r="F101" s="327"/>
      <c r="G101" s="328"/>
      <c r="H101" s="4" t="s">
        <v>1728</v>
      </c>
      <c r="I101" s="9"/>
      <c r="J101" s="9"/>
      <c r="K101" s="9"/>
      <c r="L101" s="9"/>
      <c r="M101" s="9"/>
      <c r="N101" s="9"/>
      <c r="O101" s="9"/>
      <c r="P101" s="9"/>
      <c r="Q101" s="9"/>
    </row>
    <row r="102" spans="1:17" s="58" customFormat="1" ht="13.8">
      <c r="A102" s="5" t="s">
        <v>1394</v>
      </c>
      <c r="B102" s="5" t="s">
        <v>1727</v>
      </c>
      <c r="C102" s="59" t="s">
        <v>1395</v>
      </c>
      <c r="D102" s="6" t="s">
        <v>97</v>
      </c>
      <c r="E102" s="6" t="s">
        <v>98</v>
      </c>
      <c r="F102" s="6" t="s">
        <v>1396</v>
      </c>
      <c r="G102" s="6" t="s">
        <v>1397</v>
      </c>
      <c r="H102" s="7"/>
      <c r="I102" s="9"/>
      <c r="J102" s="7"/>
      <c r="K102" s="12"/>
      <c r="L102" s="6"/>
      <c r="M102" s="6"/>
      <c r="N102" s="12"/>
      <c r="O102" s="7"/>
      <c r="P102" s="9"/>
      <c r="Q102" s="9"/>
    </row>
    <row r="103" spans="1:17" s="58" customFormat="1" ht="13.8">
      <c r="A103" s="54" t="s">
        <v>1389</v>
      </c>
      <c r="B103" s="20" t="s">
        <v>1145</v>
      </c>
      <c r="C103" s="323" t="s">
        <v>1357</v>
      </c>
      <c r="D103" s="324"/>
      <c r="E103" s="324"/>
      <c r="F103" s="324"/>
      <c r="G103" s="324"/>
      <c r="H103" s="324"/>
      <c r="I103" s="324"/>
      <c r="J103" s="324"/>
      <c r="K103" s="325"/>
      <c r="L103" s="9"/>
      <c r="M103" s="9"/>
      <c r="N103" s="9"/>
      <c r="O103" s="9"/>
      <c r="P103" s="9"/>
      <c r="Q103" s="9"/>
    </row>
    <row r="104" spans="1:17" s="58" customFormat="1" ht="13.8">
      <c r="A104" s="54" t="s">
        <v>1391</v>
      </c>
      <c r="B104" s="19" t="s">
        <v>1145</v>
      </c>
      <c r="C104" s="326" t="s">
        <v>2033</v>
      </c>
      <c r="D104" s="327"/>
      <c r="E104" s="327"/>
      <c r="F104" s="327"/>
      <c r="G104" s="328"/>
      <c r="H104" s="4" t="s">
        <v>2034</v>
      </c>
      <c r="I104" s="9"/>
      <c r="J104" s="9"/>
      <c r="K104" s="9"/>
      <c r="L104" s="9"/>
      <c r="M104" s="9"/>
      <c r="N104" s="9"/>
      <c r="O104" s="9"/>
      <c r="P104" s="9"/>
      <c r="Q104" s="9"/>
    </row>
    <row r="105" spans="1:17" s="58" customFormat="1" ht="13.8">
      <c r="A105" s="5" t="s">
        <v>1394</v>
      </c>
      <c r="B105" s="5" t="s">
        <v>2033</v>
      </c>
      <c r="C105" s="59" t="s">
        <v>1395</v>
      </c>
      <c r="D105" s="6" t="s">
        <v>97</v>
      </c>
      <c r="E105" s="6" t="s">
        <v>98</v>
      </c>
      <c r="F105" s="6" t="s">
        <v>1396</v>
      </c>
      <c r="G105" s="6" t="s">
        <v>1397</v>
      </c>
      <c r="H105" s="7"/>
      <c r="I105" s="9"/>
      <c r="J105" s="7"/>
      <c r="K105" s="12"/>
      <c r="L105" s="6"/>
      <c r="M105" s="6"/>
      <c r="N105" s="12"/>
      <c r="O105" s="7"/>
      <c r="P105" s="9"/>
      <c r="Q105" s="9"/>
    </row>
    <row r="106" spans="1:17" s="58" customFormat="1" ht="13.8">
      <c r="A106" s="54" t="s">
        <v>1389</v>
      </c>
      <c r="B106" s="20" t="s">
        <v>1145</v>
      </c>
      <c r="C106" s="323" t="s">
        <v>2291</v>
      </c>
      <c r="D106" s="324"/>
      <c r="E106" s="324"/>
      <c r="F106" s="324"/>
      <c r="G106" s="324"/>
      <c r="H106" s="324"/>
      <c r="I106" s="324"/>
      <c r="J106" s="324"/>
      <c r="K106" s="325"/>
      <c r="L106" s="9"/>
      <c r="M106" s="9"/>
      <c r="N106" s="9"/>
      <c r="O106" s="9"/>
      <c r="P106" s="9"/>
      <c r="Q106" s="9"/>
    </row>
    <row r="107" spans="1:17" s="58" customFormat="1" ht="13.8">
      <c r="A107" s="54" t="s">
        <v>1391</v>
      </c>
      <c r="B107" s="19" t="s">
        <v>1145</v>
      </c>
      <c r="C107" s="326" t="s">
        <v>2198</v>
      </c>
      <c r="D107" s="327"/>
      <c r="E107" s="327"/>
      <c r="F107" s="327"/>
      <c r="G107" s="328"/>
      <c r="H107" s="4" t="s">
        <v>2199</v>
      </c>
      <c r="I107" s="9"/>
      <c r="J107" s="9"/>
      <c r="K107" s="9"/>
      <c r="L107" s="9"/>
      <c r="M107" s="9"/>
      <c r="N107" s="9"/>
      <c r="O107" s="9"/>
      <c r="P107" s="9"/>
      <c r="Q107" s="9"/>
    </row>
    <row r="108" spans="1:17" s="58" customFormat="1" ht="13.8">
      <c r="A108" s="5" t="s">
        <v>1394</v>
      </c>
      <c r="B108" s="5" t="s">
        <v>2198</v>
      </c>
      <c r="C108" s="59" t="s">
        <v>1395</v>
      </c>
      <c r="D108" s="6" t="s">
        <v>97</v>
      </c>
      <c r="E108" s="6" t="s">
        <v>98</v>
      </c>
      <c r="F108" s="6" t="s">
        <v>1396</v>
      </c>
      <c r="G108" s="6" t="s">
        <v>1397</v>
      </c>
      <c r="H108" s="7"/>
      <c r="I108" s="9"/>
      <c r="J108" s="7"/>
      <c r="K108" s="12"/>
      <c r="L108" s="6"/>
      <c r="M108" s="6"/>
      <c r="N108" s="12"/>
      <c r="O108" s="7"/>
      <c r="P108" s="9"/>
      <c r="Q108" s="9"/>
    </row>
    <row r="109" spans="1:17" s="58" customFormat="1" ht="13.8">
      <c r="A109" s="54" t="s">
        <v>1389</v>
      </c>
      <c r="B109" s="20" t="s">
        <v>1145</v>
      </c>
      <c r="C109" s="323" t="s">
        <v>1359</v>
      </c>
      <c r="D109" s="324"/>
      <c r="E109" s="324"/>
      <c r="F109" s="324"/>
      <c r="G109" s="324"/>
      <c r="H109" s="324"/>
      <c r="I109" s="324"/>
      <c r="J109" s="324"/>
      <c r="K109" s="325"/>
      <c r="L109" s="9"/>
      <c r="M109" s="9"/>
      <c r="N109" s="9"/>
      <c r="O109" s="9"/>
      <c r="P109" s="9"/>
      <c r="Q109" s="9"/>
    </row>
    <row r="110" spans="1:17" s="58" customFormat="1" ht="13.8">
      <c r="A110" s="54" t="s">
        <v>1391</v>
      </c>
      <c r="B110" s="19" t="s">
        <v>1145</v>
      </c>
      <c r="C110" s="326" t="s">
        <v>1905</v>
      </c>
      <c r="D110" s="327"/>
      <c r="E110" s="327"/>
      <c r="F110" s="327"/>
      <c r="G110" s="328"/>
      <c r="H110" s="4" t="s">
        <v>1977</v>
      </c>
      <c r="I110" s="9"/>
      <c r="J110" s="9"/>
      <c r="K110" s="9"/>
      <c r="L110" s="9"/>
      <c r="M110" s="9"/>
      <c r="N110" s="9"/>
      <c r="O110" s="9"/>
      <c r="P110" s="9"/>
      <c r="Q110" s="9"/>
    </row>
    <row r="111" spans="1:17" s="58" customFormat="1" ht="13.8">
      <c r="A111" s="5" t="s">
        <v>1394</v>
      </c>
      <c r="B111" s="5" t="s">
        <v>1905</v>
      </c>
      <c r="C111" s="59" t="s">
        <v>1395</v>
      </c>
      <c r="D111" s="6" t="s">
        <v>97</v>
      </c>
      <c r="E111" s="6" t="s">
        <v>98</v>
      </c>
      <c r="F111" s="6" t="s">
        <v>1396</v>
      </c>
      <c r="G111" s="6" t="s">
        <v>1397</v>
      </c>
      <c r="H111" s="7"/>
      <c r="I111" s="9"/>
      <c r="J111" s="7"/>
      <c r="K111" s="12"/>
      <c r="L111" s="6"/>
      <c r="M111" s="6"/>
      <c r="N111" s="12"/>
      <c r="O111" s="7"/>
      <c r="P111" s="9"/>
      <c r="Q111" s="9"/>
    </row>
    <row r="112" spans="1:17" s="58" customFormat="1" ht="13.8">
      <c r="A112" s="54" t="s">
        <v>1389</v>
      </c>
      <c r="B112" s="20" t="s">
        <v>1145</v>
      </c>
      <c r="C112" s="323" t="s">
        <v>1362</v>
      </c>
      <c r="D112" s="324"/>
      <c r="E112" s="324"/>
      <c r="F112" s="324"/>
      <c r="G112" s="324"/>
      <c r="H112" s="324"/>
      <c r="I112" s="324"/>
      <c r="J112" s="324"/>
      <c r="K112" s="325"/>
      <c r="L112" s="9"/>
      <c r="M112" s="9"/>
      <c r="N112" s="9"/>
      <c r="O112" s="9"/>
      <c r="P112" s="9"/>
      <c r="Q112" s="9"/>
    </row>
    <row r="113" spans="1:17" s="58" customFormat="1" ht="13.8">
      <c r="A113" s="54" t="s">
        <v>1391</v>
      </c>
      <c r="B113" s="19" t="s">
        <v>1145</v>
      </c>
      <c r="C113" s="326" t="s">
        <v>1905</v>
      </c>
      <c r="D113" s="327"/>
      <c r="E113" s="327"/>
      <c r="F113" s="327"/>
      <c r="G113" s="328"/>
      <c r="H113" s="4" t="s">
        <v>1977</v>
      </c>
      <c r="I113" s="9"/>
      <c r="J113" s="9"/>
      <c r="K113" s="9"/>
      <c r="L113" s="9"/>
      <c r="M113" s="9"/>
      <c r="N113" s="9"/>
      <c r="O113" s="9"/>
      <c r="P113" s="9"/>
      <c r="Q113" s="9"/>
    </row>
    <row r="114" spans="1:17" s="58" customFormat="1" ht="13.8">
      <c r="A114" s="5" t="s">
        <v>1394</v>
      </c>
      <c r="B114" s="5" t="s">
        <v>1905</v>
      </c>
      <c r="C114" s="59" t="s">
        <v>1395</v>
      </c>
      <c r="D114" s="6" t="s">
        <v>97</v>
      </c>
      <c r="E114" s="6" t="s">
        <v>98</v>
      </c>
      <c r="F114" s="6" t="s">
        <v>1396</v>
      </c>
      <c r="G114" s="6" t="s">
        <v>1397</v>
      </c>
      <c r="H114" s="7"/>
      <c r="I114" s="9"/>
      <c r="J114" s="7"/>
      <c r="K114" s="12"/>
      <c r="L114" s="6"/>
      <c r="M114" s="6"/>
      <c r="N114" s="12"/>
      <c r="O114" s="7"/>
      <c r="P114" s="9"/>
      <c r="Q114" s="9"/>
    </row>
    <row r="115" spans="1:17" s="58" customFormat="1" ht="13.8">
      <c r="A115" s="54" t="s">
        <v>1389</v>
      </c>
      <c r="B115" s="20" t="s">
        <v>1145</v>
      </c>
      <c r="C115" s="323" t="s">
        <v>2292</v>
      </c>
      <c r="D115" s="324"/>
      <c r="E115" s="324"/>
      <c r="F115" s="324"/>
      <c r="G115" s="324"/>
      <c r="H115" s="324"/>
      <c r="I115" s="324"/>
      <c r="J115" s="324"/>
      <c r="K115" s="325"/>
      <c r="L115" s="9"/>
      <c r="M115" s="9"/>
      <c r="N115" s="9"/>
      <c r="O115" s="9"/>
      <c r="P115" s="9"/>
      <c r="Q115" s="9"/>
    </row>
    <row r="116" spans="1:17" s="58" customFormat="1" ht="13.8">
      <c r="A116" s="54" t="s">
        <v>1391</v>
      </c>
      <c r="B116" s="19" t="s">
        <v>1145</v>
      </c>
      <c r="C116" s="326" t="s">
        <v>2055</v>
      </c>
      <c r="D116" s="327"/>
      <c r="E116" s="327"/>
      <c r="F116" s="327"/>
      <c r="G116" s="328"/>
      <c r="H116" s="4" t="s">
        <v>2056</v>
      </c>
      <c r="I116" s="9"/>
      <c r="J116" s="9"/>
      <c r="K116" s="9"/>
      <c r="L116" s="9"/>
      <c r="M116" s="9"/>
      <c r="N116" s="9"/>
      <c r="O116" s="9"/>
      <c r="P116" s="9"/>
      <c r="Q116" s="9"/>
    </row>
    <row r="117" spans="1:17" s="58" customFormat="1" ht="13.8">
      <c r="A117" s="5" t="s">
        <v>1394</v>
      </c>
      <c r="B117" s="5" t="s">
        <v>2055</v>
      </c>
      <c r="C117" s="59" t="s">
        <v>1395</v>
      </c>
      <c r="D117" s="6" t="s">
        <v>97</v>
      </c>
      <c r="E117" s="6" t="s">
        <v>98</v>
      </c>
      <c r="F117" s="6" t="s">
        <v>1396</v>
      </c>
      <c r="G117" s="6" t="s">
        <v>1397</v>
      </c>
      <c r="H117" s="7"/>
      <c r="I117" s="9"/>
      <c r="J117" s="7"/>
      <c r="K117" s="12"/>
      <c r="L117" s="6"/>
      <c r="M117" s="6"/>
      <c r="N117" s="12"/>
      <c r="O117" s="7"/>
      <c r="P117" s="9"/>
      <c r="Q117" s="9"/>
    </row>
    <row r="118" spans="1:17" s="58" customFormat="1" ht="13.8">
      <c r="A118" s="54" t="s">
        <v>1389</v>
      </c>
      <c r="B118" s="20" t="s">
        <v>1145</v>
      </c>
      <c r="C118" s="323" t="s">
        <v>1361</v>
      </c>
      <c r="D118" s="324"/>
      <c r="E118" s="324"/>
      <c r="F118" s="324"/>
      <c r="G118" s="324"/>
      <c r="H118" s="324"/>
      <c r="I118" s="324"/>
      <c r="J118" s="324"/>
      <c r="K118" s="325"/>
      <c r="L118" s="9"/>
      <c r="M118" s="9"/>
      <c r="N118" s="9"/>
      <c r="O118" s="9"/>
      <c r="P118" s="9"/>
      <c r="Q118" s="9"/>
    </row>
    <row r="119" spans="1:17" s="58" customFormat="1" ht="13.8">
      <c r="A119" s="54" t="s">
        <v>1391</v>
      </c>
      <c r="B119" s="19" t="s">
        <v>1145</v>
      </c>
      <c r="C119" s="326" t="s">
        <v>1798</v>
      </c>
      <c r="D119" s="327"/>
      <c r="E119" s="327"/>
      <c r="F119" s="327"/>
      <c r="G119" s="328"/>
      <c r="H119" s="4" t="s">
        <v>1799</v>
      </c>
      <c r="I119" s="9"/>
      <c r="J119" s="9"/>
      <c r="K119" s="9"/>
      <c r="L119" s="9"/>
      <c r="M119" s="9"/>
      <c r="N119" s="9"/>
      <c r="O119" s="9"/>
      <c r="P119" s="9"/>
      <c r="Q119" s="9"/>
    </row>
    <row r="120" spans="1:17" s="58" customFormat="1" ht="13.8">
      <c r="A120" s="5" t="s">
        <v>1394</v>
      </c>
      <c r="B120" s="5" t="s">
        <v>1798</v>
      </c>
      <c r="C120" s="59" t="s">
        <v>1395</v>
      </c>
      <c r="D120" s="6" t="s">
        <v>97</v>
      </c>
      <c r="E120" s="6" t="s">
        <v>98</v>
      </c>
      <c r="F120" s="6" t="s">
        <v>1396</v>
      </c>
      <c r="G120" s="6" t="s">
        <v>1397</v>
      </c>
      <c r="H120" s="7"/>
      <c r="I120" s="9"/>
      <c r="J120" s="7"/>
      <c r="K120" s="12"/>
      <c r="L120" s="6"/>
      <c r="M120" s="6"/>
      <c r="N120" s="12"/>
      <c r="O120" s="7"/>
      <c r="P120" s="9"/>
      <c r="Q120" s="9"/>
    </row>
    <row r="121" spans="1:17" s="55" customFormat="1" ht="13.8">
      <c r="A121" s="54" t="s">
        <v>1385</v>
      </c>
      <c r="B121" s="17" t="s">
        <v>29</v>
      </c>
      <c r="C121" s="18"/>
      <c r="D121" s="18"/>
      <c r="E121" s="18"/>
      <c r="F121" s="18"/>
      <c r="G121" s="18"/>
      <c r="H121" s="18"/>
      <c r="I121" s="18"/>
      <c r="J121" s="18"/>
      <c r="K121" s="18"/>
      <c r="L121" s="8"/>
      <c r="M121" s="8"/>
      <c r="N121" s="8"/>
      <c r="O121" s="9"/>
      <c r="P121" s="10"/>
      <c r="Q121" s="9"/>
    </row>
    <row r="122" spans="1:17" s="57" customFormat="1" ht="51.6" customHeight="1">
      <c r="A122" s="56" t="s">
        <v>1386</v>
      </c>
      <c r="B122" s="3" t="s">
        <v>1146</v>
      </c>
      <c r="C122" s="322" t="s">
        <v>1453</v>
      </c>
      <c r="D122" s="322"/>
      <c r="E122" s="322"/>
      <c r="F122" s="322"/>
      <c r="G122" s="322"/>
      <c r="H122" s="322"/>
      <c r="I122" s="20" t="s">
        <v>2328</v>
      </c>
      <c r="J122" s="20" t="s">
        <v>2329</v>
      </c>
      <c r="K122" s="11" t="s">
        <v>2330</v>
      </c>
      <c r="L122" s="11"/>
      <c r="M122" s="11"/>
      <c r="N122" s="11"/>
      <c r="O122" s="9"/>
      <c r="P122" s="10"/>
      <c r="Q122" s="9"/>
    </row>
    <row r="123" spans="1:17" s="58" customFormat="1" ht="13.8">
      <c r="A123" s="54" t="s">
        <v>1389</v>
      </c>
      <c r="B123" s="20" t="s">
        <v>1146</v>
      </c>
      <c r="C123" s="323" t="s">
        <v>1356</v>
      </c>
      <c r="D123" s="324"/>
      <c r="E123" s="324"/>
      <c r="F123" s="324"/>
      <c r="G123" s="324"/>
      <c r="H123" s="324"/>
      <c r="I123" s="324"/>
      <c r="J123" s="324"/>
      <c r="K123" s="325"/>
      <c r="L123" s="9"/>
      <c r="M123" s="9"/>
      <c r="N123" s="9"/>
      <c r="O123" s="9"/>
      <c r="P123" s="9"/>
      <c r="Q123" s="9"/>
    </row>
    <row r="124" spans="1:17" s="58" customFormat="1" ht="13.8">
      <c r="A124" s="54" t="s">
        <v>1391</v>
      </c>
      <c r="B124" s="19" t="s">
        <v>1146</v>
      </c>
      <c r="C124" s="326" t="s">
        <v>1727</v>
      </c>
      <c r="D124" s="327"/>
      <c r="E124" s="327"/>
      <c r="F124" s="327"/>
      <c r="G124" s="328"/>
      <c r="H124" s="4" t="s">
        <v>1728</v>
      </c>
      <c r="I124" s="9"/>
      <c r="J124" s="9"/>
      <c r="K124" s="9"/>
      <c r="L124" s="9"/>
      <c r="M124" s="9"/>
      <c r="N124" s="9"/>
      <c r="O124" s="9"/>
      <c r="P124" s="9"/>
      <c r="Q124" s="9"/>
    </row>
    <row r="125" spans="1:17" s="58" customFormat="1" ht="13.8">
      <c r="A125" s="5" t="s">
        <v>1394</v>
      </c>
      <c r="B125" s="5" t="s">
        <v>1727</v>
      </c>
      <c r="C125" s="59" t="s">
        <v>1395</v>
      </c>
      <c r="D125" s="6" t="s">
        <v>97</v>
      </c>
      <c r="E125" s="6" t="s">
        <v>98</v>
      </c>
      <c r="F125" s="6" t="s">
        <v>1396</v>
      </c>
      <c r="G125" s="6" t="s">
        <v>1397</v>
      </c>
      <c r="H125" s="7"/>
      <c r="I125" s="9"/>
      <c r="J125" s="7"/>
      <c r="K125" s="12"/>
      <c r="L125" s="6"/>
      <c r="M125" s="6"/>
      <c r="N125" s="12"/>
      <c r="O125" s="7"/>
      <c r="P125" s="9"/>
      <c r="Q125" s="9"/>
    </row>
    <row r="126" spans="1:17" s="58" customFormat="1" ht="13.8">
      <c r="A126" s="54" t="s">
        <v>1389</v>
      </c>
      <c r="B126" s="20" t="s">
        <v>1146</v>
      </c>
      <c r="C126" s="323" t="s">
        <v>1357</v>
      </c>
      <c r="D126" s="324"/>
      <c r="E126" s="324"/>
      <c r="F126" s="324"/>
      <c r="G126" s="324"/>
      <c r="H126" s="324"/>
      <c r="I126" s="324"/>
      <c r="J126" s="324"/>
      <c r="K126" s="325"/>
      <c r="L126" s="9"/>
      <c r="M126" s="9"/>
      <c r="N126" s="9"/>
      <c r="O126" s="9"/>
      <c r="P126" s="9"/>
      <c r="Q126" s="9"/>
    </row>
    <row r="127" spans="1:17" s="58" customFormat="1" ht="13.8">
      <c r="A127" s="54" t="s">
        <v>1391</v>
      </c>
      <c r="B127" s="19" t="s">
        <v>1146</v>
      </c>
      <c r="C127" s="326" t="s">
        <v>2033</v>
      </c>
      <c r="D127" s="327"/>
      <c r="E127" s="327"/>
      <c r="F127" s="327"/>
      <c r="G127" s="328"/>
      <c r="H127" s="4" t="s">
        <v>2034</v>
      </c>
      <c r="I127" s="9"/>
      <c r="J127" s="9"/>
      <c r="K127" s="9"/>
      <c r="L127" s="9"/>
      <c r="M127" s="9"/>
      <c r="N127" s="9"/>
      <c r="O127" s="9"/>
      <c r="P127" s="9"/>
      <c r="Q127" s="9"/>
    </row>
    <row r="128" spans="1:17" s="58" customFormat="1" ht="13.8">
      <c r="A128" s="5" t="s">
        <v>1394</v>
      </c>
      <c r="B128" s="5" t="s">
        <v>2033</v>
      </c>
      <c r="C128" s="59" t="s">
        <v>1395</v>
      </c>
      <c r="D128" s="6" t="s">
        <v>97</v>
      </c>
      <c r="E128" s="6" t="s">
        <v>98</v>
      </c>
      <c r="F128" s="6" t="s">
        <v>1396</v>
      </c>
      <c r="G128" s="6" t="s">
        <v>1397</v>
      </c>
      <c r="H128" s="7"/>
      <c r="I128" s="9"/>
      <c r="J128" s="7"/>
      <c r="K128" s="12"/>
      <c r="L128" s="6"/>
      <c r="M128" s="6"/>
      <c r="N128" s="12"/>
      <c r="O128" s="7"/>
      <c r="P128" s="9"/>
      <c r="Q128" s="9"/>
    </row>
    <row r="129" spans="1:17" s="58" customFormat="1" ht="13.8">
      <c r="A129" s="54" t="s">
        <v>1389</v>
      </c>
      <c r="B129" s="20" t="s">
        <v>1146</v>
      </c>
      <c r="C129" s="323" t="s">
        <v>2291</v>
      </c>
      <c r="D129" s="324"/>
      <c r="E129" s="324"/>
      <c r="F129" s="324"/>
      <c r="G129" s="324"/>
      <c r="H129" s="324"/>
      <c r="I129" s="324"/>
      <c r="J129" s="324"/>
      <c r="K129" s="325"/>
      <c r="L129" s="9"/>
      <c r="M129" s="9"/>
      <c r="N129" s="9"/>
      <c r="O129" s="9"/>
      <c r="P129" s="9"/>
      <c r="Q129" s="9"/>
    </row>
    <row r="130" spans="1:17" s="58" customFormat="1" ht="13.8">
      <c r="A130" s="54" t="s">
        <v>1391</v>
      </c>
      <c r="B130" s="19" t="s">
        <v>1146</v>
      </c>
      <c r="C130" s="326" t="s">
        <v>2198</v>
      </c>
      <c r="D130" s="327"/>
      <c r="E130" s="327"/>
      <c r="F130" s="327"/>
      <c r="G130" s="328"/>
      <c r="H130" s="4" t="s">
        <v>2199</v>
      </c>
      <c r="I130" s="9"/>
      <c r="J130" s="9"/>
      <c r="K130" s="9"/>
      <c r="L130" s="9"/>
      <c r="M130" s="9"/>
      <c r="N130" s="9"/>
      <c r="O130" s="9"/>
      <c r="P130" s="9"/>
      <c r="Q130" s="9"/>
    </row>
    <row r="131" spans="1:17" s="58" customFormat="1" ht="13.8">
      <c r="A131" s="5" t="s">
        <v>1394</v>
      </c>
      <c r="B131" s="5" t="s">
        <v>2198</v>
      </c>
      <c r="C131" s="59" t="s">
        <v>1395</v>
      </c>
      <c r="D131" s="6" t="s">
        <v>97</v>
      </c>
      <c r="E131" s="6" t="s">
        <v>98</v>
      </c>
      <c r="F131" s="6" t="s">
        <v>1396</v>
      </c>
      <c r="G131" s="6" t="s">
        <v>1397</v>
      </c>
      <c r="H131" s="7"/>
      <c r="I131" s="9"/>
      <c r="J131" s="7"/>
      <c r="K131" s="12"/>
      <c r="L131" s="6"/>
      <c r="M131" s="6"/>
      <c r="N131" s="12"/>
      <c r="O131" s="7"/>
      <c r="P131" s="9"/>
      <c r="Q131" s="9"/>
    </row>
    <row r="132" spans="1:17" s="58" customFormat="1" ht="13.8">
      <c r="A132" s="54" t="s">
        <v>1389</v>
      </c>
      <c r="B132" s="20" t="s">
        <v>1146</v>
      </c>
      <c r="C132" s="323" t="s">
        <v>1359</v>
      </c>
      <c r="D132" s="324"/>
      <c r="E132" s="324"/>
      <c r="F132" s="324"/>
      <c r="G132" s="324"/>
      <c r="H132" s="324"/>
      <c r="I132" s="324"/>
      <c r="J132" s="324"/>
      <c r="K132" s="325"/>
      <c r="L132" s="9"/>
      <c r="M132" s="9"/>
      <c r="N132" s="9"/>
      <c r="O132" s="9"/>
      <c r="P132" s="9"/>
      <c r="Q132" s="9"/>
    </row>
    <row r="133" spans="1:17" s="58" customFormat="1" ht="13.8">
      <c r="A133" s="54" t="s">
        <v>1391</v>
      </c>
      <c r="B133" s="19" t="s">
        <v>1146</v>
      </c>
      <c r="C133" s="326" t="s">
        <v>1905</v>
      </c>
      <c r="D133" s="327"/>
      <c r="E133" s="327"/>
      <c r="F133" s="327"/>
      <c r="G133" s="328"/>
      <c r="H133" s="4" t="s">
        <v>1977</v>
      </c>
      <c r="I133" s="9"/>
      <c r="J133" s="9"/>
      <c r="K133" s="9"/>
      <c r="L133" s="9"/>
      <c r="M133" s="9"/>
      <c r="N133" s="9"/>
      <c r="O133" s="9"/>
      <c r="P133" s="9"/>
      <c r="Q133" s="9"/>
    </row>
    <row r="134" spans="1:17" s="58" customFormat="1" ht="13.8">
      <c r="A134" s="5" t="s">
        <v>1394</v>
      </c>
      <c r="B134" s="5" t="s">
        <v>1905</v>
      </c>
      <c r="C134" s="59" t="s">
        <v>1395</v>
      </c>
      <c r="D134" s="6" t="s">
        <v>97</v>
      </c>
      <c r="E134" s="6" t="s">
        <v>98</v>
      </c>
      <c r="F134" s="6" t="s">
        <v>1396</v>
      </c>
      <c r="G134" s="6" t="s">
        <v>1397</v>
      </c>
      <c r="H134" s="7"/>
      <c r="I134" s="9"/>
      <c r="J134" s="7"/>
      <c r="K134" s="12"/>
      <c r="L134" s="6"/>
      <c r="M134" s="6"/>
      <c r="N134" s="12"/>
      <c r="O134" s="7"/>
      <c r="P134" s="9"/>
      <c r="Q134" s="9"/>
    </row>
    <row r="135" spans="1:17" s="58" customFormat="1" ht="13.8">
      <c r="A135" s="54" t="s">
        <v>1389</v>
      </c>
      <c r="B135" s="20" t="s">
        <v>1146</v>
      </c>
      <c r="C135" s="323" t="s">
        <v>1362</v>
      </c>
      <c r="D135" s="324"/>
      <c r="E135" s="324"/>
      <c r="F135" s="324"/>
      <c r="G135" s="324"/>
      <c r="H135" s="324"/>
      <c r="I135" s="324"/>
      <c r="J135" s="324"/>
      <c r="K135" s="325"/>
      <c r="L135" s="9"/>
      <c r="M135" s="9"/>
      <c r="N135" s="9"/>
      <c r="O135" s="9"/>
      <c r="P135" s="9"/>
      <c r="Q135" s="9"/>
    </row>
    <row r="136" spans="1:17" s="58" customFormat="1" ht="13.8">
      <c r="A136" s="54" t="s">
        <v>1391</v>
      </c>
      <c r="B136" s="19" t="s">
        <v>1146</v>
      </c>
      <c r="C136" s="326" t="s">
        <v>1905</v>
      </c>
      <c r="D136" s="327"/>
      <c r="E136" s="327"/>
      <c r="F136" s="327"/>
      <c r="G136" s="328"/>
      <c r="H136" s="4" t="s">
        <v>1977</v>
      </c>
      <c r="I136" s="9"/>
      <c r="J136" s="9"/>
      <c r="K136" s="9"/>
      <c r="L136" s="9"/>
      <c r="M136" s="9"/>
      <c r="N136" s="9"/>
      <c r="O136" s="9"/>
      <c r="P136" s="9"/>
      <c r="Q136" s="9"/>
    </row>
    <row r="137" spans="1:17" s="58" customFormat="1" ht="13.8">
      <c r="A137" s="5" t="s">
        <v>1394</v>
      </c>
      <c r="B137" s="5" t="s">
        <v>1905</v>
      </c>
      <c r="C137" s="59" t="s">
        <v>1395</v>
      </c>
      <c r="D137" s="6" t="s">
        <v>97</v>
      </c>
      <c r="E137" s="6" t="s">
        <v>98</v>
      </c>
      <c r="F137" s="6" t="s">
        <v>1396</v>
      </c>
      <c r="G137" s="6" t="s">
        <v>1397</v>
      </c>
      <c r="H137" s="7"/>
      <c r="I137" s="9"/>
      <c r="J137" s="7"/>
      <c r="K137" s="12"/>
      <c r="L137" s="6"/>
      <c r="M137" s="6"/>
      <c r="N137" s="12"/>
      <c r="O137" s="7"/>
      <c r="P137" s="9"/>
      <c r="Q137" s="9"/>
    </row>
    <row r="138" spans="1:17" s="58" customFormat="1" ht="13.8">
      <c r="A138" s="54" t="s">
        <v>1389</v>
      </c>
      <c r="B138" s="20" t="s">
        <v>1146</v>
      </c>
      <c r="C138" s="323" t="s">
        <v>2292</v>
      </c>
      <c r="D138" s="324"/>
      <c r="E138" s="324"/>
      <c r="F138" s="324"/>
      <c r="G138" s="324"/>
      <c r="H138" s="324"/>
      <c r="I138" s="324"/>
      <c r="J138" s="324"/>
      <c r="K138" s="325"/>
      <c r="L138" s="9"/>
      <c r="M138" s="9"/>
      <c r="N138" s="9"/>
      <c r="O138" s="9"/>
      <c r="P138" s="9"/>
      <c r="Q138" s="9"/>
    </row>
    <row r="139" spans="1:17" s="58" customFormat="1" ht="13.8">
      <c r="A139" s="54" t="s">
        <v>1391</v>
      </c>
      <c r="B139" s="19" t="s">
        <v>1146</v>
      </c>
      <c r="C139" s="326" t="s">
        <v>2055</v>
      </c>
      <c r="D139" s="327"/>
      <c r="E139" s="327"/>
      <c r="F139" s="327"/>
      <c r="G139" s="328"/>
      <c r="H139" s="4" t="s">
        <v>2056</v>
      </c>
      <c r="I139" s="9"/>
      <c r="J139" s="9"/>
      <c r="K139" s="9"/>
      <c r="L139" s="9"/>
      <c r="M139" s="9"/>
      <c r="N139" s="9"/>
      <c r="O139" s="9"/>
      <c r="P139" s="9"/>
      <c r="Q139" s="9"/>
    </row>
    <row r="140" spans="1:17" s="58" customFormat="1" ht="13.8">
      <c r="A140" s="5" t="s">
        <v>1394</v>
      </c>
      <c r="B140" s="5" t="s">
        <v>2055</v>
      </c>
      <c r="C140" s="59" t="s">
        <v>1395</v>
      </c>
      <c r="D140" s="6" t="s">
        <v>97</v>
      </c>
      <c r="E140" s="6" t="s">
        <v>98</v>
      </c>
      <c r="F140" s="6" t="s">
        <v>1396</v>
      </c>
      <c r="G140" s="6" t="s">
        <v>1397</v>
      </c>
      <c r="H140" s="7"/>
      <c r="I140" s="9"/>
      <c r="J140" s="7"/>
      <c r="K140" s="12"/>
      <c r="L140" s="6"/>
      <c r="M140" s="6"/>
      <c r="N140" s="12"/>
      <c r="O140" s="7"/>
      <c r="P140" s="9"/>
      <c r="Q140" s="9"/>
    </row>
    <row r="141" spans="1:17" s="58" customFormat="1" ht="13.8">
      <c r="A141" s="54" t="s">
        <v>1389</v>
      </c>
      <c r="B141" s="20" t="s">
        <v>1146</v>
      </c>
      <c r="C141" s="323" t="s">
        <v>1361</v>
      </c>
      <c r="D141" s="324"/>
      <c r="E141" s="324"/>
      <c r="F141" s="324"/>
      <c r="G141" s="324"/>
      <c r="H141" s="324"/>
      <c r="I141" s="324"/>
      <c r="J141" s="324"/>
      <c r="K141" s="325"/>
      <c r="L141" s="9"/>
      <c r="M141" s="9"/>
      <c r="N141" s="9"/>
      <c r="O141" s="9"/>
      <c r="P141" s="9"/>
      <c r="Q141" s="9"/>
    </row>
    <row r="142" spans="1:17" s="58" customFormat="1" ht="13.8">
      <c r="A142" s="54" t="s">
        <v>1391</v>
      </c>
      <c r="B142" s="19" t="s">
        <v>1146</v>
      </c>
      <c r="C142" s="326" t="s">
        <v>1798</v>
      </c>
      <c r="D142" s="327"/>
      <c r="E142" s="327"/>
      <c r="F142" s="327"/>
      <c r="G142" s="328"/>
      <c r="H142" s="4" t="s">
        <v>1799</v>
      </c>
      <c r="I142" s="9"/>
      <c r="J142" s="9"/>
      <c r="K142" s="9"/>
      <c r="L142" s="9"/>
      <c r="M142" s="9"/>
      <c r="N142" s="9"/>
      <c r="O142" s="9"/>
      <c r="P142" s="9"/>
      <c r="Q142" s="9"/>
    </row>
    <row r="143" spans="1:17" s="58" customFormat="1" ht="13.8">
      <c r="A143" s="5" t="s">
        <v>1394</v>
      </c>
      <c r="B143" s="5" t="s">
        <v>1798</v>
      </c>
      <c r="C143" s="59" t="s">
        <v>1395</v>
      </c>
      <c r="D143" s="6" t="s">
        <v>97</v>
      </c>
      <c r="E143" s="6" t="s">
        <v>98</v>
      </c>
      <c r="F143" s="6" t="s">
        <v>1396</v>
      </c>
      <c r="G143" s="6" t="s">
        <v>1397</v>
      </c>
      <c r="H143" s="7"/>
      <c r="I143" s="9"/>
      <c r="J143" s="7"/>
      <c r="K143" s="12"/>
      <c r="L143" s="6"/>
      <c r="M143" s="6"/>
      <c r="N143" s="12"/>
      <c r="O143" s="7"/>
      <c r="P143" s="9"/>
      <c r="Q143" s="9"/>
    </row>
    <row r="144" spans="1:17" s="57" customFormat="1" ht="51.6" customHeight="1">
      <c r="A144" s="56" t="s">
        <v>1386</v>
      </c>
      <c r="B144" s="3" t="s">
        <v>1147</v>
      </c>
      <c r="C144" s="322" t="s">
        <v>1454</v>
      </c>
      <c r="D144" s="322"/>
      <c r="E144" s="322"/>
      <c r="F144" s="322"/>
      <c r="G144" s="322"/>
      <c r="H144" s="322"/>
      <c r="I144" s="20" t="s">
        <v>2331</v>
      </c>
      <c r="J144" s="20" t="s">
        <v>2332</v>
      </c>
      <c r="K144" s="11" t="s">
        <v>2333</v>
      </c>
      <c r="L144" s="11"/>
      <c r="M144" s="11"/>
      <c r="N144" s="11"/>
      <c r="O144" s="9"/>
      <c r="P144" s="10"/>
      <c r="Q144" s="9"/>
    </row>
    <row r="145" spans="1:17" s="58" customFormat="1" ht="13.8">
      <c r="A145" s="54" t="s">
        <v>1389</v>
      </c>
      <c r="B145" s="20" t="s">
        <v>1147</v>
      </c>
      <c r="C145" s="323" t="s">
        <v>1356</v>
      </c>
      <c r="D145" s="324"/>
      <c r="E145" s="324"/>
      <c r="F145" s="324"/>
      <c r="G145" s="324"/>
      <c r="H145" s="324"/>
      <c r="I145" s="324"/>
      <c r="J145" s="324"/>
      <c r="K145" s="325"/>
      <c r="L145" s="9"/>
      <c r="M145" s="9"/>
      <c r="N145" s="9"/>
      <c r="O145" s="9"/>
      <c r="P145" s="9"/>
      <c r="Q145" s="9"/>
    </row>
    <row r="146" spans="1:17" s="58" customFormat="1" ht="13.8">
      <c r="A146" s="54" t="s">
        <v>1391</v>
      </c>
      <c r="B146" s="19" t="s">
        <v>1147</v>
      </c>
      <c r="C146" s="326" t="s">
        <v>1727</v>
      </c>
      <c r="D146" s="327"/>
      <c r="E146" s="327"/>
      <c r="F146" s="327"/>
      <c r="G146" s="328"/>
      <c r="H146" s="4" t="s">
        <v>1728</v>
      </c>
      <c r="I146" s="9"/>
      <c r="J146" s="9"/>
      <c r="K146" s="9"/>
      <c r="L146" s="9"/>
      <c r="M146" s="9"/>
      <c r="N146" s="9"/>
      <c r="O146" s="9"/>
      <c r="P146" s="9"/>
      <c r="Q146" s="9"/>
    </row>
    <row r="147" spans="1:17" s="58" customFormat="1" ht="13.8">
      <c r="A147" s="5" t="s">
        <v>1394</v>
      </c>
      <c r="B147" s="5" t="s">
        <v>1727</v>
      </c>
      <c r="C147" s="59" t="s">
        <v>1395</v>
      </c>
      <c r="D147" s="6" t="s">
        <v>97</v>
      </c>
      <c r="E147" s="6" t="s">
        <v>98</v>
      </c>
      <c r="F147" s="6" t="s">
        <v>1396</v>
      </c>
      <c r="G147" s="6" t="s">
        <v>1397</v>
      </c>
      <c r="H147" s="7"/>
      <c r="I147" s="9"/>
      <c r="J147" s="7"/>
      <c r="K147" s="12"/>
      <c r="L147" s="6"/>
      <c r="M147" s="6"/>
      <c r="N147" s="12"/>
      <c r="O147" s="7"/>
      <c r="P147" s="9"/>
      <c r="Q147" s="9"/>
    </row>
    <row r="148" spans="1:17" s="58" customFormat="1" ht="13.8">
      <c r="A148" s="54" t="s">
        <v>1389</v>
      </c>
      <c r="B148" s="20" t="s">
        <v>1147</v>
      </c>
      <c r="C148" s="323" t="s">
        <v>1357</v>
      </c>
      <c r="D148" s="324"/>
      <c r="E148" s="324"/>
      <c r="F148" s="324"/>
      <c r="G148" s="324"/>
      <c r="H148" s="324"/>
      <c r="I148" s="324"/>
      <c r="J148" s="324"/>
      <c r="K148" s="325"/>
      <c r="L148" s="9"/>
      <c r="M148" s="9"/>
      <c r="N148" s="9"/>
      <c r="O148" s="9"/>
      <c r="P148" s="9"/>
      <c r="Q148" s="9"/>
    </row>
    <row r="149" spans="1:17" s="58" customFormat="1" ht="13.8">
      <c r="A149" s="54" t="s">
        <v>1391</v>
      </c>
      <c r="B149" s="19" t="s">
        <v>1147</v>
      </c>
      <c r="C149" s="326" t="s">
        <v>2033</v>
      </c>
      <c r="D149" s="327"/>
      <c r="E149" s="327"/>
      <c r="F149" s="327"/>
      <c r="G149" s="328"/>
      <c r="H149" s="4" t="s">
        <v>2034</v>
      </c>
      <c r="I149" s="9"/>
      <c r="J149" s="9"/>
      <c r="K149" s="9"/>
      <c r="L149" s="9"/>
      <c r="M149" s="9"/>
      <c r="N149" s="9"/>
      <c r="O149" s="9"/>
      <c r="P149" s="9"/>
      <c r="Q149" s="9"/>
    </row>
    <row r="150" spans="1:17" s="58" customFormat="1" ht="13.8">
      <c r="A150" s="5" t="s">
        <v>1394</v>
      </c>
      <c r="B150" s="5" t="s">
        <v>2033</v>
      </c>
      <c r="C150" s="59" t="s">
        <v>1395</v>
      </c>
      <c r="D150" s="6" t="s">
        <v>97</v>
      </c>
      <c r="E150" s="6" t="s">
        <v>98</v>
      </c>
      <c r="F150" s="6" t="s">
        <v>1396</v>
      </c>
      <c r="G150" s="6" t="s">
        <v>1397</v>
      </c>
      <c r="H150" s="7"/>
      <c r="I150" s="9"/>
      <c r="J150" s="7"/>
      <c r="K150" s="12"/>
      <c r="L150" s="6"/>
      <c r="M150" s="6"/>
      <c r="N150" s="12"/>
      <c r="O150" s="7"/>
      <c r="P150" s="9"/>
      <c r="Q150" s="9"/>
    </row>
    <row r="151" spans="1:17" s="58" customFormat="1" ht="13.8">
      <c r="A151" s="54" t="s">
        <v>1389</v>
      </c>
      <c r="B151" s="20" t="s">
        <v>1147</v>
      </c>
      <c r="C151" s="323" t="s">
        <v>2291</v>
      </c>
      <c r="D151" s="324"/>
      <c r="E151" s="324"/>
      <c r="F151" s="324"/>
      <c r="G151" s="324"/>
      <c r="H151" s="324"/>
      <c r="I151" s="324"/>
      <c r="J151" s="324"/>
      <c r="K151" s="325"/>
      <c r="L151" s="9"/>
      <c r="M151" s="9"/>
      <c r="N151" s="9"/>
      <c r="O151" s="9"/>
      <c r="P151" s="9"/>
      <c r="Q151" s="9"/>
    </row>
    <row r="152" spans="1:17" s="58" customFormat="1" ht="13.8">
      <c r="A152" s="54" t="s">
        <v>1391</v>
      </c>
      <c r="B152" s="19" t="s">
        <v>1147</v>
      </c>
      <c r="C152" s="326" t="s">
        <v>2198</v>
      </c>
      <c r="D152" s="327"/>
      <c r="E152" s="327"/>
      <c r="F152" s="327"/>
      <c r="G152" s="328"/>
      <c r="H152" s="4" t="s">
        <v>2199</v>
      </c>
      <c r="I152" s="9"/>
      <c r="J152" s="9"/>
      <c r="K152" s="9"/>
      <c r="L152" s="9"/>
      <c r="M152" s="9"/>
      <c r="N152" s="9"/>
      <c r="O152" s="9"/>
      <c r="P152" s="9"/>
      <c r="Q152" s="9"/>
    </row>
    <row r="153" spans="1:17" s="58" customFormat="1" ht="13.8">
      <c r="A153" s="5" t="s">
        <v>1394</v>
      </c>
      <c r="B153" s="5" t="s">
        <v>2198</v>
      </c>
      <c r="C153" s="59" t="s">
        <v>1395</v>
      </c>
      <c r="D153" s="6" t="s">
        <v>97</v>
      </c>
      <c r="E153" s="6" t="s">
        <v>98</v>
      </c>
      <c r="F153" s="6" t="s">
        <v>1396</v>
      </c>
      <c r="G153" s="6" t="s">
        <v>1397</v>
      </c>
      <c r="H153" s="7"/>
      <c r="I153" s="9"/>
      <c r="J153" s="7"/>
      <c r="K153" s="12"/>
      <c r="L153" s="6"/>
      <c r="M153" s="6"/>
      <c r="N153" s="12"/>
      <c r="O153" s="7"/>
      <c r="P153" s="9"/>
      <c r="Q153" s="9"/>
    </row>
    <row r="154" spans="1:17" s="58" customFormat="1" ht="13.8">
      <c r="A154" s="54" t="s">
        <v>1389</v>
      </c>
      <c r="B154" s="20" t="s">
        <v>1147</v>
      </c>
      <c r="C154" s="323" t="s">
        <v>1359</v>
      </c>
      <c r="D154" s="324"/>
      <c r="E154" s="324"/>
      <c r="F154" s="324"/>
      <c r="G154" s="324"/>
      <c r="H154" s="324"/>
      <c r="I154" s="324"/>
      <c r="J154" s="324"/>
      <c r="K154" s="325"/>
      <c r="L154" s="9"/>
      <c r="M154" s="9"/>
      <c r="N154" s="9"/>
      <c r="O154" s="9"/>
      <c r="P154" s="9"/>
      <c r="Q154" s="9"/>
    </row>
    <row r="155" spans="1:17" s="58" customFormat="1" ht="13.8">
      <c r="A155" s="54" t="s">
        <v>1391</v>
      </c>
      <c r="B155" s="19" t="s">
        <v>1147</v>
      </c>
      <c r="C155" s="326" t="s">
        <v>1905</v>
      </c>
      <c r="D155" s="327"/>
      <c r="E155" s="327"/>
      <c r="F155" s="327"/>
      <c r="G155" s="328"/>
      <c r="H155" s="4" t="s">
        <v>1977</v>
      </c>
      <c r="I155" s="9"/>
      <c r="J155" s="9"/>
      <c r="K155" s="9"/>
      <c r="L155" s="9"/>
      <c r="M155" s="9"/>
      <c r="N155" s="9"/>
      <c r="O155" s="9"/>
      <c r="P155" s="9"/>
      <c r="Q155" s="9"/>
    </row>
    <row r="156" spans="1:17" s="58" customFormat="1" ht="13.8">
      <c r="A156" s="5" t="s">
        <v>1394</v>
      </c>
      <c r="B156" s="5" t="s">
        <v>1905</v>
      </c>
      <c r="C156" s="59" t="s">
        <v>1395</v>
      </c>
      <c r="D156" s="6" t="s">
        <v>97</v>
      </c>
      <c r="E156" s="6" t="s">
        <v>98</v>
      </c>
      <c r="F156" s="6" t="s">
        <v>1396</v>
      </c>
      <c r="G156" s="6" t="s">
        <v>1397</v>
      </c>
      <c r="H156" s="7"/>
      <c r="I156" s="9"/>
      <c r="J156" s="7"/>
      <c r="K156" s="12"/>
      <c r="L156" s="6"/>
      <c r="M156" s="6"/>
      <c r="N156" s="12"/>
      <c r="O156" s="7"/>
      <c r="P156" s="9"/>
      <c r="Q156" s="9"/>
    </row>
    <row r="157" spans="1:17" s="58" customFormat="1" ht="13.8">
      <c r="A157" s="54" t="s">
        <v>1389</v>
      </c>
      <c r="B157" s="20" t="s">
        <v>1147</v>
      </c>
      <c r="C157" s="323" t="s">
        <v>1362</v>
      </c>
      <c r="D157" s="324"/>
      <c r="E157" s="324"/>
      <c r="F157" s="324"/>
      <c r="G157" s="324"/>
      <c r="H157" s="324"/>
      <c r="I157" s="324"/>
      <c r="J157" s="324"/>
      <c r="K157" s="325"/>
      <c r="L157" s="9"/>
      <c r="M157" s="9"/>
      <c r="N157" s="9"/>
      <c r="O157" s="9"/>
      <c r="P157" s="9"/>
      <c r="Q157" s="9"/>
    </row>
    <row r="158" spans="1:17" s="58" customFormat="1" ht="13.8">
      <c r="A158" s="54" t="s">
        <v>1391</v>
      </c>
      <c r="B158" s="19" t="s">
        <v>1147</v>
      </c>
      <c r="C158" s="326" t="s">
        <v>1905</v>
      </c>
      <c r="D158" s="327"/>
      <c r="E158" s="327"/>
      <c r="F158" s="327"/>
      <c r="G158" s="328"/>
      <c r="H158" s="4" t="s">
        <v>1977</v>
      </c>
      <c r="I158" s="9"/>
      <c r="J158" s="9"/>
      <c r="K158" s="9"/>
      <c r="L158" s="9"/>
      <c r="M158" s="9"/>
      <c r="N158" s="9"/>
      <c r="O158" s="9"/>
      <c r="P158" s="9"/>
      <c r="Q158" s="9"/>
    </row>
    <row r="159" spans="1:17" s="58" customFormat="1" ht="13.8">
      <c r="A159" s="5" t="s">
        <v>1394</v>
      </c>
      <c r="B159" s="5" t="s">
        <v>1905</v>
      </c>
      <c r="C159" s="59" t="s">
        <v>1395</v>
      </c>
      <c r="D159" s="6" t="s">
        <v>97</v>
      </c>
      <c r="E159" s="6" t="s">
        <v>98</v>
      </c>
      <c r="F159" s="6" t="s">
        <v>1396</v>
      </c>
      <c r="G159" s="6" t="s">
        <v>1397</v>
      </c>
      <c r="H159" s="7"/>
      <c r="I159" s="9"/>
      <c r="J159" s="7"/>
      <c r="K159" s="12"/>
      <c r="L159" s="6"/>
      <c r="M159" s="6"/>
      <c r="N159" s="12"/>
      <c r="O159" s="7"/>
      <c r="P159" s="9"/>
      <c r="Q159" s="9"/>
    </row>
    <row r="160" spans="1:17" s="58" customFormat="1" ht="13.8">
      <c r="A160" s="54" t="s">
        <v>1389</v>
      </c>
      <c r="B160" s="20" t="s">
        <v>1147</v>
      </c>
      <c r="C160" s="323" t="s">
        <v>2292</v>
      </c>
      <c r="D160" s="324"/>
      <c r="E160" s="324"/>
      <c r="F160" s="324"/>
      <c r="G160" s="324"/>
      <c r="H160" s="324"/>
      <c r="I160" s="324"/>
      <c r="J160" s="324"/>
      <c r="K160" s="325"/>
      <c r="L160" s="9"/>
      <c r="M160" s="9"/>
      <c r="N160" s="9"/>
      <c r="O160" s="9"/>
      <c r="P160" s="9"/>
      <c r="Q160" s="9"/>
    </row>
    <row r="161" spans="1:17" s="58" customFormat="1" ht="13.8">
      <c r="A161" s="54" t="s">
        <v>1391</v>
      </c>
      <c r="B161" s="19" t="s">
        <v>1147</v>
      </c>
      <c r="C161" s="326" t="s">
        <v>2055</v>
      </c>
      <c r="D161" s="327"/>
      <c r="E161" s="327"/>
      <c r="F161" s="327"/>
      <c r="G161" s="328"/>
      <c r="H161" s="4" t="s">
        <v>2056</v>
      </c>
      <c r="I161" s="9"/>
      <c r="J161" s="9"/>
      <c r="K161" s="9"/>
      <c r="L161" s="9"/>
      <c r="M161" s="9"/>
      <c r="N161" s="9"/>
      <c r="O161" s="9"/>
      <c r="P161" s="9"/>
      <c r="Q161" s="9"/>
    </row>
    <row r="162" spans="1:17" s="58" customFormat="1" ht="13.8">
      <c r="A162" s="5" t="s">
        <v>1394</v>
      </c>
      <c r="B162" s="5" t="s">
        <v>2055</v>
      </c>
      <c r="C162" s="59" t="s">
        <v>1395</v>
      </c>
      <c r="D162" s="6" t="s">
        <v>97</v>
      </c>
      <c r="E162" s="6" t="s">
        <v>98</v>
      </c>
      <c r="F162" s="6" t="s">
        <v>1396</v>
      </c>
      <c r="G162" s="6" t="s">
        <v>1397</v>
      </c>
      <c r="H162" s="7"/>
      <c r="I162" s="9"/>
      <c r="J162" s="7"/>
      <c r="K162" s="12"/>
      <c r="L162" s="6"/>
      <c r="M162" s="6"/>
      <c r="N162" s="12"/>
      <c r="O162" s="7"/>
      <c r="P162" s="9"/>
      <c r="Q162" s="9"/>
    </row>
    <row r="163" spans="1:17" s="58" customFormat="1" ht="13.8">
      <c r="A163" s="54" t="s">
        <v>1389</v>
      </c>
      <c r="B163" s="20" t="s">
        <v>1147</v>
      </c>
      <c r="C163" s="323" t="s">
        <v>1361</v>
      </c>
      <c r="D163" s="324"/>
      <c r="E163" s="324"/>
      <c r="F163" s="324"/>
      <c r="G163" s="324"/>
      <c r="H163" s="324"/>
      <c r="I163" s="324"/>
      <c r="J163" s="324"/>
      <c r="K163" s="325"/>
      <c r="L163" s="9"/>
      <c r="M163" s="9"/>
      <c r="N163" s="9"/>
      <c r="O163" s="9"/>
      <c r="P163" s="9"/>
      <c r="Q163" s="9"/>
    </row>
    <row r="164" spans="1:17" s="58" customFormat="1" ht="13.8">
      <c r="A164" s="54" t="s">
        <v>1391</v>
      </c>
      <c r="B164" s="19" t="s">
        <v>1147</v>
      </c>
      <c r="C164" s="326" t="s">
        <v>1798</v>
      </c>
      <c r="D164" s="327"/>
      <c r="E164" s="327"/>
      <c r="F164" s="327"/>
      <c r="G164" s="328"/>
      <c r="H164" s="4" t="s">
        <v>1799</v>
      </c>
      <c r="I164" s="9"/>
      <c r="J164" s="9"/>
      <c r="K164" s="9"/>
      <c r="L164" s="9"/>
      <c r="M164" s="9"/>
      <c r="N164" s="9"/>
      <c r="O164" s="9"/>
      <c r="P164" s="9"/>
      <c r="Q164" s="9"/>
    </row>
    <row r="165" spans="1:17" s="58" customFormat="1" ht="13.8">
      <c r="A165" s="5" t="s">
        <v>1394</v>
      </c>
      <c r="B165" s="5" t="s">
        <v>1798</v>
      </c>
      <c r="C165" s="59" t="s">
        <v>1395</v>
      </c>
      <c r="D165" s="6" t="s">
        <v>97</v>
      </c>
      <c r="E165" s="6" t="s">
        <v>98</v>
      </c>
      <c r="F165" s="6" t="s">
        <v>1396</v>
      </c>
      <c r="G165" s="6" t="s">
        <v>1397</v>
      </c>
      <c r="H165" s="7"/>
      <c r="I165" s="9"/>
      <c r="J165" s="7"/>
      <c r="K165" s="12"/>
      <c r="L165" s="6"/>
      <c r="M165" s="6"/>
      <c r="N165" s="12"/>
      <c r="O165" s="7"/>
      <c r="P165" s="9"/>
      <c r="Q165" s="9"/>
    </row>
    <row r="166" spans="1:17" s="55" customFormat="1" ht="13.8">
      <c r="A166" s="54" t="s">
        <v>1385</v>
      </c>
      <c r="B166" s="17" t="s">
        <v>371</v>
      </c>
      <c r="C166" s="18"/>
      <c r="D166" s="18"/>
      <c r="E166" s="18"/>
      <c r="F166" s="18"/>
      <c r="G166" s="18"/>
      <c r="H166" s="18"/>
      <c r="I166" s="18"/>
      <c r="J166" s="18"/>
      <c r="K166" s="18"/>
      <c r="L166" s="8"/>
      <c r="M166" s="8"/>
      <c r="N166" s="8"/>
      <c r="O166" s="9"/>
      <c r="P166" s="10"/>
      <c r="Q166" s="9"/>
    </row>
    <row r="167" spans="1:17" s="57" customFormat="1" ht="51.6" customHeight="1">
      <c r="A167" s="56" t="s">
        <v>1386</v>
      </c>
      <c r="B167" s="3" t="s">
        <v>1148</v>
      </c>
      <c r="C167" s="322" t="s">
        <v>2334</v>
      </c>
      <c r="D167" s="322"/>
      <c r="E167" s="322"/>
      <c r="F167" s="322"/>
      <c r="G167" s="322"/>
      <c r="H167" s="322"/>
      <c r="I167" s="20" t="s">
        <v>2335</v>
      </c>
      <c r="J167" s="20" t="s">
        <v>2335</v>
      </c>
      <c r="K167" s="11" t="s">
        <v>2336</v>
      </c>
      <c r="L167" s="11"/>
      <c r="M167" s="11"/>
      <c r="N167" s="11"/>
      <c r="O167" s="9"/>
      <c r="P167" s="10"/>
      <c r="Q167" s="9"/>
    </row>
    <row r="168" spans="1:17" s="58" customFormat="1" ht="13.8">
      <c r="A168" s="54" t="s">
        <v>1389</v>
      </c>
      <c r="B168" s="20" t="s">
        <v>1148</v>
      </c>
      <c r="C168" s="323" t="s">
        <v>1356</v>
      </c>
      <c r="D168" s="324"/>
      <c r="E168" s="324"/>
      <c r="F168" s="324"/>
      <c r="G168" s="324"/>
      <c r="H168" s="324"/>
      <c r="I168" s="324"/>
      <c r="J168" s="324"/>
      <c r="K168" s="325"/>
      <c r="L168" s="9"/>
      <c r="M168" s="9"/>
      <c r="N168" s="9"/>
      <c r="O168" s="9"/>
      <c r="P168" s="9"/>
      <c r="Q168" s="9"/>
    </row>
    <row r="169" spans="1:17" s="58" customFormat="1" ht="13.8">
      <c r="A169" s="54" t="s">
        <v>1391</v>
      </c>
      <c r="B169" s="19" t="s">
        <v>1148</v>
      </c>
      <c r="C169" s="326" t="s">
        <v>1727</v>
      </c>
      <c r="D169" s="327"/>
      <c r="E169" s="327"/>
      <c r="F169" s="327"/>
      <c r="G169" s="328"/>
      <c r="H169" s="4" t="s">
        <v>1728</v>
      </c>
      <c r="I169" s="9"/>
      <c r="J169" s="9"/>
      <c r="K169" s="9"/>
      <c r="L169" s="9"/>
      <c r="M169" s="9"/>
      <c r="N169" s="9"/>
      <c r="O169" s="9"/>
      <c r="P169" s="9"/>
      <c r="Q169" s="9"/>
    </row>
    <row r="170" spans="1:17" s="58" customFormat="1" ht="13.8">
      <c r="A170" s="5" t="s">
        <v>1394</v>
      </c>
      <c r="B170" s="5" t="s">
        <v>1727</v>
      </c>
      <c r="C170" s="59" t="s">
        <v>1395</v>
      </c>
      <c r="D170" s="6" t="s">
        <v>97</v>
      </c>
      <c r="E170" s="6" t="s">
        <v>98</v>
      </c>
      <c r="F170" s="6" t="s">
        <v>1396</v>
      </c>
      <c r="G170" s="6" t="s">
        <v>1397</v>
      </c>
      <c r="H170" s="7"/>
      <c r="I170" s="9"/>
      <c r="J170" s="7"/>
      <c r="K170" s="12"/>
      <c r="L170" s="6"/>
      <c r="M170" s="6"/>
      <c r="N170" s="12"/>
      <c r="O170" s="7"/>
      <c r="P170" s="9"/>
      <c r="Q170" s="9"/>
    </row>
    <row r="171" spans="1:17" s="58" customFormat="1" ht="13.8">
      <c r="A171" s="54" t="s">
        <v>1389</v>
      </c>
      <c r="B171" s="20" t="s">
        <v>1148</v>
      </c>
      <c r="C171" s="323" t="s">
        <v>1357</v>
      </c>
      <c r="D171" s="324"/>
      <c r="E171" s="324"/>
      <c r="F171" s="324"/>
      <c r="G171" s="324"/>
      <c r="H171" s="324"/>
      <c r="I171" s="324"/>
      <c r="J171" s="324"/>
      <c r="K171" s="325"/>
      <c r="L171" s="9"/>
      <c r="M171" s="9"/>
      <c r="N171" s="9"/>
      <c r="O171" s="9"/>
      <c r="P171" s="9"/>
      <c r="Q171" s="9"/>
    </row>
    <row r="172" spans="1:17" s="58" customFormat="1" ht="13.8">
      <c r="A172" s="54" t="s">
        <v>1391</v>
      </c>
      <c r="B172" s="19" t="s">
        <v>1148</v>
      </c>
      <c r="C172" s="326" t="s">
        <v>2033</v>
      </c>
      <c r="D172" s="327"/>
      <c r="E172" s="327"/>
      <c r="F172" s="327"/>
      <c r="G172" s="328"/>
      <c r="H172" s="4" t="s">
        <v>2034</v>
      </c>
      <c r="I172" s="9"/>
      <c r="J172" s="9"/>
      <c r="K172" s="9"/>
      <c r="L172" s="9"/>
      <c r="M172" s="9"/>
      <c r="N172" s="9"/>
      <c r="O172" s="9"/>
      <c r="P172" s="9"/>
      <c r="Q172" s="9"/>
    </row>
    <row r="173" spans="1:17" s="58" customFormat="1" ht="13.8">
      <c r="A173" s="5" t="s">
        <v>1394</v>
      </c>
      <c r="B173" s="5" t="s">
        <v>2033</v>
      </c>
      <c r="C173" s="59" t="s">
        <v>1395</v>
      </c>
      <c r="D173" s="6" t="s">
        <v>97</v>
      </c>
      <c r="E173" s="6" t="s">
        <v>98</v>
      </c>
      <c r="F173" s="6" t="s">
        <v>1396</v>
      </c>
      <c r="G173" s="6" t="s">
        <v>1397</v>
      </c>
      <c r="H173" s="7"/>
      <c r="I173" s="9"/>
      <c r="J173" s="7"/>
      <c r="K173" s="12"/>
      <c r="L173" s="6"/>
      <c r="M173" s="6"/>
      <c r="N173" s="12"/>
      <c r="O173" s="7"/>
      <c r="P173" s="9"/>
      <c r="Q173" s="9"/>
    </row>
    <row r="174" spans="1:17" s="58" customFormat="1" ht="13.8">
      <c r="A174" s="54" t="s">
        <v>1389</v>
      </c>
      <c r="B174" s="20" t="s">
        <v>1148</v>
      </c>
      <c r="C174" s="323" t="s">
        <v>2291</v>
      </c>
      <c r="D174" s="324"/>
      <c r="E174" s="324"/>
      <c r="F174" s="324"/>
      <c r="G174" s="324"/>
      <c r="H174" s="324"/>
      <c r="I174" s="324"/>
      <c r="J174" s="324"/>
      <c r="K174" s="325"/>
      <c r="L174" s="9"/>
      <c r="M174" s="9"/>
      <c r="N174" s="9"/>
      <c r="O174" s="9"/>
      <c r="P174" s="9"/>
      <c r="Q174" s="9"/>
    </row>
    <row r="175" spans="1:17" s="58" customFormat="1" ht="13.8">
      <c r="A175" s="54" t="s">
        <v>1391</v>
      </c>
      <c r="B175" s="19" t="s">
        <v>1148</v>
      </c>
      <c r="C175" s="326" t="s">
        <v>2198</v>
      </c>
      <c r="D175" s="327"/>
      <c r="E175" s="327"/>
      <c r="F175" s="327"/>
      <c r="G175" s="328"/>
      <c r="H175" s="4" t="s">
        <v>2199</v>
      </c>
      <c r="I175" s="9"/>
      <c r="J175" s="9"/>
      <c r="K175" s="9"/>
      <c r="L175" s="9"/>
      <c r="M175" s="9"/>
      <c r="N175" s="9"/>
      <c r="O175" s="9"/>
      <c r="P175" s="9"/>
      <c r="Q175" s="9"/>
    </row>
    <row r="176" spans="1:17" s="58" customFormat="1" ht="13.8">
      <c r="A176" s="5" t="s">
        <v>1394</v>
      </c>
      <c r="B176" s="5" t="s">
        <v>2198</v>
      </c>
      <c r="C176" s="59" t="s">
        <v>1395</v>
      </c>
      <c r="D176" s="6" t="s">
        <v>97</v>
      </c>
      <c r="E176" s="6" t="s">
        <v>98</v>
      </c>
      <c r="F176" s="6" t="s">
        <v>1396</v>
      </c>
      <c r="G176" s="6" t="s">
        <v>1397</v>
      </c>
      <c r="H176" s="7"/>
      <c r="I176" s="9"/>
      <c r="J176" s="7"/>
      <c r="K176" s="12"/>
      <c r="L176" s="6"/>
      <c r="M176" s="6"/>
      <c r="N176" s="12"/>
      <c r="O176" s="7"/>
      <c r="P176" s="9"/>
      <c r="Q176" s="9"/>
    </row>
    <row r="177" spans="1:17" s="58" customFormat="1" ht="13.8">
      <c r="A177" s="54" t="s">
        <v>1389</v>
      </c>
      <c r="B177" s="20" t="s">
        <v>1148</v>
      </c>
      <c r="C177" s="323" t="s">
        <v>1359</v>
      </c>
      <c r="D177" s="324"/>
      <c r="E177" s="324"/>
      <c r="F177" s="324"/>
      <c r="G177" s="324"/>
      <c r="H177" s="324"/>
      <c r="I177" s="324"/>
      <c r="J177" s="324"/>
      <c r="K177" s="325"/>
      <c r="L177" s="9"/>
      <c r="M177" s="9"/>
      <c r="N177" s="9"/>
      <c r="O177" s="9"/>
      <c r="P177" s="9"/>
      <c r="Q177" s="9"/>
    </row>
    <row r="178" spans="1:17" s="58" customFormat="1" ht="13.8">
      <c r="A178" s="54" t="s">
        <v>1391</v>
      </c>
      <c r="B178" s="19" t="s">
        <v>1148</v>
      </c>
      <c r="C178" s="326" t="s">
        <v>1905</v>
      </c>
      <c r="D178" s="327"/>
      <c r="E178" s="327"/>
      <c r="F178" s="327"/>
      <c r="G178" s="328"/>
      <c r="H178" s="4" t="s">
        <v>1977</v>
      </c>
      <c r="I178" s="9"/>
      <c r="J178" s="9"/>
      <c r="K178" s="9"/>
      <c r="L178" s="9"/>
      <c r="M178" s="9"/>
      <c r="N178" s="9"/>
      <c r="O178" s="9"/>
      <c r="P178" s="9"/>
      <c r="Q178" s="9"/>
    </row>
    <row r="179" spans="1:17" s="58" customFormat="1" ht="13.8">
      <c r="A179" s="5" t="s">
        <v>1394</v>
      </c>
      <c r="B179" s="5" t="s">
        <v>1905</v>
      </c>
      <c r="C179" s="59" t="s">
        <v>1395</v>
      </c>
      <c r="D179" s="6" t="s">
        <v>97</v>
      </c>
      <c r="E179" s="6" t="s">
        <v>98</v>
      </c>
      <c r="F179" s="6" t="s">
        <v>1396</v>
      </c>
      <c r="G179" s="6" t="s">
        <v>1397</v>
      </c>
      <c r="H179" s="7"/>
      <c r="I179" s="9"/>
      <c r="J179" s="7"/>
      <c r="K179" s="12"/>
      <c r="L179" s="6"/>
      <c r="M179" s="6"/>
      <c r="N179" s="12"/>
      <c r="O179" s="7"/>
      <c r="P179" s="9"/>
      <c r="Q179" s="9"/>
    </row>
    <row r="180" spans="1:17" s="58" customFormat="1" ht="13.8">
      <c r="A180" s="54" t="s">
        <v>1389</v>
      </c>
      <c r="B180" s="20" t="s">
        <v>1148</v>
      </c>
      <c r="C180" s="323" t="s">
        <v>1362</v>
      </c>
      <c r="D180" s="324"/>
      <c r="E180" s="324"/>
      <c r="F180" s="324"/>
      <c r="G180" s="324"/>
      <c r="H180" s="324"/>
      <c r="I180" s="324"/>
      <c r="J180" s="324"/>
      <c r="K180" s="325"/>
      <c r="L180" s="9"/>
      <c r="M180" s="9"/>
      <c r="N180" s="9"/>
      <c r="O180" s="9"/>
      <c r="P180" s="9"/>
      <c r="Q180" s="9"/>
    </row>
    <row r="181" spans="1:17" s="58" customFormat="1" ht="13.8">
      <c r="A181" s="54" t="s">
        <v>1391</v>
      </c>
      <c r="B181" s="19" t="s">
        <v>1148</v>
      </c>
      <c r="C181" s="326" t="s">
        <v>1905</v>
      </c>
      <c r="D181" s="327"/>
      <c r="E181" s="327"/>
      <c r="F181" s="327"/>
      <c r="G181" s="328"/>
      <c r="H181" s="4" t="s">
        <v>1977</v>
      </c>
      <c r="I181" s="9"/>
      <c r="J181" s="9"/>
      <c r="K181" s="9"/>
      <c r="L181" s="9"/>
      <c r="M181" s="9"/>
      <c r="N181" s="9"/>
      <c r="O181" s="9"/>
      <c r="P181" s="9"/>
      <c r="Q181" s="9"/>
    </row>
    <row r="182" spans="1:17" s="58" customFormat="1" ht="13.8">
      <c r="A182" s="5" t="s">
        <v>1394</v>
      </c>
      <c r="B182" s="5" t="s">
        <v>1905</v>
      </c>
      <c r="C182" s="59" t="s">
        <v>1395</v>
      </c>
      <c r="D182" s="6" t="s">
        <v>97</v>
      </c>
      <c r="E182" s="6" t="s">
        <v>98</v>
      </c>
      <c r="F182" s="6" t="s">
        <v>1396</v>
      </c>
      <c r="G182" s="6" t="s">
        <v>1397</v>
      </c>
      <c r="H182" s="7"/>
      <c r="I182" s="9"/>
      <c r="J182" s="7"/>
      <c r="K182" s="12"/>
      <c r="L182" s="6"/>
      <c r="M182" s="6"/>
      <c r="N182" s="12"/>
      <c r="O182" s="7"/>
      <c r="P182" s="9"/>
      <c r="Q182" s="9"/>
    </row>
    <row r="183" spans="1:17" s="58" customFormat="1" ht="13.8">
      <c r="A183" s="54" t="s">
        <v>1389</v>
      </c>
      <c r="B183" s="20" t="s">
        <v>1148</v>
      </c>
      <c r="C183" s="323" t="s">
        <v>2292</v>
      </c>
      <c r="D183" s="324"/>
      <c r="E183" s="324"/>
      <c r="F183" s="324"/>
      <c r="G183" s="324"/>
      <c r="H183" s="324"/>
      <c r="I183" s="324"/>
      <c r="J183" s="324"/>
      <c r="K183" s="325"/>
      <c r="L183" s="9"/>
      <c r="M183" s="9"/>
      <c r="N183" s="9"/>
      <c r="O183" s="9"/>
      <c r="P183" s="9"/>
      <c r="Q183" s="9"/>
    </row>
    <row r="184" spans="1:17" s="58" customFormat="1" ht="13.8">
      <c r="A184" s="54" t="s">
        <v>1391</v>
      </c>
      <c r="B184" s="19" t="s">
        <v>1148</v>
      </c>
      <c r="C184" s="326" t="s">
        <v>2055</v>
      </c>
      <c r="D184" s="327"/>
      <c r="E184" s="327"/>
      <c r="F184" s="327"/>
      <c r="G184" s="328"/>
      <c r="H184" s="4" t="s">
        <v>2056</v>
      </c>
      <c r="I184" s="9"/>
      <c r="J184" s="9"/>
      <c r="K184" s="9"/>
      <c r="L184" s="9"/>
      <c r="M184" s="9"/>
      <c r="N184" s="9"/>
      <c r="O184" s="9"/>
      <c r="P184" s="9"/>
      <c r="Q184" s="9"/>
    </row>
    <row r="185" spans="1:17" s="58" customFormat="1" ht="13.8">
      <c r="A185" s="5" t="s">
        <v>1394</v>
      </c>
      <c r="B185" s="5" t="s">
        <v>2055</v>
      </c>
      <c r="C185" s="59" t="s">
        <v>1395</v>
      </c>
      <c r="D185" s="6" t="s">
        <v>97</v>
      </c>
      <c r="E185" s="6" t="s">
        <v>98</v>
      </c>
      <c r="F185" s="6" t="s">
        <v>1396</v>
      </c>
      <c r="G185" s="6" t="s">
        <v>1397</v>
      </c>
      <c r="H185" s="7"/>
      <c r="I185" s="9"/>
      <c r="J185" s="7"/>
      <c r="K185" s="12"/>
      <c r="L185" s="6"/>
      <c r="M185" s="6"/>
      <c r="N185" s="12"/>
      <c r="O185" s="7"/>
      <c r="P185" s="9"/>
      <c r="Q185" s="9"/>
    </row>
    <row r="186" spans="1:17" s="58" customFormat="1" ht="13.8">
      <c r="A186" s="54" t="s">
        <v>1389</v>
      </c>
      <c r="B186" s="20" t="s">
        <v>1148</v>
      </c>
      <c r="C186" s="323" t="s">
        <v>1361</v>
      </c>
      <c r="D186" s="324"/>
      <c r="E186" s="324"/>
      <c r="F186" s="324"/>
      <c r="G186" s="324"/>
      <c r="H186" s="324"/>
      <c r="I186" s="324"/>
      <c r="J186" s="324"/>
      <c r="K186" s="325"/>
      <c r="L186" s="9"/>
      <c r="M186" s="9"/>
      <c r="N186" s="9"/>
      <c r="O186" s="9"/>
      <c r="P186" s="9"/>
      <c r="Q186" s="9"/>
    </row>
    <row r="187" spans="1:17" s="58" customFormat="1" ht="13.8">
      <c r="A187" s="54" t="s">
        <v>1391</v>
      </c>
      <c r="B187" s="19" t="s">
        <v>1148</v>
      </c>
      <c r="C187" s="326" t="s">
        <v>1798</v>
      </c>
      <c r="D187" s="327"/>
      <c r="E187" s="327"/>
      <c r="F187" s="327"/>
      <c r="G187" s="328"/>
      <c r="H187" s="4" t="s">
        <v>1799</v>
      </c>
      <c r="I187" s="9"/>
      <c r="J187" s="9"/>
      <c r="K187" s="9"/>
      <c r="L187" s="9"/>
      <c r="M187" s="9"/>
      <c r="N187" s="9"/>
      <c r="O187" s="9"/>
      <c r="P187" s="9"/>
      <c r="Q187" s="9"/>
    </row>
    <row r="188" spans="1:17" s="58" customFormat="1" ht="13.8">
      <c r="A188" s="5" t="s">
        <v>1394</v>
      </c>
      <c r="B188" s="5" t="s">
        <v>1798</v>
      </c>
      <c r="C188" s="59" t="s">
        <v>1395</v>
      </c>
      <c r="D188" s="6" t="s">
        <v>97</v>
      </c>
      <c r="E188" s="6" t="s">
        <v>98</v>
      </c>
      <c r="F188" s="6" t="s">
        <v>1396</v>
      </c>
      <c r="G188" s="6" t="s">
        <v>1397</v>
      </c>
      <c r="H188" s="7"/>
      <c r="I188" s="9"/>
      <c r="J188" s="7"/>
      <c r="K188" s="12"/>
      <c r="L188" s="6"/>
      <c r="M188" s="6"/>
      <c r="N188" s="12"/>
      <c r="O188" s="7"/>
      <c r="P188" s="9"/>
      <c r="Q188" s="9"/>
    </row>
  </sheetData>
  <mergeCells count="120">
    <mergeCell ref="C18:G18"/>
    <mergeCell ref="C20:K20"/>
    <mergeCell ref="C21:G21"/>
    <mergeCell ref="C23:K23"/>
    <mergeCell ref="C24:G24"/>
    <mergeCell ref="C26:K26"/>
    <mergeCell ref="C10:H10"/>
    <mergeCell ref="C11:K11"/>
    <mergeCell ref="C12:G12"/>
    <mergeCell ref="C14:K14"/>
    <mergeCell ref="C15:G15"/>
    <mergeCell ref="C17:K17"/>
    <mergeCell ref="C37:K37"/>
    <mergeCell ref="C38:G38"/>
    <mergeCell ref="C40:K40"/>
    <mergeCell ref="C41:G41"/>
    <mergeCell ref="C43:K43"/>
    <mergeCell ref="C44:G44"/>
    <mergeCell ref="C27:G27"/>
    <mergeCell ref="C29:K29"/>
    <mergeCell ref="C30:G30"/>
    <mergeCell ref="C33:H33"/>
    <mergeCell ref="C34:K34"/>
    <mergeCell ref="C35:G35"/>
    <mergeCell ref="C55:H55"/>
    <mergeCell ref="C56:K56"/>
    <mergeCell ref="C57:G57"/>
    <mergeCell ref="C59:K59"/>
    <mergeCell ref="C60:G60"/>
    <mergeCell ref="C62:K62"/>
    <mergeCell ref="C46:K46"/>
    <mergeCell ref="C47:G47"/>
    <mergeCell ref="C49:K49"/>
    <mergeCell ref="C50:G50"/>
    <mergeCell ref="C52:K52"/>
    <mergeCell ref="C53:G53"/>
    <mergeCell ref="C72:G72"/>
    <mergeCell ref="C74:K74"/>
    <mergeCell ref="C75:G75"/>
    <mergeCell ref="C77:H77"/>
    <mergeCell ref="C78:K78"/>
    <mergeCell ref="C79:G79"/>
    <mergeCell ref="C63:G63"/>
    <mergeCell ref="C65:K65"/>
    <mergeCell ref="C66:G66"/>
    <mergeCell ref="C68:K68"/>
    <mergeCell ref="C69:G69"/>
    <mergeCell ref="C71:K71"/>
    <mergeCell ref="C90:K90"/>
    <mergeCell ref="C91:G91"/>
    <mergeCell ref="C93:K93"/>
    <mergeCell ref="C94:G94"/>
    <mergeCell ref="C96:K96"/>
    <mergeCell ref="C97:G97"/>
    <mergeCell ref="C81:K81"/>
    <mergeCell ref="C82:G82"/>
    <mergeCell ref="C84:K84"/>
    <mergeCell ref="C85:G85"/>
    <mergeCell ref="C87:K87"/>
    <mergeCell ref="C88:G88"/>
    <mergeCell ref="C107:G107"/>
    <mergeCell ref="C109:K109"/>
    <mergeCell ref="C110:G110"/>
    <mergeCell ref="C112:K112"/>
    <mergeCell ref="C113:G113"/>
    <mergeCell ref="C115:K115"/>
    <mergeCell ref="C99:H99"/>
    <mergeCell ref="C100:K100"/>
    <mergeCell ref="C101:G101"/>
    <mergeCell ref="C103:K103"/>
    <mergeCell ref="C104:G104"/>
    <mergeCell ref="C106:K106"/>
    <mergeCell ref="C126:K126"/>
    <mergeCell ref="C127:G127"/>
    <mergeCell ref="C129:K129"/>
    <mergeCell ref="C130:G130"/>
    <mergeCell ref="C132:K132"/>
    <mergeCell ref="C133:G133"/>
    <mergeCell ref="C116:G116"/>
    <mergeCell ref="C118:K118"/>
    <mergeCell ref="C119:G119"/>
    <mergeCell ref="C122:H122"/>
    <mergeCell ref="C123:K123"/>
    <mergeCell ref="C124:G124"/>
    <mergeCell ref="C144:H144"/>
    <mergeCell ref="C145:K145"/>
    <mergeCell ref="C146:G146"/>
    <mergeCell ref="C148:K148"/>
    <mergeCell ref="C149:G149"/>
    <mergeCell ref="C151:K151"/>
    <mergeCell ref="C135:K135"/>
    <mergeCell ref="C136:G136"/>
    <mergeCell ref="C138:K138"/>
    <mergeCell ref="C139:G139"/>
    <mergeCell ref="C141:K141"/>
    <mergeCell ref="C142:G142"/>
    <mergeCell ref="C161:G161"/>
    <mergeCell ref="C163:K163"/>
    <mergeCell ref="C164:G164"/>
    <mergeCell ref="C167:H167"/>
    <mergeCell ref="C168:K168"/>
    <mergeCell ref="C169:G169"/>
    <mergeCell ref="C152:G152"/>
    <mergeCell ref="C154:K154"/>
    <mergeCell ref="C155:G155"/>
    <mergeCell ref="C157:K157"/>
    <mergeCell ref="C158:G158"/>
    <mergeCell ref="C160:K160"/>
    <mergeCell ref="C180:K180"/>
    <mergeCell ref="C181:G181"/>
    <mergeCell ref="C183:K183"/>
    <mergeCell ref="C184:G184"/>
    <mergeCell ref="C186:K186"/>
    <mergeCell ref="C187:G187"/>
    <mergeCell ref="C171:K171"/>
    <mergeCell ref="C172:G172"/>
    <mergeCell ref="C174:K174"/>
    <mergeCell ref="C175:G175"/>
    <mergeCell ref="C177:K177"/>
    <mergeCell ref="C178:G178"/>
  </mergeCells>
  <conditionalFormatting sqref="O9">
    <cfRule type="cellIs" dxfId="1011" priority="1011" operator="equal">
      <formula>"U"</formula>
    </cfRule>
    <cfRule type="cellIs" dxfId="1010" priority="1012" operator="equal">
      <formula>"S"</formula>
    </cfRule>
  </conditionalFormatting>
  <conditionalFormatting sqref="Q9">
    <cfRule type="cellIs" dxfId="1009" priority="1010" operator="equal">
      <formula>"Y"</formula>
    </cfRule>
  </conditionalFormatting>
  <conditionalFormatting sqref="O10">
    <cfRule type="cellIs" dxfId="1008" priority="1005" operator="equal">
      <formula>"NY"</formula>
    </cfRule>
    <cfRule type="cellIs" dxfId="1007" priority="1006" operator="equal">
      <formula>"DM"</formula>
    </cfRule>
    <cfRule type="cellIs" dxfId="1006" priority="1007" operator="equal">
      <formula>"PM"</formula>
    </cfRule>
    <cfRule type="cellIs" dxfId="1005" priority="1008" operator="equal">
      <formula>"LM"</formula>
    </cfRule>
    <cfRule type="cellIs" dxfId="1004" priority="1009" operator="equal">
      <formula>"FM"</formula>
    </cfRule>
  </conditionalFormatting>
  <conditionalFormatting sqref="Q10">
    <cfRule type="cellIs" dxfId="1003" priority="1004" operator="equal">
      <formula>"Y"</formula>
    </cfRule>
  </conditionalFormatting>
  <conditionalFormatting sqref="O11">
    <cfRule type="cellIs" dxfId="1002" priority="999" operator="equal">
      <formula>"NY"</formula>
    </cfRule>
    <cfRule type="cellIs" dxfId="1001" priority="1000" operator="equal">
      <formula>"DM"</formula>
    </cfRule>
    <cfRule type="cellIs" dxfId="1000" priority="1001" operator="equal">
      <formula>"PM"</formula>
    </cfRule>
    <cfRule type="cellIs" dxfId="999" priority="1002" operator="equal">
      <formula>"LM"</formula>
    </cfRule>
    <cfRule type="cellIs" dxfId="998" priority="1003" operator="equal">
      <formula>"FM"</formula>
    </cfRule>
  </conditionalFormatting>
  <conditionalFormatting sqref="Q11">
    <cfRule type="cellIs" dxfId="997" priority="998" operator="equal">
      <formula>"Y"</formula>
    </cfRule>
  </conditionalFormatting>
  <conditionalFormatting sqref="O12">
    <cfRule type="cellIs" dxfId="996" priority="993" operator="equal">
      <formula>"NY"</formula>
    </cfRule>
    <cfRule type="cellIs" dxfId="995" priority="994" operator="equal">
      <formula>"DM"</formula>
    </cfRule>
    <cfRule type="cellIs" dxfId="994" priority="995" operator="equal">
      <formula>"PM"</formula>
    </cfRule>
    <cfRule type="cellIs" dxfId="993" priority="996" operator="equal">
      <formula>"LM"</formula>
    </cfRule>
    <cfRule type="cellIs" dxfId="992" priority="997" operator="equal">
      <formula>"FM"</formula>
    </cfRule>
  </conditionalFormatting>
  <conditionalFormatting sqref="I12:J12">
    <cfRule type="cellIs" dxfId="991" priority="991" operator="equal">
      <formula>"No"</formula>
    </cfRule>
    <cfRule type="cellIs" dxfId="990" priority="992" operator="equal">
      <formula>"Yes"</formula>
    </cfRule>
  </conditionalFormatting>
  <conditionalFormatting sqref="Q12">
    <cfRule type="cellIs" dxfId="989" priority="990" operator="equal">
      <formula>"Y"</formula>
    </cfRule>
  </conditionalFormatting>
  <conditionalFormatting sqref="I13">
    <cfRule type="cellIs" dxfId="988" priority="988" operator="equal">
      <formula>"No"</formula>
    </cfRule>
    <cfRule type="cellIs" dxfId="987" priority="989" operator="equal">
      <formula>"Yes"</formula>
    </cfRule>
  </conditionalFormatting>
  <conditionalFormatting sqref="Q13">
    <cfRule type="cellIs" dxfId="986" priority="987" operator="equal">
      <formula>"Y"</formula>
    </cfRule>
  </conditionalFormatting>
  <conditionalFormatting sqref="O14">
    <cfRule type="cellIs" dxfId="985" priority="982" operator="equal">
      <formula>"NY"</formula>
    </cfRule>
    <cfRule type="cellIs" dxfId="984" priority="983" operator="equal">
      <formula>"DM"</formula>
    </cfRule>
    <cfRule type="cellIs" dxfId="983" priority="984" operator="equal">
      <formula>"PM"</formula>
    </cfRule>
    <cfRule type="cellIs" dxfId="982" priority="985" operator="equal">
      <formula>"LM"</formula>
    </cfRule>
    <cfRule type="cellIs" dxfId="981" priority="986" operator="equal">
      <formula>"FM"</formula>
    </cfRule>
  </conditionalFormatting>
  <conditionalFormatting sqref="Q14">
    <cfRule type="cellIs" dxfId="980" priority="981" operator="equal">
      <formula>"Y"</formula>
    </cfRule>
  </conditionalFormatting>
  <conditionalFormatting sqref="O15">
    <cfRule type="cellIs" dxfId="979" priority="976" operator="equal">
      <formula>"NY"</formula>
    </cfRule>
    <cfRule type="cellIs" dxfId="978" priority="977" operator="equal">
      <formula>"DM"</formula>
    </cfRule>
    <cfRule type="cellIs" dxfId="977" priority="978" operator="equal">
      <formula>"PM"</formula>
    </cfRule>
    <cfRule type="cellIs" dxfId="976" priority="979" operator="equal">
      <formula>"LM"</formula>
    </cfRule>
    <cfRule type="cellIs" dxfId="975" priority="980" operator="equal">
      <formula>"FM"</formula>
    </cfRule>
  </conditionalFormatting>
  <conditionalFormatting sqref="I15:J15">
    <cfRule type="cellIs" dxfId="974" priority="974" operator="equal">
      <formula>"No"</formula>
    </cfRule>
    <cfRule type="cellIs" dxfId="973" priority="975" operator="equal">
      <formula>"Yes"</formula>
    </cfRule>
  </conditionalFormatting>
  <conditionalFormatting sqref="Q15">
    <cfRule type="cellIs" dxfId="972" priority="973" operator="equal">
      <formula>"Y"</formula>
    </cfRule>
  </conditionalFormatting>
  <conditionalFormatting sqref="I16">
    <cfRule type="cellIs" dxfId="971" priority="971" operator="equal">
      <formula>"No"</formula>
    </cfRule>
    <cfRule type="cellIs" dxfId="970" priority="972" operator="equal">
      <formula>"Yes"</formula>
    </cfRule>
  </conditionalFormatting>
  <conditionalFormatting sqref="Q16">
    <cfRule type="cellIs" dxfId="969" priority="970" operator="equal">
      <formula>"Y"</formula>
    </cfRule>
  </conditionalFormatting>
  <conditionalFormatting sqref="O17">
    <cfRule type="cellIs" dxfId="968" priority="965" operator="equal">
      <formula>"NY"</formula>
    </cfRule>
    <cfRule type="cellIs" dxfId="967" priority="966" operator="equal">
      <formula>"DM"</formula>
    </cfRule>
    <cfRule type="cellIs" dxfId="966" priority="967" operator="equal">
      <formula>"PM"</formula>
    </cfRule>
    <cfRule type="cellIs" dxfId="965" priority="968" operator="equal">
      <formula>"LM"</formula>
    </cfRule>
    <cfRule type="cellIs" dxfId="964" priority="969" operator="equal">
      <formula>"FM"</formula>
    </cfRule>
  </conditionalFormatting>
  <conditionalFormatting sqref="Q17">
    <cfRule type="cellIs" dxfId="963" priority="964" operator="equal">
      <formula>"Y"</formula>
    </cfRule>
  </conditionalFormatting>
  <conditionalFormatting sqref="O18">
    <cfRule type="cellIs" dxfId="962" priority="959" operator="equal">
      <formula>"NY"</formula>
    </cfRule>
    <cfRule type="cellIs" dxfId="961" priority="960" operator="equal">
      <formula>"DM"</formula>
    </cfRule>
    <cfRule type="cellIs" dxfId="960" priority="961" operator="equal">
      <formula>"PM"</formula>
    </cfRule>
    <cfRule type="cellIs" dxfId="959" priority="962" operator="equal">
      <formula>"LM"</formula>
    </cfRule>
    <cfRule type="cellIs" dxfId="958" priority="963" operator="equal">
      <formula>"FM"</formula>
    </cfRule>
  </conditionalFormatting>
  <conditionalFormatting sqref="I18:J18">
    <cfRule type="cellIs" dxfId="957" priority="957" operator="equal">
      <formula>"No"</formula>
    </cfRule>
    <cfRule type="cellIs" dxfId="956" priority="958" operator="equal">
      <formula>"Yes"</formula>
    </cfRule>
  </conditionalFormatting>
  <conditionalFormatting sqref="Q18">
    <cfRule type="cellIs" dxfId="955" priority="956" operator="equal">
      <formula>"Y"</formula>
    </cfRule>
  </conditionalFormatting>
  <conditionalFormatting sqref="I19">
    <cfRule type="cellIs" dxfId="954" priority="954" operator="equal">
      <formula>"No"</formula>
    </cfRule>
    <cfRule type="cellIs" dxfId="953" priority="955" operator="equal">
      <formula>"Yes"</formula>
    </cfRule>
  </conditionalFormatting>
  <conditionalFormatting sqref="Q19">
    <cfRule type="cellIs" dxfId="952" priority="953" operator="equal">
      <formula>"Y"</formula>
    </cfRule>
  </conditionalFormatting>
  <conditionalFormatting sqref="O20">
    <cfRule type="cellIs" dxfId="951" priority="948" operator="equal">
      <formula>"NY"</formula>
    </cfRule>
    <cfRule type="cellIs" dxfId="950" priority="949" operator="equal">
      <formula>"DM"</formula>
    </cfRule>
    <cfRule type="cellIs" dxfId="949" priority="950" operator="equal">
      <formula>"PM"</formula>
    </cfRule>
    <cfRule type="cellIs" dxfId="948" priority="951" operator="equal">
      <formula>"LM"</formula>
    </cfRule>
    <cfRule type="cellIs" dxfId="947" priority="952" operator="equal">
      <formula>"FM"</formula>
    </cfRule>
  </conditionalFormatting>
  <conditionalFormatting sqref="Q20">
    <cfRule type="cellIs" dxfId="946" priority="947" operator="equal">
      <formula>"Y"</formula>
    </cfRule>
  </conditionalFormatting>
  <conditionalFormatting sqref="O21">
    <cfRule type="cellIs" dxfId="945" priority="942" operator="equal">
      <formula>"NY"</formula>
    </cfRule>
    <cfRule type="cellIs" dxfId="944" priority="943" operator="equal">
      <formula>"DM"</formula>
    </cfRule>
    <cfRule type="cellIs" dxfId="943" priority="944" operator="equal">
      <formula>"PM"</formula>
    </cfRule>
    <cfRule type="cellIs" dxfId="942" priority="945" operator="equal">
      <formula>"LM"</formula>
    </cfRule>
    <cfRule type="cellIs" dxfId="941" priority="946" operator="equal">
      <formula>"FM"</formula>
    </cfRule>
  </conditionalFormatting>
  <conditionalFormatting sqref="I21:J21">
    <cfRule type="cellIs" dxfId="940" priority="940" operator="equal">
      <formula>"No"</formula>
    </cfRule>
    <cfRule type="cellIs" dxfId="939" priority="941" operator="equal">
      <formula>"Yes"</formula>
    </cfRule>
  </conditionalFormatting>
  <conditionalFormatting sqref="Q21">
    <cfRule type="cellIs" dxfId="938" priority="939" operator="equal">
      <formula>"Y"</formula>
    </cfRule>
  </conditionalFormatting>
  <conditionalFormatting sqref="I22">
    <cfRule type="cellIs" dxfId="937" priority="937" operator="equal">
      <formula>"No"</formula>
    </cfRule>
    <cfRule type="cellIs" dxfId="936" priority="938" operator="equal">
      <formula>"Yes"</formula>
    </cfRule>
  </conditionalFormatting>
  <conditionalFormatting sqref="Q22">
    <cfRule type="cellIs" dxfId="935" priority="936" operator="equal">
      <formula>"Y"</formula>
    </cfRule>
  </conditionalFormatting>
  <conditionalFormatting sqref="O23">
    <cfRule type="cellIs" dxfId="934" priority="931" operator="equal">
      <formula>"NY"</formula>
    </cfRule>
    <cfRule type="cellIs" dxfId="933" priority="932" operator="equal">
      <formula>"DM"</formula>
    </cfRule>
    <cfRule type="cellIs" dxfId="932" priority="933" operator="equal">
      <formula>"PM"</formula>
    </cfRule>
    <cfRule type="cellIs" dxfId="931" priority="934" operator="equal">
      <formula>"LM"</formula>
    </cfRule>
    <cfRule type="cellIs" dxfId="930" priority="935" operator="equal">
      <formula>"FM"</formula>
    </cfRule>
  </conditionalFormatting>
  <conditionalFormatting sqref="Q23">
    <cfRule type="cellIs" dxfId="929" priority="930" operator="equal">
      <formula>"Y"</formula>
    </cfRule>
  </conditionalFormatting>
  <conditionalFormatting sqref="O24">
    <cfRule type="cellIs" dxfId="928" priority="925" operator="equal">
      <formula>"NY"</formula>
    </cfRule>
    <cfRule type="cellIs" dxfId="927" priority="926" operator="equal">
      <formula>"DM"</formula>
    </cfRule>
    <cfRule type="cellIs" dxfId="926" priority="927" operator="equal">
      <formula>"PM"</formula>
    </cfRule>
    <cfRule type="cellIs" dxfId="925" priority="928" operator="equal">
      <formula>"LM"</formula>
    </cfRule>
    <cfRule type="cellIs" dxfId="924" priority="929" operator="equal">
      <formula>"FM"</formula>
    </cfRule>
  </conditionalFormatting>
  <conditionalFormatting sqref="I24:J24">
    <cfRule type="cellIs" dxfId="923" priority="923" operator="equal">
      <formula>"No"</formula>
    </cfRule>
    <cfRule type="cellIs" dxfId="922" priority="924" operator="equal">
      <formula>"Yes"</formula>
    </cfRule>
  </conditionalFormatting>
  <conditionalFormatting sqref="Q24">
    <cfRule type="cellIs" dxfId="921" priority="922" operator="equal">
      <formula>"Y"</formula>
    </cfRule>
  </conditionalFormatting>
  <conditionalFormatting sqref="I25">
    <cfRule type="cellIs" dxfId="920" priority="920" operator="equal">
      <formula>"No"</formula>
    </cfRule>
    <cfRule type="cellIs" dxfId="919" priority="921" operator="equal">
      <formula>"Yes"</formula>
    </cfRule>
  </conditionalFormatting>
  <conditionalFormatting sqref="Q25">
    <cfRule type="cellIs" dxfId="918" priority="919" operator="equal">
      <formula>"Y"</formula>
    </cfRule>
  </conditionalFormatting>
  <conditionalFormatting sqref="O26">
    <cfRule type="cellIs" dxfId="917" priority="914" operator="equal">
      <formula>"NY"</formula>
    </cfRule>
    <cfRule type="cellIs" dxfId="916" priority="915" operator="equal">
      <formula>"DM"</formula>
    </cfRule>
    <cfRule type="cellIs" dxfId="915" priority="916" operator="equal">
      <formula>"PM"</formula>
    </cfRule>
    <cfRule type="cellIs" dxfId="914" priority="917" operator="equal">
      <formula>"LM"</formula>
    </cfRule>
    <cfRule type="cellIs" dxfId="913" priority="918" operator="equal">
      <formula>"FM"</formula>
    </cfRule>
  </conditionalFormatting>
  <conditionalFormatting sqref="Q26">
    <cfRule type="cellIs" dxfId="912" priority="913" operator="equal">
      <formula>"Y"</formula>
    </cfRule>
  </conditionalFormatting>
  <conditionalFormatting sqref="O27">
    <cfRule type="cellIs" dxfId="911" priority="908" operator="equal">
      <formula>"NY"</formula>
    </cfRule>
    <cfRule type="cellIs" dxfId="910" priority="909" operator="equal">
      <formula>"DM"</formula>
    </cfRule>
    <cfRule type="cellIs" dxfId="909" priority="910" operator="equal">
      <formula>"PM"</formula>
    </cfRule>
    <cfRule type="cellIs" dxfId="908" priority="911" operator="equal">
      <formula>"LM"</formula>
    </cfRule>
    <cfRule type="cellIs" dxfId="907" priority="912" operator="equal">
      <formula>"FM"</formula>
    </cfRule>
  </conditionalFormatting>
  <conditionalFormatting sqref="I27:J27">
    <cfRule type="cellIs" dxfId="906" priority="906" operator="equal">
      <formula>"No"</formula>
    </cfRule>
    <cfRule type="cellIs" dxfId="905" priority="907" operator="equal">
      <formula>"Yes"</formula>
    </cfRule>
  </conditionalFormatting>
  <conditionalFormatting sqref="Q27">
    <cfRule type="cellIs" dxfId="904" priority="905" operator="equal">
      <formula>"Y"</formula>
    </cfRule>
  </conditionalFormatting>
  <conditionalFormatting sqref="I28">
    <cfRule type="cellIs" dxfId="903" priority="903" operator="equal">
      <formula>"No"</formula>
    </cfRule>
    <cfRule type="cellIs" dxfId="902" priority="904" operator="equal">
      <formula>"Yes"</formula>
    </cfRule>
  </conditionalFormatting>
  <conditionalFormatting sqref="Q28">
    <cfRule type="cellIs" dxfId="901" priority="902" operator="equal">
      <formula>"Y"</formula>
    </cfRule>
  </conditionalFormatting>
  <conditionalFormatting sqref="O29">
    <cfRule type="cellIs" dxfId="900" priority="897" operator="equal">
      <formula>"NY"</formula>
    </cfRule>
    <cfRule type="cellIs" dxfId="899" priority="898" operator="equal">
      <formula>"DM"</formula>
    </cfRule>
    <cfRule type="cellIs" dxfId="898" priority="899" operator="equal">
      <formula>"PM"</formula>
    </cfRule>
    <cfRule type="cellIs" dxfId="897" priority="900" operator="equal">
      <formula>"LM"</formula>
    </cfRule>
    <cfRule type="cellIs" dxfId="896" priority="901" operator="equal">
      <formula>"FM"</formula>
    </cfRule>
  </conditionalFormatting>
  <conditionalFormatting sqref="Q29">
    <cfRule type="cellIs" dxfId="895" priority="896" operator="equal">
      <formula>"Y"</formula>
    </cfRule>
  </conditionalFormatting>
  <conditionalFormatting sqref="O30">
    <cfRule type="cellIs" dxfId="894" priority="891" operator="equal">
      <formula>"NY"</formula>
    </cfRule>
    <cfRule type="cellIs" dxfId="893" priority="892" operator="equal">
      <formula>"DM"</formula>
    </cfRule>
    <cfRule type="cellIs" dxfId="892" priority="893" operator="equal">
      <formula>"PM"</formula>
    </cfRule>
    <cfRule type="cellIs" dxfId="891" priority="894" operator="equal">
      <formula>"LM"</formula>
    </cfRule>
    <cfRule type="cellIs" dxfId="890" priority="895" operator="equal">
      <formula>"FM"</formula>
    </cfRule>
  </conditionalFormatting>
  <conditionalFormatting sqref="I30:J30">
    <cfRule type="cellIs" dxfId="889" priority="889" operator="equal">
      <formula>"No"</formula>
    </cfRule>
    <cfRule type="cellIs" dxfId="888" priority="890" operator="equal">
      <formula>"Yes"</formula>
    </cfRule>
  </conditionalFormatting>
  <conditionalFormatting sqref="Q30">
    <cfRule type="cellIs" dxfId="887" priority="888" operator="equal">
      <formula>"Y"</formula>
    </cfRule>
  </conditionalFormatting>
  <conditionalFormatting sqref="I31">
    <cfRule type="cellIs" dxfId="886" priority="886" operator="equal">
      <formula>"No"</formula>
    </cfRule>
    <cfRule type="cellIs" dxfId="885" priority="887" operator="equal">
      <formula>"Yes"</formula>
    </cfRule>
  </conditionalFormatting>
  <conditionalFormatting sqref="Q31">
    <cfRule type="cellIs" dxfId="884" priority="885" operator="equal">
      <formula>"Y"</formula>
    </cfRule>
  </conditionalFormatting>
  <conditionalFormatting sqref="O32">
    <cfRule type="cellIs" dxfId="883" priority="883" operator="equal">
      <formula>"U"</formula>
    </cfRule>
    <cfRule type="cellIs" dxfId="882" priority="884" operator="equal">
      <formula>"S"</formula>
    </cfRule>
  </conditionalFormatting>
  <conditionalFormatting sqref="Q32">
    <cfRule type="cellIs" dxfId="881" priority="882" operator="equal">
      <formula>"Y"</formula>
    </cfRule>
  </conditionalFormatting>
  <conditionalFormatting sqref="O33">
    <cfRule type="cellIs" dxfId="880" priority="877" operator="equal">
      <formula>"NY"</formula>
    </cfRule>
    <cfRule type="cellIs" dxfId="879" priority="878" operator="equal">
      <formula>"DM"</formula>
    </cfRule>
    <cfRule type="cellIs" dxfId="878" priority="879" operator="equal">
      <formula>"PM"</formula>
    </cfRule>
    <cfRule type="cellIs" dxfId="877" priority="880" operator="equal">
      <formula>"LM"</formula>
    </cfRule>
    <cfRule type="cellIs" dxfId="876" priority="881" operator="equal">
      <formula>"FM"</formula>
    </cfRule>
  </conditionalFormatting>
  <conditionalFormatting sqref="Q33">
    <cfRule type="cellIs" dxfId="875" priority="876" operator="equal">
      <formula>"Y"</formula>
    </cfRule>
  </conditionalFormatting>
  <conditionalFormatting sqref="O34">
    <cfRule type="cellIs" dxfId="874" priority="871" operator="equal">
      <formula>"NY"</formula>
    </cfRule>
    <cfRule type="cellIs" dxfId="873" priority="872" operator="equal">
      <formula>"DM"</formula>
    </cfRule>
    <cfRule type="cellIs" dxfId="872" priority="873" operator="equal">
      <formula>"PM"</formula>
    </cfRule>
    <cfRule type="cellIs" dxfId="871" priority="874" operator="equal">
      <formula>"LM"</formula>
    </cfRule>
    <cfRule type="cellIs" dxfId="870" priority="875" operator="equal">
      <formula>"FM"</formula>
    </cfRule>
  </conditionalFormatting>
  <conditionalFormatting sqref="Q34">
    <cfRule type="cellIs" dxfId="869" priority="870" operator="equal">
      <formula>"Y"</formula>
    </cfRule>
  </conditionalFormatting>
  <conditionalFormatting sqref="O35">
    <cfRule type="cellIs" dxfId="868" priority="865" operator="equal">
      <formula>"NY"</formula>
    </cfRule>
    <cfRule type="cellIs" dxfId="867" priority="866" operator="equal">
      <formula>"DM"</formula>
    </cfRule>
    <cfRule type="cellIs" dxfId="866" priority="867" operator="equal">
      <formula>"PM"</formula>
    </cfRule>
    <cfRule type="cellIs" dxfId="865" priority="868" operator="equal">
      <formula>"LM"</formula>
    </cfRule>
    <cfRule type="cellIs" dxfId="864" priority="869" operator="equal">
      <formula>"FM"</formula>
    </cfRule>
  </conditionalFormatting>
  <conditionalFormatting sqref="I35:J35">
    <cfRule type="cellIs" dxfId="863" priority="863" operator="equal">
      <formula>"No"</formula>
    </cfRule>
    <cfRule type="cellIs" dxfId="862" priority="864" operator="equal">
      <formula>"Yes"</formula>
    </cfRule>
  </conditionalFormatting>
  <conditionalFormatting sqref="Q35">
    <cfRule type="cellIs" dxfId="861" priority="862" operator="equal">
      <formula>"Y"</formula>
    </cfRule>
  </conditionalFormatting>
  <conditionalFormatting sqref="I36">
    <cfRule type="cellIs" dxfId="860" priority="860" operator="equal">
      <formula>"No"</formula>
    </cfRule>
    <cfRule type="cellIs" dxfId="859" priority="861" operator="equal">
      <formula>"Yes"</formula>
    </cfRule>
  </conditionalFormatting>
  <conditionalFormatting sqref="Q36">
    <cfRule type="cellIs" dxfId="858" priority="859" operator="equal">
      <formula>"Y"</formula>
    </cfRule>
  </conditionalFormatting>
  <conditionalFormatting sqref="O37">
    <cfRule type="cellIs" dxfId="857" priority="854" operator="equal">
      <formula>"NY"</formula>
    </cfRule>
    <cfRule type="cellIs" dxfId="856" priority="855" operator="equal">
      <formula>"DM"</formula>
    </cfRule>
    <cfRule type="cellIs" dxfId="855" priority="856" operator="equal">
      <formula>"PM"</formula>
    </cfRule>
    <cfRule type="cellIs" dxfId="854" priority="857" operator="equal">
      <formula>"LM"</formula>
    </cfRule>
    <cfRule type="cellIs" dxfId="853" priority="858" operator="equal">
      <formula>"FM"</formula>
    </cfRule>
  </conditionalFormatting>
  <conditionalFormatting sqref="Q37">
    <cfRule type="cellIs" dxfId="852" priority="853" operator="equal">
      <formula>"Y"</formula>
    </cfRule>
  </conditionalFormatting>
  <conditionalFormatting sqref="O38">
    <cfRule type="cellIs" dxfId="851" priority="848" operator="equal">
      <formula>"NY"</formula>
    </cfRule>
    <cfRule type="cellIs" dxfId="850" priority="849" operator="equal">
      <formula>"DM"</formula>
    </cfRule>
    <cfRule type="cellIs" dxfId="849" priority="850" operator="equal">
      <formula>"PM"</formula>
    </cfRule>
    <cfRule type="cellIs" dxfId="848" priority="851" operator="equal">
      <formula>"LM"</formula>
    </cfRule>
    <cfRule type="cellIs" dxfId="847" priority="852" operator="equal">
      <formula>"FM"</formula>
    </cfRule>
  </conditionalFormatting>
  <conditionalFormatting sqref="I38:J38">
    <cfRule type="cellIs" dxfId="846" priority="846" operator="equal">
      <formula>"No"</formula>
    </cfRule>
    <cfRule type="cellIs" dxfId="845" priority="847" operator="equal">
      <formula>"Yes"</formula>
    </cfRule>
  </conditionalFormatting>
  <conditionalFormatting sqref="Q38">
    <cfRule type="cellIs" dxfId="844" priority="845" operator="equal">
      <formula>"Y"</formula>
    </cfRule>
  </conditionalFormatting>
  <conditionalFormatting sqref="I39">
    <cfRule type="cellIs" dxfId="843" priority="843" operator="equal">
      <formula>"No"</formula>
    </cfRule>
    <cfRule type="cellIs" dxfId="842" priority="844" operator="equal">
      <formula>"Yes"</formula>
    </cfRule>
  </conditionalFormatting>
  <conditionalFormatting sqref="Q39">
    <cfRule type="cellIs" dxfId="841" priority="842" operator="equal">
      <formula>"Y"</formula>
    </cfRule>
  </conditionalFormatting>
  <conditionalFormatting sqref="O40">
    <cfRule type="cellIs" dxfId="840" priority="837" operator="equal">
      <formula>"NY"</formula>
    </cfRule>
    <cfRule type="cellIs" dxfId="839" priority="838" operator="equal">
      <formula>"DM"</formula>
    </cfRule>
    <cfRule type="cellIs" dxfId="838" priority="839" operator="equal">
      <formula>"PM"</formula>
    </cfRule>
    <cfRule type="cellIs" dxfId="837" priority="840" operator="equal">
      <formula>"LM"</formula>
    </cfRule>
    <cfRule type="cellIs" dxfId="836" priority="841" operator="equal">
      <formula>"FM"</formula>
    </cfRule>
  </conditionalFormatting>
  <conditionalFormatting sqref="Q40">
    <cfRule type="cellIs" dxfId="835" priority="836" operator="equal">
      <formula>"Y"</formula>
    </cfRule>
  </conditionalFormatting>
  <conditionalFormatting sqref="O41">
    <cfRule type="cellIs" dxfId="834" priority="831" operator="equal">
      <formula>"NY"</formula>
    </cfRule>
    <cfRule type="cellIs" dxfId="833" priority="832" operator="equal">
      <formula>"DM"</formula>
    </cfRule>
    <cfRule type="cellIs" dxfId="832" priority="833" operator="equal">
      <formula>"PM"</formula>
    </cfRule>
    <cfRule type="cellIs" dxfId="831" priority="834" operator="equal">
      <formula>"LM"</formula>
    </cfRule>
    <cfRule type="cellIs" dxfId="830" priority="835" operator="equal">
      <formula>"FM"</formula>
    </cfRule>
  </conditionalFormatting>
  <conditionalFormatting sqref="I41:J41">
    <cfRule type="cellIs" dxfId="829" priority="829" operator="equal">
      <formula>"No"</formula>
    </cfRule>
    <cfRule type="cellIs" dxfId="828" priority="830" operator="equal">
      <formula>"Yes"</formula>
    </cfRule>
  </conditionalFormatting>
  <conditionalFormatting sqref="Q41">
    <cfRule type="cellIs" dxfId="827" priority="828" operator="equal">
      <formula>"Y"</formula>
    </cfRule>
  </conditionalFormatting>
  <conditionalFormatting sqref="I42">
    <cfRule type="cellIs" dxfId="826" priority="826" operator="equal">
      <formula>"No"</formula>
    </cfRule>
    <cfRule type="cellIs" dxfId="825" priority="827" operator="equal">
      <formula>"Yes"</formula>
    </cfRule>
  </conditionalFormatting>
  <conditionalFormatting sqref="Q42">
    <cfRule type="cellIs" dxfId="824" priority="825" operator="equal">
      <formula>"Y"</formula>
    </cfRule>
  </conditionalFormatting>
  <conditionalFormatting sqref="O43">
    <cfRule type="cellIs" dxfId="823" priority="820" operator="equal">
      <formula>"NY"</formula>
    </cfRule>
    <cfRule type="cellIs" dxfId="822" priority="821" operator="equal">
      <formula>"DM"</formula>
    </cfRule>
    <cfRule type="cellIs" dxfId="821" priority="822" operator="equal">
      <formula>"PM"</formula>
    </cfRule>
    <cfRule type="cellIs" dxfId="820" priority="823" operator="equal">
      <formula>"LM"</formula>
    </cfRule>
    <cfRule type="cellIs" dxfId="819" priority="824" operator="equal">
      <formula>"FM"</formula>
    </cfRule>
  </conditionalFormatting>
  <conditionalFormatting sqref="Q43">
    <cfRule type="cellIs" dxfId="818" priority="819" operator="equal">
      <formula>"Y"</formula>
    </cfRule>
  </conditionalFormatting>
  <conditionalFormatting sqref="O44">
    <cfRule type="cellIs" dxfId="817" priority="814" operator="equal">
      <formula>"NY"</formula>
    </cfRule>
    <cfRule type="cellIs" dxfId="816" priority="815" operator="equal">
      <formula>"DM"</formula>
    </cfRule>
    <cfRule type="cellIs" dxfId="815" priority="816" operator="equal">
      <formula>"PM"</formula>
    </cfRule>
    <cfRule type="cellIs" dxfId="814" priority="817" operator="equal">
      <formula>"LM"</formula>
    </cfRule>
    <cfRule type="cellIs" dxfId="813" priority="818" operator="equal">
      <formula>"FM"</formula>
    </cfRule>
  </conditionalFormatting>
  <conditionalFormatting sqref="I44:J44">
    <cfRule type="cellIs" dxfId="812" priority="812" operator="equal">
      <formula>"No"</formula>
    </cfRule>
    <cfRule type="cellIs" dxfId="811" priority="813" operator="equal">
      <formula>"Yes"</formula>
    </cfRule>
  </conditionalFormatting>
  <conditionalFormatting sqref="Q44">
    <cfRule type="cellIs" dxfId="810" priority="811" operator="equal">
      <formula>"Y"</formula>
    </cfRule>
  </conditionalFormatting>
  <conditionalFormatting sqref="I45">
    <cfRule type="cellIs" dxfId="809" priority="809" operator="equal">
      <formula>"No"</formula>
    </cfRule>
    <cfRule type="cellIs" dxfId="808" priority="810" operator="equal">
      <formula>"Yes"</formula>
    </cfRule>
  </conditionalFormatting>
  <conditionalFormatting sqref="Q45">
    <cfRule type="cellIs" dxfId="807" priority="808" operator="equal">
      <formula>"Y"</formula>
    </cfRule>
  </conditionalFormatting>
  <conditionalFormatting sqref="O46">
    <cfRule type="cellIs" dxfId="806" priority="803" operator="equal">
      <formula>"NY"</formula>
    </cfRule>
    <cfRule type="cellIs" dxfId="805" priority="804" operator="equal">
      <formula>"DM"</formula>
    </cfRule>
    <cfRule type="cellIs" dxfId="804" priority="805" operator="equal">
      <formula>"PM"</formula>
    </cfRule>
    <cfRule type="cellIs" dxfId="803" priority="806" operator="equal">
      <formula>"LM"</formula>
    </cfRule>
    <cfRule type="cellIs" dxfId="802" priority="807" operator="equal">
      <formula>"FM"</formula>
    </cfRule>
  </conditionalFormatting>
  <conditionalFormatting sqref="Q46">
    <cfRule type="cellIs" dxfId="801" priority="802" operator="equal">
      <formula>"Y"</formula>
    </cfRule>
  </conditionalFormatting>
  <conditionalFormatting sqref="O47">
    <cfRule type="cellIs" dxfId="800" priority="797" operator="equal">
      <formula>"NY"</formula>
    </cfRule>
    <cfRule type="cellIs" dxfId="799" priority="798" operator="equal">
      <formula>"DM"</formula>
    </cfRule>
    <cfRule type="cellIs" dxfId="798" priority="799" operator="equal">
      <formula>"PM"</formula>
    </cfRule>
    <cfRule type="cellIs" dxfId="797" priority="800" operator="equal">
      <formula>"LM"</formula>
    </cfRule>
    <cfRule type="cellIs" dxfId="796" priority="801" operator="equal">
      <formula>"FM"</formula>
    </cfRule>
  </conditionalFormatting>
  <conditionalFormatting sqref="I47:J47">
    <cfRule type="cellIs" dxfId="795" priority="795" operator="equal">
      <formula>"No"</formula>
    </cfRule>
    <cfRule type="cellIs" dxfId="794" priority="796" operator="equal">
      <formula>"Yes"</formula>
    </cfRule>
  </conditionalFormatting>
  <conditionalFormatting sqref="Q47">
    <cfRule type="cellIs" dxfId="793" priority="794" operator="equal">
      <formula>"Y"</formula>
    </cfRule>
  </conditionalFormatting>
  <conditionalFormatting sqref="I48">
    <cfRule type="cellIs" dxfId="792" priority="792" operator="equal">
      <formula>"No"</formula>
    </cfRule>
    <cfRule type="cellIs" dxfId="791" priority="793" operator="equal">
      <formula>"Yes"</formula>
    </cfRule>
  </conditionalFormatting>
  <conditionalFormatting sqref="Q48">
    <cfRule type="cellIs" dxfId="790" priority="791" operator="equal">
      <formula>"Y"</formula>
    </cfRule>
  </conditionalFormatting>
  <conditionalFormatting sqref="O49">
    <cfRule type="cellIs" dxfId="789" priority="786" operator="equal">
      <formula>"NY"</formula>
    </cfRule>
    <cfRule type="cellIs" dxfId="788" priority="787" operator="equal">
      <formula>"DM"</formula>
    </cfRule>
    <cfRule type="cellIs" dxfId="787" priority="788" operator="equal">
      <formula>"PM"</formula>
    </cfRule>
    <cfRule type="cellIs" dxfId="786" priority="789" operator="equal">
      <formula>"LM"</formula>
    </cfRule>
    <cfRule type="cellIs" dxfId="785" priority="790" operator="equal">
      <formula>"FM"</formula>
    </cfRule>
  </conditionalFormatting>
  <conditionalFormatting sqref="Q49">
    <cfRule type="cellIs" dxfId="784" priority="785" operator="equal">
      <formula>"Y"</formula>
    </cfRule>
  </conditionalFormatting>
  <conditionalFormatting sqref="O50">
    <cfRule type="cellIs" dxfId="783" priority="780" operator="equal">
      <formula>"NY"</formula>
    </cfRule>
    <cfRule type="cellIs" dxfId="782" priority="781" operator="equal">
      <formula>"DM"</formula>
    </cfRule>
    <cfRule type="cellIs" dxfId="781" priority="782" operator="equal">
      <formula>"PM"</formula>
    </cfRule>
    <cfRule type="cellIs" dxfId="780" priority="783" operator="equal">
      <formula>"LM"</formula>
    </cfRule>
    <cfRule type="cellIs" dxfId="779" priority="784" operator="equal">
      <formula>"FM"</formula>
    </cfRule>
  </conditionalFormatting>
  <conditionalFormatting sqref="I50:J50">
    <cfRule type="cellIs" dxfId="778" priority="778" operator="equal">
      <formula>"No"</formula>
    </cfRule>
    <cfRule type="cellIs" dxfId="777" priority="779" operator="equal">
      <formula>"Yes"</formula>
    </cfRule>
  </conditionalFormatting>
  <conditionalFormatting sqref="Q50">
    <cfRule type="cellIs" dxfId="776" priority="777" operator="equal">
      <formula>"Y"</formula>
    </cfRule>
  </conditionalFormatting>
  <conditionalFormatting sqref="I51">
    <cfRule type="cellIs" dxfId="775" priority="775" operator="equal">
      <formula>"No"</formula>
    </cfRule>
    <cfRule type="cellIs" dxfId="774" priority="776" operator="equal">
      <formula>"Yes"</formula>
    </cfRule>
  </conditionalFormatting>
  <conditionalFormatting sqref="Q51">
    <cfRule type="cellIs" dxfId="773" priority="774" operator="equal">
      <formula>"Y"</formula>
    </cfRule>
  </conditionalFormatting>
  <conditionalFormatting sqref="O52">
    <cfRule type="cellIs" dxfId="772" priority="769" operator="equal">
      <formula>"NY"</formula>
    </cfRule>
    <cfRule type="cellIs" dxfId="771" priority="770" operator="equal">
      <formula>"DM"</formula>
    </cfRule>
    <cfRule type="cellIs" dxfId="770" priority="771" operator="equal">
      <formula>"PM"</formula>
    </cfRule>
    <cfRule type="cellIs" dxfId="769" priority="772" operator="equal">
      <formula>"LM"</formula>
    </cfRule>
    <cfRule type="cellIs" dxfId="768" priority="773" operator="equal">
      <formula>"FM"</formula>
    </cfRule>
  </conditionalFormatting>
  <conditionalFormatting sqref="Q52">
    <cfRule type="cellIs" dxfId="767" priority="768" operator="equal">
      <formula>"Y"</formula>
    </cfRule>
  </conditionalFormatting>
  <conditionalFormatting sqref="O53">
    <cfRule type="cellIs" dxfId="766" priority="763" operator="equal">
      <formula>"NY"</formula>
    </cfRule>
    <cfRule type="cellIs" dxfId="765" priority="764" operator="equal">
      <formula>"DM"</formula>
    </cfRule>
    <cfRule type="cellIs" dxfId="764" priority="765" operator="equal">
      <formula>"PM"</formula>
    </cfRule>
    <cfRule type="cellIs" dxfId="763" priority="766" operator="equal">
      <formula>"LM"</formula>
    </cfRule>
    <cfRule type="cellIs" dxfId="762" priority="767" operator="equal">
      <formula>"FM"</formula>
    </cfRule>
  </conditionalFormatting>
  <conditionalFormatting sqref="I53:J53">
    <cfRule type="cellIs" dxfId="761" priority="761" operator="equal">
      <formula>"No"</formula>
    </cfRule>
    <cfRule type="cellIs" dxfId="760" priority="762" operator="equal">
      <formula>"Yes"</formula>
    </cfRule>
  </conditionalFormatting>
  <conditionalFormatting sqref="Q53">
    <cfRule type="cellIs" dxfId="759" priority="760" operator="equal">
      <formula>"Y"</formula>
    </cfRule>
  </conditionalFormatting>
  <conditionalFormatting sqref="I54">
    <cfRule type="cellIs" dxfId="758" priority="758" operator="equal">
      <formula>"No"</formula>
    </cfRule>
    <cfRule type="cellIs" dxfId="757" priority="759" operator="equal">
      <formula>"Yes"</formula>
    </cfRule>
  </conditionalFormatting>
  <conditionalFormatting sqref="Q54">
    <cfRule type="cellIs" dxfId="756" priority="757" operator="equal">
      <formula>"Y"</formula>
    </cfRule>
  </conditionalFormatting>
  <conditionalFormatting sqref="O55">
    <cfRule type="cellIs" dxfId="755" priority="752" operator="equal">
      <formula>"NY"</formula>
    </cfRule>
    <cfRule type="cellIs" dxfId="754" priority="753" operator="equal">
      <formula>"DM"</formula>
    </cfRule>
    <cfRule type="cellIs" dxfId="753" priority="754" operator="equal">
      <formula>"PM"</formula>
    </cfRule>
    <cfRule type="cellIs" dxfId="752" priority="755" operator="equal">
      <formula>"LM"</formula>
    </cfRule>
    <cfRule type="cellIs" dxfId="751" priority="756" operator="equal">
      <formula>"FM"</formula>
    </cfRule>
  </conditionalFormatting>
  <conditionalFormatting sqref="Q55">
    <cfRule type="cellIs" dxfId="750" priority="751" operator="equal">
      <formula>"Y"</formula>
    </cfRule>
  </conditionalFormatting>
  <conditionalFormatting sqref="O56">
    <cfRule type="cellIs" dxfId="749" priority="746" operator="equal">
      <formula>"NY"</formula>
    </cfRule>
    <cfRule type="cellIs" dxfId="748" priority="747" operator="equal">
      <formula>"DM"</formula>
    </cfRule>
    <cfRule type="cellIs" dxfId="747" priority="748" operator="equal">
      <formula>"PM"</formula>
    </cfRule>
    <cfRule type="cellIs" dxfId="746" priority="749" operator="equal">
      <formula>"LM"</formula>
    </cfRule>
    <cfRule type="cellIs" dxfId="745" priority="750" operator="equal">
      <formula>"FM"</formula>
    </cfRule>
  </conditionalFormatting>
  <conditionalFormatting sqref="Q56">
    <cfRule type="cellIs" dxfId="744" priority="745" operator="equal">
      <formula>"Y"</formula>
    </cfRule>
  </conditionalFormatting>
  <conditionalFormatting sqref="O57">
    <cfRule type="cellIs" dxfId="743" priority="740" operator="equal">
      <formula>"NY"</formula>
    </cfRule>
    <cfRule type="cellIs" dxfId="742" priority="741" operator="equal">
      <formula>"DM"</formula>
    </cfRule>
    <cfRule type="cellIs" dxfId="741" priority="742" operator="equal">
      <formula>"PM"</formula>
    </cfRule>
    <cfRule type="cellIs" dxfId="740" priority="743" operator="equal">
      <formula>"LM"</formula>
    </cfRule>
    <cfRule type="cellIs" dxfId="739" priority="744" operator="equal">
      <formula>"FM"</formula>
    </cfRule>
  </conditionalFormatting>
  <conditionalFormatting sqref="I57:J57">
    <cfRule type="cellIs" dxfId="738" priority="738" operator="equal">
      <formula>"No"</formula>
    </cfRule>
    <cfRule type="cellIs" dxfId="737" priority="739" operator="equal">
      <formula>"Yes"</formula>
    </cfRule>
  </conditionalFormatting>
  <conditionalFormatting sqref="Q57">
    <cfRule type="cellIs" dxfId="736" priority="737" operator="equal">
      <formula>"Y"</formula>
    </cfRule>
  </conditionalFormatting>
  <conditionalFormatting sqref="I58">
    <cfRule type="cellIs" dxfId="735" priority="735" operator="equal">
      <formula>"No"</formula>
    </cfRule>
    <cfRule type="cellIs" dxfId="734" priority="736" operator="equal">
      <formula>"Yes"</formula>
    </cfRule>
  </conditionalFormatting>
  <conditionalFormatting sqref="Q58">
    <cfRule type="cellIs" dxfId="733" priority="734" operator="equal">
      <formula>"Y"</formula>
    </cfRule>
  </conditionalFormatting>
  <conditionalFormatting sqref="O59">
    <cfRule type="cellIs" dxfId="732" priority="729" operator="equal">
      <formula>"NY"</formula>
    </cfRule>
    <cfRule type="cellIs" dxfId="731" priority="730" operator="equal">
      <formula>"DM"</formula>
    </cfRule>
    <cfRule type="cellIs" dxfId="730" priority="731" operator="equal">
      <formula>"PM"</formula>
    </cfRule>
    <cfRule type="cellIs" dxfId="729" priority="732" operator="equal">
      <formula>"LM"</formula>
    </cfRule>
    <cfRule type="cellIs" dxfId="728" priority="733" operator="equal">
      <formula>"FM"</formula>
    </cfRule>
  </conditionalFormatting>
  <conditionalFormatting sqref="Q59">
    <cfRule type="cellIs" dxfId="727" priority="728" operator="equal">
      <formula>"Y"</formula>
    </cfRule>
  </conditionalFormatting>
  <conditionalFormatting sqref="O60">
    <cfRule type="cellIs" dxfId="726" priority="723" operator="equal">
      <formula>"NY"</formula>
    </cfRule>
    <cfRule type="cellIs" dxfId="725" priority="724" operator="equal">
      <formula>"DM"</formula>
    </cfRule>
    <cfRule type="cellIs" dxfId="724" priority="725" operator="equal">
      <formula>"PM"</formula>
    </cfRule>
    <cfRule type="cellIs" dxfId="723" priority="726" operator="equal">
      <formula>"LM"</formula>
    </cfRule>
    <cfRule type="cellIs" dxfId="722" priority="727" operator="equal">
      <formula>"FM"</formula>
    </cfRule>
  </conditionalFormatting>
  <conditionalFormatting sqref="I60:J60">
    <cfRule type="cellIs" dxfId="721" priority="721" operator="equal">
      <formula>"No"</formula>
    </cfRule>
    <cfRule type="cellIs" dxfId="720" priority="722" operator="equal">
      <formula>"Yes"</formula>
    </cfRule>
  </conditionalFormatting>
  <conditionalFormatting sqref="Q60">
    <cfRule type="cellIs" dxfId="719" priority="720" operator="equal">
      <formula>"Y"</formula>
    </cfRule>
  </conditionalFormatting>
  <conditionalFormatting sqref="I61">
    <cfRule type="cellIs" dxfId="718" priority="718" operator="equal">
      <formula>"No"</formula>
    </cfRule>
    <cfRule type="cellIs" dxfId="717" priority="719" operator="equal">
      <formula>"Yes"</formula>
    </cfRule>
  </conditionalFormatting>
  <conditionalFormatting sqref="Q61">
    <cfRule type="cellIs" dxfId="716" priority="717" operator="equal">
      <formula>"Y"</formula>
    </cfRule>
  </conditionalFormatting>
  <conditionalFormatting sqref="O62">
    <cfRule type="cellIs" dxfId="715" priority="712" operator="equal">
      <formula>"NY"</formula>
    </cfRule>
    <cfRule type="cellIs" dxfId="714" priority="713" operator="equal">
      <formula>"DM"</formula>
    </cfRule>
    <cfRule type="cellIs" dxfId="713" priority="714" operator="equal">
      <formula>"PM"</formula>
    </cfRule>
    <cfRule type="cellIs" dxfId="712" priority="715" operator="equal">
      <formula>"LM"</formula>
    </cfRule>
    <cfRule type="cellIs" dxfId="711" priority="716" operator="equal">
      <formula>"FM"</formula>
    </cfRule>
  </conditionalFormatting>
  <conditionalFormatting sqref="Q62">
    <cfRule type="cellIs" dxfId="710" priority="711" operator="equal">
      <formula>"Y"</formula>
    </cfRule>
  </conditionalFormatting>
  <conditionalFormatting sqref="O63">
    <cfRule type="cellIs" dxfId="709" priority="706" operator="equal">
      <formula>"NY"</formula>
    </cfRule>
    <cfRule type="cellIs" dxfId="708" priority="707" operator="equal">
      <formula>"DM"</formula>
    </cfRule>
    <cfRule type="cellIs" dxfId="707" priority="708" operator="equal">
      <formula>"PM"</formula>
    </cfRule>
    <cfRule type="cellIs" dxfId="706" priority="709" operator="equal">
      <formula>"LM"</formula>
    </cfRule>
    <cfRule type="cellIs" dxfId="705" priority="710" operator="equal">
      <formula>"FM"</formula>
    </cfRule>
  </conditionalFormatting>
  <conditionalFormatting sqref="I63:J63">
    <cfRule type="cellIs" dxfId="704" priority="704" operator="equal">
      <formula>"No"</formula>
    </cfRule>
    <cfRule type="cellIs" dxfId="703" priority="705" operator="equal">
      <formula>"Yes"</formula>
    </cfRule>
  </conditionalFormatting>
  <conditionalFormatting sqref="Q63">
    <cfRule type="cellIs" dxfId="702" priority="703" operator="equal">
      <formula>"Y"</formula>
    </cfRule>
  </conditionalFormatting>
  <conditionalFormatting sqref="I64">
    <cfRule type="cellIs" dxfId="701" priority="701" operator="equal">
      <formula>"No"</formula>
    </cfRule>
    <cfRule type="cellIs" dxfId="700" priority="702" operator="equal">
      <formula>"Yes"</formula>
    </cfRule>
  </conditionalFormatting>
  <conditionalFormatting sqref="Q64">
    <cfRule type="cellIs" dxfId="699" priority="700" operator="equal">
      <formula>"Y"</formula>
    </cfRule>
  </conditionalFormatting>
  <conditionalFormatting sqref="O65">
    <cfRule type="cellIs" dxfId="698" priority="695" operator="equal">
      <formula>"NY"</formula>
    </cfRule>
    <cfRule type="cellIs" dxfId="697" priority="696" operator="equal">
      <formula>"DM"</formula>
    </cfRule>
    <cfRule type="cellIs" dxfId="696" priority="697" operator="equal">
      <formula>"PM"</formula>
    </cfRule>
    <cfRule type="cellIs" dxfId="695" priority="698" operator="equal">
      <formula>"LM"</formula>
    </cfRule>
    <cfRule type="cellIs" dxfId="694" priority="699" operator="equal">
      <formula>"FM"</formula>
    </cfRule>
  </conditionalFormatting>
  <conditionalFormatting sqref="Q65">
    <cfRule type="cellIs" dxfId="693" priority="694" operator="equal">
      <formula>"Y"</formula>
    </cfRule>
  </conditionalFormatting>
  <conditionalFormatting sqref="O66">
    <cfRule type="cellIs" dxfId="692" priority="689" operator="equal">
      <formula>"NY"</formula>
    </cfRule>
    <cfRule type="cellIs" dxfId="691" priority="690" operator="equal">
      <formula>"DM"</formula>
    </cfRule>
    <cfRule type="cellIs" dxfId="690" priority="691" operator="equal">
      <formula>"PM"</formula>
    </cfRule>
    <cfRule type="cellIs" dxfId="689" priority="692" operator="equal">
      <formula>"LM"</formula>
    </cfRule>
    <cfRule type="cellIs" dxfId="688" priority="693" operator="equal">
      <formula>"FM"</formula>
    </cfRule>
  </conditionalFormatting>
  <conditionalFormatting sqref="I66:J66">
    <cfRule type="cellIs" dxfId="687" priority="687" operator="equal">
      <formula>"No"</formula>
    </cfRule>
    <cfRule type="cellIs" dxfId="686" priority="688" operator="equal">
      <formula>"Yes"</formula>
    </cfRule>
  </conditionalFormatting>
  <conditionalFormatting sqref="Q66">
    <cfRule type="cellIs" dxfId="685" priority="686" operator="equal">
      <formula>"Y"</formula>
    </cfRule>
  </conditionalFormatting>
  <conditionalFormatting sqref="I67">
    <cfRule type="cellIs" dxfId="684" priority="684" operator="equal">
      <formula>"No"</formula>
    </cfRule>
    <cfRule type="cellIs" dxfId="683" priority="685" operator="equal">
      <formula>"Yes"</formula>
    </cfRule>
  </conditionalFormatting>
  <conditionalFormatting sqref="Q67">
    <cfRule type="cellIs" dxfId="682" priority="683" operator="equal">
      <formula>"Y"</formula>
    </cfRule>
  </conditionalFormatting>
  <conditionalFormatting sqref="O68">
    <cfRule type="cellIs" dxfId="681" priority="678" operator="equal">
      <formula>"NY"</formula>
    </cfRule>
    <cfRule type="cellIs" dxfId="680" priority="679" operator="equal">
      <formula>"DM"</formula>
    </cfRule>
    <cfRule type="cellIs" dxfId="679" priority="680" operator="equal">
      <formula>"PM"</formula>
    </cfRule>
    <cfRule type="cellIs" dxfId="678" priority="681" operator="equal">
      <formula>"LM"</formula>
    </cfRule>
    <cfRule type="cellIs" dxfId="677" priority="682" operator="equal">
      <formula>"FM"</formula>
    </cfRule>
  </conditionalFormatting>
  <conditionalFormatting sqref="Q68">
    <cfRule type="cellIs" dxfId="676" priority="677" operator="equal">
      <formula>"Y"</formula>
    </cfRule>
  </conditionalFormatting>
  <conditionalFormatting sqref="O69">
    <cfRule type="cellIs" dxfId="675" priority="672" operator="equal">
      <formula>"NY"</formula>
    </cfRule>
    <cfRule type="cellIs" dxfId="674" priority="673" operator="equal">
      <formula>"DM"</formula>
    </cfRule>
    <cfRule type="cellIs" dxfId="673" priority="674" operator="equal">
      <formula>"PM"</formula>
    </cfRule>
    <cfRule type="cellIs" dxfId="672" priority="675" operator="equal">
      <formula>"LM"</formula>
    </cfRule>
    <cfRule type="cellIs" dxfId="671" priority="676" operator="equal">
      <formula>"FM"</formula>
    </cfRule>
  </conditionalFormatting>
  <conditionalFormatting sqref="I69:J69">
    <cfRule type="cellIs" dxfId="670" priority="670" operator="equal">
      <formula>"No"</formula>
    </cfRule>
    <cfRule type="cellIs" dxfId="669" priority="671" operator="equal">
      <formula>"Yes"</formula>
    </cfRule>
  </conditionalFormatting>
  <conditionalFormatting sqref="Q69">
    <cfRule type="cellIs" dxfId="668" priority="669" operator="equal">
      <formula>"Y"</formula>
    </cfRule>
  </conditionalFormatting>
  <conditionalFormatting sqref="I70">
    <cfRule type="cellIs" dxfId="667" priority="667" operator="equal">
      <formula>"No"</formula>
    </cfRule>
    <cfRule type="cellIs" dxfId="666" priority="668" operator="equal">
      <formula>"Yes"</formula>
    </cfRule>
  </conditionalFormatting>
  <conditionalFormatting sqref="Q70">
    <cfRule type="cellIs" dxfId="665" priority="666" operator="equal">
      <formula>"Y"</formula>
    </cfRule>
  </conditionalFormatting>
  <conditionalFormatting sqref="O71">
    <cfRule type="cellIs" dxfId="664" priority="661" operator="equal">
      <formula>"NY"</formula>
    </cfRule>
    <cfRule type="cellIs" dxfId="663" priority="662" operator="equal">
      <formula>"DM"</formula>
    </cfRule>
    <cfRule type="cellIs" dxfId="662" priority="663" operator="equal">
      <formula>"PM"</formula>
    </cfRule>
    <cfRule type="cellIs" dxfId="661" priority="664" operator="equal">
      <formula>"LM"</formula>
    </cfRule>
    <cfRule type="cellIs" dxfId="660" priority="665" operator="equal">
      <formula>"FM"</formula>
    </cfRule>
  </conditionalFormatting>
  <conditionalFormatting sqref="Q71">
    <cfRule type="cellIs" dxfId="659" priority="660" operator="equal">
      <formula>"Y"</formula>
    </cfRule>
  </conditionalFormatting>
  <conditionalFormatting sqref="O72">
    <cfRule type="cellIs" dxfId="658" priority="655" operator="equal">
      <formula>"NY"</formula>
    </cfRule>
    <cfRule type="cellIs" dxfId="657" priority="656" operator="equal">
      <formula>"DM"</formula>
    </cfRule>
    <cfRule type="cellIs" dxfId="656" priority="657" operator="equal">
      <formula>"PM"</formula>
    </cfRule>
    <cfRule type="cellIs" dxfId="655" priority="658" operator="equal">
      <formula>"LM"</formula>
    </cfRule>
    <cfRule type="cellIs" dxfId="654" priority="659" operator="equal">
      <formula>"FM"</formula>
    </cfRule>
  </conditionalFormatting>
  <conditionalFormatting sqref="I72:J72">
    <cfRule type="cellIs" dxfId="653" priority="653" operator="equal">
      <formula>"No"</formula>
    </cfRule>
    <cfRule type="cellIs" dxfId="652" priority="654" operator="equal">
      <formula>"Yes"</formula>
    </cfRule>
  </conditionalFormatting>
  <conditionalFormatting sqref="Q72">
    <cfRule type="cellIs" dxfId="651" priority="652" operator="equal">
      <formula>"Y"</formula>
    </cfRule>
  </conditionalFormatting>
  <conditionalFormatting sqref="I73">
    <cfRule type="cellIs" dxfId="650" priority="650" operator="equal">
      <formula>"No"</formula>
    </cfRule>
    <cfRule type="cellIs" dxfId="649" priority="651" operator="equal">
      <formula>"Yes"</formula>
    </cfRule>
  </conditionalFormatting>
  <conditionalFormatting sqref="Q73">
    <cfRule type="cellIs" dxfId="648" priority="649" operator="equal">
      <formula>"Y"</formula>
    </cfRule>
  </conditionalFormatting>
  <conditionalFormatting sqref="O74">
    <cfRule type="cellIs" dxfId="647" priority="644" operator="equal">
      <formula>"NY"</formula>
    </cfRule>
    <cfRule type="cellIs" dxfId="646" priority="645" operator="equal">
      <formula>"DM"</formula>
    </cfRule>
    <cfRule type="cellIs" dxfId="645" priority="646" operator="equal">
      <formula>"PM"</formula>
    </cfRule>
    <cfRule type="cellIs" dxfId="644" priority="647" operator="equal">
      <formula>"LM"</formula>
    </cfRule>
    <cfRule type="cellIs" dxfId="643" priority="648" operator="equal">
      <formula>"FM"</formula>
    </cfRule>
  </conditionalFormatting>
  <conditionalFormatting sqref="Q74">
    <cfRule type="cellIs" dxfId="642" priority="643" operator="equal">
      <formula>"Y"</formula>
    </cfRule>
  </conditionalFormatting>
  <conditionalFormatting sqref="O75">
    <cfRule type="cellIs" dxfId="641" priority="638" operator="equal">
      <formula>"NY"</formula>
    </cfRule>
    <cfRule type="cellIs" dxfId="640" priority="639" operator="equal">
      <formula>"DM"</formula>
    </cfRule>
    <cfRule type="cellIs" dxfId="639" priority="640" operator="equal">
      <formula>"PM"</formula>
    </cfRule>
    <cfRule type="cellIs" dxfId="638" priority="641" operator="equal">
      <formula>"LM"</formula>
    </cfRule>
    <cfRule type="cellIs" dxfId="637" priority="642" operator="equal">
      <formula>"FM"</formula>
    </cfRule>
  </conditionalFormatting>
  <conditionalFormatting sqref="I75:J75">
    <cfRule type="cellIs" dxfId="636" priority="636" operator="equal">
      <formula>"No"</formula>
    </cfRule>
    <cfRule type="cellIs" dxfId="635" priority="637" operator="equal">
      <formula>"Yes"</formula>
    </cfRule>
  </conditionalFormatting>
  <conditionalFormatting sqref="Q75">
    <cfRule type="cellIs" dxfId="634" priority="635" operator="equal">
      <formula>"Y"</formula>
    </cfRule>
  </conditionalFormatting>
  <conditionalFormatting sqref="I76">
    <cfRule type="cellIs" dxfId="633" priority="633" operator="equal">
      <formula>"No"</formula>
    </cfRule>
    <cfRule type="cellIs" dxfId="632" priority="634" operator="equal">
      <formula>"Yes"</formula>
    </cfRule>
  </conditionalFormatting>
  <conditionalFormatting sqref="Q76">
    <cfRule type="cellIs" dxfId="631" priority="632" operator="equal">
      <formula>"Y"</formula>
    </cfRule>
  </conditionalFormatting>
  <conditionalFormatting sqref="O77">
    <cfRule type="cellIs" dxfId="630" priority="627" operator="equal">
      <formula>"NY"</formula>
    </cfRule>
    <cfRule type="cellIs" dxfId="629" priority="628" operator="equal">
      <formula>"DM"</formula>
    </cfRule>
    <cfRule type="cellIs" dxfId="628" priority="629" operator="equal">
      <formula>"PM"</formula>
    </cfRule>
    <cfRule type="cellIs" dxfId="627" priority="630" operator="equal">
      <formula>"LM"</formula>
    </cfRule>
    <cfRule type="cellIs" dxfId="626" priority="631" operator="equal">
      <formula>"FM"</formula>
    </cfRule>
  </conditionalFormatting>
  <conditionalFormatting sqref="Q77">
    <cfRule type="cellIs" dxfId="625" priority="626" operator="equal">
      <formula>"Y"</formula>
    </cfRule>
  </conditionalFormatting>
  <conditionalFormatting sqref="O78">
    <cfRule type="cellIs" dxfId="624" priority="621" operator="equal">
      <formula>"NY"</formula>
    </cfRule>
    <cfRule type="cellIs" dxfId="623" priority="622" operator="equal">
      <formula>"DM"</formula>
    </cfRule>
    <cfRule type="cellIs" dxfId="622" priority="623" operator="equal">
      <formula>"PM"</formula>
    </cfRule>
    <cfRule type="cellIs" dxfId="621" priority="624" operator="equal">
      <formula>"LM"</formula>
    </cfRule>
    <cfRule type="cellIs" dxfId="620" priority="625" operator="equal">
      <formula>"FM"</formula>
    </cfRule>
  </conditionalFormatting>
  <conditionalFormatting sqref="Q78">
    <cfRule type="cellIs" dxfId="619" priority="620" operator="equal">
      <formula>"Y"</formula>
    </cfRule>
  </conditionalFormatting>
  <conditionalFormatting sqref="O79">
    <cfRule type="cellIs" dxfId="618" priority="615" operator="equal">
      <formula>"NY"</formula>
    </cfRule>
    <cfRule type="cellIs" dxfId="617" priority="616" operator="equal">
      <formula>"DM"</formula>
    </cfRule>
    <cfRule type="cellIs" dxfId="616" priority="617" operator="equal">
      <formula>"PM"</formula>
    </cfRule>
    <cfRule type="cellIs" dxfId="615" priority="618" operator="equal">
      <formula>"LM"</formula>
    </cfRule>
    <cfRule type="cellIs" dxfId="614" priority="619" operator="equal">
      <formula>"FM"</formula>
    </cfRule>
  </conditionalFormatting>
  <conditionalFormatting sqref="I79:J79">
    <cfRule type="cellIs" dxfId="613" priority="613" operator="equal">
      <formula>"No"</formula>
    </cfRule>
    <cfRule type="cellIs" dxfId="612" priority="614" operator="equal">
      <formula>"Yes"</formula>
    </cfRule>
  </conditionalFormatting>
  <conditionalFormatting sqref="Q79">
    <cfRule type="cellIs" dxfId="611" priority="612" operator="equal">
      <formula>"Y"</formula>
    </cfRule>
  </conditionalFormatting>
  <conditionalFormatting sqref="I80">
    <cfRule type="cellIs" dxfId="610" priority="610" operator="equal">
      <formula>"No"</formula>
    </cfRule>
    <cfRule type="cellIs" dxfId="609" priority="611" operator="equal">
      <formula>"Yes"</formula>
    </cfRule>
  </conditionalFormatting>
  <conditionalFormatting sqref="Q80">
    <cfRule type="cellIs" dxfId="608" priority="609" operator="equal">
      <formula>"Y"</formula>
    </cfRule>
  </conditionalFormatting>
  <conditionalFormatting sqref="O81">
    <cfRule type="cellIs" dxfId="607" priority="604" operator="equal">
      <formula>"NY"</formula>
    </cfRule>
    <cfRule type="cellIs" dxfId="606" priority="605" operator="equal">
      <formula>"DM"</formula>
    </cfRule>
    <cfRule type="cellIs" dxfId="605" priority="606" operator="equal">
      <formula>"PM"</formula>
    </cfRule>
    <cfRule type="cellIs" dxfId="604" priority="607" operator="equal">
      <formula>"LM"</formula>
    </cfRule>
    <cfRule type="cellIs" dxfId="603" priority="608" operator="equal">
      <formula>"FM"</formula>
    </cfRule>
  </conditionalFormatting>
  <conditionalFormatting sqref="Q81">
    <cfRule type="cellIs" dxfId="602" priority="603" operator="equal">
      <formula>"Y"</formula>
    </cfRule>
  </conditionalFormatting>
  <conditionalFormatting sqref="O82">
    <cfRule type="cellIs" dxfId="601" priority="598" operator="equal">
      <formula>"NY"</formula>
    </cfRule>
    <cfRule type="cellIs" dxfId="600" priority="599" operator="equal">
      <formula>"DM"</formula>
    </cfRule>
    <cfRule type="cellIs" dxfId="599" priority="600" operator="equal">
      <formula>"PM"</formula>
    </cfRule>
    <cfRule type="cellIs" dxfId="598" priority="601" operator="equal">
      <formula>"LM"</formula>
    </cfRule>
    <cfRule type="cellIs" dxfId="597" priority="602" operator="equal">
      <formula>"FM"</formula>
    </cfRule>
  </conditionalFormatting>
  <conditionalFormatting sqref="I82:J82">
    <cfRule type="cellIs" dxfId="596" priority="596" operator="equal">
      <formula>"No"</formula>
    </cfRule>
    <cfRule type="cellIs" dxfId="595" priority="597" operator="equal">
      <formula>"Yes"</formula>
    </cfRule>
  </conditionalFormatting>
  <conditionalFormatting sqref="Q82">
    <cfRule type="cellIs" dxfId="594" priority="595" operator="equal">
      <formula>"Y"</formula>
    </cfRule>
  </conditionalFormatting>
  <conditionalFormatting sqref="I83">
    <cfRule type="cellIs" dxfId="593" priority="593" operator="equal">
      <formula>"No"</formula>
    </cfRule>
    <cfRule type="cellIs" dxfId="592" priority="594" operator="equal">
      <formula>"Yes"</formula>
    </cfRule>
  </conditionalFormatting>
  <conditionalFormatting sqref="Q83">
    <cfRule type="cellIs" dxfId="591" priority="592" operator="equal">
      <formula>"Y"</formula>
    </cfRule>
  </conditionalFormatting>
  <conditionalFormatting sqref="O84">
    <cfRule type="cellIs" dxfId="590" priority="587" operator="equal">
      <formula>"NY"</formula>
    </cfRule>
    <cfRule type="cellIs" dxfId="589" priority="588" operator="equal">
      <formula>"DM"</formula>
    </cfRule>
    <cfRule type="cellIs" dxfId="588" priority="589" operator="equal">
      <formula>"PM"</formula>
    </cfRule>
    <cfRule type="cellIs" dxfId="587" priority="590" operator="equal">
      <formula>"LM"</formula>
    </cfRule>
    <cfRule type="cellIs" dxfId="586" priority="591" operator="equal">
      <formula>"FM"</formula>
    </cfRule>
  </conditionalFormatting>
  <conditionalFormatting sqref="Q84">
    <cfRule type="cellIs" dxfId="585" priority="586" operator="equal">
      <formula>"Y"</formula>
    </cfRule>
  </conditionalFormatting>
  <conditionalFormatting sqref="O85">
    <cfRule type="cellIs" dxfId="584" priority="581" operator="equal">
      <formula>"NY"</formula>
    </cfRule>
    <cfRule type="cellIs" dxfId="583" priority="582" operator="equal">
      <formula>"DM"</formula>
    </cfRule>
    <cfRule type="cellIs" dxfId="582" priority="583" operator="equal">
      <formula>"PM"</formula>
    </cfRule>
    <cfRule type="cellIs" dxfId="581" priority="584" operator="equal">
      <formula>"LM"</formula>
    </cfRule>
    <cfRule type="cellIs" dxfId="580" priority="585" operator="equal">
      <formula>"FM"</formula>
    </cfRule>
  </conditionalFormatting>
  <conditionalFormatting sqref="I85:J85">
    <cfRule type="cellIs" dxfId="579" priority="579" operator="equal">
      <formula>"No"</formula>
    </cfRule>
    <cfRule type="cellIs" dxfId="578" priority="580" operator="equal">
      <formula>"Yes"</formula>
    </cfRule>
  </conditionalFormatting>
  <conditionalFormatting sqref="Q85">
    <cfRule type="cellIs" dxfId="577" priority="578" operator="equal">
      <formula>"Y"</formula>
    </cfRule>
  </conditionalFormatting>
  <conditionalFormatting sqref="I86">
    <cfRule type="cellIs" dxfId="576" priority="576" operator="equal">
      <formula>"No"</formula>
    </cfRule>
    <cfRule type="cellIs" dxfId="575" priority="577" operator="equal">
      <formula>"Yes"</formula>
    </cfRule>
  </conditionalFormatting>
  <conditionalFormatting sqref="Q86">
    <cfRule type="cellIs" dxfId="574" priority="575" operator="equal">
      <formula>"Y"</formula>
    </cfRule>
  </conditionalFormatting>
  <conditionalFormatting sqref="O87">
    <cfRule type="cellIs" dxfId="573" priority="570" operator="equal">
      <formula>"NY"</formula>
    </cfRule>
    <cfRule type="cellIs" dxfId="572" priority="571" operator="equal">
      <formula>"DM"</formula>
    </cfRule>
    <cfRule type="cellIs" dxfId="571" priority="572" operator="equal">
      <formula>"PM"</formula>
    </cfRule>
    <cfRule type="cellIs" dxfId="570" priority="573" operator="equal">
      <formula>"LM"</formula>
    </cfRule>
    <cfRule type="cellIs" dxfId="569" priority="574" operator="equal">
      <formula>"FM"</formula>
    </cfRule>
  </conditionalFormatting>
  <conditionalFormatting sqref="Q87">
    <cfRule type="cellIs" dxfId="568" priority="569" operator="equal">
      <formula>"Y"</formula>
    </cfRule>
  </conditionalFormatting>
  <conditionalFormatting sqref="O88">
    <cfRule type="cellIs" dxfId="567" priority="564" operator="equal">
      <formula>"NY"</formula>
    </cfRule>
    <cfRule type="cellIs" dxfId="566" priority="565" operator="equal">
      <formula>"DM"</formula>
    </cfRule>
    <cfRule type="cellIs" dxfId="565" priority="566" operator="equal">
      <formula>"PM"</formula>
    </cfRule>
    <cfRule type="cellIs" dxfId="564" priority="567" operator="equal">
      <formula>"LM"</formula>
    </cfRule>
    <cfRule type="cellIs" dxfId="563" priority="568" operator="equal">
      <formula>"FM"</formula>
    </cfRule>
  </conditionalFormatting>
  <conditionalFormatting sqref="I88:J88">
    <cfRule type="cellIs" dxfId="562" priority="562" operator="equal">
      <formula>"No"</formula>
    </cfRule>
    <cfRule type="cellIs" dxfId="561" priority="563" operator="equal">
      <formula>"Yes"</formula>
    </cfRule>
  </conditionalFormatting>
  <conditionalFormatting sqref="Q88">
    <cfRule type="cellIs" dxfId="560" priority="561" operator="equal">
      <formula>"Y"</formula>
    </cfRule>
  </conditionalFormatting>
  <conditionalFormatting sqref="I89">
    <cfRule type="cellIs" dxfId="559" priority="559" operator="equal">
      <formula>"No"</formula>
    </cfRule>
    <cfRule type="cellIs" dxfId="558" priority="560" operator="equal">
      <formula>"Yes"</formula>
    </cfRule>
  </conditionalFormatting>
  <conditionalFormatting sqref="Q89">
    <cfRule type="cellIs" dxfId="557" priority="558" operator="equal">
      <formula>"Y"</formula>
    </cfRule>
  </conditionalFormatting>
  <conditionalFormatting sqref="O90">
    <cfRule type="cellIs" dxfId="556" priority="553" operator="equal">
      <formula>"NY"</formula>
    </cfRule>
    <cfRule type="cellIs" dxfId="555" priority="554" operator="equal">
      <formula>"DM"</formula>
    </cfRule>
    <cfRule type="cellIs" dxfId="554" priority="555" operator="equal">
      <formula>"PM"</formula>
    </cfRule>
    <cfRule type="cellIs" dxfId="553" priority="556" operator="equal">
      <formula>"LM"</formula>
    </cfRule>
    <cfRule type="cellIs" dxfId="552" priority="557" operator="equal">
      <formula>"FM"</formula>
    </cfRule>
  </conditionalFormatting>
  <conditionalFormatting sqref="Q90">
    <cfRule type="cellIs" dxfId="551" priority="552" operator="equal">
      <formula>"Y"</formula>
    </cfRule>
  </conditionalFormatting>
  <conditionalFormatting sqref="O91">
    <cfRule type="cellIs" dxfId="550" priority="547" operator="equal">
      <formula>"NY"</formula>
    </cfRule>
    <cfRule type="cellIs" dxfId="549" priority="548" operator="equal">
      <formula>"DM"</formula>
    </cfRule>
    <cfRule type="cellIs" dxfId="548" priority="549" operator="equal">
      <formula>"PM"</formula>
    </cfRule>
    <cfRule type="cellIs" dxfId="547" priority="550" operator="equal">
      <formula>"LM"</formula>
    </cfRule>
    <cfRule type="cellIs" dxfId="546" priority="551" operator="equal">
      <formula>"FM"</formula>
    </cfRule>
  </conditionalFormatting>
  <conditionalFormatting sqref="I91:J91">
    <cfRule type="cellIs" dxfId="545" priority="545" operator="equal">
      <formula>"No"</formula>
    </cfRule>
    <cfRule type="cellIs" dxfId="544" priority="546" operator="equal">
      <formula>"Yes"</formula>
    </cfRule>
  </conditionalFormatting>
  <conditionalFormatting sqref="Q91">
    <cfRule type="cellIs" dxfId="543" priority="544" operator="equal">
      <formula>"Y"</formula>
    </cfRule>
  </conditionalFormatting>
  <conditionalFormatting sqref="I92">
    <cfRule type="cellIs" dxfId="542" priority="542" operator="equal">
      <formula>"No"</formula>
    </cfRule>
    <cfRule type="cellIs" dxfId="541" priority="543" operator="equal">
      <formula>"Yes"</formula>
    </cfRule>
  </conditionalFormatting>
  <conditionalFormatting sqref="Q92">
    <cfRule type="cellIs" dxfId="540" priority="541" operator="equal">
      <formula>"Y"</formula>
    </cfRule>
  </conditionalFormatting>
  <conditionalFormatting sqref="O93">
    <cfRule type="cellIs" dxfId="539" priority="536" operator="equal">
      <formula>"NY"</formula>
    </cfRule>
    <cfRule type="cellIs" dxfId="538" priority="537" operator="equal">
      <formula>"DM"</formula>
    </cfRule>
    <cfRule type="cellIs" dxfId="537" priority="538" operator="equal">
      <formula>"PM"</formula>
    </cfRule>
    <cfRule type="cellIs" dxfId="536" priority="539" operator="equal">
      <formula>"LM"</formula>
    </cfRule>
    <cfRule type="cellIs" dxfId="535" priority="540" operator="equal">
      <formula>"FM"</formula>
    </cfRule>
  </conditionalFormatting>
  <conditionalFormatting sqref="Q93">
    <cfRule type="cellIs" dxfId="534" priority="535" operator="equal">
      <formula>"Y"</formula>
    </cfRule>
  </conditionalFormatting>
  <conditionalFormatting sqref="O94">
    <cfRule type="cellIs" dxfId="533" priority="530" operator="equal">
      <formula>"NY"</formula>
    </cfRule>
    <cfRule type="cellIs" dxfId="532" priority="531" operator="equal">
      <formula>"DM"</formula>
    </cfRule>
    <cfRule type="cellIs" dxfId="531" priority="532" operator="equal">
      <formula>"PM"</formula>
    </cfRule>
    <cfRule type="cellIs" dxfId="530" priority="533" operator="equal">
      <formula>"LM"</formula>
    </cfRule>
    <cfRule type="cellIs" dxfId="529" priority="534" operator="equal">
      <formula>"FM"</formula>
    </cfRule>
  </conditionalFormatting>
  <conditionalFormatting sqref="I94:J94">
    <cfRule type="cellIs" dxfId="528" priority="528" operator="equal">
      <formula>"No"</formula>
    </cfRule>
    <cfRule type="cellIs" dxfId="527" priority="529" operator="equal">
      <formula>"Yes"</formula>
    </cfRule>
  </conditionalFormatting>
  <conditionalFormatting sqref="Q94">
    <cfRule type="cellIs" dxfId="526" priority="527" operator="equal">
      <formula>"Y"</formula>
    </cfRule>
  </conditionalFormatting>
  <conditionalFormatting sqref="I95">
    <cfRule type="cellIs" dxfId="525" priority="525" operator="equal">
      <formula>"No"</formula>
    </cfRule>
    <cfRule type="cellIs" dxfId="524" priority="526" operator="equal">
      <formula>"Yes"</formula>
    </cfRule>
  </conditionalFormatting>
  <conditionalFormatting sqref="Q95">
    <cfRule type="cellIs" dxfId="523" priority="524" operator="equal">
      <formula>"Y"</formula>
    </cfRule>
  </conditionalFormatting>
  <conditionalFormatting sqref="O96">
    <cfRule type="cellIs" dxfId="522" priority="519" operator="equal">
      <formula>"NY"</formula>
    </cfRule>
    <cfRule type="cellIs" dxfId="521" priority="520" operator="equal">
      <formula>"DM"</formula>
    </cfRule>
    <cfRule type="cellIs" dxfId="520" priority="521" operator="equal">
      <formula>"PM"</formula>
    </cfRule>
    <cfRule type="cellIs" dxfId="519" priority="522" operator="equal">
      <formula>"LM"</formula>
    </cfRule>
    <cfRule type="cellIs" dxfId="518" priority="523" operator="equal">
      <formula>"FM"</formula>
    </cfRule>
  </conditionalFormatting>
  <conditionalFormatting sqref="Q96">
    <cfRule type="cellIs" dxfId="517" priority="518" operator="equal">
      <formula>"Y"</formula>
    </cfRule>
  </conditionalFormatting>
  <conditionalFormatting sqref="O97">
    <cfRule type="cellIs" dxfId="516" priority="513" operator="equal">
      <formula>"NY"</formula>
    </cfRule>
    <cfRule type="cellIs" dxfId="515" priority="514" operator="equal">
      <formula>"DM"</formula>
    </cfRule>
    <cfRule type="cellIs" dxfId="514" priority="515" operator="equal">
      <formula>"PM"</formula>
    </cfRule>
    <cfRule type="cellIs" dxfId="513" priority="516" operator="equal">
      <formula>"LM"</formula>
    </cfRule>
    <cfRule type="cellIs" dxfId="512" priority="517" operator="equal">
      <formula>"FM"</formula>
    </cfRule>
  </conditionalFormatting>
  <conditionalFormatting sqref="I97:J97">
    <cfRule type="cellIs" dxfId="511" priority="511" operator="equal">
      <formula>"No"</formula>
    </cfRule>
    <cfRule type="cellIs" dxfId="510" priority="512" operator="equal">
      <formula>"Yes"</formula>
    </cfRule>
  </conditionalFormatting>
  <conditionalFormatting sqref="Q97">
    <cfRule type="cellIs" dxfId="509" priority="510" operator="equal">
      <formula>"Y"</formula>
    </cfRule>
  </conditionalFormatting>
  <conditionalFormatting sqref="I98">
    <cfRule type="cellIs" dxfId="508" priority="508" operator="equal">
      <formula>"No"</formula>
    </cfRule>
    <cfRule type="cellIs" dxfId="507" priority="509" operator="equal">
      <formula>"Yes"</formula>
    </cfRule>
  </conditionalFormatting>
  <conditionalFormatting sqref="Q98">
    <cfRule type="cellIs" dxfId="506" priority="507" operator="equal">
      <formula>"Y"</formula>
    </cfRule>
  </conditionalFormatting>
  <conditionalFormatting sqref="O99">
    <cfRule type="cellIs" dxfId="505" priority="502" operator="equal">
      <formula>"NY"</formula>
    </cfRule>
    <cfRule type="cellIs" dxfId="504" priority="503" operator="equal">
      <formula>"DM"</formula>
    </cfRule>
    <cfRule type="cellIs" dxfId="503" priority="504" operator="equal">
      <formula>"PM"</formula>
    </cfRule>
    <cfRule type="cellIs" dxfId="502" priority="505" operator="equal">
      <formula>"LM"</formula>
    </cfRule>
    <cfRule type="cellIs" dxfId="501" priority="506" operator="equal">
      <formula>"FM"</formula>
    </cfRule>
  </conditionalFormatting>
  <conditionalFormatting sqref="Q99">
    <cfRule type="cellIs" dxfId="500" priority="501" operator="equal">
      <formula>"Y"</formula>
    </cfRule>
  </conditionalFormatting>
  <conditionalFormatting sqref="O100">
    <cfRule type="cellIs" dxfId="499" priority="496" operator="equal">
      <formula>"NY"</formula>
    </cfRule>
    <cfRule type="cellIs" dxfId="498" priority="497" operator="equal">
      <formula>"DM"</formula>
    </cfRule>
    <cfRule type="cellIs" dxfId="497" priority="498" operator="equal">
      <formula>"PM"</formula>
    </cfRule>
    <cfRule type="cellIs" dxfId="496" priority="499" operator="equal">
      <formula>"LM"</formula>
    </cfRule>
    <cfRule type="cellIs" dxfId="495" priority="500" operator="equal">
      <formula>"FM"</formula>
    </cfRule>
  </conditionalFormatting>
  <conditionalFormatting sqref="Q100">
    <cfRule type="cellIs" dxfId="494" priority="495" operator="equal">
      <formula>"Y"</formula>
    </cfRule>
  </conditionalFormatting>
  <conditionalFormatting sqref="O101">
    <cfRule type="cellIs" dxfId="493" priority="490" operator="equal">
      <formula>"NY"</formula>
    </cfRule>
    <cfRule type="cellIs" dxfId="492" priority="491" operator="equal">
      <formula>"DM"</formula>
    </cfRule>
    <cfRule type="cellIs" dxfId="491" priority="492" operator="equal">
      <formula>"PM"</formula>
    </cfRule>
    <cfRule type="cellIs" dxfId="490" priority="493" operator="equal">
      <formula>"LM"</formula>
    </cfRule>
    <cfRule type="cellIs" dxfId="489" priority="494" operator="equal">
      <formula>"FM"</formula>
    </cfRule>
  </conditionalFormatting>
  <conditionalFormatting sqref="I101:J101">
    <cfRule type="cellIs" dxfId="488" priority="488" operator="equal">
      <formula>"No"</formula>
    </cfRule>
    <cfRule type="cellIs" dxfId="487" priority="489" operator="equal">
      <formula>"Yes"</formula>
    </cfRule>
  </conditionalFormatting>
  <conditionalFormatting sqref="Q101">
    <cfRule type="cellIs" dxfId="486" priority="487" operator="equal">
      <formula>"Y"</formula>
    </cfRule>
  </conditionalFormatting>
  <conditionalFormatting sqref="I102">
    <cfRule type="cellIs" dxfId="485" priority="485" operator="equal">
      <formula>"No"</formula>
    </cfRule>
    <cfRule type="cellIs" dxfId="484" priority="486" operator="equal">
      <formula>"Yes"</formula>
    </cfRule>
  </conditionalFormatting>
  <conditionalFormatting sqref="Q102">
    <cfRule type="cellIs" dxfId="483" priority="484" operator="equal">
      <formula>"Y"</formula>
    </cfRule>
  </conditionalFormatting>
  <conditionalFormatting sqref="O103">
    <cfRule type="cellIs" dxfId="482" priority="479" operator="equal">
      <formula>"NY"</formula>
    </cfRule>
    <cfRule type="cellIs" dxfId="481" priority="480" operator="equal">
      <formula>"DM"</formula>
    </cfRule>
    <cfRule type="cellIs" dxfId="480" priority="481" operator="equal">
      <formula>"PM"</formula>
    </cfRule>
    <cfRule type="cellIs" dxfId="479" priority="482" operator="equal">
      <formula>"LM"</formula>
    </cfRule>
    <cfRule type="cellIs" dxfId="478" priority="483" operator="equal">
      <formula>"FM"</formula>
    </cfRule>
  </conditionalFormatting>
  <conditionalFormatting sqref="Q103">
    <cfRule type="cellIs" dxfId="477" priority="478" operator="equal">
      <formula>"Y"</formula>
    </cfRule>
  </conditionalFormatting>
  <conditionalFormatting sqref="O104">
    <cfRule type="cellIs" dxfId="476" priority="473" operator="equal">
      <formula>"NY"</formula>
    </cfRule>
    <cfRule type="cellIs" dxfId="475" priority="474" operator="equal">
      <formula>"DM"</formula>
    </cfRule>
    <cfRule type="cellIs" dxfId="474" priority="475" operator="equal">
      <formula>"PM"</formula>
    </cfRule>
    <cfRule type="cellIs" dxfId="473" priority="476" operator="equal">
      <formula>"LM"</formula>
    </cfRule>
    <cfRule type="cellIs" dxfId="472" priority="477" operator="equal">
      <formula>"FM"</formula>
    </cfRule>
  </conditionalFormatting>
  <conditionalFormatting sqref="I104:J104">
    <cfRule type="cellIs" dxfId="471" priority="471" operator="equal">
      <formula>"No"</formula>
    </cfRule>
    <cfRule type="cellIs" dxfId="470" priority="472" operator="equal">
      <formula>"Yes"</formula>
    </cfRule>
  </conditionalFormatting>
  <conditionalFormatting sqref="Q104">
    <cfRule type="cellIs" dxfId="469" priority="470" operator="equal">
      <formula>"Y"</formula>
    </cfRule>
  </conditionalFormatting>
  <conditionalFormatting sqref="I105">
    <cfRule type="cellIs" dxfId="468" priority="468" operator="equal">
      <formula>"No"</formula>
    </cfRule>
    <cfRule type="cellIs" dxfId="467" priority="469" operator="equal">
      <formula>"Yes"</formula>
    </cfRule>
  </conditionalFormatting>
  <conditionalFormatting sqref="Q105">
    <cfRule type="cellIs" dxfId="466" priority="467" operator="equal">
      <formula>"Y"</formula>
    </cfRule>
  </conditionalFormatting>
  <conditionalFormatting sqref="O106">
    <cfRule type="cellIs" dxfId="465" priority="462" operator="equal">
      <formula>"NY"</formula>
    </cfRule>
    <cfRule type="cellIs" dxfId="464" priority="463" operator="equal">
      <formula>"DM"</formula>
    </cfRule>
    <cfRule type="cellIs" dxfId="463" priority="464" operator="equal">
      <formula>"PM"</formula>
    </cfRule>
    <cfRule type="cellIs" dxfId="462" priority="465" operator="equal">
      <formula>"LM"</formula>
    </cfRule>
    <cfRule type="cellIs" dxfId="461" priority="466" operator="equal">
      <formula>"FM"</formula>
    </cfRule>
  </conditionalFormatting>
  <conditionalFormatting sqref="Q106">
    <cfRule type="cellIs" dxfId="460" priority="461" operator="equal">
      <formula>"Y"</formula>
    </cfRule>
  </conditionalFormatting>
  <conditionalFormatting sqref="O107">
    <cfRule type="cellIs" dxfId="459" priority="456" operator="equal">
      <formula>"NY"</formula>
    </cfRule>
    <cfRule type="cellIs" dxfId="458" priority="457" operator="equal">
      <formula>"DM"</formula>
    </cfRule>
    <cfRule type="cellIs" dxfId="457" priority="458" operator="equal">
      <formula>"PM"</formula>
    </cfRule>
    <cfRule type="cellIs" dxfId="456" priority="459" operator="equal">
      <formula>"LM"</formula>
    </cfRule>
    <cfRule type="cellIs" dxfId="455" priority="460" operator="equal">
      <formula>"FM"</formula>
    </cfRule>
  </conditionalFormatting>
  <conditionalFormatting sqref="I107:J107">
    <cfRule type="cellIs" dxfId="454" priority="454" operator="equal">
      <formula>"No"</formula>
    </cfRule>
    <cfRule type="cellIs" dxfId="453" priority="455" operator="equal">
      <formula>"Yes"</formula>
    </cfRule>
  </conditionalFormatting>
  <conditionalFormatting sqref="Q107">
    <cfRule type="cellIs" dxfId="452" priority="453" operator="equal">
      <formula>"Y"</formula>
    </cfRule>
  </conditionalFormatting>
  <conditionalFormatting sqref="I108">
    <cfRule type="cellIs" dxfId="451" priority="451" operator="equal">
      <formula>"No"</formula>
    </cfRule>
    <cfRule type="cellIs" dxfId="450" priority="452" operator="equal">
      <formula>"Yes"</formula>
    </cfRule>
  </conditionalFormatting>
  <conditionalFormatting sqref="Q108">
    <cfRule type="cellIs" dxfId="449" priority="450" operator="equal">
      <formula>"Y"</formula>
    </cfRule>
  </conditionalFormatting>
  <conditionalFormatting sqref="O109">
    <cfRule type="cellIs" dxfId="448" priority="445" operator="equal">
      <formula>"NY"</formula>
    </cfRule>
    <cfRule type="cellIs" dxfId="447" priority="446" operator="equal">
      <formula>"DM"</formula>
    </cfRule>
    <cfRule type="cellIs" dxfId="446" priority="447" operator="equal">
      <formula>"PM"</formula>
    </cfRule>
    <cfRule type="cellIs" dxfId="445" priority="448" operator="equal">
      <formula>"LM"</formula>
    </cfRule>
    <cfRule type="cellIs" dxfId="444" priority="449" operator="equal">
      <formula>"FM"</formula>
    </cfRule>
  </conditionalFormatting>
  <conditionalFormatting sqref="Q109">
    <cfRule type="cellIs" dxfId="443" priority="444" operator="equal">
      <formula>"Y"</formula>
    </cfRule>
  </conditionalFormatting>
  <conditionalFormatting sqref="O110">
    <cfRule type="cellIs" dxfId="442" priority="439" operator="equal">
      <formula>"NY"</formula>
    </cfRule>
    <cfRule type="cellIs" dxfId="441" priority="440" operator="equal">
      <formula>"DM"</formula>
    </cfRule>
    <cfRule type="cellIs" dxfId="440" priority="441" operator="equal">
      <formula>"PM"</formula>
    </cfRule>
    <cfRule type="cellIs" dxfId="439" priority="442" operator="equal">
      <formula>"LM"</formula>
    </cfRule>
    <cfRule type="cellIs" dxfId="438" priority="443" operator="equal">
      <formula>"FM"</formula>
    </cfRule>
  </conditionalFormatting>
  <conditionalFormatting sqref="I110:J110">
    <cfRule type="cellIs" dxfId="437" priority="437" operator="equal">
      <formula>"No"</formula>
    </cfRule>
    <cfRule type="cellIs" dxfId="436" priority="438" operator="equal">
      <formula>"Yes"</formula>
    </cfRule>
  </conditionalFormatting>
  <conditionalFormatting sqref="Q110">
    <cfRule type="cellIs" dxfId="435" priority="436" operator="equal">
      <formula>"Y"</formula>
    </cfRule>
  </conditionalFormatting>
  <conditionalFormatting sqref="I111">
    <cfRule type="cellIs" dxfId="434" priority="434" operator="equal">
      <formula>"No"</formula>
    </cfRule>
    <cfRule type="cellIs" dxfId="433" priority="435" operator="equal">
      <formula>"Yes"</formula>
    </cfRule>
  </conditionalFormatting>
  <conditionalFormatting sqref="Q111">
    <cfRule type="cellIs" dxfId="432" priority="433" operator="equal">
      <formula>"Y"</formula>
    </cfRule>
  </conditionalFormatting>
  <conditionalFormatting sqref="O112">
    <cfRule type="cellIs" dxfId="431" priority="428" operator="equal">
      <formula>"NY"</formula>
    </cfRule>
    <cfRule type="cellIs" dxfId="430" priority="429" operator="equal">
      <formula>"DM"</formula>
    </cfRule>
    <cfRule type="cellIs" dxfId="429" priority="430" operator="equal">
      <formula>"PM"</formula>
    </cfRule>
    <cfRule type="cellIs" dxfId="428" priority="431" operator="equal">
      <formula>"LM"</formula>
    </cfRule>
    <cfRule type="cellIs" dxfId="427" priority="432" operator="equal">
      <formula>"FM"</formula>
    </cfRule>
  </conditionalFormatting>
  <conditionalFormatting sqref="Q112">
    <cfRule type="cellIs" dxfId="426" priority="427" operator="equal">
      <formula>"Y"</formula>
    </cfRule>
  </conditionalFormatting>
  <conditionalFormatting sqref="O113">
    <cfRule type="cellIs" dxfId="425" priority="422" operator="equal">
      <formula>"NY"</formula>
    </cfRule>
    <cfRule type="cellIs" dxfId="424" priority="423" operator="equal">
      <formula>"DM"</formula>
    </cfRule>
    <cfRule type="cellIs" dxfId="423" priority="424" operator="equal">
      <formula>"PM"</formula>
    </cfRule>
    <cfRule type="cellIs" dxfId="422" priority="425" operator="equal">
      <formula>"LM"</formula>
    </cfRule>
    <cfRule type="cellIs" dxfId="421" priority="426" operator="equal">
      <formula>"FM"</formula>
    </cfRule>
  </conditionalFormatting>
  <conditionalFormatting sqref="I113:J113">
    <cfRule type="cellIs" dxfId="420" priority="420" operator="equal">
      <formula>"No"</formula>
    </cfRule>
    <cfRule type="cellIs" dxfId="419" priority="421" operator="equal">
      <formula>"Yes"</formula>
    </cfRule>
  </conditionalFormatting>
  <conditionalFormatting sqref="Q113">
    <cfRule type="cellIs" dxfId="418" priority="419" operator="equal">
      <formula>"Y"</formula>
    </cfRule>
  </conditionalFormatting>
  <conditionalFormatting sqref="I114">
    <cfRule type="cellIs" dxfId="417" priority="417" operator="equal">
      <formula>"No"</formula>
    </cfRule>
    <cfRule type="cellIs" dxfId="416" priority="418" operator="equal">
      <formula>"Yes"</formula>
    </cfRule>
  </conditionalFormatting>
  <conditionalFormatting sqref="Q114">
    <cfRule type="cellIs" dxfId="415" priority="416" operator="equal">
      <formula>"Y"</formula>
    </cfRule>
  </conditionalFormatting>
  <conditionalFormatting sqref="O115">
    <cfRule type="cellIs" dxfId="414" priority="411" operator="equal">
      <formula>"NY"</formula>
    </cfRule>
    <cfRule type="cellIs" dxfId="413" priority="412" operator="equal">
      <formula>"DM"</formula>
    </cfRule>
    <cfRule type="cellIs" dxfId="412" priority="413" operator="equal">
      <formula>"PM"</formula>
    </cfRule>
    <cfRule type="cellIs" dxfId="411" priority="414" operator="equal">
      <formula>"LM"</formula>
    </cfRule>
    <cfRule type="cellIs" dxfId="410" priority="415" operator="equal">
      <formula>"FM"</formula>
    </cfRule>
  </conditionalFormatting>
  <conditionalFormatting sqref="Q115">
    <cfRule type="cellIs" dxfId="409" priority="410" operator="equal">
      <formula>"Y"</formula>
    </cfRule>
  </conditionalFormatting>
  <conditionalFormatting sqref="O116">
    <cfRule type="cellIs" dxfId="408" priority="405" operator="equal">
      <formula>"NY"</formula>
    </cfRule>
    <cfRule type="cellIs" dxfId="407" priority="406" operator="equal">
      <formula>"DM"</formula>
    </cfRule>
    <cfRule type="cellIs" dxfId="406" priority="407" operator="equal">
      <formula>"PM"</formula>
    </cfRule>
    <cfRule type="cellIs" dxfId="405" priority="408" operator="equal">
      <formula>"LM"</formula>
    </cfRule>
    <cfRule type="cellIs" dxfId="404" priority="409" operator="equal">
      <formula>"FM"</formula>
    </cfRule>
  </conditionalFormatting>
  <conditionalFormatting sqref="I116:J116">
    <cfRule type="cellIs" dxfId="403" priority="403" operator="equal">
      <formula>"No"</formula>
    </cfRule>
    <cfRule type="cellIs" dxfId="402" priority="404" operator="equal">
      <formula>"Yes"</formula>
    </cfRule>
  </conditionalFormatting>
  <conditionalFormatting sqref="Q116">
    <cfRule type="cellIs" dxfId="401" priority="402" operator="equal">
      <formula>"Y"</formula>
    </cfRule>
  </conditionalFormatting>
  <conditionalFormatting sqref="I117">
    <cfRule type="cellIs" dxfId="400" priority="400" operator="equal">
      <formula>"No"</formula>
    </cfRule>
    <cfRule type="cellIs" dxfId="399" priority="401" operator="equal">
      <formula>"Yes"</formula>
    </cfRule>
  </conditionalFormatting>
  <conditionalFormatting sqref="Q117">
    <cfRule type="cellIs" dxfId="398" priority="399" operator="equal">
      <formula>"Y"</formula>
    </cfRule>
  </conditionalFormatting>
  <conditionalFormatting sqref="O118">
    <cfRule type="cellIs" dxfId="397" priority="394" operator="equal">
      <formula>"NY"</formula>
    </cfRule>
    <cfRule type="cellIs" dxfId="396" priority="395" operator="equal">
      <formula>"DM"</formula>
    </cfRule>
    <cfRule type="cellIs" dxfId="395" priority="396" operator="equal">
      <formula>"PM"</formula>
    </cfRule>
    <cfRule type="cellIs" dxfId="394" priority="397" operator="equal">
      <formula>"LM"</formula>
    </cfRule>
    <cfRule type="cellIs" dxfId="393" priority="398" operator="equal">
      <formula>"FM"</formula>
    </cfRule>
  </conditionalFormatting>
  <conditionalFormatting sqref="Q118">
    <cfRule type="cellIs" dxfId="392" priority="393" operator="equal">
      <formula>"Y"</formula>
    </cfRule>
  </conditionalFormatting>
  <conditionalFormatting sqref="O119">
    <cfRule type="cellIs" dxfId="391" priority="388" operator="equal">
      <formula>"NY"</formula>
    </cfRule>
    <cfRule type="cellIs" dxfId="390" priority="389" operator="equal">
      <formula>"DM"</formula>
    </cfRule>
    <cfRule type="cellIs" dxfId="389" priority="390" operator="equal">
      <formula>"PM"</formula>
    </cfRule>
    <cfRule type="cellIs" dxfId="388" priority="391" operator="equal">
      <formula>"LM"</formula>
    </cfRule>
    <cfRule type="cellIs" dxfId="387" priority="392" operator="equal">
      <formula>"FM"</formula>
    </cfRule>
  </conditionalFormatting>
  <conditionalFormatting sqref="I119:J119">
    <cfRule type="cellIs" dxfId="386" priority="386" operator="equal">
      <formula>"No"</formula>
    </cfRule>
    <cfRule type="cellIs" dxfId="385" priority="387" operator="equal">
      <formula>"Yes"</formula>
    </cfRule>
  </conditionalFormatting>
  <conditionalFormatting sqref="Q119">
    <cfRule type="cellIs" dxfId="384" priority="385" operator="equal">
      <formula>"Y"</formula>
    </cfRule>
  </conditionalFormatting>
  <conditionalFormatting sqref="I120">
    <cfRule type="cellIs" dxfId="383" priority="383" operator="equal">
      <formula>"No"</formula>
    </cfRule>
    <cfRule type="cellIs" dxfId="382" priority="384" operator="equal">
      <formula>"Yes"</formula>
    </cfRule>
  </conditionalFormatting>
  <conditionalFormatting sqref="Q120">
    <cfRule type="cellIs" dxfId="381" priority="382" operator="equal">
      <formula>"Y"</formula>
    </cfRule>
  </conditionalFormatting>
  <conditionalFormatting sqref="O121">
    <cfRule type="cellIs" dxfId="380" priority="380" operator="equal">
      <formula>"U"</formula>
    </cfRule>
    <cfRule type="cellIs" dxfId="379" priority="381" operator="equal">
      <formula>"S"</formula>
    </cfRule>
  </conditionalFormatting>
  <conditionalFormatting sqref="Q121">
    <cfRule type="cellIs" dxfId="378" priority="379" operator="equal">
      <formula>"Y"</formula>
    </cfRule>
  </conditionalFormatting>
  <conditionalFormatting sqref="O122">
    <cfRule type="cellIs" dxfId="377" priority="374" operator="equal">
      <formula>"NY"</formula>
    </cfRule>
    <cfRule type="cellIs" dxfId="376" priority="375" operator="equal">
      <formula>"DM"</formula>
    </cfRule>
    <cfRule type="cellIs" dxfId="375" priority="376" operator="equal">
      <formula>"PM"</formula>
    </cfRule>
    <cfRule type="cellIs" dxfId="374" priority="377" operator="equal">
      <formula>"LM"</formula>
    </cfRule>
    <cfRule type="cellIs" dxfId="373" priority="378" operator="equal">
      <formula>"FM"</formula>
    </cfRule>
  </conditionalFormatting>
  <conditionalFormatting sqref="Q122">
    <cfRule type="cellIs" dxfId="372" priority="373" operator="equal">
      <formula>"Y"</formula>
    </cfRule>
  </conditionalFormatting>
  <conditionalFormatting sqref="O123">
    <cfRule type="cellIs" dxfId="371" priority="368" operator="equal">
      <formula>"NY"</formula>
    </cfRule>
    <cfRule type="cellIs" dxfId="370" priority="369" operator="equal">
      <formula>"DM"</formula>
    </cfRule>
    <cfRule type="cellIs" dxfId="369" priority="370" operator="equal">
      <formula>"PM"</formula>
    </cfRule>
    <cfRule type="cellIs" dxfId="368" priority="371" operator="equal">
      <formula>"LM"</formula>
    </cfRule>
    <cfRule type="cellIs" dxfId="367" priority="372" operator="equal">
      <formula>"FM"</formula>
    </cfRule>
  </conditionalFormatting>
  <conditionalFormatting sqref="Q123">
    <cfRule type="cellIs" dxfId="366" priority="367" operator="equal">
      <formula>"Y"</formula>
    </cfRule>
  </conditionalFormatting>
  <conditionalFormatting sqref="O124">
    <cfRule type="cellIs" dxfId="365" priority="362" operator="equal">
      <formula>"NY"</formula>
    </cfRule>
    <cfRule type="cellIs" dxfId="364" priority="363" operator="equal">
      <formula>"DM"</formula>
    </cfRule>
    <cfRule type="cellIs" dxfId="363" priority="364" operator="equal">
      <formula>"PM"</formula>
    </cfRule>
    <cfRule type="cellIs" dxfId="362" priority="365" operator="equal">
      <formula>"LM"</formula>
    </cfRule>
    <cfRule type="cellIs" dxfId="361" priority="366" operator="equal">
      <formula>"FM"</formula>
    </cfRule>
  </conditionalFormatting>
  <conditionalFormatting sqref="I124:J124">
    <cfRule type="cellIs" dxfId="360" priority="360" operator="equal">
      <formula>"No"</formula>
    </cfRule>
    <cfRule type="cellIs" dxfId="359" priority="361" operator="equal">
      <formula>"Yes"</formula>
    </cfRule>
  </conditionalFormatting>
  <conditionalFormatting sqref="Q124">
    <cfRule type="cellIs" dxfId="358" priority="359" operator="equal">
      <formula>"Y"</formula>
    </cfRule>
  </conditionalFormatting>
  <conditionalFormatting sqref="I125">
    <cfRule type="cellIs" dxfId="357" priority="357" operator="equal">
      <formula>"No"</formula>
    </cfRule>
    <cfRule type="cellIs" dxfId="356" priority="358" operator="equal">
      <formula>"Yes"</formula>
    </cfRule>
  </conditionalFormatting>
  <conditionalFormatting sqref="Q125">
    <cfRule type="cellIs" dxfId="355" priority="356" operator="equal">
      <formula>"Y"</formula>
    </cfRule>
  </conditionalFormatting>
  <conditionalFormatting sqref="O126">
    <cfRule type="cellIs" dxfId="354" priority="351" operator="equal">
      <formula>"NY"</formula>
    </cfRule>
    <cfRule type="cellIs" dxfId="353" priority="352" operator="equal">
      <formula>"DM"</formula>
    </cfRule>
    <cfRule type="cellIs" dxfId="352" priority="353" operator="equal">
      <formula>"PM"</formula>
    </cfRule>
    <cfRule type="cellIs" dxfId="351" priority="354" operator="equal">
      <formula>"LM"</formula>
    </cfRule>
    <cfRule type="cellIs" dxfId="350" priority="355" operator="equal">
      <formula>"FM"</formula>
    </cfRule>
  </conditionalFormatting>
  <conditionalFormatting sqref="Q126">
    <cfRule type="cellIs" dxfId="349" priority="350" operator="equal">
      <formula>"Y"</formula>
    </cfRule>
  </conditionalFormatting>
  <conditionalFormatting sqref="O127">
    <cfRule type="cellIs" dxfId="348" priority="345" operator="equal">
      <formula>"NY"</formula>
    </cfRule>
    <cfRule type="cellIs" dxfId="347" priority="346" operator="equal">
      <formula>"DM"</formula>
    </cfRule>
    <cfRule type="cellIs" dxfId="346" priority="347" operator="equal">
      <formula>"PM"</formula>
    </cfRule>
    <cfRule type="cellIs" dxfId="345" priority="348" operator="equal">
      <formula>"LM"</formula>
    </cfRule>
    <cfRule type="cellIs" dxfId="344" priority="349" operator="equal">
      <formula>"FM"</formula>
    </cfRule>
  </conditionalFormatting>
  <conditionalFormatting sqref="I127:J127">
    <cfRule type="cellIs" dxfId="343" priority="343" operator="equal">
      <formula>"No"</formula>
    </cfRule>
    <cfRule type="cellIs" dxfId="342" priority="344" operator="equal">
      <formula>"Yes"</formula>
    </cfRule>
  </conditionalFormatting>
  <conditionalFormatting sqref="Q127">
    <cfRule type="cellIs" dxfId="341" priority="342" operator="equal">
      <formula>"Y"</formula>
    </cfRule>
  </conditionalFormatting>
  <conditionalFormatting sqref="I128">
    <cfRule type="cellIs" dxfId="340" priority="340" operator="equal">
      <formula>"No"</formula>
    </cfRule>
    <cfRule type="cellIs" dxfId="339" priority="341" operator="equal">
      <formula>"Yes"</formula>
    </cfRule>
  </conditionalFormatting>
  <conditionalFormatting sqref="Q128">
    <cfRule type="cellIs" dxfId="338" priority="339" operator="equal">
      <formula>"Y"</formula>
    </cfRule>
  </conditionalFormatting>
  <conditionalFormatting sqref="O129">
    <cfRule type="cellIs" dxfId="337" priority="334" operator="equal">
      <formula>"NY"</formula>
    </cfRule>
    <cfRule type="cellIs" dxfId="336" priority="335" operator="equal">
      <formula>"DM"</formula>
    </cfRule>
    <cfRule type="cellIs" dxfId="335" priority="336" operator="equal">
      <formula>"PM"</formula>
    </cfRule>
    <cfRule type="cellIs" dxfId="334" priority="337" operator="equal">
      <formula>"LM"</formula>
    </cfRule>
    <cfRule type="cellIs" dxfId="333" priority="338" operator="equal">
      <formula>"FM"</formula>
    </cfRule>
  </conditionalFormatting>
  <conditionalFormatting sqref="Q129">
    <cfRule type="cellIs" dxfId="332" priority="333" operator="equal">
      <formula>"Y"</formula>
    </cfRule>
  </conditionalFormatting>
  <conditionalFormatting sqref="O130">
    <cfRule type="cellIs" dxfId="331" priority="328" operator="equal">
      <formula>"NY"</formula>
    </cfRule>
    <cfRule type="cellIs" dxfId="330" priority="329" operator="equal">
      <formula>"DM"</formula>
    </cfRule>
    <cfRule type="cellIs" dxfId="329" priority="330" operator="equal">
      <formula>"PM"</formula>
    </cfRule>
    <cfRule type="cellIs" dxfId="328" priority="331" operator="equal">
      <formula>"LM"</formula>
    </cfRule>
    <cfRule type="cellIs" dxfId="327" priority="332" operator="equal">
      <formula>"FM"</formula>
    </cfRule>
  </conditionalFormatting>
  <conditionalFormatting sqref="I130:J130">
    <cfRule type="cellIs" dxfId="326" priority="326" operator="equal">
      <formula>"No"</formula>
    </cfRule>
    <cfRule type="cellIs" dxfId="325" priority="327" operator="equal">
      <formula>"Yes"</formula>
    </cfRule>
  </conditionalFormatting>
  <conditionalFormatting sqref="Q130">
    <cfRule type="cellIs" dxfId="324" priority="325" operator="equal">
      <formula>"Y"</formula>
    </cfRule>
  </conditionalFormatting>
  <conditionalFormatting sqref="I131">
    <cfRule type="cellIs" dxfId="323" priority="323" operator="equal">
      <formula>"No"</formula>
    </cfRule>
    <cfRule type="cellIs" dxfId="322" priority="324" operator="equal">
      <formula>"Yes"</formula>
    </cfRule>
  </conditionalFormatting>
  <conditionalFormatting sqref="Q131">
    <cfRule type="cellIs" dxfId="321" priority="322" operator="equal">
      <formula>"Y"</formula>
    </cfRule>
  </conditionalFormatting>
  <conditionalFormatting sqref="O132">
    <cfRule type="cellIs" dxfId="320" priority="317" operator="equal">
      <formula>"NY"</formula>
    </cfRule>
    <cfRule type="cellIs" dxfId="319" priority="318" operator="equal">
      <formula>"DM"</formula>
    </cfRule>
    <cfRule type="cellIs" dxfId="318" priority="319" operator="equal">
      <formula>"PM"</formula>
    </cfRule>
    <cfRule type="cellIs" dxfId="317" priority="320" operator="equal">
      <formula>"LM"</formula>
    </cfRule>
    <cfRule type="cellIs" dxfId="316" priority="321" operator="equal">
      <formula>"FM"</formula>
    </cfRule>
  </conditionalFormatting>
  <conditionalFormatting sqref="Q132">
    <cfRule type="cellIs" dxfId="315" priority="316" operator="equal">
      <formula>"Y"</formula>
    </cfRule>
  </conditionalFormatting>
  <conditionalFormatting sqref="O133">
    <cfRule type="cellIs" dxfId="314" priority="311" operator="equal">
      <formula>"NY"</formula>
    </cfRule>
    <cfRule type="cellIs" dxfId="313" priority="312" operator="equal">
      <formula>"DM"</formula>
    </cfRule>
    <cfRule type="cellIs" dxfId="312" priority="313" operator="equal">
      <formula>"PM"</formula>
    </cfRule>
    <cfRule type="cellIs" dxfId="311" priority="314" operator="equal">
      <formula>"LM"</formula>
    </cfRule>
    <cfRule type="cellIs" dxfId="310" priority="315" operator="equal">
      <formula>"FM"</formula>
    </cfRule>
  </conditionalFormatting>
  <conditionalFormatting sqref="I133:J133">
    <cfRule type="cellIs" dxfId="309" priority="309" operator="equal">
      <formula>"No"</formula>
    </cfRule>
    <cfRule type="cellIs" dxfId="308" priority="310" operator="equal">
      <formula>"Yes"</formula>
    </cfRule>
  </conditionalFormatting>
  <conditionalFormatting sqref="Q133">
    <cfRule type="cellIs" dxfId="307" priority="308" operator="equal">
      <formula>"Y"</formula>
    </cfRule>
  </conditionalFormatting>
  <conditionalFormatting sqref="I134">
    <cfRule type="cellIs" dxfId="306" priority="306" operator="equal">
      <formula>"No"</formula>
    </cfRule>
    <cfRule type="cellIs" dxfId="305" priority="307" operator="equal">
      <formula>"Yes"</formula>
    </cfRule>
  </conditionalFormatting>
  <conditionalFormatting sqref="Q134">
    <cfRule type="cellIs" dxfId="304" priority="305" operator="equal">
      <formula>"Y"</formula>
    </cfRule>
  </conditionalFormatting>
  <conditionalFormatting sqref="O135">
    <cfRule type="cellIs" dxfId="303" priority="300" operator="equal">
      <formula>"NY"</formula>
    </cfRule>
    <cfRule type="cellIs" dxfId="302" priority="301" operator="equal">
      <formula>"DM"</formula>
    </cfRule>
    <cfRule type="cellIs" dxfId="301" priority="302" operator="equal">
      <formula>"PM"</formula>
    </cfRule>
    <cfRule type="cellIs" dxfId="300" priority="303" operator="equal">
      <formula>"LM"</formula>
    </cfRule>
    <cfRule type="cellIs" dxfId="299" priority="304" operator="equal">
      <formula>"FM"</formula>
    </cfRule>
  </conditionalFormatting>
  <conditionalFormatting sqref="Q135">
    <cfRule type="cellIs" dxfId="298" priority="299" operator="equal">
      <formula>"Y"</formula>
    </cfRule>
  </conditionalFormatting>
  <conditionalFormatting sqref="O136">
    <cfRule type="cellIs" dxfId="297" priority="294" operator="equal">
      <formula>"NY"</formula>
    </cfRule>
    <cfRule type="cellIs" dxfId="296" priority="295" operator="equal">
      <formula>"DM"</formula>
    </cfRule>
    <cfRule type="cellIs" dxfId="295" priority="296" operator="equal">
      <formula>"PM"</formula>
    </cfRule>
    <cfRule type="cellIs" dxfId="294" priority="297" operator="equal">
      <formula>"LM"</formula>
    </cfRule>
    <cfRule type="cellIs" dxfId="293" priority="298" operator="equal">
      <formula>"FM"</formula>
    </cfRule>
  </conditionalFormatting>
  <conditionalFormatting sqref="I136:J136">
    <cfRule type="cellIs" dxfId="292" priority="292" operator="equal">
      <formula>"No"</formula>
    </cfRule>
    <cfRule type="cellIs" dxfId="291" priority="293" operator="equal">
      <formula>"Yes"</formula>
    </cfRule>
  </conditionalFormatting>
  <conditionalFormatting sqref="Q136">
    <cfRule type="cellIs" dxfId="290" priority="291" operator="equal">
      <formula>"Y"</formula>
    </cfRule>
  </conditionalFormatting>
  <conditionalFormatting sqref="I137">
    <cfRule type="cellIs" dxfId="289" priority="289" operator="equal">
      <formula>"No"</formula>
    </cfRule>
    <cfRule type="cellIs" dxfId="288" priority="290" operator="equal">
      <formula>"Yes"</formula>
    </cfRule>
  </conditionalFormatting>
  <conditionalFormatting sqref="Q137">
    <cfRule type="cellIs" dxfId="287" priority="288" operator="equal">
      <formula>"Y"</formula>
    </cfRule>
  </conditionalFormatting>
  <conditionalFormatting sqref="O138">
    <cfRule type="cellIs" dxfId="286" priority="283" operator="equal">
      <formula>"NY"</formula>
    </cfRule>
    <cfRule type="cellIs" dxfId="285" priority="284" operator="equal">
      <formula>"DM"</formula>
    </cfRule>
    <cfRule type="cellIs" dxfId="284" priority="285" operator="equal">
      <formula>"PM"</formula>
    </cfRule>
    <cfRule type="cellIs" dxfId="283" priority="286" operator="equal">
      <formula>"LM"</formula>
    </cfRule>
    <cfRule type="cellIs" dxfId="282" priority="287" operator="equal">
      <formula>"FM"</formula>
    </cfRule>
  </conditionalFormatting>
  <conditionalFormatting sqref="Q138">
    <cfRule type="cellIs" dxfId="281" priority="282" operator="equal">
      <formula>"Y"</formula>
    </cfRule>
  </conditionalFormatting>
  <conditionalFormatting sqref="O139">
    <cfRule type="cellIs" dxfId="280" priority="277" operator="equal">
      <formula>"NY"</formula>
    </cfRule>
    <cfRule type="cellIs" dxfId="279" priority="278" operator="equal">
      <formula>"DM"</formula>
    </cfRule>
    <cfRule type="cellIs" dxfId="278" priority="279" operator="equal">
      <formula>"PM"</formula>
    </cfRule>
    <cfRule type="cellIs" dxfId="277" priority="280" operator="equal">
      <formula>"LM"</formula>
    </cfRule>
    <cfRule type="cellIs" dxfId="276" priority="281" operator="equal">
      <formula>"FM"</formula>
    </cfRule>
  </conditionalFormatting>
  <conditionalFormatting sqref="I139:J139">
    <cfRule type="cellIs" dxfId="275" priority="275" operator="equal">
      <formula>"No"</formula>
    </cfRule>
    <cfRule type="cellIs" dxfId="274" priority="276" operator="equal">
      <formula>"Yes"</formula>
    </cfRule>
  </conditionalFormatting>
  <conditionalFormatting sqref="Q139">
    <cfRule type="cellIs" dxfId="273" priority="274" operator="equal">
      <formula>"Y"</formula>
    </cfRule>
  </conditionalFormatting>
  <conditionalFormatting sqref="I140">
    <cfRule type="cellIs" dxfId="272" priority="272" operator="equal">
      <formula>"No"</formula>
    </cfRule>
    <cfRule type="cellIs" dxfId="271" priority="273" operator="equal">
      <formula>"Yes"</formula>
    </cfRule>
  </conditionalFormatting>
  <conditionalFormatting sqref="Q140">
    <cfRule type="cellIs" dxfId="270" priority="271" operator="equal">
      <formula>"Y"</formula>
    </cfRule>
  </conditionalFormatting>
  <conditionalFormatting sqref="O141">
    <cfRule type="cellIs" dxfId="269" priority="266" operator="equal">
      <formula>"NY"</formula>
    </cfRule>
    <cfRule type="cellIs" dxfId="268" priority="267" operator="equal">
      <formula>"DM"</formula>
    </cfRule>
    <cfRule type="cellIs" dxfId="267" priority="268" operator="equal">
      <formula>"PM"</formula>
    </cfRule>
    <cfRule type="cellIs" dxfId="266" priority="269" operator="equal">
      <formula>"LM"</formula>
    </cfRule>
    <cfRule type="cellIs" dxfId="265" priority="270" operator="equal">
      <formula>"FM"</formula>
    </cfRule>
  </conditionalFormatting>
  <conditionalFormatting sqref="Q141">
    <cfRule type="cellIs" dxfId="264" priority="265" operator="equal">
      <formula>"Y"</formula>
    </cfRule>
  </conditionalFormatting>
  <conditionalFormatting sqref="O142">
    <cfRule type="cellIs" dxfId="263" priority="260" operator="equal">
      <formula>"NY"</formula>
    </cfRule>
    <cfRule type="cellIs" dxfId="262" priority="261" operator="equal">
      <formula>"DM"</formula>
    </cfRule>
    <cfRule type="cellIs" dxfId="261" priority="262" operator="equal">
      <formula>"PM"</formula>
    </cfRule>
    <cfRule type="cellIs" dxfId="260" priority="263" operator="equal">
      <formula>"LM"</formula>
    </cfRule>
    <cfRule type="cellIs" dxfId="259" priority="264" operator="equal">
      <formula>"FM"</formula>
    </cfRule>
  </conditionalFormatting>
  <conditionalFormatting sqref="I142:J142">
    <cfRule type="cellIs" dxfId="258" priority="258" operator="equal">
      <formula>"No"</formula>
    </cfRule>
    <cfRule type="cellIs" dxfId="257" priority="259" operator="equal">
      <formula>"Yes"</formula>
    </cfRule>
  </conditionalFormatting>
  <conditionalFormatting sqref="Q142">
    <cfRule type="cellIs" dxfId="256" priority="257" operator="equal">
      <formula>"Y"</formula>
    </cfRule>
  </conditionalFormatting>
  <conditionalFormatting sqref="I143">
    <cfRule type="cellIs" dxfId="255" priority="255" operator="equal">
      <formula>"No"</formula>
    </cfRule>
    <cfRule type="cellIs" dxfId="254" priority="256" operator="equal">
      <formula>"Yes"</formula>
    </cfRule>
  </conditionalFormatting>
  <conditionalFormatting sqref="Q143">
    <cfRule type="cellIs" dxfId="253" priority="254" operator="equal">
      <formula>"Y"</formula>
    </cfRule>
  </conditionalFormatting>
  <conditionalFormatting sqref="O144">
    <cfRule type="cellIs" dxfId="252" priority="249" operator="equal">
      <formula>"NY"</formula>
    </cfRule>
    <cfRule type="cellIs" dxfId="251" priority="250" operator="equal">
      <formula>"DM"</formula>
    </cfRule>
    <cfRule type="cellIs" dxfId="250" priority="251" operator="equal">
      <formula>"PM"</formula>
    </cfRule>
    <cfRule type="cellIs" dxfId="249" priority="252" operator="equal">
      <formula>"LM"</formula>
    </cfRule>
    <cfRule type="cellIs" dxfId="248" priority="253" operator="equal">
      <formula>"FM"</formula>
    </cfRule>
  </conditionalFormatting>
  <conditionalFormatting sqref="Q144">
    <cfRule type="cellIs" dxfId="247" priority="248" operator="equal">
      <formula>"Y"</formula>
    </cfRule>
  </conditionalFormatting>
  <conditionalFormatting sqref="O145">
    <cfRule type="cellIs" dxfId="246" priority="243" operator="equal">
      <formula>"NY"</formula>
    </cfRule>
    <cfRule type="cellIs" dxfId="245" priority="244" operator="equal">
      <formula>"DM"</formula>
    </cfRule>
    <cfRule type="cellIs" dxfId="244" priority="245" operator="equal">
      <formula>"PM"</formula>
    </cfRule>
    <cfRule type="cellIs" dxfId="243" priority="246" operator="equal">
      <formula>"LM"</formula>
    </cfRule>
    <cfRule type="cellIs" dxfId="242" priority="247" operator="equal">
      <formula>"FM"</formula>
    </cfRule>
  </conditionalFormatting>
  <conditionalFormatting sqref="Q145">
    <cfRule type="cellIs" dxfId="241" priority="242" operator="equal">
      <formula>"Y"</formula>
    </cfRule>
  </conditionalFormatting>
  <conditionalFormatting sqref="O146">
    <cfRule type="cellIs" dxfId="240" priority="237" operator="equal">
      <formula>"NY"</formula>
    </cfRule>
    <cfRule type="cellIs" dxfId="239" priority="238" operator="equal">
      <formula>"DM"</formula>
    </cfRule>
    <cfRule type="cellIs" dxfId="238" priority="239" operator="equal">
      <formula>"PM"</formula>
    </cfRule>
    <cfRule type="cellIs" dxfId="237" priority="240" operator="equal">
      <formula>"LM"</formula>
    </cfRule>
    <cfRule type="cellIs" dxfId="236" priority="241" operator="equal">
      <formula>"FM"</formula>
    </cfRule>
  </conditionalFormatting>
  <conditionalFormatting sqref="I146:J146">
    <cfRule type="cellIs" dxfId="235" priority="235" operator="equal">
      <formula>"No"</formula>
    </cfRule>
    <cfRule type="cellIs" dxfId="234" priority="236" operator="equal">
      <formula>"Yes"</formula>
    </cfRule>
  </conditionalFormatting>
  <conditionalFormatting sqref="Q146">
    <cfRule type="cellIs" dxfId="233" priority="234" operator="equal">
      <formula>"Y"</formula>
    </cfRule>
  </conditionalFormatting>
  <conditionalFormatting sqref="I147">
    <cfRule type="cellIs" dxfId="232" priority="232" operator="equal">
      <formula>"No"</formula>
    </cfRule>
    <cfRule type="cellIs" dxfId="231" priority="233" operator="equal">
      <formula>"Yes"</formula>
    </cfRule>
  </conditionalFormatting>
  <conditionalFormatting sqref="Q147">
    <cfRule type="cellIs" dxfId="230" priority="231" operator="equal">
      <formula>"Y"</formula>
    </cfRule>
  </conditionalFormatting>
  <conditionalFormatting sqref="O148">
    <cfRule type="cellIs" dxfId="229" priority="226" operator="equal">
      <formula>"NY"</formula>
    </cfRule>
    <cfRule type="cellIs" dxfId="228" priority="227" operator="equal">
      <formula>"DM"</formula>
    </cfRule>
    <cfRule type="cellIs" dxfId="227" priority="228" operator="equal">
      <formula>"PM"</formula>
    </cfRule>
    <cfRule type="cellIs" dxfId="226" priority="229" operator="equal">
      <formula>"LM"</formula>
    </cfRule>
    <cfRule type="cellIs" dxfId="225" priority="230" operator="equal">
      <formula>"FM"</formula>
    </cfRule>
  </conditionalFormatting>
  <conditionalFormatting sqref="Q148">
    <cfRule type="cellIs" dxfId="224" priority="225" operator="equal">
      <formula>"Y"</formula>
    </cfRule>
  </conditionalFormatting>
  <conditionalFormatting sqref="O149">
    <cfRule type="cellIs" dxfId="223" priority="220" operator="equal">
      <formula>"NY"</formula>
    </cfRule>
    <cfRule type="cellIs" dxfId="222" priority="221" operator="equal">
      <formula>"DM"</formula>
    </cfRule>
    <cfRule type="cellIs" dxfId="221" priority="222" operator="equal">
      <formula>"PM"</formula>
    </cfRule>
    <cfRule type="cellIs" dxfId="220" priority="223" operator="equal">
      <formula>"LM"</formula>
    </cfRule>
    <cfRule type="cellIs" dxfId="219" priority="224" operator="equal">
      <formula>"FM"</formula>
    </cfRule>
  </conditionalFormatting>
  <conditionalFormatting sqref="I149:J149">
    <cfRule type="cellIs" dxfId="218" priority="218" operator="equal">
      <formula>"No"</formula>
    </cfRule>
    <cfRule type="cellIs" dxfId="217" priority="219" operator="equal">
      <formula>"Yes"</formula>
    </cfRule>
  </conditionalFormatting>
  <conditionalFormatting sqref="Q149">
    <cfRule type="cellIs" dxfId="216" priority="217" operator="equal">
      <formula>"Y"</formula>
    </cfRule>
  </conditionalFormatting>
  <conditionalFormatting sqref="I150">
    <cfRule type="cellIs" dxfId="215" priority="215" operator="equal">
      <formula>"No"</formula>
    </cfRule>
    <cfRule type="cellIs" dxfId="214" priority="216" operator="equal">
      <formula>"Yes"</formula>
    </cfRule>
  </conditionalFormatting>
  <conditionalFormatting sqref="Q150">
    <cfRule type="cellIs" dxfId="213" priority="214" operator="equal">
      <formula>"Y"</formula>
    </cfRule>
  </conditionalFormatting>
  <conditionalFormatting sqref="O151">
    <cfRule type="cellIs" dxfId="212" priority="209" operator="equal">
      <formula>"NY"</formula>
    </cfRule>
    <cfRule type="cellIs" dxfId="211" priority="210" operator="equal">
      <formula>"DM"</formula>
    </cfRule>
    <cfRule type="cellIs" dxfId="210" priority="211" operator="equal">
      <formula>"PM"</formula>
    </cfRule>
    <cfRule type="cellIs" dxfId="209" priority="212" operator="equal">
      <formula>"LM"</formula>
    </cfRule>
    <cfRule type="cellIs" dxfId="208" priority="213" operator="equal">
      <formula>"FM"</formula>
    </cfRule>
  </conditionalFormatting>
  <conditionalFormatting sqref="Q151">
    <cfRule type="cellIs" dxfId="207" priority="208" operator="equal">
      <formula>"Y"</formula>
    </cfRule>
  </conditionalFormatting>
  <conditionalFormatting sqref="O152">
    <cfRule type="cellIs" dxfId="206" priority="203" operator="equal">
      <formula>"NY"</formula>
    </cfRule>
    <cfRule type="cellIs" dxfId="205" priority="204" operator="equal">
      <formula>"DM"</formula>
    </cfRule>
    <cfRule type="cellIs" dxfId="204" priority="205" operator="equal">
      <formula>"PM"</formula>
    </cfRule>
    <cfRule type="cellIs" dxfId="203" priority="206" operator="equal">
      <formula>"LM"</formula>
    </cfRule>
    <cfRule type="cellIs" dxfId="202" priority="207" operator="equal">
      <formula>"FM"</formula>
    </cfRule>
  </conditionalFormatting>
  <conditionalFormatting sqref="I152:J152">
    <cfRule type="cellIs" dxfId="201" priority="201" operator="equal">
      <formula>"No"</formula>
    </cfRule>
    <cfRule type="cellIs" dxfId="200" priority="202" operator="equal">
      <formula>"Yes"</formula>
    </cfRule>
  </conditionalFormatting>
  <conditionalFormatting sqref="Q152">
    <cfRule type="cellIs" dxfId="199" priority="200" operator="equal">
      <formula>"Y"</formula>
    </cfRule>
  </conditionalFormatting>
  <conditionalFormatting sqref="I153">
    <cfRule type="cellIs" dxfId="198" priority="198" operator="equal">
      <formula>"No"</formula>
    </cfRule>
    <cfRule type="cellIs" dxfId="197" priority="199" operator="equal">
      <formula>"Yes"</formula>
    </cfRule>
  </conditionalFormatting>
  <conditionalFormatting sqref="Q153">
    <cfRule type="cellIs" dxfId="196" priority="197" operator="equal">
      <formula>"Y"</formula>
    </cfRule>
  </conditionalFormatting>
  <conditionalFormatting sqref="O154">
    <cfRule type="cellIs" dxfId="195" priority="192" operator="equal">
      <formula>"NY"</formula>
    </cfRule>
    <cfRule type="cellIs" dxfId="194" priority="193" operator="equal">
      <formula>"DM"</formula>
    </cfRule>
    <cfRule type="cellIs" dxfId="193" priority="194" operator="equal">
      <formula>"PM"</formula>
    </cfRule>
    <cfRule type="cellIs" dxfId="192" priority="195" operator="equal">
      <formula>"LM"</formula>
    </cfRule>
    <cfRule type="cellIs" dxfId="191" priority="196" operator="equal">
      <formula>"FM"</formula>
    </cfRule>
  </conditionalFormatting>
  <conditionalFormatting sqref="Q154">
    <cfRule type="cellIs" dxfId="190" priority="191" operator="equal">
      <formula>"Y"</formula>
    </cfRule>
  </conditionalFormatting>
  <conditionalFormatting sqref="O155">
    <cfRule type="cellIs" dxfId="189" priority="186" operator="equal">
      <formula>"NY"</formula>
    </cfRule>
    <cfRule type="cellIs" dxfId="188" priority="187" operator="equal">
      <formula>"DM"</formula>
    </cfRule>
    <cfRule type="cellIs" dxfId="187" priority="188" operator="equal">
      <formula>"PM"</formula>
    </cfRule>
    <cfRule type="cellIs" dxfId="186" priority="189" operator="equal">
      <formula>"LM"</formula>
    </cfRule>
    <cfRule type="cellIs" dxfId="185" priority="190" operator="equal">
      <formula>"FM"</formula>
    </cfRule>
  </conditionalFormatting>
  <conditionalFormatting sqref="I155:J155">
    <cfRule type="cellIs" dxfId="184" priority="184" operator="equal">
      <formula>"No"</formula>
    </cfRule>
    <cfRule type="cellIs" dxfId="183" priority="185" operator="equal">
      <formula>"Yes"</formula>
    </cfRule>
  </conditionalFormatting>
  <conditionalFormatting sqref="Q155">
    <cfRule type="cellIs" dxfId="182" priority="183" operator="equal">
      <formula>"Y"</formula>
    </cfRule>
  </conditionalFormatting>
  <conditionalFormatting sqref="I156">
    <cfRule type="cellIs" dxfId="181" priority="181" operator="equal">
      <formula>"No"</formula>
    </cfRule>
    <cfRule type="cellIs" dxfId="180" priority="182" operator="equal">
      <formula>"Yes"</formula>
    </cfRule>
  </conditionalFormatting>
  <conditionalFormatting sqref="Q156">
    <cfRule type="cellIs" dxfId="179" priority="180" operator="equal">
      <formula>"Y"</formula>
    </cfRule>
  </conditionalFormatting>
  <conditionalFormatting sqref="O157">
    <cfRule type="cellIs" dxfId="178" priority="175" operator="equal">
      <formula>"NY"</formula>
    </cfRule>
    <cfRule type="cellIs" dxfId="177" priority="176" operator="equal">
      <formula>"DM"</formula>
    </cfRule>
    <cfRule type="cellIs" dxfId="176" priority="177" operator="equal">
      <formula>"PM"</formula>
    </cfRule>
    <cfRule type="cellIs" dxfId="175" priority="178" operator="equal">
      <formula>"LM"</formula>
    </cfRule>
    <cfRule type="cellIs" dxfId="174" priority="179" operator="equal">
      <formula>"FM"</formula>
    </cfRule>
  </conditionalFormatting>
  <conditionalFormatting sqref="Q157">
    <cfRule type="cellIs" dxfId="173" priority="174" operator="equal">
      <formula>"Y"</formula>
    </cfRule>
  </conditionalFormatting>
  <conditionalFormatting sqref="O158">
    <cfRule type="cellIs" dxfId="172" priority="169" operator="equal">
      <formula>"NY"</formula>
    </cfRule>
    <cfRule type="cellIs" dxfId="171" priority="170" operator="equal">
      <formula>"DM"</formula>
    </cfRule>
    <cfRule type="cellIs" dxfId="170" priority="171" operator="equal">
      <formula>"PM"</formula>
    </cfRule>
    <cfRule type="cellIs" dxfId="169" priority="172" operator="equal">
      <formula>"LM"</formula>
    </cfRule>
    <cfRule type="cellIs" dxfId="168" priority="173" operator="equal">
      <formula>"FM"</formula>
    </cfRule>
  </conditionalFormatting>
  <conditionalFormatting sqref="I158:J158">
    <cfRule type="cellIs" dxfId="167" priority="167" operator="equal">
      <formula>"No"</formula>
    </cfRule>
    <cfRule type="cellIs" dxfId="166" priority="168" operator="equal">
      <formula>"Yes"</formula>
    </cfRule>
  </conditionalFormatting>
  <conditionalFormatting sqref="Q158">
    <cfRule type="cellIs" dxfId="165" priority="166" operator="equal">
      <formula>"Y"</formula>
    </cfRule>
  </conditionalFormatting>
  <conditionalFormatting sqref="I159">
    <cfRule type="cellIs" dxfId="164" priority="164" operator="equal">
      <formula>"No"</formula>
    </cfRule>
    <cfRule type="cellIs" dxfId="163" priority="165" operator="equal">
      <formula>"Yes"</formula>
    </cfRule>
  </conditionalFormatting>
  <conditionalFormatting sqref="Q159">
    <cfRule type="cellIs" dxfId="162" priority="163" operator="equal">
      <formula>"Y"</formula>
    </cfRule>
  </conditionalFormatting>
  <conditionalFormatting sqref="O160">
    <cfRule type="cellIs" dxfId="161" priority="158" operator="equal">
      <formula>"NY"</formula>
    </cfRule>
    <cfRule type="cellIs" dxfId="160" priority="159" operator="equal">
      <formula>"DM"</formula>
    </cfRule>
    <cfRule type="cellIs" dxfId="159" priority="160" operator="equal">
      <formula>"PM"</formula>
    </cfRule>
    <cfRule type="cellIs" dxfId="158" priority="161" operator="equal">
      <formula>"LM"</formula>
    </cfRule>
    <cfRule type="cellIs" dxfId="157" priority="162" operator="equal">
      <formula>"FM"</formula>
    </cfRule>
  </conditionalFormatting>
  <conditionalFormatting sqref="Q160">
    <cfRule type="cellIs" dxfId="156" priority="157" operator="equal">
      <formula>"Y"</formula>
    </cfRule>
  </conditionalFormatting>
  <conditionalFormatting sqref="O161">
    <cfRule type="cellIs" dxfId="155" priority="152" operator="equal">
      <formula>"NY"</formula>
    </cfRule>
    <cfRule type="cellIs" dxfId="154" priority="153" operator="equal">
      <formula>"DM"</formula>
    </cfRule>
    <cfRule type="cellIs" dxfId="153" priority="154" operator="equal">
      <formula>"PM"</formula>
    </cfRule>
    <cfRule type="cellIs" dxfId="152" priority="155" operator="equal">
      <formula>"LM"</formula>
    </cfRule>
    <cfRule type="cellIs" dxfId="151" priority="156" operator="equal">
      <formula>"FM"</formula>
    </cfRule>
  </conditionalFormatting>
  <conditionalFormatting sqref="I161:J161">
    <cfRule type="cellIs" dxfId="150" priority="150" operator="equal">
      <formula>"No"</formula>
    </cfRule>
    <cfRule type="cellIs" dxfId="149" priority="151" operator="equal">
      <formula>"Yes"</formula>
    </cfRule>
  </conditionalFormatting>
  <conditionalFormatting sqref="Q161">
    <cfRule type="cellIs" dxfId="148" priority="149" operator="equal">
      <formula>"Y"</formula>
    </cfRule>
  </conditionalFormatting>
  <conditionalFormatting sqref="I162">
    <cfRule type="cellIs" dxfId="147" priority="147" operator="equal">
      <formula>"No"</formula>
    </cfRule>
    <cfRule type="cellIs" dxfId="146" priority="148" operator="equal">
      <formula>"Yes"</formula>
    </cfRule>
  </conditionalFormatting>
  <conditionalFormatting sqref="Q162">
    <cfRule type="cellIs" dxfId="145" priority="146" operator="equal">
      <formula>"Y"</formula>
    </cfRule>
  </conditionalFormatting>
  <conditionalFormatting sqref="O163">
    <cfRule type="cellIs" dxfId="144" priority="141" operator="equal">
      <formula>"NY"</formula>
    </cfRule>
    <cfRule type="cellIs" dxfId="143" priority="142" operator="equal">
      <formula>"DM"</formula>
    </cfRule>
    <cfRule type="cellIs" dxfId="142" priority="143" operator="equal">
      <formula>"PM"</formula>
    </cfRule>
    <cfRule type="cellIs" dxfId="141" priority="144" operator="equal">
      <formula>"LM"</formula>
    </cfRule>
    <cfRule type="cellIs" dxfId="140" priority="145" operator="equal">
      <formula>"FM"</formula>
    </cfRule>
  </conditionalFormatting>
  <conditionalFormatting sqref="Q163">
    <cfRule type="cellIs" dxfId="139" priority="140" operator="equal">
      <formula>"Y"</formula>
    </cfRule>
  </conditionalFormatting>
  <conditionalFormatting sqref="O164">
    <cfRule type="cellIs" dxfId="138" priority="135" operator="equal">
      <formula>"NY"</formula>
    </cfRule>
    <cfRule type="cellIs" dxfId="137" priority="136" operator="equal">
      <formula>"DM"</formula>
    </cfRule>
    <cfRule type="cellIs" dxfId="136" priority="137" operator="equal">
      <formula>"PM"</formula>
    </cfRule>
    <cfRule type="cellIs" dxfId="135" priority="138" operator="equal">
      <formula>"LM"</formula>
    </cfRule>
    <cfRule type="cellIs" dxfId="134" priority="139" operator="equal">
      <formula>"FM"</formula>
    </cfRule>
  </conditionalFormatting>
  <conditionalFormatting sqref="I164:J164">
    <cfRule type="cellIs" dxfId="133" priority="133" operator="equal">
      <formula>"No"</formula>
    </cfRule>
    <cfRule type="cellIs" dxfId="132" priority="134" operator="equal">
      <formula>"Yes"</formula>
    </cfRule>
  </conditionalFormatting>
  <conditionalFormatting sqref="Q164">
    <cfRule type="cellIs" dxfId="131" priority="132" operator="equal">
      <formula>"Y"</formula>
    </cfRule>
  </conditionalFormatting>
  <conditionalFormatting sqref="I165">
    <cfRule type="cellIs" dxfId="130" priority="130" operator="equal">
      <formula>"No"</formula>
    </cfRule>
    <cfRule type="cellIs" dxfId="129" priority="131" operator="equal">
      <formula>"Yes"</formula>
    </cfRule>
  </conditionalFormatting>
  <conditionalFormatting sqref="Q165">
    <cfRule type="cellIs" dxfId="128" priority="129" operator="equal">
      <formula>"Y"</formula>
    </cfRule>
  </conditionalFormatting>
  <conditionalFormatting sqref="O166">
    <cfRule type="cellIs" dxfId="127" priority="127" operator="equal">
      <formula>"U"</formula>
    </cfRule>
    <cfRule type="cellIs" dxfId="126" priority="128" operator="equal">
      <formula>"S"</formula>
    </cfRule>
  </conditionalFormatting>
  <conditionalFormatting sqref="Q166">
    <cfRule type="cellIs" dxfId="125" priority="126" operator="equal">
      <formula>"Y"</formula>
    </cfRule>
  </conditionalFormatting>
  <conditionalFormatting sqref="O167">
    <cfRule type="cellIs" dxfId="124" priority="121" operator="equal">
      <formula>"NY"</formula>
    </cfRule>
    <cfRule type="cellIs" dxfId="123" priority="122" operator="equal">
      <formula>"DM"</formula>
    </cfRule>
    <cfRule type="cellIs" dxfId="122" priority="123" operator="equal">
      <formula>"PM"</formula>
    </cfRule>
    <cfRule type="cellIs" dxfId="121" priority="124" operator="equal">
      <formula>"LM"</formula>
    </cfRule>
    <cfRule type="cellIs" dxfId="120" priority="125" operator="equal">
      <formula>"FM"</formula>
    </cfRule>
  </conditionalFormatting>
  <conditionalFormatting sqref="Q167">
    <cfRule type="cellIs" dxfId="119" priority="120" operator="equal">
      <formula>"Y"</formula>
    </cfRule>
  </conditionalFormatting>
  <conditionalFormatting sqref="O168">
    <cfRule type="cellIs" dxfId="118" priority="115" operator="equal">
      <formula>"NY"</formula>
    </cfRule>
    <cfRule type="cellIs" dxfId="117" priority="116" operator="equal">
      <formula>"DM"</formula>
    </cfRule>
    <cfRule type="cellIs" dxfId="116" priority="117" operator="equal">
      <formula>"PM"</formula>
    </cfRule>
    <cfRule type="cellIs" dxfId="115" priority="118" operator="equal">
      <formula>"LM"</formula>
    </cfRule>
    <cfRule type="cellIs" dxfId="114" priority="119" operator="equal">
      <formula>"FM"</formula>
    </cfRule>
  </conditionalFormatting>
  <conditionalFormatting sqref="Q168">
    <cfRule type="cellIs" dxfId="113" priority="114" operator="equal">
      <formula>"Y"</formula>
    </cfRule>
  </conditionalFormatting>
  <conditionalFormatting sqref="O169">
    <cfRule type="cellIs" dxfId="112" priority="109" operator="equal">
      <formula>"NY"</formula>
    </cfRule>
    <cfRule type="cellIs" dxfId="111" priority="110" operator="equal">
      <formula>"DM"</formula>
    </cfRule>
    <cfRule type="cellIs" dxfId="110" priority="111" operator="equal">
      <formula>"PM"</formula>
    </cfRule>
    <cfRule type="cellIs" dxfId="109" priority="112" operator="equal">
      <formula>"LM"</formula>
    </cfRule>
    <cfRule type="cellIs" dxfId="108" priority="113" operator="equal">
      <formula>"FM"</formula>
    </cfRule>
  </conditionalFormatting>
  <conditionalFormatting sqref="I169:J169">
    <cfRule type="cellIs" dxfId="107" priority="107" operator="equal">
      <formula>"No"</formula>
    </cfRule>
    <cfRule type="cellIs" dxfId="106" priority="108" operator="equal">
      <formula>"Yes"</formula>
    </cfRule>
  </conditionalFormatting>
  <conditionalFormatting sqref="Q169">
    <cfRule type="cellIs" dxfId="105" priority="106" operator="equal">
      <formula>"Y"</formula>
    </cfRule>
  </conditionalFormatting>
  <conditionalFormatting sqref="I170">
    <cfRule type="cellIs" dxfId="104" priority="104" operator="equal">
      <formula>"No"</formula>
    </cfRule>
    <cfRule type="cellIs" dxfId="103" priority="105" operator="equal">
      <formula>"Yes"</formula>
    </cfRule>
  </conditionalFormatting>
  <conditionalFormatting sqref="Q170">
    <cfRule type="cellIs" dxfId="102" priority="103" operator="equal">
      <formula>"Y"</formula>
    </cfRule>
  </conditionalFormatting>
  <conditionalFormatting sqref="O171">
    <cfRule type="cellIs" dxfId="101" priority="98" operator="equal">
      <formula>"NY"</formula>
    </cfRule>
    <cfRule type="cellIs" dxfId="100" priority="99" operator="equal">
      <formula>"DM"</formula>
    </cfRule>
    <cfRule type="cellIs" dxfId="99" priority="100" operator="equal">
      <formula>"PM"</formula>
    </cfRule>
    <cfRule type="cellIs" dxfId="98" priority="101" operator="equal">
      <formula>"LM"</formula>
    </cfRule>
    <cfRule type="cellIs" dxfId="97" priority="102" operator="equal">
      <formula>"FM"</formula>
    </cfRule>
  </conditionalFormatting>
  <conditionalFormatting sqref="Q171">
    <cfRule type="cellIs" dxfId="96" priority="97" operator="equal">
      <formula>"Y"</formula>
    </cfRule>
  </conditionalFormatting>
  <conditionalFormatting sqref="O172">
    <cfRule type="cellIs" dxfId="95" priority="92" operator="equal">
      <formula>"NY"</formula>
    </cfRule>
    <cfRule type="cellIs" dxfId="94" priority="93" operator="equal">
      <formula>"DM"</formula>
    </cfRule>
    <cfRule type="cellIs" dxfId="93" priority="94" operator="equal">
      <formula>"PM"</formula>
    </cfRule>
    <cfRule type="cellIs" dxfId="92" priority="95" operator="equal">
      <formula>"LM"</formula>
    </cfRule>
    <cfRule type="cellIs" dxfId="91" priority="96" operator="equal">
      <formula>"FM"</formula>
    </cfRule>
  </conditionalFormatting>
  <conditionalFormatting sqref="I172:J172">
    <cfRule type="cellIs" dxfId="90" priority="90" operator="equal">
      <formula>"No"</formula>
    </cfRule>
    <cfRule type="cellIs" dxfId="89" priority="91" operator="equal">
      <formula>"Yes"</formula>
    </cfRule>
  </conditionalFormatting>
  <conditionalFormatting sqref="Q172">
    <cfRule type="cellIs" dxfId="88" priority="89" operator="equal">
      <formula>"Y"</formula>
    </cfRule>
  </conditionalFormatting>
  <conditionalFormatting sqref="I173">
    <cfRule type="cellIs" dxfId="87" priority="87" operator="equal">
      <formula>"No"</formula>
    </cfRule>
    <cfRule type="cellIs" dxfId="86" priority="88" operator="equal">
      <formula>"Yes"</formula>
    </cfRule>
  </conditionalFormatting>
  <conditionalFormatting sqref="Q173">
    <cfRule type="cellIs" dxfId="85" priority="86" operator="equal">
      <formula>"Y"</formula>
    </cfRule>
  </conditionalFormatting>
  <conditionalFormatting sqref="O174">
    <cfRule type="cellIs" dxfId="84" priority="81" operator="equal">
      <formula>"NY"</formula>
    </cfRule>
    <cfRule type="cellIs" dxfId="83" priority="82" operator="equal">
      <formula>"DM"</formula>
    </cfRule>
    <cfRule type="cellIs" dxfId="82" priority="83" operator="equal">
      <formula>"PM"</formula>
    </cfRule>
    <cfRule type="cellIs" dxfId="81" priority="84" operator="equal">
      <formula>"LM"</formula>
    </cfRule>
    <cfRule type="cellIs" dxfId="80" priority="85" operator="equal">
      <formula>"FM"</formula>
    </cfRule>
  </conditionalFormatting>
  <conditionalFormatting sqref="Q174">
    <cfRule type="cellIs" dxfId="79" priority="80" operator="equal">
      <formula>"Y"</formula>
    </cfRule>
  </conditionalFormatting>
  <conditionalFormatting sqref="O175">
    <cfRule type="cellIs" dxfId="78" priority="75" operator="equal">
      <formula>"NY"</formula>
    </cfRule>
    <cfRule type="cellIs" dxfId="77" priority="76" operator="equal">
      <formula>"DM"</formula>
    </cfRule>
    <cfRule type="cellIs" dxfId="76" priority="77" operator="equal">
      <formula>"PM"</formula>
    </cfRule>
    <cfRule type="cellIs" dxfId="75" priority="78" operator="equal">
      <formula>"LM"</formula>
    </cfRule>
    <cfRule type="cellIs" dxfId="74" priority="79" operator="equal">
      <formula>"FM"</formula>
    </cfRule>
  </conditionalFormatting>
  <conditionalFormatting sqref="I175:J175">
    <cfRule type="cellIs" dxfId="73" priority="73" operator="equal">
      <formula>"No"</formula>
    </cfRule>
    <cfRule type="cellIs" dxfId="72" priority="74" operator="equal">
      <formula>"Yes"</formula>
    </cfRule>
  </conditionalFormatting>
  <conditionalFormatting sqref="Q175">
    <cfRule type="cellIs" dxfId="71" priority="72" operator="equal">
      <formula>"Y"</formula>
    </cfRule>
  </conditionalFormatting>
  <conditionalFormatting sqref="I176">
    <cfRule type="cellIs" dxfId="70" priority="70" operator="equal">
      <formula>"No"</formula>
    </cfRule>
    <cfRule type="cellIs" dxfId="69" priority="71" operator="equal">
      <formula>"Yes"</formula>
    </cfRule>
  </conditionalFormatting>
  <conditionalFormatting sqref="Q176">
    <cfRule type="cellIs" dxfId="68" priority="69" operator="equal">
      <formula>"Y"</formula>
    </cfRule>
  </conditionalFormatting>
  <conditionalFormatting sqref="O177">
    <cfRule type="cellIs" dxfId="67" priority="64" operator="equal">
      <formula>"NY"</formula>
    </cfRule>
    <cfRule type="cellIs" dxfId="66" priority="65" operator="equal">
      <formula>"DM"</formula>
    </cfRule>
    <cfRule type="cellIs" dxfId="65" priority="66" operator="equal">
      <formula>"PM"</formula>
    </cfRule>
    <cfRule type="cellIs" dxfId="64" priority="67" operator="equal">
      <formula>"LM"</formula>
    </cfRule>
    <cfRule type="cellIs" dxfId="63" priority="68" operator="equal">
      <formula>"FM"</formula>
    </cfRule>
  </conditionalFormatting>
  <conditionalFormatting sqref="Q177">
    <cfRule type="cellIs" dxfId="62" priority="63" operator="equal">
      <formula>"Y"</formula>
    </cfRule>
  </conditionalFormatting>
  <conditionalFormatting sqref="O178">
    <cfRule type="cellIs" dxfId="61" priority="58" operator="equal">
      <formula>"NY"</formula>
    </cfRule>
    <cfRule type="cellIs" dxfId="60" priority="59" operator="equal">
      <formula>"DM"</formula>
    </cfRule>
    <cfRule type="cellIs" dxfId="59" priority="60" operator="equal">
      <formula>"PM"</formula>
    </cfRule>
    <cfRule type="cellIs" dxfId="58" priority="61" operator="equal">
      <formula>"LM"</formula>
    </cfRule>
    <cfRule type="cellIs" dxfId="57" priority="62" operator="equal">
      <formula>"FM"</formula>
    </cfRule>
  </conditionalFormatting>
  <conditionalFormatting sqref="I178:J178">
    <cfRule type="cellIs" dxfId="56" priority="56" operator="equal">
      <formula>"No"</formula>
    </cfRule>
    <cfRule type="cellIs" dxfId="55" priority="57" operator="equal">
      <formula>"Yes"</formula>
    </cfRule>
  </conditionalFormatting>
  <conditionalFormatting sqref="Q178">
    <cfRule type="cellIs" dxfId="54" priority="55" operator="equal">
      <formula>"Y"</formula>
    </cfRule>
  </conditionalFormatting>
  <conditionalFormatting sqref="I179">
    <cfRule type="cellIs" dxfId="53" priority="53" operator="equal">
      <formula>"No"</formula>
    </cfRule>
    <cfRule type="cellIs" dxfId="52" priority="54" operator="equal">
      <formula>"Yes"</formula>
    </cfRule>
  </conditionalFormatting>
  <conditionalFormatting sqref="Q179">
    <cfRule type="cellIs" dxfId="51" priority="52" operator="equal">
      <formula>"Y"</formula>
    </cfRule>
  </conditionalFormatting>
  <conditionalFormatting sqref="O180">
    <cfRule type="cellIs" dxfId="50" priority="47" operator="equal">
      <formula>"NY"</formula>
    </cfRule>
    <cfRule type="cellIs" dxfId="49" priority="48" operator="equal">
      <formula>"DM"</formula>
    </cfRule>
    <cfRule type="cellIs" dxfId="48" priority="49" operator="equal">
      <formula>"PM"</formula>
    </cfRule>
    <cfRule type="cellIs" dxfId="47" priority="50" operator="equal">
      <formula>"LM"</formula>
    </cfRule>
    <cfRule type="cellIs" dxfId="46" priority="51" operator="equal">
      <formula>"FM"</formula>
    </cfRule>
  </conditionalFormatting>
  <conditionalFormatting sqref="Q180">
    <cfRule type="cellIs" dxfId="45" priority="46" operator="equal">
      <formula>"Y"</formula>
    </cfRule>
  </conditionalFormatting>
  <conditionalFormatting sqref="O181">
    <cfRule type="cellIs" dxfId="44" priority="41" operator="equal">
      <formula>"NY"</formula>
    </cfRule>
    <cfRule type="cellIs" dxfId="43" priority="42" operator="equal">
      <formula>"DM"</formula>
    </cfRule>
    <cfRule type="cellIs" dxfId="42" priority="43" operator="equal">
      <formula>"PM"</formula>
    </cfRule>
    <cfRule type="cellIs" dxfId="41" priority="44" operator="equal">
      <formula>"LM"</formula>
    </cfRule>
    <cfRule type="cellIs" dxfId="40" priority="45" operator="equal">
      <formula>"FM"</formula>
    </cfRule>
  </conditionalFormatting>
  <conditionalFormatting sqref="I181:J181">
    <cfRule type="cellIs" dxfId="39" priority="39" operator="equal">
      <formula>"No"</formula>
    </cfRule>
    <cfRule type="cellIs" dxfId="38" priority="40" operator="equal">
      <formula>"Yes"</formula>
    </cfRule>
  </conditionalFormatting>
  <conditionalFormatting sqref="Q181">
    <cfRule type="cellIs" dxfId="37" priority="38" operator="equal">
      <formula>"Y"</formula>
    </cfRule>
  </conditionalFormatting>
  <conditionalFormatting sqref="I182">
    <cfRule type="cellIs" dxfId="36" priority="36" operator="equal">
      <formula>"No"</formula>
    </cfRule>
    <cfRule type="cellIs" dxfId="35" priority="37" operator="equal">
      <formula>"Yes"</formula>
    </cfRule>
  </conditionalFormatting>
  <conditionalFormatting sqref="Q182">
    <cfRule type="cellIs" dxfId="34" priority="35" operator="equal">
      <formula>"Y"</formula>
    </cfRule>
  </conditionalFormatting>
  <conditionalFormatting sqref="O183">
    <cfRule type="cellIs" dxfId="33" priority="30" operator="equal">
      <formula>"NY"</formula>
    </cfRule>
    <cfRule type="cellIs" dxfId="32" priority="31" operator="equal">
      <formula>"DM"</formula>
    </cfRule>
    <cfRule type="cellIs" dxfId="31" priority="32" operator="equal">
      <formula>"PM"</formula>
    </cfRule>
    <cfRule type="cellIs" dxfId="30" priority="33" operator="equal">
      <formula>"LM"</formula>
    </cfRule>
    <cfRule type="cellIs" dxfId="29" priority="34" operator="equal">
      <formula>"FM"</formula>
    </cfRule>
  </conditionalFormatting>
  <conditionalFormatting sqref="Q183">
    <cfRule type="cellIs" dxfId="28" priority="29" operator="equal">
      <formula>"Y"</formula>
    </cfRule>
  </conditionalFormatting>
  <conditionalFormatting sqref="O184">
    <cfRule type="cellIs" dxfId="27" priority="24" operator="equal">
      <formula>"NY"</formula>
    </cfRule>
    <cfRule type="cellIs" dxfId="26" priority="25" operator="equal">
      <formula>"DM"</formula>
    </cfRule>
    <cfRule type="cellIs" dxfId="25" priority="26" operator="equal">
      <formula>"PM"</formula>
    </cfRule>
    <cfRule type="cellIs" dxfId="24" priority="27" operator="equal">
      <formula>"LM"</formula>
    </cfRule>
    <cfRule type="cellIs" dxfId="23" priority="28" operator="equal">
      <formula>"FM"</formula>
    </cfRule>
  </conditionalFormatting>
  <conditionalFormatting sqref="I184:J184">
    <cfRule type="cellIs" dxfId="22" priority="22" operator="equal">
      <formula>"No"</formula>
    </cfRule>
    <cfRule type="cellIs" dxfId="21" priority="23" operator="equal">
      <formula>"Yes"</formula>
    </cfRule>
  </conditionalFormatting>
  <conditionalFormatting sqref="Q184">
    <cfRule type="cellIs" dxfId="20" priority="21" operator="equal">
      <formula>"Y"</formula>
    </cfRule>
  </conditionalFormatting>
  <conditionalFormatting sqref="I185">
    <cfRule type="cellIs" dxfId="19" priority="19" operator="equal">
      <formula>"No"</formula>
    </cfRule>
    <cfRule type="cellIs" dxfId="18" priority="20" operator="equal">
      <formula>"Yes"</formula>
    </cfRule>
  </conditionalFormatting>
  <conditionalFormatting sqref="Q185">
    <cfRule type="cellIs" dxfId="17" priority="18" operator="equal">
      <formula>"Y"</formula>
    </cfRule>
  </conditionalFormatting>
  <conditionalFormatting sqref="O186">
    <cfRule type="cellIs" dxfId="16" priority="13" operator="equal">
      <formula>"NY"</formula>
    </cfRule>
    <cfRule type="cellIs" dxfId="15" priority="14" operator="equal">
      <formula>"DM"</formula>
    </cfRule>
    <cfRule type="cellIs" dxfId="14" priority="15" operator="equal">
      <formula>"PM"</formula>
    </cfRule>
    <cfRule type="cellIs" dxfId="13" priority="16" operator="equal">
      <formula>"LM"</formula>
    </cfRule>
    <cfRule type="cellIs" dxfId="12" priority="17" operator="equal">
      <formula>"FM"</formula>
    </cfRule>
  </conditionalFormatting>
  <conditionalFormatting sqref="Q186">
    <cfRule type="cellIs" dxfId="11" priority="12" operator="equal">
      <formula>"Y"</formula>
    </cfRule>
  </conditionalFormatting>
  <conditionalFormatting sqref="O187">
    <cfRule type="cellIs" dxfId="10" priority="7" operator="equal">
      <formula>"NY"</formula>
    </cfRule>
    <cfRule type="cellIs" dxfId="9" priority="8" operator="equal">
      <formula>"DM"</formula>
    </cfRule>
    <cfRule type="cellIs" dxfId="8" priority="9" operator="equal">
      <formula>"PM"</formula>
    </cfRule>
    <cfRule type="cellIs" dxfId="7" priority="10" operator="equal">
      <formula>"LM"</formula>
    </cfRule>
    <cfRule type="cellIs" dxfId="6" priority="11" operator="equal">
      <formula>"FM"</formula>
    </cfRule>
  </conditionalFormatting>
  <conditionalFormatting sqref="I187:J187">
    <cfRule type="cellIs" dxfId="5" priority="5" operator="equal">
      <formula>"No"</formula>
    </cfRule>
    <cfRule type="cellIs" dxfId="4" priority="6" operator="equal">
      <formula>"Yes"</formula>
    </cfRule>
  </conditionalFormatting>
  <conditionalFormatting sqref="Q187">
    <cfRule type="cellIs" dxfId="3" priority="4" operator="equal">
      <formula>"Y"</formula>
    </cfRule>
  </conditionalFormatting>
  <conditionalFormatting sqref="I188">
    <cfRule type="cellIs" dxfId="2" priority="2" operator="equal">
      <formula>"No"</formula>
    </cfRule>
    <cfRule type="cellIs" dxfId="1" priority="3" operator="equal">
      <formula>"Yes"</formula>
    </cfRule>
  </conditionalFormatting>
  <conditionalFormatting sqref="Q188">
    <cfRule type="cellIs" dxfId="0" priority="1" operator="equal">
      <formula>"Y"</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c500478-62e0-46fc-87f1-cfa988e486b4" xsi:nil="true"/>
    <lcf76f155ced4ddcb4097134ff3c332f xmlns="25bcabcf-d275-4206-9fb1-2f2d419cd22b">
      <Terms xmlns="http://schemas.microsoft.com/office/infopath/2007/PartnerControls"/>
    </lcf76f155ced4ddcb4097134ff3c332f>
    <SharedWithUsers xmlns="ec500478-62e0-46fc-87f1-cfa988e486b4">
      <UserInfo>
        <DisplayName>Bianca Nell</DisplayName>
        <AccountId>21</AccountId>
        <AccountType/>
      </UserInfo>
      <UserInfo>
        <DisplayName>Melanie van Zyl</DisplayName>
        <AccountId>38</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041F74863103D4C9C3AA0A07291BB02" ma:contentTypeVersion="18" ma:contentTypeDescription="Create a new document." ma:contentTypeScope="" ma:versionID="acfac7a7740a1b2d1a4bdbff0c117f3f">
  <xsd:schema xmlns:xsd="http://www.w3.org/2001/XMLSchema" xmlns:xs="http://www.w3.org/2001/XMLSchema" xmlns:p="http://schemas.microsoft.com/office/2006/metadata/properties" xmlns:ns2="25bcabcf-d275-4206-9fb1-2f2d419cd22b" xmlns:ns3="ec500478-62e0-46fc-87f1-cfa988e486b4" targetNamespace="http://schemas.microsoft.com/office/2006/metadata/properties" ma:root="true" ma:fieldsID="f1327b100fd5e593709bdd676db08f29" ns2:_="" ns3:_="">
    <xsd:import namespace="25bcabcf-d275-4206-9fb1-2f2d419cd22b"/>
    <xsd:import namespace="ec500478-62e0-46fc-87f1-cfa988e486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bcabcf-d275-4206-9fb1-2f2d419cd2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f35f27a-c890-4130-b78e-bbe546ff31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500478-62e0-46fc-87f1-cfa988e486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6b899e-718a-4501-bed1-5bdbb6269459}" ma:internalName="TaxCatchAll" ma:showField="CatchAllData" ma:web="ec500478-62e0-46fc-87f1-cfa988e48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C3019A-A66F-442E-9D7D-BA1B50D45000}">
  <ds:schemaRefs>
    <ds:schemaRef ds:uri="http://schemas.microsoft.com/sharepoint/v3/contenttype/forms"/>
  </ds:schemaRefs>
</ds:datastoreItem>
</file>

<file path=customXml/itemProps2.xml><?xml version="1.0" encoding="utf-8"?>
<ds:datastoreItem xmlns:ds="http://schemas.openxmlformats.org/officeDocument/2006/customXml" ds:itemID="{2E62027D-9E79-4187-A185-6768E3BCB4A8}">
  <ds:schemaRefs>
    <ds:schemaRef ds:uri="http://schemas.microsoft.com/office/2006/metadata/properties"/>
    <ds:schemaRef ds:uri="http://schemas.microsoft.com/office/infopath/2007/PartnerControls"/>
    <ds:schemaRef ds:uri="ec500478-62e0-46fc-87f1-cfa988e486b4"/>
    <ds:schemaRef ds:uri="25bcabcf-d275-4206-9fb1-2f2d419cd22b"/>
  </ds:schemaRefs>
</ds:datastoreItem>
</file>

<file path=customXml/itemProps3.xml><?xml version="1.0" encoding="utf-8"?>
<ds:datastoreItem xmlns:ds="http://schemas.openxmlformats.org/officeDocument/2006/customXml" ds:itemID="{93B25D8F-0B79-4DCD-8031-0510505A7E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bcabcf-d275-4206-9fb1-2f2d419cd22b"/>
    <ds:schemaRef ds:uri="ec500478-62e0-46fc-87f1-cfa988e486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12</vt:i4>
      </vt:variant>
    </vt:vector>
  </HeadingPairs>
  <TitlesOfParts>
    <vt:vector size="67" baseType="lpstr">
      <vt:lpstr>Tools</vt:lpstr>
      <vt:lpstr>TV_TS</vt:lpstr>
      <vt:lpstr>TV_PI</vt:lpstr>
      <vt:lpstr>TV_PR</vt:lpstr>
      <vt:lpstr>TV_VV</vt:lpstr>
      <vt:lpstr>TV_PQA</vt:lpstr>
      <vt:lpstr>TV_RDM</vt:lpstr>
      <vt:lpstr>TV_PCM</vt:lpstr>
      <vt:lpstr>TV_PAD</vt:lpstr>
      <vt:lpstr>TV_MPM</vt:lpstr>
      <vt:lpstr>TV_RSK</vt:lpstr>
      <vt:lpstr>TV_OT</vt:lpstr>
      <vt:lpstr>TV_MC</vt:lpstr>
      <vt:lpstr>TV_PLAN</vt:lpstr>
      <vt:lpstr>TV_EST</vt:lpstr>
      <vt:lpstr>TV_CAR</vt:lpstr>
      <vt:lpstr>TV_DAR</vt:lpstr>
      <vt:lpstr>TV_CM</vt:lpstr>
      <vt:lpstr>TV_II</vt:lpstr>
      <vt:lpstr>TV_GOV</vt:lpstr>
      <vt:lpstr>Tables</vt:lpstr>
      <vt:lpstr>Tasks</vt:lpstr>
      <vt:lpstr>FindingsDB</vt:lpstr>
      <vt:lpstr>QuestionsDB</vt:lpstr>
      <vt:lpstr>Working</vt:lpstr>
      <vt:lpstr>OpenClose</vt:lpstr>
      <vt:lpstr>tmp</vt:lpstr>
      <vt:lpstr>ou</vt:lpstr>
      <vt:lpstr>ou-gov&amp;ii</vt:lpstr>
      <vt:lpstr>Findings</vt:lpstr>
      <vt:lpstr>Template1</vt:lpstr>
      <vt:lpstr>Sheet1</vt:lpstr>
      <vt:lpstr>Template2</vt:lpstr>
      <vt:lpstr>ATM</vt:lpstr>
      <vt:lpstr>Processes</vt:lpstr>
      <vt:lpstr>PI</vt:lpstr>
      <vt:lpstr>TS</vt:lpstr>
      <vt:lpstr>PQA</vt:lpstr>
      <vt:lpstr>PR</vt:lpstr>
      <vt:lpstr>RDM</vt:lpstr>
      <vt:lpstr>VV</vt:lpstr>
      <vt:lpstr>MPM</vt:lpstr>
      <vt:lpstr>PAD</vt:lpstr>
      <vt:lpstr>PCM</vt:lpstr>
      <vt:lpstr>RSK</vt:lpstr>
      <vt:lpstr>OT</vt:lpstr>
      <vt:lpstr>EST</vt:lpstr>
      <vt:lpstr>MC</vt:lpstr>
      <vt:lpstr>PLAN</vt:lpstr>
      <vt:lpstr>CAR</vt:lpstr>
      <vt:lpstr>CM</vt:lpstr>
      <vt:lpstr>DAR</vt:lpstr>
      <vt:lpstr>SAM</vt:lpstr>
      <vt:lpstr>II</vt:lpstr>
      <vt:lpstr>GOV</vt:lpstr>
      <vt:lpstr>ou!Print_Area</vt:lpstr>
      <vt:lpstr>'ou-gov&amp;ii'!Print_Area</vt:lpstr>
      <vt:lpstr>Tables!tbl_practiceCharacterization</vt:lpstr>
      <vt:lpstr>Tables!tbl_practiceGroupRated</vt:lpstr>
      <vt:lpstr>tbl_Staff</vt:lpstr>
      <vt:lpstr>tbl_StaffRole</vt:lpstr>
      <vt:lpstr>tbl_StaffRoleX</vt:lpstr>
      <vt:lpstr>tbl_StaffX</vt:lpstr>
      <vt:lpstr>tbl_TaskCodeX</vt:lpstr>
      <vt:lpstr>tbl_TaskStatusX</vt:lpstr>
      <vt:lpstr>tbl_WorkTaskCode</vt:lpstr>
      <vt:lpstr>tbl_WorkTaskStatus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Pieter van Zyl</dc:creator>
  <cp:keywords/>
  <dc:description/>
  <cp:lastModifiedBy>Pieter van Zyl</cp:lastModifiedBy>
  <cp:revision/>
  <dcterms:created xsi:type="dcterms:W3CDTF">2020-10-06T16:24:00Z</dcterms:created>
  <dcterms:modified xsi:type="dcterms:W3CDTF">2025-09-29T09:54:48Z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0x010100F041F74863103D4C9C3AA0A07291BB02</vt:lpwstr>
  </property>
  <property fmtid="{D5CDD505-2E9C-101B-9397-08002B2CF9AE}" pid="3" name="ICV">
    <vt:lpwstr>E4C5EF75FC594FDDBB27A5DFB0CE29CB</vt:lpwstr>
  </property>
  <property fmtid="{D5CDD505-2E9C-101B-9397-08002B2CF9AE}" pid="4" name="KSOProductBuildVer">
    <vt:lpwstr>2052-11.1.0.11365</vt:lpwstr>
  </property>
  <property fmtid="{D5CDD505-2E9C-101B-9397-08002B2CF9AE}" pid="5" name="MediaServiceImageTags">
    <vt:lpwstr/>
  </property>
</Properties>
</file>