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demix365.sharepoint.com/sites/DemixGlobal/Shared Documents/10_BASE/2024-05-04to05-10 (A5) C384400 NASA/01_BASEfiles/"/>
    </mc:Choice>
  </mc:AlternateContent>
  <xr:revisionPtr revIDLastSave="0" documentId="8_{BE36F2B2-DC63-4DBC-9EAE-BCA90225F657}" xr6:coauthVersionLast="47" xr6:coauthVersionMax="47" xr10:uidLastSave="{00000000-0000-0000-0000-000000000000}"/>
  <bookViews>
    <workbookView xWindow="-108" yWindow="-108" windowWidth="23256" windowHeight="12456" firstSheet="22" activeTab="28"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PLAN" sheetId="271" r:id="rId42"/>
    <sheet name="PQA" sheetId="260" r:id="rId43"/>
    <sheet name="PAD" sheetId="263" r:id="rId44"/>
    <sheet name="PCM" sheetId="265" r:id="rId45"/>
    <sheet name="RSK" sheetId="270" r:id="rId46"/>
    <sheet name="RDM" sheetId="272" r:id="rId47"/>
    <sheet name="PI" sheetId="273" r:id="rId48"/>
    <sheet name="TS" sheetId="274" r:id="rId49"/>
    <sheet name="VV" sheetId="275" r:id="rId50"/>
    <sheet name="SAM" sheetId="276" r:id="rId51"/>
    <sheet name="Template2" sheetId="103" r:id="rId52"/>
    <sheet name="ATM" sheetId="127" r:id="rId53"/>
    <sheet name="Processes" sheetId="169" r:id="rId54"/>
  </sheets>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'ou-gov&amp;ii'!$A$1:$V$36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99" l="1"/>
  <c r="H66" i="99" s="1"/>
  <c r="D26" i="99"/>
  <c r="H67" i="99" s="1"/>
  <c r="M48" i="99"/>
  <c r="D5" i="99"/>
  <c r="D8" i="99"/>
  <c r="D9" i="99"/>
  <c r="H50" i="99" s="1"/>
  <c r="D10" i="99"/>
  <c r="H51" i="99" s="1"/>
  <c r="D17" i="99"/>
  <c r="H58" i="99" s="1"/>
  <c r="D18" i="99"/>
  <c r="H59" i="99" s="1"/>
  <c r="D19" i="99"/>
  <c r="H60" i="99" s="1"/>
  <c r="D20" i="99"/>
  <c r="H61" i="99" s="1"/>
  <c r="C5" i="99"/>
  <c r="C8" i="99"/>
  <c r="G49" i="99" s="1"/>
  <c r="C9" i="99"/>
  <c r="G50" i="99" s="1"/>
  <c r="C10" i="99"/>
  <c r="G51" i="99" s="1"/>
  <c r="C11" i="99"/>
  <c r="G52" i="99" s="1"/>
  <c r="C12" i="99"/>
  <c r="G53" i="99" s="1"/>
  <c r="C17" i="99"/>
  <c r="G58" i="99" s="1"/>
  <c r="C18" i="99"/>
  <c r="G59" i="99" s="1"/>
  <c r="C19" i="99"/>
  <c r="G60" i="99" s="1"/>
  <c r="C25" i="99"/>
  <c r="C26" i="99"/>
  <c r="G67" i="99" s="1"/>
  <c r="D4" i="99"/>
  <c r="H45" i="99" s="1"/>
  <c r="C4" i="99"/>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G45" i="99"/>
  <c r="F45" i="99"/>
  <c r="E45" i="99"/>
  <c r="D45" i="99"/>
  <c r="C45" i="99"/>
</calcChain>
</file>

<file path=xl/sharedStrings.xml><?xml version="1.0" encoding="utf-8"?>
<sst xmlns="http://schemas.openxmlformats.org/spreadsheetml/2006/main" count="4670" uniqueCount="2346">
  <si>
    <t>https://www.whatismyip.com/</t>
  </si>
  <si>
    <t>https://www.microsoft.com/en-us/sql-server/sql-server-downloads</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</si>
  <si>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</si>
  <si>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</si>
  <si>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</si>
  <si>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</si>
  <si>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</si>
  <si>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</si>
  <si>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</si>
  <si>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</si>
  <si>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</si>
  <si>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</si>
  <si>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</si>
  <si>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</si>
  <si>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</si>
  <si>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</si>
  <si>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</si>
  <si>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https://docs.microsoft.com/en-us/sql/connect/oledb/download-oledb-driver-for-sql-server?view=sql-server-ver15</t>
  </si>
  <si>
    <t>https://go.microsoft.com/fwlink/?linkid=866658</t>
  </si>
  <si>
    <t>https://translate.google.com/?sl=auto&amp;tl=en&amp;op=translate</t>
  </si>
  <si>
    <t>https://www.onlinedoctranslator.com/en/translationform</t>
  </si>
  <si>
    <t>TV sheets</t>
  </si>
  <si>
    <t>TS - TECHNICAL SOLUTION (TS)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</si>
  <si>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</si>
  <si>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</si>
  <si>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</si>
  <si>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</si>
  <si>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</si>
  <si>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</si>
  <si>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</si>
  <si>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</si>
  <si>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</si>
  <si>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</si>
  <si>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</si>
  <si>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</si>
  <si>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</si>
  <si>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</si>
  <si>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</si>
  <si>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</si>
  <si>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</si>
  <si>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</si>
  <si>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</si>
  <si>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</si>
  <si>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</si>
  <si>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</si>
  <si>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</si>
  <si>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</si>
  <si>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</si>
  <si>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</si>
  <si>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</si>
  <si>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</si>
  <si>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</si>
  <si>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</si>
  <si>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</si>
  <si>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</si>
  <si>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</si>
  <si>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</si>
  <si>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</si>
  <si>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</si>
  <si>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</si>
  <si>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</si>
  <si>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</si>
  <si>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</si>
  <si>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</si>
  <si>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</si>
  <si>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</si>
  <si>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</si>
  <si>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</si>
  <si>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</si>
  <si>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</si>
  <si>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</si>
  <si>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</si>
  <si>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</si>
  <si>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</si>
  <si>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</si>
  <si>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</si>
  <si>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</si>
  <si>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</si>
  <si>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</si>
  <si>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</si>
  <si>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</si>
  <si>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</si>
  <si>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</si>
  <si>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</si>
  <si>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</si>
  <si>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</si>
  <si>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</si>
  <si>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</si>
  <si>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</si>
  <si>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</si>
  <si>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</si>
  <si>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</si>
  <si>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</si>
  <si>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</si>
  <si>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</si>
  <si>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</si>
  <si>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</si>
  <si>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</si>
  <si>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</si>
  <si>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</si>
  <si>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</si>
  <si>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</si>
  <si>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PI - PRODUCT INTEGRATION (PI)</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</si>
  <si>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</si>
  <si>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</si>
  <si>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</si>
  <si>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</si>
  <si>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</si>
  <si>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</si>
  <si>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</si>
  <si>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</si>
  <si>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</si>
  <si>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</si>
  <si>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</si>
  <si>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</si>
  <si>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</si>
  <si>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</si>
  <si>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</si>
  <si>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</si>
  <si>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</si>
  <si>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</si>
  <si>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</si>
  <si>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</si>
  <si>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</si>
  <si>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</si>
  <si>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</si>
  <si>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</si>
  <si>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</si>
  <si>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</si>
  <si>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</si>
  <si>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</si>
  <si>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</si>
  <si>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</si>
  <si>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</si>
  <si>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</si>
  <si>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</si>
  <si>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</si>
  <si>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</si>
  <si>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</si>
  <si>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</si>
  <si>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</si>
  <si>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</si>
  <si>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</si>
  <si>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</si>
  <si>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</si>
  <si>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</si>
  <si>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</si>
  <si>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</si>
  <si>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</si>
  <si>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</si>
  <si>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</si>
  <si>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</si>
  <si>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</si>
  <si>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</si>
  <si>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</si>
  <si>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</si>
  <si>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</si>
  <si>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</si>
  <si>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</si>
  <si>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</si>
  <si>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</si>
  <si>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</si>
  <si>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</si>
  <si>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</si>
  <si>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</si>
  <si>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PR -PEER REVIEWS (PR)</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</si>
  <si>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</si>
  <si>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</si>
  <si>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</si>
  <si>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</si>
  <si>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</si>
  <si>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</si>
  <si>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</si>
  <si>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</si>
  <si>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</si>
  <si>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</si>
  <si>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</si>
  <si>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</si>
  <si>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</si>
  <si>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</si>
  <si>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</si>
  <si>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</si>
  <si>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</si>
  <si>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</si>
  <si>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</si>
  <si>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</si>
  <si>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</si>
  <si>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</si>
  <si>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</si>
  <si>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</si>
  <si>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</si>
  <si>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</si>
  <si>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</si>
  <si>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</si>
  <si>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</si>
  <si>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</si>
  <si>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</si>
  <si>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</si>
  <si>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</si>
  <si>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</si>
  <si>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</si>
  <si>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</si>
  <si>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</si>
  <si>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</si>
  <si>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</si>
  <si>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</si>
  <si>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</si>
  <si>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</si>
  <si>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</si>
  <si>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</si>
  <si>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</si>
  <si>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</si>
  <si>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</si>
  <si>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</si>
  <si>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</si>
  <si>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</si>
  <si>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</si>
  <si>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</si>
  <si>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</si>
  <si>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</si>
  <si>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</si>
  <si>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</si>
  <si>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</si>
  <si>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</si>
  <si>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</si>
  <si>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</si>
  <si>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</si>
  <si>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</si>
  <si>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</si>
  <si>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</si>
  <si>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</si>
  <si>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</si>
  <si>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</si>
  <si>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</si>
  <si>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</si>
  <si>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</si>
  <si>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</si>
  <si>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</si>
  <si>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</si>
  <si>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</si>
  <si>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</si>
  <si>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</si>
  <si>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</si>
  <si>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</si>
  <si>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</si>
  <si>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</si>
  <si>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</si>
  <si>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</si>
  <si>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</si>
  <si>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</si>
  <si>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</si>
  <si>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</si>
  <si>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</si>
  <si>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</si>
  <si>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</si>
  <si>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</si>
  <si>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</si>
  <si>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</si>
  <si>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</si>
  <si>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</si>
  <si>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</si>
  <si>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</si>
  <si>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</si>
  <si>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</si>
  <si>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</si>
  <si>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</si>
  <si>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</si>
  <si>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</si>
  <si>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</si>
  <si>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</si>
  <si>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</si>
  <si>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</si>
  <si>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</si>
  <si>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</si>
  <si>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</si>
  <si>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</si>
  <si>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</si>
  <si>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</si>
  <si>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</si>
  <si>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</si>
  <si>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</si>
  <si>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</si>
  <si>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</si>
  <si>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</si>
  <si>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</si>
  <si>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</si>
  <si>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</si>
  <si>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</si>
  <si>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</si>
  <si>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</si>
  <si>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</si>
  <si>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</si>
  <si>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</si>
  <si>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</si>
  <si>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</si>
  <si>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</si>
  <si>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</si>
  <si>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</si>
  <si>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</si>
  <si>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</si>
  <si>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</si>
  <si>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</si>
  <si>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</si>
  <si>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</si>
  <si>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</si>
  <si>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</si>
  <si>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</si>
  <si>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</si>
  <si>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</si>
  <si>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</si>
  <si>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</si>
  <si>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</si>
  <si>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</si>
  <si>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</si>
  <si>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</si>
  <si>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</si>
  <si>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</si>
  <si>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</si>
  <si>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</si>
  <si>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</si>
  <si>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</si>
  <si>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</si>
  <si>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</si>
  <si>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</si>
  <si>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</si>
  <si>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</si>
  <si>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</si>
  <si>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</si>
  <si>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</si>
  <si>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</si>
  <si>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</si>
  <si>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</si>
  <si>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</si>
  <si>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</si>
  <si>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</si>
  <si>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</si>
  <si>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</si>
  <si>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</si>
  <si>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</si>
  <si>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</si>
  <si>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</si>
  <si>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</si>
  <si>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</si>
  <si>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</si>
  <si>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</si>
  <si>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</si>
  <si>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</si>
  <si>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</si>
  <si>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</si>
  <si>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</si>
  <si>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</si>
  <si>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</si>
  <si>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</si>
  <si>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</si>
  <si>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</si>
  <si>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</si>
  <si>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</si>
  <si>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</si>
  <si>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</si>
  <si>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</si>
  <si>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</si>
  <si>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</si>
  <si>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</si>
  <si>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</si>
  <si>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</si>
  <si>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</si>
  <si>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</si>
  <si>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</si>
  <si>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</si>
  <si>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</si>
  <si>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</si>
  <si>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</si>
  <si>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</si>
  <si>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</si>
  <si>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</si>
  <si>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</si>
  <si>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</si>
  <si>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</si>
  <si>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</si>
  <si>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</si>
  <si>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</si>
  <si>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</si>
  <si>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</si>
  <si>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</si>
  <si>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</si>
  <si>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</si>
  <si>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</si>
  <si>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</si>
  <si>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</si>
  <si>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</si>
  <si>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</si>
  <si>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</si>
  <si>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</si>
  <si>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</si>
  <si>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</si>
  <si>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</si>
  <si>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</si>
  <si>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</si>
  <si>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</si>
  <si>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</si>
  <si>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</si>
  <si>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</si>
  <si>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</si>
  <si>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</si>
  <si>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</si>
  <si>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</si>
  <si>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</si>
  <si>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</si>
  <si>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</si>
  <si>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</si>
  <si>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</si>
  <si>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</si>
  <si>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</si>
  <si>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</si>
  <si>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</si>
  <si>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</si>
  <si>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</si>
  <si>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</si>
  <si>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</si>
  <si>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</si>
  <si>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</si>
  <si>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</si>
  <si>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</si>
  <si>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</si>
  <si>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</si>
  <si>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</si>
  <si>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</si>
  <si>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</si>
  <si>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</si>
  <si>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</si>
  <si>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</si>
  <si>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</si>
  <si>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</si>
  <si>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</si>
  <si>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</si>
  <si>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</si>
  <si>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</si>
  <si>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</si>
  <si>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</si>
  <si>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</si>
  <si>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</si>
  <si>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</si>
  <si>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</si>
  <si>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</si>
  <si>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</si>
  <si>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</si>
  <si>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</si>
  <si>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</si>
  <si>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</si>
  <si>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</si>
  <si>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</si>
  <si>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</si>
  <si>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</si>
  <si>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</si>
  <si>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</si>
  <si>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</si>
  <si>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</si>
  <si>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</si>
  <si>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</si>
  <si>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</si>
  <si>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</si>
  <si>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</si>
  <si>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</si>
  <si>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</si>
  <si>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</si>
  <si>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</si>
  <si>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</si>
  <si>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</si>
  <si>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</si>
  <si>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</si>
  <si>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</si>
  <si>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</si>
  <si>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</si>
  <si>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</si>
  <si>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</si>
  <si>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</si>
  <si>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</si>
  <si>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</si>
  <si>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</si>
  <si>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</si>
  <si>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</si>
  <si>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</si>
  <si>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</si>
  <si>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</si>
  <si>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</si>
  <si>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</si>
  <si>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</si>
  <si>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</si>
  <si>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</si>
  <si>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</si>
  <si>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</si>
  <si>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</si>
  <si>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</si>
  <si>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</si>
  <si>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</si>
  <si>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</si>
  <si>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</si>
  <si>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</si>
  <si>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</si>
  <si>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</si>
  <si>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</si>
  <si>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</si>
  <si>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</si>
  <si>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</si>
  <si>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</si>
  <si>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</si>
  <si>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</si>
  <si>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</si>
  <si>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</si>
  <si>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</si>
  <si>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</si>
  <si>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</si>
  <si>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</si>
  <si>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</si>
  <si>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</si>
  <si>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</si>
  <si>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</si>
  <si>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</si>
  <si>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</si>
  <si>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</si>
  <si>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</si>
  <si>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</si>
  <si>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</si>
  <si>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</si>
  <si>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</si>
  <si>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</si>
  <si>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</si>
  <si>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</si>
  <si>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</si>
  <si>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</si>
  <si>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</si>
  <si>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</si>
  <si>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</si>
  <si>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</si>
  <si>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</si>
  <si>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</si>
  <si>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</si>
  <si>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</si>
  <si>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</si>
  <si>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</si>
  <si>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</si>
  <si>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</si>
  <si>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</si>
  <si>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</si>
  <si>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</si>
  <si>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</si>
  <si>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</si>
  <si>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</si>
  <si>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</si>
  <si>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</si>
  <si>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</si>
  <si>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</si>
  <si>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</si>
  <si>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</si>
  <si>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</si>
  <si>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</si>
  <si>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</si>
  <si>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</si>
  <si>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</si>
  <si>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</si>
  <si>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</si>
  <si>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</si>
  <si>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</si>
  <si>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</si>
  <si>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</si>
  <si>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</si>
  <si>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</si>
  <si>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</si>
  <si>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</si>
  <si>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</si>
  <si>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</si>
  <si>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</si>
  <si>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</si>
  <si>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</si>
  <si>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</si>
  <si>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</si>
  <si>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</si>
  <si>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</si>
  <si>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</si>
  <si>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</si>
  <si>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</si>
  <si>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</si>
  <si>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</si>
  <si>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</si>
  <si>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</si>
  <si>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</si>
  <si>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</si>
  <si>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</si>
  <si>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</si>
  <si>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</si>
  <si>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</si>
  <si>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</si>
  <si>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</si>
  <si>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</si>
  <si>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</si>
  <si>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</si>
  <si>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</si>
  <si>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</si>
  <si>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</si>
  <si>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</si>
  <si>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</si>
  <si>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</si>
  <si>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</si>
  <si>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</si>
  <si>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</si>
  <si>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</si>
  <si>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</si>
  <si>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</si>
  <si>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</si>
  <si>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</si>
  <si>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</si>
  <si>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</si>
  <si>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</si>
  <si>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</si>
  <si>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</si>
  <si>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</si>
  <si>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</si>
  <si>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</si>
  <si>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</si>
  <si>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</si>
  <si>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</si>
  <si>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</si>
  <si>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</si>
  <si>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</si>
  <si>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</si>
  <si>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</si>
  <si>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</si>
  <si>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</si>
  <si>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</si>
  <si>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</si>
  <si>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</si>
  <si>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</si>
  <si>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</si>
  <si>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</si>
  <si>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</si>
  <si>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</si>
  <si>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</si>
  <si>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</si>
  <si>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</si>
  <si>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</si>
  <si>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</si>
  <si>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</si>
  <si>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</si>
  <si>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</si>
  <si>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</si>
  <si>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</si>
  <si>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</si>
  <si>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</si>
  <si>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</si>
  <si>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</si>
  <si>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</si>
  <si>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</si>
  <si>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</si>
  <si>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</si>
  <si>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</si>
  <si>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</si>
  <si>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</si>
  <si>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</si>
  <si>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</si>
  <si>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</si>
  <si>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</si>
  <si>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</si>
  <si>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</si>
  <si>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</si>
  <si>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</si>
  <si>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</si>
  <si>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</si>
  <si>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</si>
  <si>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</si>
  <si>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</si>
  <si>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</si>
  <si>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</si>
  <si>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</si>
  <si>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</si>
  <si>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</si>
  <si>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</si>
  <si>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</si>
  <si>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</si>
  <si>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</si>
  <si>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</si>
  <si>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</si>
  <si>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</si>
  <si>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</si>
  <si>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</si>
  <si>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</si>
  <si>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</si>
  <si>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</si>
  <si>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</si>
  <si>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</si>
  <si>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</si>
  <si>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</si>
  <si>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</si>
  <si>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</si>
  <si>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</si>
  <si>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</si>
  <si>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</si>
  <si>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</si>
  <si>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</si>
  <si>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</si>
  <si>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</si>
  <si>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</si>
  <si>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</si>
  <si>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</si>
  <si>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</si>
  <si>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</si>
  <si>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</si>
  <si>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</si>
  <si>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</si>
  <si>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</si>
  <si>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</si>
  <si>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</si>
  <si>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</si>
  <si>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</si>
  <si>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</si>
  <si>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</si>
  <si>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</si>
  <si>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</si>
  <si>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</si>
  <si>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</si>
  <si>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</si>
  <si>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</si>
  <si>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</si>
  <si>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</si>
  <si>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</si>
  <si>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</si>
  <si>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</si>
  <si>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</si>
  <si>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</si>
  <si>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</si>
  <si>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</si>
  <si>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</si>
  <si>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</si>
  <si>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</si>
  <si>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</si>
  <si>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</si>
  <si>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</si>
  <si>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</si>
  <si>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</si>
  <si>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</si>
  <si>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</si>
  <si>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</si>
  <si>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</si>
  <si>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</si>
  <si>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</si>
  <si>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</si>
  <si>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</si>
  <si>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</si>
  <si>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</si>
  <si>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</si>
  <si>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</si>
  <si>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</si>
  <si>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</si>
  <si>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</si>
  <si>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</si>
  <si>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</si>
  <si>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</si>
  <si>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</si>
  <si>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</si>
  <si>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</si>
  <si>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</si>
  <si>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</si>
  <si>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</si>
  <si>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</si>
  <si>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</si>
  <si>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</si>
  <si>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</si>
  <si>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</si>
  <si>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</si>
  <si>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</si>
  <si>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</si>
  <si>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</si>
  <si>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</si>
  <si>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</si>
  <si>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</si>
  <si>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</si>
  <si>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</si>
  <si>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</si>
  <si>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</si>
  <si>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</si>
  <si>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</si>
  <si>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</si>
  <si>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</si>
  <si>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</si>
  <si>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</si>
  <si>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</si>
  <si>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</si>
  <si>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</si>
  <si>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</si>
  <si>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</si>
  <si>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</si>
  <si>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</si>
  <si>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</si>
  <si>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</si>
  <si>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</si>
  <si>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</si>
  <si>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</si>
  <si>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</si>
  <si>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</si>
  <si>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</si>
  <si>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</si>
  <si>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</si>
  <si>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</si>
  <si>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</si>
  <si>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</si>
  <si>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</si>
  <si>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</si>
  <si>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</si>
  <si>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</si>
  <si>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</si>
  <si>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</si>
  <si>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</si>
  <si>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</si>
  <si>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</si>
  <si>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</si>
  <si>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</si>
  <si>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</si>
  <si>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</si>
  <si>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</si>
  <si>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</si>
  <si>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</si>
  <si>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</si>
  <si>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</si>
  <si>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</si>
  <si>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</si>
  <si>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</si>
  <si>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</si>
  <si>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</si>
  <si>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</si>
  <si>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</si>
  <si>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</si>
  <si>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</si>
  <si>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</si>
  <si>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</si>
  <si>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</si>
  <si>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</si>
  <si>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</si>
  <si>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</si>
  <si>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</si>
  <si>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</si>
  <si>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</si>
  <si>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</si>
  <si>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</si>
  <si>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</si>
  <si>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</si>
  <si>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</si>
  <si>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</si>
  <si>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</si>
  <si>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</si>
  <si>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</si>
  <si>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</si>
  <si>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</si>
  <si>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</si>
  <si>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</si>
  <si>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</si>
  <si>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</si>
  <si>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</si>
  <si>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</si>
  <si>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</si>
  <si>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</si>
  <si>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</si>
  <si>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</si>
  <si>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</si>
  <si>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</si>
  <si>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</si>
  <si>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</si>
  <si>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</si>
  <si>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</si>
  <si>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</si>
  <si>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</si>
  <si>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</si>
  <si>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</si>
  <si>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</si>
  <si>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</si>
  <si>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</si>
  <si>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</si>
  <si>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</si>
  <si>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</si>
  <si>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</si>
  <si>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</si>
  <si>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</si>
  <si>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</si>
  <si>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</si>
  <si>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</si>
  <si>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</si>
  <si>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</si>
  <si>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</si>
  <si>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</si>
  <si>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</si>
  <si>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</si>
  <si>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</si>
  <si>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</si>
  <si>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</si>
  <si>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</si>
  <si>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</si>
  <si>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</si>
  <si>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</si>
  <si>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</si>
  <si>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</si>
  <si>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</si>
  <si>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</si>
  <si>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</si>
  <si>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</si>
  <si>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</si>
  <si>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</si>
  <si>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</si>
  <si>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</si>
  <si>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</si>
  <si>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</si>
  <si>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</si>
  <si>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</si>
  <si>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</si>
  <si>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</si>
  <si>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</si>
  <si>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</si>
  <si>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</si>
  <si>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</si>
  <si>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</si>
  <si>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</si>
  <si>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</si>
  <si>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</si>
  <si>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</si>
  <si>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</si>
  <si>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</si>
  <si>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</si>
  <si>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</si>
  <si>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</si>
  <si>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</si>
  <si>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</si>
  <si>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</si>
  <si>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</si>
  <si>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</si>
  <si>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</si>
  <si>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9" type="noConversion"/>
  </si>
  <si>
    <t xml:space="preserve">Identify causes of selected outcomes and take action to either prevent recurrence of undesirable outcomes or ensure recurrence of positive outcomes. </t>
    <phoneticPr fontId="9" type="noConversion"/>
  </si>
  <si>
    <t>Value</t>
    <phoneticPr fontId="9" type="noConversion"/>
  </si>
  <si>
    <t>Addressing root cause issues eliminates rework and directly improves quality and productivity.</t>
    <phoneticPr fontId="9"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</si>
  <si>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</si>
  <si>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</si>
  <si>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</si>
  <si>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</si>
  <si>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</si>
  <si>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</si>
  <si>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</si>
  <si>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</si>
  <si>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</si>
  <si>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</si>
  <si>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</si>
  <si>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</si>
  <si>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</si>
  <si>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</si>
  <si>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</si>
  <si>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</si>
  <si>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</si>
  <si>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</si>
  <si>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</si>
  <si>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</si>
  <si>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</si>
  <si>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</si>
  <si>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</si>
  <si>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</si>
  <si>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</si>
  <si>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</si>
  <si>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</si>
  <si>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</si>
  <si>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</si>
  <si>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</si>
  <si>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</si>
  <si>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</si>
  <si>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</si>
  <si>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</si>
  <si>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</si>
  <si>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</si>
  <si>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</si>
  <si>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</si>
  <si>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</si>
  <si>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</si>
  <si>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</si>
  <si>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</si>
  <si>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</si>
  <si>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</si>
  <si>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</si>
  <si>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</si>
  <si>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</si>
  <si>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</si>
  <si>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</si>
  <si>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How do you select actions proposals to address identified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</si>
  <si>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</si>
  <si>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</si>
  <si>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</si>
  <si>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</si>
  <si>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</si>
  <si>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</si>
  <si>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</si>
  <si>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</si>
  <si>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</si>
  <si>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</si>
  <si>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</si>
  <si>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</si>
  <si>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</si>
  <si>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9" type="noConversion"/>
  </si>
  <si>
    <t xml:space="preserve">Make and record decisions using a recorded process that analyzes alternatives. </t>
    <phoneticPr fontId="9" type="noConversion"/>
  </si>
  <si>
    <t xml:space="preserve">Increases the objectivity of decision making and the probability of selecting the optimal solution. </t>
    <phoneticPr fontId="9"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</si>
  <si>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</si>
  <si>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</si>
  <si>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</si>
  <si>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</si>
  <si>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</si>
  <si>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</si>
  <si>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</si>
  <si>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</si>
  <si>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</si>
  <si>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</si>
  <si>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</si>
  <si>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</si>
  <si>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</si>
  <si>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</si>
  <si>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</si>
  <si>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</si>
  <si>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</si>
  <si>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</si>
  <si>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</si>
  <si>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</si>
  <si>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</si>
  <si>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</si>
  <si>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</si>
  <si>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</si>
  <si>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</si>
  <si>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</si>
  <si>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</si>
  <si>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</si>
  <si>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</si>
  <si>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</si>
  <si>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</si>
  <si>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</si>
  <si>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</si>
  <si>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</si>
  <si>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</si>
  <si>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</si>
  <si>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</si>
  <si>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</si>
  <si>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</si>
  <si>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</si>
  <si>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</si>
  <si>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</si>
  <si>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</si>
  <si>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</si>
  <si>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</si>
  <si>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</si>
  <si>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</si>
  <si>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</si>
  <si>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</si>
  <si>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</si>
  <si>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</si>
  <si>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</si>
  <si>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</si>
  <si>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</si>
  <si>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</si>
  <si>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</si>
  <si>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</si>
  <si>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</si>
  <si>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</si>
  <si>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</si>
  <si>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</si>
  <si>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</si>
  <si>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</si>
  <si>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</si>
  <si>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</si>
  <si>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</si>
  <si>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</si>
  <si>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</si>
  <si>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</si>
  <si>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</si>
  <si>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</si>
  <si>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</si>
  <si>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</si>
  <si>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</si>
  <si>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</si>
  <si>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</si>
  <si>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</si>
  <si>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</si>
  <si>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</si>
  <si>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</si>
  <si>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</si>
  <si>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</si>
  <si>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</si>
  <si>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</si>
  <si>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</si>
  <si>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</si>
  <si>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</si>
  <si>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</si>
  <si>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</si>
  <si>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</si>
  <si>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</si>
  <si>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</si>
  <si>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</si>
  <si>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9" type="noConversion"/>
  </si>
  <si>
    <t xml:space="preserve">Sustains the ability to consistently achieve goals and objectives efficiently and effectively. </t>
    <phoneticPr fontId="9"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</si>
  <si>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</si>
  <si>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</si>
  <si>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</si>
  <si>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</si>
  <si>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</si>
  <si>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</si>
  <si>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</si>
  <si>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</si>
  <si>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</si>
  <si>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</si>
  <si>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</si>
  <si>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</si>
  <si>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</si>
  <si>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</si>
  <si>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</si>
  <si>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</si>
  <si>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</si>
  <si>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</si>
  <si>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</si>
  <si>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</si>
  <si>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</si>
  <si>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</si>
  <si>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</si>
  <si>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</si>
  <si>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</si>
  <si>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</si>
  <si>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</si>
  <si>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</si>
  <si>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</si>
  <si>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</si>
  <si>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</si>
  <si>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</si>
  <si>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</si>
  <si>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</si>
  <si>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</si>
  <si>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</si>
  <si>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</si>
  <si>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</si>
  <si>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</si>
  <si>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</si>
  <si>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</si>
  <si>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</si>
  <si>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</si>
  <si>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</si>
  <si>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</si>
  <si>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</si>
  <si>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</si>
  <si>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</si>
  <si>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</si>
  <si>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</si>
  <si>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</si>
  <si>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</si>
  <si>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</si>
  <si>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</si>
  <si>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</si>
  <si>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</si>
  <si>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</si>
  <si>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</si>
  <si>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</si>
  <si>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</si>
  <si>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</si>
  <si>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</si>
  <si>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</si>
  <si>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</si>
  <si>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</si>
  <si>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</si>
  <si>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</si>
  <si>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</si>
  <si>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</si>
  <si>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</si>
  <si>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</si>
  <si>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</si>
  <si>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</si>
  <si>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</si>
  <si>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</si>
  <si>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</si>
  <si>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</si>
  <si>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</si>
  <si>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</si>
  <si>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</si>
  <si>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</si>
  <si>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</si>
  <si>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</si>
  <si>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</si>
  <si>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</si>
  <si>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</si>
  <si>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</si>
  <si>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</si>
  <si>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</si>
  <si>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</si>
  <si>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</si>
  <si>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</si>
  <si>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</si>
  <si>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</si>
  <si>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</si>
  <si>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</si>
  <si>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</si>
  <si>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</si>
  <si>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</si>
  <si>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</si>
  <si>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</si>
  <si>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</si>
  <si>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</si>
  <si>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</si>
  <si>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</si>
  <si>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</si>
  <si>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</si>
  <si>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</si>
  <si>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</si>
  <si>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</si>
  <si>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</si>
  <si>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</si>
  <si>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</si>
  <si>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</si>
  <si>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</si>
  <si>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</si>
  <si>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</si>
  <si>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</si>
  <si>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</si>
  <si>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</si>
  <si>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</si>
  <si>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</si>
  <si>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</si>
  <si>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</si>
  <si>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</si>
  <si>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</si>
  <si>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</si>
  <si>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</si>
  <si>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</si>
  <si>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</si>
  <si>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</si>
  <si>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</si>
  <si>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</si>
  <si>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</si>
  <si>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</si>
  <si>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</si>
  <si>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</si>
  <si>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</si>
  <si>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</si>
  <si>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</si>
  <si>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</si>
  <si>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</si>
  <si>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</si>
  <si>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</si>
  <si>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</si>
  <si>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</si>
  <si>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</si>
  <si>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</si>
  <si>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</si>
  <si>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</si>
  <si>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</si>
  <si>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</si>
  <si>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</si>
  <si>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</si>
  <si>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</si>
  <si>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</si>
  <si>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</si>
  <si>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</si>
  <si>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</si>
  <si>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</si>
  <si>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</si>
  <si>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</si>
  <si>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</si>
  <si>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</si>
  <si>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</si>
  <si>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</si>
  <si>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</si>
  <si>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</si>
  <si>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</si>
  <si>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</si>
  <si>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</si>
  <si>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</si>
  <si>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</si>
  <si>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</si>
  <si>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</si>
  <si>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</si>
  <si>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</si>
  <si>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</si>
  <si>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</si>
  <si>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</si>
  <si>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</si>
  <si>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</si>
  <si>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</si>
  <si>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</si>
  <si>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</si>
  <si>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</si>
  <si>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</si>
  <si>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</si>
  <si>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</si>
  <si>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</si>
  <si>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</si>
  <si>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</si>
  <si>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</si>
  <si>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</si>
  <si>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</si>
  <si>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</si>
  <si>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</si>
  <si>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</si>
  <si>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</si>
  <si>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</si>
  <si>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</si>
  <si>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</si>
  <si>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</si>
  <si>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</si>
  <si>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</si>
  <si>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</si>
  <si>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</si>
  <si>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</si>
  <si>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</si>
  <si>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</si>
  <si>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</si>
  <si>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</si>
  <si>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</si>
  <si>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</si>
  <si>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</si>
  <si>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</si>
  <si>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</si>
  <si>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</si>
  <si>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</si>
  <si>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</si>
  <si>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</si>
  <si>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</si>
  <si>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</si>
  <si>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</si>
  <si>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</si>
  <si>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</si>
  <si>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</si>
  <si>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</si>
  <si>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</si>
  <si>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</si>
  <si>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</si>
  <si>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</si>
  <si>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</si>
  <si>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</si>
  <si>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</si>
  <si>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</si>
  <si>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</si>
  <si>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</si>
  <si>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</si>
  <si>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</si>
  <si>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</si>
  <si>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</si>
  <si>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</si>
  <si>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</si>
  <si>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</si>
  <si>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</si>
  <si>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</si>
  <si>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</si>
  <si>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</si>
  <si>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</si>
  <si>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t>
  </si>
  <si>
    <t>U</t>
  </si>
  <si>
    <t>OoS</t>
  </si>
  <si>
    <t xml:space="preserve">Level 4 </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</si>
  <si>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</si>
  <si>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</si>
  <si>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</si>
  <si>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</si>
  <si>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</si>
  <si>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</si>
  <si>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</si>
  <si>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</si>
  <si>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</si>
  <si>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</si>
  <si>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</si>
  <si>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</si>
  <si>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</si>
  <si>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</si>
  <si>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</si>
  <si>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</si>
  <si>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</si>
  <si>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</si>
  <si>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</si>
  <si>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</si>
  <si>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</si>
  <si>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</si>
  <si>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</si>
  <si>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</si>
  <si>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</si>
  <si>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</si>
  <si>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</si>
  <si>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</si>
  <si>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</si>
  <si>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</si>
  <si>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</si>
  <si>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</si>
  <si>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</si>
  <si>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</si>
  <si>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</si>
  <si>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</si>
  <si>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Senior management identifies what is important for doing the work and defines the approach needed to accomplish the objectives of the organization.  高级管理层识别对工作执行重要地因素，并定义实现组织目标所需地方法</t>
  </si>
  <si>
    <t>Example Work products</t>
  </si>
  <si>
    <t>3 Process</t>
  </si>
  <si>
    <t>Engineering process</t>
  </si>
  <si>
    <t>4 Prac_Instan</t>
  </si>
  <si>
    <t>Project A</t>
  </si>
  <si>
    <t>[Project management] (ABC)</t>
  </si>
  <si>
    <t>5 OE</t>
  </si>
  <si>
    <t>Evidence name</t>
  </si>
  <si>
    <t>none</t>
  </si>
  <si>
    <t>OE DB</t>
  </si>
  <si>
    <t>2 Prac_OU2</t>
  </si>
  <si>
    <t>CAUSAL ANALYSIS AND RESOLUTION</t>
  </si>
  <si>
    <t>根因分析</t>
  </si>
  <si>
    <t>Intent</t>
    <phoneticPr fontId="3" type="noConversion"/>
  </si>
  <si>
    <t xml:space="preserve">Identify causes of selected outcomes and take action to either prevent recurrence of undesirable outcomes or ensure recurrence of positive outcomes. </t>
    <phoneticPr fontId="3" type="noConversion"/>
  </si>
  <si>
    <t>目的</t>
  </si>
  <si>
    <t>识别选定结果的原因并采取行动，防止不合需要的结果再次发生或确保再次出现正面结果</t>
    <phoneticPr fontId="3" type="noConversion"/>
  </si>
  <si>
    <t>Value</t>
    <phoneticPr fontId="3" type="noConversion"/>
  </si>
  <si>
    <t>Addressing root cause issues eliminates rework and directly improves quality and productivity.</t>
    <phoneticPr fontId="3" type="noConversion"/>
  </si>
  <si>
    <t>价值</t>
  </si>
  <si>
    <t>解决根源问题可以消除返工并直接提高质量和生产率</t>
  </si>
  <si>
    <t>Possible answers</t>
  </si>
  <si>
    <t>- Root Cause Analysis Workshop
- Process Mapping and Evaluation
- Feedback Collection and Analysis</t>
  </si>
  <si>
    <t>- Root Cause Analysis Report
- Process Improvement Plan
- Feedback Analysis Summary</t>
  </si>
  <si>
    <t>- How does your company go about selecting specific outcomes for analysis? 
你们公司如何选择特定结果进行分析？</t>
  </si>
  <si>
    <t>- Outcome Mapping Workshop
- Outcome Data Collection
- Outcome Analysis Session</t>
  </si>
  <si>
    <t>- Outcome Map Document
- Outcome Data Report
- Outcome Impact Assessment</t>
  </si>
  <si>
    <t>- How does your company determine which outcomes to analyze?
你们公司是如何确定要分析哪些结果的？</t>
  </si>
  <si>
    <t>- Root Cause Analysis Workshop
- Data Mining and Analysis
- Process Mapping and Optimization</t>
  </si>
  <si>
    <t>- Root Cause Analysis Report
- Data Analysis Summary
- Process Optimization Plan</t>
  </si>
  <si>
    <t xml:space="preserve">- Could you describe the process your company follows to analyze the causes behind selected outcomes and the steps taken to address them?
能描述一下你们公司分析选定结果背后原因的流程以及采取的解决步骤吗？
</t>
  </si>
  <si>
    <t>- Data Analysis and Investigation
- Root Cause Analysis (RCA)
- Process Mapping and Review</t>
  </si>
  <si>
    <t>- Data Analysis Report
- Root Cause Analysis Document
- Process Improvement Proposal</t>
  </si>
  <si>
    <t>- Can you describe the organizational process followed to determine the causes of selected outcomes?
你能描述一下用于确定选定结果原因的组织流程吗？</t>
  </si>
  <si>
    <t>- Root Cause Analysis Meetings
- Process Mapping Workshops
- Data Analysis and Trend Identification</t>
  </si>
  <si>
    <t>- Root Cause Analysis Report
- Process Improvement Plan
- Trend Analysis Presentation</t>
  </si>
  <si>
    <t>- What actions have been proposed to address the identified causes?
对于已经确定的原因，提出了哪些行动方案？</t>
  </si>
  <si>
    <t>- Action Plan Development
- Training and Skill Development
- Pilot Testing</t>
  </si>
  <si>
    <t>- Action Plan Document
- Training Materials
- Pilot Testing Report</t>
  </si>
  <si>
    <t>- Have the proposed action proposals been implemented? If so, could you provide details on the implementation process?
已经实施了提出的行动方案吗？如果已实施，能否提供实施过程的详细信息？</t>
  </si>
  <si>
    <t>- Causal Analysis Documentation
- Data Tracking and Reporting
- Knowledge Sharing Sessions</t>
  </si>
  <si>
    <t>- Causal Analysis Reports
- Improvement Metrics Dashboard
- Best Practices Guide</t>
  </si>
  <si>
    <t>- How is causal analysis and resolution data recorded within the organization?
在组织内如何记录因果分析和解决数据？</t>
  </si>
  <si>
    <t xml:space="preserve">- Improvement Proposal Generation
- Review and Evaluation Meetings
- Feedback Integration
</t>
  </si>
  <si>
    <t>- Improvement Proposal Documents
- Impact Assessment Reports
- Stakeholder Feedback Summaries</t>
  </si>
  <si>
    <t>- Can you share any improvement proposals that have been submitted for changes proven to be effective?
你能分享已经提交的改进提案，证明其有效性的变化吗？</t>
  </si>
  <si>
    <t>- Statistical Analysis Report
- Root Cause Analysis Documentation
- Action Plan for Improvement</t>
  </si>
  <si>
    <t>- Could you walk me through the process of performing root cause analysis for selected outcomes, particularly the employment of statistical and other quantitative techniques?
能否带领我了解对选定结果进行根本原因分析的过程，特别是运用统计和其他定量技术？</t>
  </si>
  <si>
    <t xml:space="preserve">- Data Collection and Measurement
- Statistical Analysis
- Benchmarking and Comparison
</t>
  </si>
  <si>
    <t>- Performance Metrics Report
- Statistical Analysis Summary
- Benchmarking Analysis</t>
  </si>
  <si>
    <t>- How do you assess the impact of implemented actions on process performance, utilizing statistical and other quantitative techniques?
如何评估已实施行动对流程绩效的影响，利用统计和其他定量技术？</t>
  </si>
  <si>
    <t>- How do you employ statistical and other quantitative techniques to assess alternative solutions and processes, determining their potential to optimize performance across the organization?
如何运用统计和其他定量技术评估替代解决方案和流程，确定它们在整个组织中优化绩效的潜力？</t>
  </si>
  <si>
    <t>CONFIGURATION MANAGEMENT</t>
  </si>
  <si>
    <t>配置管理</t>
  </si>
  <si>
    <t>Manage the integrity of work products using configuration identification, version control, change control, and audits.</t>
    <phoneticPr fontId="3" type="noConversion"/>
  </si>
  <si>
    <t>使用配置识别、版本控制、变更控制和审计来管理工作产品的完整性。</t>
  </si>
  <si>
    <t xml:space="preserve">Reduces loss of work and increases the ability to deliver the correct version of the solution to the customer. </t>
    <phoneticPr fontId="3" type="noConversion"/>
  </si>
  <si>
    <t>减少工作损失，并增加向客户提供正确版本解决方案的能力</t>
  </si>
  <si>
    <t>- Implementing a version control system such as Git or SVN.
- Establishing branching and merging strategies.
- Conducting regular code reviews to ensure changes are properly versioned.</t>
  </si>
  <si>
    <t>- Can you describe the process your company follows to ensure version control?
- 你能描述一下你公司确保版本控制的过程吗？</t>
  </si>
  <si>
    <t>- Conducting a comprehensive inventory of project artifacts and deliverables.
- Assessing the criticality and interdependencies of each item.
- Establishing criteria for inclusion/exclusion in the configuration management system.</t>
  </si>
  <si>
    <t>- Inventory list of project artifacts and deliverables.
- Criticality assessment matrix for project items.
- Inclusion/exclusion criteria documentation for configuration management.</t>
  </si>
  <si>
    <t>- How does your company identify which project items should be placed under configuration management?
- Can you provide examples of the types of artifacts and deliverables that are typically included in your configuration management system?
- What criteria does your company use to determine the criticality of items for inclusion in the configuration management system?
- 你的公司如何确定应将哪些项目条目纳入配置管理？
- 你能提供一些通常包含在你的配置管理系统中的文档和交付成果的类型的示例吗？
- 你的公司使用什么标准来确定纳入配置管理系统的项目的关键性？</t>
  </si>
  <si>
    <t>- Selecting and implementing a suitable configuration management tool or system.
- Customizing the configuration management system to align with project requirements.
- Providing training to team members on how to use the configuration management system effectively.</t>
  </si>
  <si>
    <t>- Configured and deployed configuration management tool/system.
- System customization documentation.
- Training materials and sessions for team members on using the configuration management system.</t>
  </si>
  <si>
    <t>- Identify the components of a software release.
- Document the specific versions of each component.
- Package the components together as a baseline.</t>
  </si>
  <si>
    <t>- Release notes documenting changes and updates.
- Baseline configuration documentation.
- Packaged software deliverables ready for deployment.</t>
  </si>
  <si>
    <t>- What is your company's process for developing and establishing baselines for project artifacts?
- How do you ensure that baselines are accurately documented and communicated to relevant stakeholders?
- Can you describe how baselines are managed and updated throughout the project lifecycle?
- 你的公司开发和建立项目文档的基线的过程是什么？
- 你如何确保基线被准确地记录并传达给相关的利益相关者？
- 你能描述基线在项目生命周期中是如何被管理和更新的吗？</t>
  </si>
  <si>
    <t xml:space="preserve">
</t>
  </si>
  <si>
    <t>- Review change requests submitted by stakeholders.
- Evaluate the impact of proposed changes.
- Approve or reject change requests based on established criteria.</t>
  </si>
  <si>
    <t>- Change request forms detailing proposed modifications.
- Change impact analysis reports.
- Updated configuration management plan reflecting approved changes.</t>
  </si>
  <si>
    <t>- How does your company manage and track changes to items placed under configuration management?
- Can you describe the process for reviewing and approving changes to project artifacts?
- How do you ensure that changes are properly documented and communicated to relevant stakeholders?
- 你的公司如何管理和跟踪放置在配置管理下的项目的变更？
- 你能描述一下审查和批准项目文档变更的过程吗？
- 你如何确保变更被适当地记录并传达给相关的利益相关者？</t>
  </si>
  <si>
    <t>- Maintain a centralized repository for configuration item records.
- Regularly update records to reflect changes in item status.
- Ensure accessibility and usability of configuration records for relevant stakeholders.</t>
  </si>
  <si>
    <t>- Configuration item records including version history and metadata.
- Configuration management database (CMDB) or similar system.
- Documentation outlining record management procedures and guidelines.</t>
  </si>
  <si>
    <t>- What records does your company maintain to describe items under configuration management?
- How are these records updated and maintained throughout the project lifecycle?
- How do you ensure that all relevant stakeholders have access to the necessary records?
- 你的公司维护哪些记录来描述配置管理下的项目？
- 这些记录如何在项目生命周期中更新和维护？
- 你如何确保所有相关的利益相关者都能访问必要的记录？</t>
  </si>
  <si>
    <t>- Schedule and conduct regular audits of configuration items and baselines.
- Compare current configurations against established baselines.
- Identify and rectify inconsistencies or unauthorized changes.</t>
  </si>
  <si>
    <t>- Audit reports detailing findings and corrective actions.
- Baseline comparison documents highlighting deviations.
- Documentation of audit procedures and outcomes for compliance purposes.</t>
  </si>
  <si>
    <t>- How does your company conduct configuration audits to ensure the integrity of configuration baselines?
- Can you describe the frequency and scope of configuration audits performed?
- How are audit findings addressed and documented to maintain the integrity of the configuration management system?
- 你的公司如何进行配置审核以确保配置基线的完整性？
- 你能描述执行配置审核的频率和范围吗？
- 审核结果如何处理和记录以保持配置管理系统的完整性？</t>
  </si>
  <si>
    <t>DECISION ANALYSIS AND RESOLUTION</t>
  </si>
  <si>
    <t>决策分析和解决</t>
  </si>
  <si>
    <t xml:space="preserve">Make and record decisions using a recorded process that analyzes alternatives. </t>
    <phoneticPr fontId="3" type="noConversion"/>
  </si>
  <si>
    <t>使用分析备选方案的已记录过程做出并记录决策</t>
  </si>
  <si>
    <t xml:space="preserve">Increases the objectivity of decision making and the probability of selecting the optimal solution. </t>
    <phoneticPr fontId="3" type="noConversion"/>
  </si>
  <si>
    <t>增加决策的客观性和提高找到最佳解决方案的概率</t>
  </si>
  <si>
    <t>问题</t>
    <phoneticPr fontId="3" type="noConversion"/>
  </si>
  <si>
    <t>- Brainstorming sessions to generate alternative solutions.
- Researching existing options and alternatives in the market.
- Holding discussions with stakeholders to gather different perspectives.</t>
  </si>
  <si>
    <t>- List of potential alternatives.
- Summary report outlining the pros and cons of each alternative.
- Documentation of stakeholder input regarding alternative options.</t>
  </si>
  <si>
    <t>- How does your company define and document the various alternatives when making important decisions?
- Can you provide examples of recent decisions where alternative options were identified and documented?
- 你的公司如何定义并记录重要决策时的各种备选方案？
- 能否提供最近一次决策中识别和记录备选方案的实例？</t>
  </si>
  <si>
    <t>- What processes does your company have in place to ensure decisions are made and documented effectively?
- Could you share an instance where a decision was made, and the process and outcome were recorded?
- 贵公司有哪些流程来确保决策得到有效做出和记录？
- 能否分享一次决策的具体过程和结果被记录的情况？</t>
  </si>
  <si>
    <t/>
  </si>
  <si>
    <t>- Analyzing the requirements and objectives of the decision.
- Identifying key factors that need to be considered in evaluating alternatives.
- Consulting with subject matter experts to define relevant criteria.</t>
  </si>
  <si>
    <t>- Criteria matrix outlining the factors and their importance.
- Documentation of discussions with experts regarding criteria definition.
- Report summarizing the rationale behind selected criteria.</t>
  </si>
  <si>
    <t>- Conducting market research to identify potential solutions.
- Brainstorming sessions to generate alternative ideas.
- Analyzing past successful approaches or case studies for inspiration.</t>
  </si>
  <si>
    <t>- List of potential alternative solutions.
- Summary report comparing different options.
- Documentation of research findings and sources of alternative solutions.</t>
  </si>
  <si>
    <t>- What methods does your company employ to identify various alternative solutions when faced with a decision?
- Can you give examples of recent decisions where multiple alternative solutions were considered?
- 贵公司采用什么方法来识别在决策时的各种备选方案？
- 可以提供最近一次决策中考虑到多个备选方案的实例吗？</t>
  </si>
  <si>
    <t>- Consulting with subject matter experts to determine appropriate evaluation methods based on the nature of the decision.
- Conducting pilot tests or simulations to assess the effectiveness of different evaluation methods.
- Reviewing best practices and industry standards to select relevant evaluation frameworks.</t>
  </si>
  <si>
    <t>- Evaluation method selection report outlining the rationale for choosing specific evaluation methods.
- Evaluation criteria matrix specifying the criteria to be used.
- Documentation of pilot test results and feedback from stakeholders.</t>
  </si>
  <si>
    <t>- Solution evaluation report summarizing the results of the assessment process for each alternative solution.
- Decision matrix illustrating the comparative analysis of solutions based on evaluation criteria.
- Recommendation memo outlining the selected solution, rationale behind the decision, and proposed implementation plan.</t>
  </si>
  <si>
    <t>ESTIMATING</t>
  </si>
  <si>
    <t xml:space="preserve"> 估算</t>
  </si>
  <si>
    <t xml:space="preserve">Intent </t>
    <phoneticPr fontId="3" type="noConversion"/>
  </si>
  <si>
    <t xml:space="preserve">Estimate the size, effort, duration, and cost of the work and resources needed to develop, acquire, or deliver the solution. </t>
    <phoneticPr fontId="3" type="noConversion"/>
  </si>
  <si>
    <t>估算开发、采购或交付解决方案所需的工作和资源的规模、工作量、周期和成本。</t>
  </si>
  <si>
    <t xml:space="preserve">Value </t>
    <phoneticPr fontId="3" type="noConversion"/>
  </si>
  <si>
    <t xml:space="preserve">Estimation provides a basis for making commitments, planning, and reducing uncertainty, which allows for early corrective actions and increases the likelihood of meeting objectives. </t>
    <phoneticPr fontId="3" type="noConversion"/>
  </si>
  <si>
    <t>估算为做出承诺、策划和减少不确定性提供了依据，有助于尽早采取纠正措施并提高实现目标的可能性</t>
  </si>
  <si>
    <t>- Collaborating with project stakeholders to define and refine the project scope document.
- Conducting regular scope review meetings to ensure alignment with project objectives and identify any scope changes.
- Documenting scope changes and their impact on the estimation process.</t>
  </si>
  <si>
    <t>- Project scope document detailing project objectives, deliverables, and constraints.
- Scope change log recording any modifications to the project scope throughout the project lifecycle.
- Scope validation report confirming the accuracy and completeness of the project scope for estimation purposes.</t>
  </si>
  <si>
    <t>- How do you ensure that the scope of what is being estimated is kept updated throughout the estimation process?
- Can you describe a situation where changes in scope affected the estimation process, and how it was managed?
- 你如何确保在估算过程中所估算的范围始终保持更新？
- 你能描述一个范围变化影响了估算过程的情况，以及如何处理？</t>
  </si>
  <si>
    <t>- Analyzing project requirements to determine the size of the solution in terms of functional and technical components.
- Using software estimation techniques such as function point analysis or lines of code to quantify the size of the solution.
- Iteratively refining size estimates based on evolving project requirements and design decisions.</t>
  </si>
  <si>
    <t>- Solution size estimation document specifying the estimated size metrics used and their rationale.
- Size estimation model detailing the breakdown of the solution into measurable components.
- Size estimation log tracking changes to size estimates over time and reasons for adjustments.</t>
  </si>
  <si>
    <t>- What methods or tools do you use to develop and maintain estimates for the size of the solution?
- How do you ensure that size estimates are regularly updated as the project progresses or new information becomes available?
- 你使用什么方法或工具来开发和维护解决方案规模的估算？
- 你如何确保规模估算在项目进展或有新信息可用时定期更新？</t>
  </si>
  <si>
    <t>- Utilizing historical productivity data and industry benchmarks to translate size estimates into effort, duration, and cost estimates.
- Conducting sensitivity analysis to assess the impact of different variables on effort, duration, and cost estimates.
- Documenting the rationale behind effort, duration, and cost estimates, including any assumptions made and risks identified.</t>
  </si>
  <si>
    <t>- Effort, duration, and cost estimation report outlining the calculated estimates and the reasoning behind them.
- Sensitivity analysis spreadsheet showing the sensitivity of estimates to changes in key variables.
- Assumptions and risks register documenting the assumptions made and risks identified during the estimation process.</t>
  </si>
  <si>
    <t>- How do you determine effort, duration, and cost estimates based on size estimates, and what rationale do you use for the solution?
- 你如何根据规模估算确定工作量、持续时间和成本估算，并且你使用什么理由来解决方案？</t>
  </si>
  <si>
    <t>- Designing a standardized estimation process tailored to the organization's specific needs and project types.
- Documenting the estimation method in a comprehensive guide or manual for reference by project teams.
- Conducting regular reviews and updates to the estimation method based on lessons learned and industry best practices.</t>
  </si>
  <si>
    <t>- Could you walk me through the process of recording estimations and how this method is updated over time?
- How do you ensure that the recorded estimation method remains relevant and effective in different project scenarios?
- 你能为我详细介绍一下记录估算的过程以及如何随时间更新这种方法吗？
- 你如何确保记录的估算方法在不同的项目场景中保持相关性和有效性？</t>
  </si>
  <si>
    <t>- Accessing the organizational measurement repository to gather historical data on project performance metrics.
- Leveraging process assets such as templates, guidelines, and checklists to ensure consistency and quality in the estimation process.
- Collaborating with the organization's measurement team to identify and incorporate relevant data sources and tools for estimation.</t>
  </si>
  <si>
    <t>- Organizational measurement repository access log documenting who accessed which historical data and when.
- Process asset utilization report tracking the use of templates, guidelines, and other process assets during the estimation process.
- Collaboration record detailing discussions and agreements with the measurement team regarding data sources and tools for estimation.</t>
  </si>
  <si>
    <t>- How do you integrate the organizational measurement repository and process assets into the estimation process?
- Can you provide an example of how utilizing the organizational measurement repository improved the accuracy of an estimation?
- 你如何将组织的测量存储库和过程资产整合到估算过程中？
- 你能提供一个利用组织的测量存储库提高估算准确性的例子吗？</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</si>
  <si>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</si>
  <si>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</si>
  <si>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</si>
  <si>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</si>
  <si>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</si>
  <si>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</si>
  <si>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 Conducting strategic planning sessions.
- Analyzing market trends and competitive landscape.
- Holding brainstorming sessions with key stakeholders.</t>
  </si>
  <si>
    <t>- Strategic objectives document outlining key priorities.
- Strategic roadmap defining the approach for achieving objectives.
- Executive summary presenting the identified priorities and proposed approach.</t>
  </si>
  <si>
    <t>- How does senior management identify and prioritize what is crucial for accomplishing the organization's objectives?
- Can you describe the approach senior management takes to define and refine strategies for achieving organizational goals?
- 高级管理层如何确定和优先考虑完成组织目标所必须的关键事项？
- 能描述一下高级管理层制定和完善战略以实现组织目标的方法吗？</t>
  </si>
  <si>
    <t>高层如何识别工作重点？高层如何定义实现组织目标所需的方法？</t>
    <phoneticPr fontId="3" type="noConversion"/>
  </si>
  <si>
    <t>- Drafting organizational policies and procedures.
- Conducting regular meetings to communicate directives.
- Reviewing and updating directives based on organizational needs.</t>
  </si>
  <si>
    <t>- Organizational policy handbook outlining process implementation guidelines.
- Meeting minutes documenting communication of directives.
- Updated directives document reflecting changes and improvements.</t>
  </si>
  <si>
    <t>- How frequently are organizational directives for process implementation and performance improvement updated and communicated by senior management?
- Can you provide examples of how senior management tailors directives to meet the specific needs and objectives of the organization?
- 高级管理层以多频率更新和传达流程实施和绩效改进的组织指令？
- 能举例说明高级管理层如何调整指令以满足组织特定的需求和目标？</t>
  </si>
  <si>
    <t>高级管理层定义并传达了哪些组织目标？这些目标会通过过程改进实现嘛？</t>
    <phoneticPr fontId="3" type="noConversion"/>
  </si>
  <si>
    <t>- Allocating budget for process improvement initiatives.
- Organizing training workshops on new processes.
- Providing access to tools and technologies for process support.</t>
  </si>
  <si>
    <t>- Budget allocation spreadsheet detailing resource allocation.
- Training manuals and materials for workshops.
- Inventory list of tools and technologies available for process support.</t>
  </si>
  <si>
    <t>- How does senior management allocate resources, including funding and training, to support the adherence to processes within the organization?
- Could you elaborate on the types of training and development opportunities provided by senior management to enhance process adherence and performance improvement?
- 高级管理层如何分配资源，包括资金和培训，以支持组织内的流程遵守？
- 您能详细介绍一下高级管理层提供的培训和发展机会，以增强流程遵守和绩效改进？</t>
  </si>
  <si>
    <t>（高层）为开发、支持/执行过程/改进过程/评估对期望过程的遵循情况提供了哪些资源和培训？</t>
    <phoneticPr fontId="3" type="noConversion"/>
  </si>
  <si>
    <t>- Survey results summary report highlighting key findings.
- Performance dashboard tracking process implementation.
- Meeting minutes documenting information gathered for governance and oversight.</t>
  </si>
  <si>
    <t>- How does senior management determine their information needs regarding process implementation and performance improvement?
- Can you explain how senior management utilizes collected information to provide governance and oversight in ensuring effective process implementation and performance improvement?
- 高级管理层如何确定有关流程实施和绩效改进的信息需求？
- 能解释一下高级管理层如何利用收集到的信息提供监督和管理，以确保有效实施流程和绩效改进吗？</t>
  </si>
  <si>
    <t>（高层）如何对有效的过程实施和改进提供治理和监督？</t>
    <phoneticPr fontId="3" type="noConversion"/>
  </si>
  <si>
    <t>- How does senior management assign authority to individuals within the organization to ensure adherence to directives and achievement of objectives?
- What mechanisms does senior management have in place to hold individuals accountable for their role in process implementation and performance improvement?
- 高级管理层如何分配权力给组织内的个人，以确保遵守指令和实现目标？
- 高级管理层有哪些机制来追究个人在流程实施和绩效改进中的责任？</t>
  </si>
  <si>
    <t>- Implementing data collection mechanisms.
- Conducting regular data analysis sessions.
- Reviewing performance trends and making adjustments.</t>
  </si>
  <si>
    <t>- Data collection plan specifying metrics and data sources.
- Analysis reports highlighting performance trends.
- Action plan outlining adjustments based on analysis findings.</t>
  </si>
  <si>
    <t>您如何（高级管理层）确保收集，分析和使用支持目标的度量？</t>
    <phoneticPr fontId="3" type="noConversion"/>
  </si>
  <si>
    <t>- Conducting skills assessment of workforce.
- Mapping competencies to process requirements.
- Providing targeted training and development programs.</t>
  </si>
  <si>
    <t>- Competency matrix mapping skills to process needs.
- Training schedule outlining development programs.
- Individual development plans for employees aligning competencies with process objectives.</t>
  </si>
  <si>
    <t>- How does senior management ensure that competencies within the organization are aligned with its objectives?
- Could you describe the process by which senior management ensures that organizational processes remain aligned with the overall objectives?
- 高级管理层如何确保组织内的能力与其目标保持一致？
- 能描述一下高级管理层确保组织流程与整体目标保持一致的流程吗？</t>
  </si>
  <si>
    <t>（高层）您如何确保能力和过程与组织目标的一致性？</t>
    <phoneticPr fontId="3" type="noConversion"/>
  </si>
  <si>
    <t>（高层）如何确保所选的（关键或重要的）决策由统计和量化分析所驱动？</t>
    <phoneticPr fontId="3" type="noConversion"/>
  </si>
  <si>
    <t>IMPLEMENTATION INFRASTRUCTURE</t>
  </si>
  <si>
    <t>实施基础条件</t>
  </si>
  <si>
    <t>Ensures that the processes and assets important to an organization’s performance are habitually and persistently followed, used, and improved.</t>
  </si>
  <si>
    <t>确保针对组织重要的过程能够坚持从而形成习惯并加以应用和改进</t>
  </si>
  <si>
    <t>Sustains the ability to consistently achieve goals and objectives efficiently and effectively.</t>
  </si>
  <si>
    <t>维持有效和高效的实现目标的能力</t>
  </si>
  <si>
    <t>- Conduct basic task management meetings.
- Follow simple project management guidelines.
- Implement basic quality control checks.</t>
  </si>
  <si>
    <t>- Meeting minutes documenting task discussions.
- Project plan outlining basic milestones and deliverables.
- Quality assurance checklist for simple tasks.</t>
  </si>
  <si>
    <t>- How do you ensure that your processes align with the intended practices at Level 1, and what measures are in place to verify this alignment?
- Can you provide examples of how your company ensures that the processes implemented effectively address the intent of the Level 1 practices?
- 您是如何确保您的流程与一级实践的意图保持一致，并且有哪些措施可以验证这种一致性？
- 能否举例说明您的公司如何确保所实施的流程有效地满足一级实践的意图？</t>
  </si>
  <si>
    <t>- Allocate budget for process improvement initiatives.
- Provide training sessions on new processes.
- Assign dedicated personnel to oversee process development.</t>
  </si>
  <si>
    <t>- Budget allocation report for process improvement.
- Training materials for newly introduced processes.
- Process development team charter outlining roles and responsibilities.</t>
  </si>
  <si>
    <t>- How does your company ensure that adequate resources, funding, and training are allocated for the development and execution of processes?
- Can you elaborate on the methods used to assess whether the resources, funding, and training provided are sufficient to support the development and implementation of processes?
- 您的公司是如何确保为流程的开发和执行分配充足的资源、资金和培训的？
- 能详细描述一下用于评估所提供的资源、资金和培训是否足以支持流程开发和实施的方法吗？</t>
  </si>
  <si>
    <t>EPG</t>
  </si>
  <si>
    <t>- Regularly review and update existing processes.
- Conduct process audits to ensure compliance.
- Provide guidance and support to teams on process adherence.</t>
  </si>
  <si>
    <t>- Updated process documentation with revision history.
- Audit reports highlighting compliance findings.
- Training materials addressing common process adherence issues.</t>
  </si>
  <si>
    <t>- How does your company ensure that processes are regularly updated to reflect changes in requirements or best practices, and what mechanisms are in place to verify their adherence?
- Could you describe the process your company follows to verify that updated processes are effectively followed by relevant personnel?
- 您的公司是如何确保流程定期更新以反映需求或最佳实践变化的，以及验证其是否被遵循的？
- 您能描述一下您的公司是如何验证相关人员是否有效遵循更新后的流程的过程吗？</t>
  </si>
  <si>
    <t>- Utilize standardized templates for project planning.
- Incorporate lessons learned from past projects into current planning.
- Leverage organizational knowledge repositories for process guidance.</t>
  </si>
  <si>
    <t>- Project plans developed using standardized templates.
- Lessons learned documentation integrated into project plans.
- Process repository containing relevant guidelines and best practices.</t>
  </si>
  <si>
    <t>- How does your company utilize organizational processes and assets to plan, manage, and execute work tasks effectively?
- Can you provide examples of how your organization integrates organizational processes and assets into daily work activities to enhance planning, management, and performance?
- 您的公司是如何利用组织流程和资产来有效地规划、管理和执行工作任务的？
- 能否举例说明您的组织如何将组织流程和资产整合到日常工作活动中，以增强规划、管理和执行的效果？</t>
  </si>
  <si>
    <t xml:space="preserve">
-</t>
  </si>
  <si>
    <t>- Yes/No
- By tailoring it</t>
  </si>
  <si>
    <t>- Conduct periodic process evaluations and assessments.
- Gather feedback from team members regarding process effectiveness.
- Analyze metrics to measure process adherence and performance.</t>
  </si>
  <si>
    <t>- Evaluation reports detailing findings and recommendations.
- Survey results highlighting team feedback on process effectiveness.
- Metrics dashboard illustrating process adherence and performance trends.</t>
  </si>
  <si>
    <t>- How does your company assess the adherence of personnel to organizational processes, and what measures are in place to evaluate their effectiveness?
- What strategies does your company employ to identify areas where organizational processes may need improvement, and how are these improvements implemented?
- 您的公司是如何评估人员对组织流程的遵循程度的，以及有哪些措施用于评估其有效性？
- 您的公司采取什么策略来识别组织流程可能需要改进的领域，并如何实施这些改进？</t>
  </si>
  <si>
    <t>- PQA audits</t>
  </si>
  <si>
    <t>- Document and share successful process improvement initiatives.
- Collaborate with other teams to refine and enhance existing processes.
- Participate in knowledge sharing sessions to disseminate process expertise.</t>
  </si>
  <si>
    <t>- Case studies showcasing successful process implementations.
- Updated process documentation based on collaborative refinements.
- Presentation materials for knowledge sharing sessions.</t>
  </si>
  <si>
    <t>II 4.1</t>
  </si>
  <si>
    <t>- How does your company cultivate the capability among its workforce to understand and apply statistical and quantitative techniques to tasks and projects?
- Could you provide examples of how the application of statistical and quantitative techniques has contributed to the success of recent projects or initiatives within your organization?
- 您的公司是如何培养员工理解和应用统计和定量技术来完成任务和项目的能力？
- 您能提供一些例子，说明统计和定量技术的应用如何为您组织内最近的项目或倡议的成功做出贡献吗？</t>
  </si>
  <si>
    <t>管理性能与度量</t>
    <phoneticPr fontId="3" type="noConversion"/>
  </si>
  <si>
    <t>Manages performance using measurement and analysis to achieve business objectives.</t>
  </si>
  <si>
    <t>目的</t>
    <phoneticPr fontId="3" type="noConversion"/>
  </si>
  <si>
    <t>使用度量和分析来管理性能，以实现业务目标</t>
    <phoneticPr fontId="3" type="noConversion"/>
  </si>
  <si>
    <t>价值</t>
    <phoneticPr fontId="3" type="noConversion"/>
  </si>
  <si>
    <t>将管理和改进工作集中在成本、进度表和质量性能上，最大限度地提高业务投资回报</t>
    <phoneticPr fontId="3" type="noConversion"/>
  </si>
  <si>
    <t>- Setting up data collection systems.
- Gathering performance metrics.
- Recording data in spreadsheets or databases.</t>
  </si>
  <si>
    <t>- Performance reports.
- Data logs.
- Measurement charts.</t>
  </si>
  <si>
    <t xml:space="preserve">- How do you currently collect performance measures, and how frequently are they recorded?
- Can you provide examples of the measures you collect and how they contribute to understanding performance?
- 您目前是如何收集绩效数据的？记录频率如何？
- 能否举例说明您收集的数据以及它们对了解绩效的贡献？
</t>
  </si>
  <si>
    <t>- Analyzing performance data.
- Identifying deviations from desired standards.
- Investigating the root causes of performance issues.</t>
  </si>
  <si>
    <t>- Issue identification reports.
- Root cause analysis documents.
- Corrective action plans.</t>
  </si>
  <si>
    <t>- How do you identify performance issues within your organization?
- What processes do you have in place for addressing and resolving performance issues once they are identified?
- 您是如何在组织内部辨识绩效问题的？
- 一旦辨识出绩效问题，您采取怎样的流程来解决和解决它们？</t>
  </si>
  <si>
    <t>- Reviewing business objectives.
- Defining measurable goals.
- Documenting performance objectives.</t>
  </si>
  <si>
    <t>- Objective documentation.
- Performance goal tracking sheets.
- Objective alignment reports.</t>
  </si>
  <si>
    <t>- How do you ensure that your measurement and performance objectives are aligned with your business needs and objectives?
- Can you describe the process you follow to update and revise these objectives over time?
- 您如何确保您的测量和绩效目标与业务需求和目标保持一致？
- 您能描述一下您如何按照流程更新和修订这些目标吗？</t>
  </si>
  <si>
    <t>- Defining measurement terms.
- Documenting measurement processes.
- Updating definitions based on feedback.</t>
  </si>
  <si>
    <t>- Operational definition documents.
- Measurement procedure manuals.
- Glossaries of measurement terms.</t>
  </si>
  <si>
    <t>- How do you define and maintain operational definitions for the measures you use?
- In what ways do you ensure that these definitions remain relevant and accurate as your business evolves?
- 您是如何定义和维护您使用的测量的操作定义的？
- 您如何确保随着业务的发展，这些定义保持相关和准确？</t>
  </si>
  <si>
    <t>- Implementing data collection procedures.
- Ensuring data integrity.
- Verifying compliance with operational definitions.</t>
  </si>
  <si>
    <t>- Data collection protocols.
- Quality assurance reports.
- Data validation summaries.</t>
  </si>
  <si>
    <t>- What methods do you employ to ensure the accuracy and reliability of the measurement data you collect?
- Can you describe any challenges you face in obtaining specified measurement data, and how you address them?
- 您采取哪些方法来确保您收集的测量数据的准确性和可靠性？
- 能描述一下您在获取指定的测量数据方面面临的任何挑战，以及您是如何解决它们的吗？</t>
  </si>
  <si>
    <t>- Conduct statistical analysis on collected data.
- Compare current performance metrics with predefined benchmarks.
- Identify trends and patterns in measurement data.</t>
  </si>
  <si>
    <t>- Statistical analysis reports highlighting key performance indicators (KPIs).
- Graphical representations illustrating performance trends over time.
- Summary of findings detailing deviations from expected performance.</t>
  </si>
  <si>
    <t>- How do you analyze performance and measurement data to derive meaningful insights?
- What tools or methodologies do you use to ensure that your analysis aligns with the operational definitions of your measures?
- 您如何分析绩效和测量数据以得出有意义的见解？
- 您使用哪些工具或方法来确保您的分析与您的测量的操作定义保持一致？</t>
  </si>
  <si>
    <t>- Establish a secure data storage system.
- Regularly update measurement specifications and analysis results.
- Ensure compliance with data management policies and procedures.</t>
  </si>
  <si>
    <t>- Centralized measurement repository containing organized data sets.
- Documented measurement specifications detailing data collection methods.
- Audit reports demonstrating adherence to data storage protocols.</t>
  </si>
  <si>
    <t>- How do you organize and store measurement data, specifications, and analysis results to ensure accessibility and reliability?
- Can you discuss any protocols or systems you have in place to maintain the integrity and security of this data?
- 您如何组织和存储测量数据、规格和分析结果，以确保可访问性和可靠性？
- 您有哪些协议或系统来维护这些数据的完整性和安全性？</t>
  </si>
  <si>
    <t>- Collaborate with relevant stakeholders to identify root causes of performance issues.
- Develop action plans to address identified deficiencies.
- Implement corrective measures to improve performance outcomes.</t>
  </si>
  <si>
    <t>- Action plans outlining steps to rectify performance issues.
- Progress reports tracking the implementation of corrective actions.
- Evaluation reports assessing the effectiveness of implemented measures.</t>
  </si>
  <si>
    <t>- Once performance issues are identified, how do you prioritize and decide on appropriate actions to address them?
- Can you provide examples of actions taken in response to specific performance issues, and their outcomes?
- 一旦辨识出绩效问题，您如何优先考虑并决定采取合适的行动来解决它们？
- 能否举例说明针对特定绩效问题采取的行动及其结果？</t>
  </si>
  <si>
    <t>- Aligning performance objectives with strategic goals.
- Updating objectives based on changing business priorities.
- Ensuring consistency across departments.</t>
  </si>
  <si>
    <t>- Objective alignment matrices.
- Performance objective revision logs.
- Strategic alignment assessments.</t>
  </si>
  <si>
    <t>- How are your measurement and performance objectives directly linked to your overarching business objectives?
- Can you demonstrate how changes in business objectives are reflected in updates to measurement and performance objectives?
- 您的测量和绩效目标如何直接与您的总体业务目标相关？
- 您能否演示业务目标变化如何反映在测量和绩效目标的更新中？</t>
  </si>
  <si>
    <t>- Adhering to standardized measurement procedures.
- Reviewing and updating measurement protocols.
- Training staff on measurement standards.</t>
  </si>
  <si>
    <t>- Standard operating procedures (SOPs).
- Measurement protocol manuals.
- Training materials.</t>
  </si>
  <si>
    <t>- What specific processes and standards do you adhere to when developing and updating operational definitions?
- How do you ensure consistency and alignment across different teams or departments in defining and using these measures?
- 在制定和更新操作定义时，您遵循哪些具体的流程和标准？
- 您如何确保在不同团队或部门之间定义和使用这些测量时保持一致性和对齐性？</t>
  </si>
  <si>
    <t>- Establishing data quality standards.
- Implementing data validation procedures.
- Continuously monitoring data quality.</t>
  </si>
  <si>
    <t>- Data quality assurance guidelines.
- Data validation checklists.
- Quality control reports.</t>
  </si>
  <si>
    <t>- What measures do you have in place to maintain the quality and integrity of your data throughout its lifecycle?
- How do you ensure compliance with data quality processes across different aspects of your organization's operations?
- 您采取哪些措施来在整个数据生命周期中保持数据的质量和完整性？
- 您如何确保在组织的运作的不同方面遵循数据质量流程的合规性？</t>
  </si>
  <si>
    <t>- Design and develop a structured measurement repository.
- Regularly update the repository with new measurement data and specifications.
- Train staff on how to effectively utilize the measurement repository.</t>
  </si>
  <si>
    <t>- Comprehensive documentation outlining the structure and functionality of the measurement repository.
- Updated measurement repository containing the latest performance data.
- Training materials and manuals for staff on accessing and using the measurement repository.</t>
  </si>
  <si>
    <t>- Performance analysis reports highlighting areas of strength and weakness.
- Recommendations for performance improvement initiatives.
- Implementation plans outlining steps to address identified improvement areas.</t>
  </si>
  <si>
    <t>- How do you use measurement and performance data to identify areas for performance improvement within your organization?
- Can you provide examples of initiatives or strategies implemented based on the analysis of organizational performance data?
- 您如何利用测量和绩效数据识别组织内绩效改进的领域？
- 能否提供基于组织绩效数据分析实施的倡议或策略的例子？</t>
  </si>
  <si>
    <t>- Prepare presentations or reports summarizing performance results.
- Schedule regular meetings or briefings to communicate performance updates.
- Solicit feedback and suggestions from stakeholders regarding performance outcomes.</t>
  </si>
  <si>
    <t>- Performance communication materials such as presentations or reports.
- Meeting agendas and minutes documenting performance discussions.
- Feedback reports summarizing stakeholder input on performance communication.</t>
  </si>
  <si>
    <t>- What methods or channels do you use to communicate performance results to different levels of the organization?
- How do you ensure that performance results are effectively understood and utilized by relevant stakeholders?
- 您使用哪些方法或渠道向组织的不同层次通报绩效结果？
- 您如何确保绩效结果能被相关利益相关者有效理解和利用？</t>
  </si>
  <si>
    <t>- Conducting statistical analyses.
- Developing performance models.
- Communicating findings to stakeholders.</t>
  </si>
  <si>
    <t>- Statistical analysis reports.
- Performance modeling documents.
- Stakeholder presentations.</t>
  </si>
  <si>
    <t>- How do you utilize statistical and quantitative techniques to establish quality and process performance objectives tied to business objectives?
- Can you provide examples of how these techniques have informed the setting or adjustment of performance objectives?
- 您如何利用统计和定量技术制定与业务目标相关的质量和流程绩效目标？
- 能否提供这些技术如何影响绩效目标设定或调整的例子？</t>
  </si>
  <si>
    <t>- Evaluating performance metrics.
- Identifying relevant analytics tools.
- Implementing performance management strategies.</t>
  </si>
  <si>
    <t>- Performance metric selection criteria.
- Analytic tool assessments.
- Performance management plans.</t>
  </si>
  <si>
    <t>- How do you determine which measures and analytic techniques are most effective for managing performance towards your quality and process objectives?
- Can you discuss any challenges you face in selecting appropriate measures and techniques, and how you overcome them?
- 您如何确定对管理绩效朝向质量和流程目标最有效的测量和分析技术？
- 您能否讨论在选择适当的测量和技术时面临的挑战，以及您是如何克服它们的？</t>
  </si>
  <si>
    <t>- Establishing baseline performance metrics.
- Monitoring changes over time.
- Updating baselines as processes evolve.</t>
  </si>
  <si>
    <t>- Baseline performance reports.
- Performance trend analyses.
- Baseline adjustment logs.</t>
  </si>
  <si>
    <t>- How do you establish and maintain process performance baselines using statistical and quantitative techniques?
- What factors do you consider when updating these baselines over time?
- 您如何利用统计和定量技术建立和维护流程绩效基线？
- 您在随时间更新这些基线时考虑了哪些因素？</t>
  </si>
  <si>
    <t>- Utilize statistical software to develop process performance models.
- Analyze model outputs to assess process efficiency and effectiveness.
- Update models regularly based on new data and evolving business needs.</t>
  </si>
  <si>
    <t>- Process performance models depicting key process variables and relationships.
- Analysis reports highlighting insights gained from model outputs.
- Documentation outlining the methodology used to develop and update process performance models.</t>
  </si>
  <si>
    <t>- Can you describe the process of developing and updating process performance models within your organization?
- How do these models contribute to understanding and optimizing process performance?
- 能描述一下在您的组织内开发和更新流程绩效模型的过程吗？
- 这些模型如何有助于理解和优化流程绩效？</t>
  </si>
  <si>
    <t>- Apply statistical methods to predict future performance based on historical data.
- Conduct regression analysis to identify factors influencing quality and process performance.
- Utilize predictive modeling techniques to forecast achievement of performance objectives.</t>
  </si>
  <si>
    <t>- Predictive models estimating future quality and process performance levels.
- Regression analysis reports identifying significant predictors of performance outcomes.
- Forecasting reports projecting the likelihood of achieving performance objectives based on current trends and data.</t>
  </si>
  <si>
    <t>- How do you leverage statistical and quantitative techniques to forecast the achievement of quality and process performance objectives?
- Can you discuss any challenges or uncertainties involved in these predictions, and how you mitigate them?
- 您如何利用统计和定量技术预测质量和流程绩效目标的实现？
- 您能讨论一下这些预测中涉及的挑战或不确定性，并如何应对它们吗？</t>
  </si>
  <si>
    <t>- Strategic alignment assessments.
- Resource optimization plans.
- Business strategy impact analyses.</t>
  </si>
  <si>
    <t>- How do you ensure that your business objectives are continuously aligned with your overall business strategy using statistical and quantitative techniques?
- Can you provide examples of how this alignment has led to optimized performance within your organization?
- 您如何利用统计和定量技术确保您的业务目标不断与您的整体业务战略保持一致？
- 能否提供这种对齐如何促进组织绩效优化的例子？</t>
  </si>
  <si>
    <t>- Conducting comprehensive performance analyses.
- Identifying performance gaps.
- Recommending optimization strategies.</t>
  </si>
  <si>
    <t>- Performance gap analyses.
- Optimization opportunity assessments.
- Performance improvement proposals.</t>
  </si>
  <si>
    <t>- How do you leverage statistical and quantitative analysis to assess your organization's capability in meeting specific business objectives?
- What steps do you take to identify and prioritize areas for performance optimization based on this analysis?
- 您如何利用统计和定量分析评估组织满足特定业务目标的能力？
- 您如何确定和优先考虑基于这种分析的绩效优化领域？</t>
  </si>
  <si>
    <t>- Evaluating improvement proposals.
- Prioritizing implementation efforts.
- Tracking the impact of implemented changes.</t>
  </si>
  <si>
    <t>- Improvement proposal evaluations.
- Implementation prioritization plans.
- Impact assessment reports.</t>
  </si>
  <si>
    <t>MONITOR AND CONTROL</t>
  </si>
  <si>
    <t>监视与控制</t>
    <phoneticPr fontId="3" type="noConversion"/>
  </si>
  <si>
    <t>Provides an understanding of the project progress so appropriate corrective actions can be taken when performance deviates significantly from plans.</t>
  </si>
  <si>
    <t>提供对项目进度的掌握，以便在绩效显著偏离计划时采取适当的纠正措施</t>
    <phoneticPr fontId="3" type="noConversion"/>
  </si>
  <si>
    <t>通过及早采取行动调整显著绩效偏差，提高达成目标的可能性</t>
    <phoneticPr fontId="3" type="noConversion"/>
  </si>
  <si>
    <t>-Updating a task management system with completion status.
-Conducting regular team meetings to review completed tasks.
-Generating progress reports documenting task completions.</t>
  </si>
  <si>
    <t>-Completed task status reports.
-Task completion logs or databases.
-Visual representations such as Gantt charts showing task progress.</t>
  </si>
  <si>
    <t>- How do you record completed tasks?
如何记录任务完成情况</t>
  </si>
  <si>
    <t>- Issue log or register documenting identified problems.
-Root cause analysis reports outlining the reasons behind issues.
-Action item tracker detailing the steps taken to resolve problems.</t>
  </si>
  <si>
    <t>- How do you identify and resolve issues?
如何识别并解决问题</t>
  </si>
  <si>
    <t>-Regularly comparing actual time spent on tasks with estimated effort.
-Analyzing budget expenditures against projected costs.
-Assessing resource allocation against initial estimates.</t>
  </si>
  <si>
    <t>-Variance analysis reports highlighting discrepancies between estimated and actual results.
-Budget variance reports showing differences between planned and actual expenditures.
-Resource utilization reports comparing estimated and actual resource usage.</t>
  </si>
  <si>
    <t>- How do you track actual results achieved (size, effort, duration, or cost) against planned values?
如何从规模、工作量、进度、资源、知识和技能以及预算等方面，对比估算跟踪实际结果？</t>
  </si>
  <si>
    <t>-Holding regular meetings with stakeholders to review their level of engagement and commitments.
-Maintaining a stakeholder communication plan to track interactions and obligations.
-Conducting stakeholder surveys or interviews to assess satisfaction and commitment levels.</t>
  </si>
  <si>
    <t>- Stakeholder engagement matrix detailing the level of involvement and commitments of each stakeholder.
-Meeting minutes documenting stakeholder discussions and agreements.
-Stakeholder satisfaction reports summarizing feedback and perceptions of involvement.</t>
  </si>
  <si>
    <t>- How do you manage stakeholder invovlment to ensure successful work completion?
- How do you check that stakeholders are involve as per the plan?
如何跟踪利益相关方的参与情况</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</si>
  <si>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</si>
  <si>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</si>
  <si>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How do you monitor transitioning of solutions to operations and support?
如何监控向运营和支持的迁移</t>
  </si>
  <si>
    <t>- Conducting root cause analysis to determine reasons for deviations from planned results.
-Implementing corrective action plans to address identified issues and discrepancies.
-Monitoring the progress of corrective actions and adjusting strategies as needed.</t>
  </si>
  <si>
    <t>- Corrective action plans outlining steps to address deviations from planned results.
-Issue resolution reports documenting the outcomes of corrective actions taken.
-Performance improvement metrics tracking the effectiveness of implemented corrective measures.</t>
  </si>
  <si>
    <t>- When and how do you take corrective actions when actual results differ significantly from planned result?
当实际结果相较于计划结果存在显著差异时，如何采取纠正措施并管理直至关闭</t>
  </si>
  <si>
    <t>- Regularly reviewing and updating the project plan based on project progress and changes.
-Adhering to established project processes and workflows to ensure consistency and efficiency.
-Conducting project performance assessments to evaluate adherence to the project plan and processes.</t>
  </si>
  <si>
    <t>-How does the management of the project using the project plan and project processes ensure necessary activities are performed, thereby reducing rework and improving the likelihood of achieving objectives?
如何通过使用项目计划和项目流程来管理项目，确保执行必要的活动，从而减少返工并提高实现目标的可能性？</t>
  </si>
  <si>
    <t>-Identifying and documenting critical dependencies between project tasks or activities.
-Developing contingency plans to address potential disruptions to critical dependencies.
-Monitoring critical activities closely to ensure they are completed on time and within scope.</t>
  </si>
  <si>
    <t>- Dependency matrix highlighting critical interdependencies and their impact on project success.
-Contingency plans outlining strategies for mitigating risks associated with critical dependencies.
-Progress tracking reports focusing on critical activities and their status updates.</t>
  </si>
  <si>
    <t>- How do you manage critical dependencies?
如何管理关键依赖关系？</t>
  </si>
  <si>
    <t>-Conducting regular inspections of the work environment to identify safety hazards or inefficiencies.
-Soliciting feedback from team members regarding their experiences and any challenges they encounter in the work environment.
-Implementing measures to address identified issues and improve the overall work environment.</t>
  </si>
  <si>
    <t>- Safety inspection reports documenting findings and recommendations for improvement.
-Employee feedback surveys assessing satisfaction with the work environment and highlighting areas for enhancement.
-Action plans outlining steps to address identified issues and promote a healthier and safer work environment.</t>
  </si>
  <si>
    <t>- How do you identify work environment issues?
如何识别工作环境问题</t>
  </si>
  <si>
    <t>-Holding regular meetings with stakeholders to discuss and address any issues or concerns.
-Facilitating open communication channels for stakeholders to report issues and collaborate on solutions.
-Implementing conflict resolution strategies to resolve disputes and maintain stakeholder satisfaction.</t>
  </si>
  <si>
    <t>- Stakeholder issue log documenting reported issues and resolutions.
-Meeting minutes detailing discussions and agreements reached with stakeholders regarding issue resolution.
-Stakeholder satisfaction surveys assessing the effectiveness of issue management and resolution efforts.</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</si>
  <si>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</si>
  <si>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ORGANIZATIONAL TRAINING</t>
  </si>
  <si>
    <t>组织级培训</t>
    <phoneticPr fontId="3" type="noConversion"/>
  </si>
  <si>
    <t>Develops the skills and knowledge of personnel so they perform their roles efficiently and effectively.</t>
  </si>
  <si>
    <t>培养人员的技能和知识，以便他们高效且有效地执行他们的角色</t>
    <phoneticPr fontId="3" type="noConversion"/>
  </si>
  <si>
    <t>增强个人的技能和知识，提高组织工作性能</t>
    <phoneticPr fontId="3" type="noConversion"/>
  </si>
  <si>
    <t>-Conducting training sessions to impart new skills and knowledge relevant to project objectives.
-Providing access to online learning resources or courses tailored to specific skill development needs.
-Offering mentorship programs or coaching sessions to support individual growth and development.</t>
  </si>
  <si>
    <t>-Training schedules outlining the timing and content of planned training sessions.
-Training evaluation forms for participants to provide feedback on the effectiveness of training programs.
-Skill assessment reports documenting the proficiency levels of individuals before and after training interventions.</t>
  </si>
  <si>
    <t>- Do you provide training to staff?
是否向员工提供培训</t>
  </si>
  <si>
    <t>-Conducting skills gap analyses to identify areas where training is needed.
-Surveying employees to gather feedback on their training preferences and areas for improvement.
-Reviewing performance evaluations to pinpoint areas where additional training could enhance competency.</t>
  </si>
  <si>
    <t>-Training needs assessment reports summarizing the findings of skills gap analyses.
-Employee training request forms indicating specific training needs identified by individuals or teams.
-Training plan outlines detailing the proposed training programs and schedules to address identified needs.</t>
  </si>
  <si>
    <t>- How do you identify training needs?
如何确定培训需求？</t>
  </si>
  <si>
    <t>-Conducting skills assessments to identify gaps and determine training needs.
-Delivering training sessions tailored to address identified knowledge and skill gaps.
-Maintaining comprehensive training records to track individuals' training history and certifications.</t>
  </si>
  <si>
    <t>-Individual training plans outlining specific training requirements for each employee.
-Training attendance sheets documenting participation in training sessions.
-Training completion certificates or transcripts verifying completion of required training courses.</t>
  </si>
  <si>
    <t>- What training records do you maintain?
有哪些培训记录？</t>
  </si>
  <si>
    <t xml:space="preserve">-Conducting regular assessments of the organization's skill gaps and training requirements.
-Collaborating with department heads and team leaders to identify emerging skill needs.
-Reviewing industry trends and advancements to anticipate future training needs.
</t>
  </si>
  <si>
    <t>-  How do you identify strategic and short term training needs?
如何确定战略和短期培训需求？</t>
  </si>
  <si>
    <t>- How is training needs between projects (and support functions) coordinated with organizational training needs?
项目（和支持职能）之间的培训需求如何与组织培训需求相协调一致？</t>
  </si>
  <si>
    <t>- How do you execute the strategic and short term training plans?
如何执行战略和短期培训计划？</t>
  </si>
  <si>
    <t>-Assessing the organization's current training capabilities and identifying areas for improvement.
-Developing training programs tailored to address specific skill gaps and organizational objectives.
-Implementing a learning management system (LMS) to streamline training delivery and tracking.</t>
  </si>
  <si>
    <t>- Class rooms
- Training facilities
- Instructors
- Outsourced courses</t>
  </si>
  <si>
    <t>- How do you establish and maintain a training capability for the organization?
如何建立和维护组织的培训能力？</t>
  </si>
  <si>
    <t>-Conducting surveys or interviews to gather feedback from participants on the training program.
-Analyzing performance metrics to assess the impact of training on employee productivity.
-Reviewing training evaluation forms and reports to identify areas for improvement.</t>
  </si>
  <si>
    <t>-Training effectiveness report summarizing feedback from participants and stakeholders.
-Performance improvement metrics demonstrating the outcomes of the training program.
-Recommendations for enhancements to the training program based on assessment findings.</t>
  </si>
  <si>
    <t>- How do you assess the effectiveness of the organization training program?
如何评估组织培训计划的有效性？</t>
  </si>
  <si>
    <t>-Maintaining a centralized database or system to store training records.
-Regularly updating training records with information on completed training sessions and certifications.
-Analyzing training records to assess the effectiveness of the training program in meeting business and performance goals.</t>
  </si>
  <si>
    <t>-Organizational training record database containing information on employee training history.
-Training record update reports documenting recent additions or changes to training records.
-Training impact analysis reports evaluating the correlation between training outcomes and business/performance goals.</t>
  </si>
  <si>
    <t>- How do recording, keeping updated, and using the set of organizational training records contribute to determining how well the training program supports the achievement of business and performance goals?
记录、保持更新并使用组织培训记录集如何有助于确定培训计划对实现业务和绩效目标的支持程度？</t>
  </si>
  <si>
    <t>PEER REVIEWS</t>
  </si>
  <si>
    <t>同行评审</t>
    <phoneticPr fontId="3" type="noConversion"/>
  </si>
  <si>
    <t>Identifies and addresses process performance and work product issues through reviews by the producer's peers or Subject Matter Experts (SMEs).</t>
  </si>
  <si>
    <t>通过生产者同行或主体专家（SME）的评审来识别并解决工作产品的问题</t>
    <phoneticPr fontId="3" type="noConversion"/>
  </si>
  <si>
    <t>Reduces cost and rework by uncovering issues or defects early.</t>
  </si>
  <si>
    <t>及早发现问题或缺陷，降低成本和返工</t>
    <phoneticPr fontId="3" type="noConversion"/>
  </si>
  <si>
    <t>-Conducting regular peer reviews or quality assessments of work products.
-Documenting identified issues or discrepancies during the review process.
-Implementing corrective actions to address issues and improve work product quality.</t>
  </si>
  <si>
    <t>-Review reports detailing findings and recommendations from work product reviews.
-Issue logs documenting identified issues, their severity, and proposed solutions.
-Corrective action plans outlining steps to resolve issues and prevent recurrence.</t>
  </si>
  <si>
    <t>- What peer reviews do you (process actor) perform or are performed on your work products?
对哪些工作产品进行同行评审</t>
  </si>
  <si>
    <t>-Establishing standardized procedures for conducting peer reviews.
-Updating review guidelines and checklists to reflect best practices and lessons learned.
-Providing training sessions to familiarize team members with review processes and tools.</t>
  </si>
  <si>
    <t>- What procedures do you use to prepare and perform peer reviews?
准备和执行同行评审的步骤有哪些</t>
  </si>
  <si>
    <t>-Identifying key criteria for selecting work products eligible for peer review.
-Collaborating with project stakeholders to prioritize critical work products for review.
-Establishing a peer review schedule to ensure timely assessment of selected work products.</t>
  </si>
  <si>
    <t>-Criteria matrix outlining factors used to determine which work products should undergo peer review.
-Peer review selection criteria document detailing the rationale for choosing specific work products.
-Peer review schedule indicating the timeline for reviewing selected work products.</t>
  </si>
  <si>
    <t>- How does choosing critical work products for peer review help manage costs effectively?
选择关键工作产品进行同行评审如何有效地管理成本？</t>
  </si>
  <si>
    <t>-Training team members on the established peer review procedures.
-Assigning reviewers to selected work products based on expertise and availability.
-Conducting thorough and consistent reviews according to the established guidelines.</t>
  </si>
  <si>
    <t>-Peer review preparation checklist outlining steps to follow before initiating the review process.
-Peer review performance log documenting the execution of peer reviews, including dates, reviewers, and findings.
-Peer review feedback report summarizing the identified issues and recommendations for improvement.</t>
  </si>
  <si>
    <t>- Can you describe the peer review process, how is it performed from preparation to end?
同行评审的既定程序有哪些？请描述
-
How does using established procedures for peer reviews on selected work products help reduce costs by ensuring thorough and consistent review to detect issues?
使用既定程序对选定的工作产品进行同行评审如何通过确保彻底、一致的审查来检测问题，从而降低成本？</t>
  </si>
  <si>
    <t>-Holding discussions with relevant stakeholders to address identified issues.
-Implementing corrective actions to rectify the root causes of identified problems.
-Tracking the progress of issue resolution and ensuring timely closure.</t>
  </si>
  <si>
    <t>-Issue resolution action plans outlining steps to address each identified issue.
-Meeting minutes documenting discussions and decisions regarding issue resolution.
-Issue closure reports summarizing the outcomes of resolved issues and lessons learned.</t>
  </si>
  <si>
    <t>- What do you do with issues identified during peer reviews?
如何解决同行评审中发现的问题</t>
  </si>
  <si>
    <t>- Analyse the results of peer reviews
'- Register improvements based on results
'- Take corrective action on the project based on the results of the peer reviews
'- Monitor the performance of processes for possible signals from peer review data</t>
  </si>
  <si>
    <t>-Peer review analysis report summarizing key findings and recommendations for improvement.
-Data visualization tools presenting peer review results in a clear and accessible format.
-Action plans outlining steps to implement changes based on the analysis of peer review data.</t>
  </si>
  <si>
    <t>- What do you do with the results of peer reviews?
如何分析从同行评审得到的结果和数据
-How does analyzing results and data from peer reviews contribute to increasing the efficiency and effectiveness of the peer review process?
分析同行评审的结果和数据如何提高同行评审流程的效率和有效性？</t>
  </si>
  <si>
    <t>PLANNING</t>
  </si>
  <si>
    <t>策划</t>
    <phoneticPr fontId="3"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</si>
  <si>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</si>
  <si>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3" type="noConversion"/>
  </si>
  <si>
    <t>优化成本、功能和质量以增加实现目标的可能性</t>
    <phoneticPr fontId="3" type="noConversion"/>
  </si>
  <si>
    <t>-Collaborating with stakeholders to identify all necessary tasks.
-Prioritizing tasks based on customer requirements and project goals.
-Reviewing and refining the task list to ensure completeness and accuracy.</t>
  </si>
  <si>
    <t>-Task list document outlining all identified tasks and their descriptions.
-Task prioritization matrix highlighting the importance of each task.
-Task assignment schedule allocating responsibilities and deadlines for each task.</t>
  </si>
  <si>
    <t>- Do you have a list of tasks that needs to be performed?
有制定需要执行的任务列表嘛？</t>
  </si>
  <si>
    <t>-Reviewing skills and expertise of team members to match with task requirements.
-Communicating task assignments clearly to team members.
-Monitoring progress and providing support as needed to ensure task completion.</t>
  </si>
  <si>
    <t>-Task assignment matrix detailing which team members are assigned to each task.
-Assignment confirmation emails or documents sent to team members.
-Progress tracking reports documenting task completion status and any issues encountered.</t>
  </si>
  <si>
    <t>- Do you assign people to the tasks?
如何将人员分配到任务</t>
  </si>
  <si>
    <t>-Conducting regular reviews of project objectives and stakeholder requirements.
-Collaborating with stakeholders to refine the approach based on feedback and changing circumstances.
-Updating documentation to reflect any changes or improvements to the approach.</t>
  </si>
  <si>
    <t>-Project approach document outlining the strategy and methodology for accomplishing the work.
-Meeting minutes documenting discussions and decisions regarding the approach.
-Revised project plans reflecting updates to the approach and associated timelines.</t>
  </si>
  <si>
    <t>- What's your approach for the work (e.g., Scrum, Waterfall)? How does updating it contribute to keeping stakeholders focused on specific objectives and maximizing project success?
您的工作方法是什么（例如，Scrum、瀑布）？更新它如何有助于让利益相关者专注于特定目标，并最大化项目成功？</t>
  </si>
  <si>
    <t>-Conducting a skills assessment to identify required competencies.
-Developing a training plan based on identified skill gaps.
-Establishing mentorship programs to transfer knowledge within the team.</t>
  </si>
  <si>
    <t>-Skills matrix outlining required competencies for the project.
-Training schedule detailing sessions for skill development.
-Mentorship program guidelines outlining roles and responsibilities.</t>
  </si>
  <si>
    <t>- How do you make sure you have the right knowledge and skills for the task to be performed?
如何确保具备执行工作所需的知识和技能？</t>
  </si>
  <si>
    <t>-Analyzing recorded estimates to develop initial budgets and schedules.
-Regularly updating the budget and schedule based on project progress.
-Conducting variance analysis to identify significant deviations from the budget and schedule.</t>
  </si>
  <si>
    <t>-Initial budget and schedule documents based on recorded estimates.
-Updated budget and schedule reports reflecting current project status.
-Variance analysis reports highlighting deviations and proposed corrective actions.</t>
  </si>
  <si>
    <t>- How do you develop the budget and schedule?
如何制定预算和进度表</t>
  </si>
  <si>
    <t>-Identifying key stakeholders and their specific needs and expectations.
-Developing a stakeholder engagement plan outlining how and when stakeholders will be involved.
-Communicating with stakeholders regularly to keep them informed and address their concerns.</t>
  </si>
  <si>
    <t>-Stakeholder register documenting key stakeholders and their requirements.
-Stakeholder engagement plan detailing the strategy for involving stakeholders.
-Meeting minutes or communication logs showing interactions with stakeholders.</t>
  </si>
  <si>
    <t>- How do you plan for stakeholder involvement?
如何对干系人的参与做相应的计划</t>
  </si>
  <si>
    <t>-Identifying key activities and milestones for transitioning to operations and support.
-Collaborating with operations and support teams to develop transition plans.
-Conducting readiness assessments to ensure all necessary preparations are completed.</t>
  </si>
  <si>
    <t>-Transition plan outlining steps and responsibilities for the transition process.
-Operational and support documentation prepared for the transition.
-Readiness assessment reports highlighting areas of readiness and any outstanding tasks.</t>
  </si>
  <si>
    <t>- How does planning the transition to operations and support contribute to minimizing surprises and rework during adoption and deployment?
计划向运营和支持的过渡如何有助于最大限度地减少采用和部署过程中的意外和返工？</t>
  </si>
  <si>
    <t>-Reviewing resource capacity and availability against project requirements.
-Adjusting plans and timelines based on resource constraints and availability.
-Communicating with stakeholders to ensure commitment to resource allocation.</t>
  </si>
  <si>
    <t>-Resource capacity assessment report detailing available resources and their capacities.
-Revised project plans reflecting adjustments made to accommodate resource constraints.
-Stakeholder commitment documentation confirming resource allocation for the project.</t>
  </si>
  <si>
    <t>- How do you ensure your plans are feasible in terms of resource availability and work that needs to be performed?
在资源可用性和需要执行的工作方面，如何确保计划可行？</t>
  </si>
  <si>
    <t>-Creating a comprehensive project plan outlining tasks, timelines, and responsibilities.
-Reviewing and aligning various elements of the project plan to ensure consistency.
-Regularly updating the project plan to reflect changes in scope, resources, or timelines.</t>
  </si>
  <si>
    <t>-Project plan document detailing tasks, milestones, and deliverables.
-Consistency checklist ensuring alignment among different sections of the project plan.
-Updated project plan reflecting any modifications or adjustments made over time.</t>
  </si>
  <si>
    <t>- How do you ensure the plan and its deliverables are consistent and aligned?
在项目计划中会记录哪些信息？</t>
  </si>
  <si>
    <t>-Stakeholder commitment log documenting agreements and commitments obtained.
-Meeting minutes summarizing discussions and decisions made during plan reviews.
-Revised project plans reflecting any adjustments or changes based on stakeholder feedback.</t>
  </si>
  <si>
    <t>- How do you review the plans with stakeholders, and how do you get commitment to the plans?
如何制定评审计划？如何获得受影响的干系人的承诺？</t>
  </si>
  <si>
    <t>-Reviewing the organization's standard processes and tailoring guidelines.
-Developing a project process based on the organization's standards and project requirements.
-Regularly updating the project process to reflect changes in standards or project needs.</t>
  </si>
  <si>
    <t>-Project process documentation outlining steps and procedures tailored to project requirements.
-Tailoring guidelines document detailing how standard processes are adapted for specific projects.
-Updated project process documentation reflecting any modifications made over time.</t>
  </si>
  <si>
    <t>- Explain how you derive your plan form your organizational set of standard process?
说明如何根据组织标准过程集制定出计划？ 
- How do you make use of tailoring guidelines to plan?
如何利用裁剪指南做计划？</t>
  </si>
  <si>
    <t>-Utilizing the project process to develop a comprehensive project plan.
-Leveraging organization's process assets such as templates and best practices.
-Regularly updating the plan based on data from the measurement repository.</t>
  </si>
  <si>
    <t>-Project plan incorporating elements from the project process and organization's process assets.
-Documentation of utilized process assets and their applicability to the project.
-Updated project plan reflecting changes made using data from the measurement repository.</t>
  </si>
  <si>
    <t>- How do you keep your plan updated with the project process, the process assets and the measurement repository?
如何使用项目过程、组织的过程资产和度量库制定计划并保持更新？</t>
  </si>
  <si>
    <t>-Conducting a thorough analysis to identify critical dependencies.
-Negotiating with stakeholders to address and mitigate critical dependencies.
-Monitoring critical dependencies throughout the project lifecycle.</t>
  </si>
  <si>
    <t>-Critical dependency matrix documenting identified dependencies and their impact.
-Negotiation agreements or contracts addressing critical dependencies.
-Dependency tracking log recording updates and resolutions related to critical dependencies.</t>
  </si>
  <si>
    <t>- Explain how you identify and negotiate critical dependencies?
如何识别和协商关键依赖关系？</t>
  </si>
  <si>
    <t>-Assessing the project environment requirements based on organizational standards.
-Developing a plan to ensure necessary resources are available and accessible.
-Regularly updating the project environment plan to reflect changes in standards or project needs.</t>
  </si>
  <si>
    <t>-Project environment assessment report outlining requirements and standards.
-Project environment plan detailing resource allocation and accessibility measures.
-Updated project environment plan reflecting adjustments made over time.</t>
  </si>
  <si>
    <t>- Explain how you use organizational standards to plan for your project environment?
如何使用组织标准计划项目环境并保持更新？</t>
  </si>
  <si>
    <t>-Statistical analysis reports highlighting areas for process enhancement.
-Process performance metrics dashboard displaying quantitative data.
-Updated project process documentation reflecting changes made for improvement.</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</si>
  <si>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</si>
  <si>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</si>
  <si>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过程质量保证</t>
    <phoneticPr fontId="3" type="noConversion"/>
  </si>
  <si>
    <t>Verifies and enables improvement of the quality of the processes performed and resulting work products.</t>
  </si>
  <si>
    <t>验证并改进已执行的过程和所产生的工作产品的质量</t>
    <phoneticPr fontId="3" type="noConversion"/>
  </si>
  <si>
    <t>增强过程使用和改进的一致性，以最大限度地提高业务效益和客户满意度</t>
    <phoneticPr fontId="3" type="noConversion"/>
  </si>
  <si>
    <t>- Setup PQA checklists
- Perform process or product quality assurance</t>
  </si>
  <si>
    <t>- PQA checklists
- PQA results</t>
  </si>
  <si>
    <t>- How do you identify work products and processes for process quality assurance?
'如何识别工作产品和过程以保证过程质量？</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</si>
  <si>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</si>
  <si>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</si>
  <si>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</si>
  <si>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</si>
  <si>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</si>
  <si>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</si>
  <si>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 Identify noncompliance issues and trends
- Communicate and resolve noncompliance issues
- Escale noncompliance issues that cannot be resolved</t>
  </si>
  <si>
    <t>- Quality issue log documenting identified issues and their impact.
-Communication plan outlining channels and frequency for issue reporting.
-Resolution status report tracking the status of issue resolution efforts.</t>
  </si>
  <si>
    <t>- Explain how quality and noncompliance issues that cannot be resolve, are handled?
- How to you communicate and address noncompliance issues?
'您如何沟通和解决不符合项问题？</t>
  </si>
  <si>
    <t>- Documenting the findings and outcomes of quality assurance activities.
-Analyzing the recorded results to identify trends and areas for improvement.
-Incorporating lessons learned into future quality assurance plans and processes.</t>
  </si>
  <si>
    <t>- Quality assurance report summarizing findings and outcomes.
-Trend analysis document highlighting patterns observed in quality assurance results.
-Updated quality assurance plan integrating insights from past activities.</t>
  </si>
  <si>
    <t>- Where do you record the results of quality assurance activities?
'将记录质量保证活动的结果记录在哪里</t>
  </si>
  <si>
    <t>- Actively seeking out areas for improvement during quality assurance inspections.
-Documenting identified improvement opportunities along with potential solutions.
-Sharing improvement suggestions with relevant stakeholders for consideration.</t>
  </si>
  <si>
    <t>-Improvement opportunity log detailing identified areas for enhancement.
-Improvement proposal documents outlining suggested changes and their potential benefits.
-Stakeholder feedback records capturing responses and decisions regarding improvement opportunities.</t>
  </si>
  <si>
    <t>- How do you record and use the results of quality assurance activities?
'如何记录和使用质量保证活动的结果？
How does identifying and recording opportunities for improvement during quality assurance activities contribute to improving the organization's capability to meet its goals and objectives?
在质量保证活动期间识别并记录改进机会如何有助于提高组织实现其目标的能力？</t>
  </si>
  <si>
    <t>PROCESS ASSET DEVELOPMENT</t>
  </si>
  <si>
    <t>过程资产开发</t>
    <phoneticPr fontId="3" type="noConversion"/>
  </si>
  <si>
    <t>Develops the process assets necessary to perform the work and keeps them updated.</t>
  </si>
  <si>
    <t>开发并保持更新执行工作所需的过程资产</t>
    <phoneticPr fontId="3" type="noConversion"/>
  </si>
  <si>
    <t>提供了解和重复成功性能的能力</t>
    <phoneticPr fontId="3" type="noConversion"/>
  </si>
  <si>
    <t>- Creating standardized templates and guidelines for project execution.
-Developing procedures and workflows tailored to specific project needs.
-Establishing a repository of best practices and lessons learned for future reference.</t>
  </si>
  <si>
    <t>- What processes assets is defined for your organization?
组织定义的过程资产有哪些？</t>
  </si>
  <si>
    <t>-Assessing project requirements and objectives to identify necessary process assets.
-Consulting with stakeholders to understand their preferences and requirements.
-Prioritizing process assets based on their relevance and potential impact on project success.</t>
  </si>
  <si>
    <t>- Process asset requirement analysis report detailing identified needs.
-Stakeholder feedback documentation outlining preferences and priorities.
-Process asset prioritization matrix highlighting key assets and their importance.</t>
  </si>
  <si>
    <t>- What processes assets has been identified as needed?
多需要识别的过程资产有哪些？
How does determining what process assets will be needed to perform the work contribute to avoiding waste by focusing resources only on the process assets needed to perform the work?
确定执行工作需要哪些流程资产如何有助于通过将资源仅集中在执行工作所需的流程资产上来避免浪费？</t>
  </si>
  <si>
    <t>-Developing new process assets tailored to project requirements.
-Researching and purchasing existing process assets from external sources.
-Identifying and adapting previously developed process assets for current project needs.</t>
  </si>
  <si>
    <t>- What processes assets has been developed (reused) or purchased?
已开发（复用）或购买了哪些流程资产？</t>
  </si>
  <si>
    <t>-Creating a centralized repository for storing and accessing process assets.
-Implementing tools and systems for sharing and distributing process assets.
-Conducting training sessions to educate team members on available process assets and how to access them.</t>
  </si>
  <si>
    <t>- Centralized process asset repository accessible to project team members.
-User manuals or guides for utilizing the repository and accessing process assets.
-Training materials and documentation outlining the availability and usage of process assets.</t>
  </si>
  <si>
    <t>- How is process assets made available to the organization?
过程资产如何提供给组织？
How does making processes and assets available contribute to reducing cost and time needed for performing the work by using existing process assets?
使流程和资产可用如何通过使用现有流程资产减少执行工作所需的成本和时间？</t>
  </si>
  <si>
    <t>-Establishing a framework for developing and updating process assets.
-Conducting regular reviews to assess the effectiveness of the asset building strategy.
-Iteratively improving the strategy based on feedback and lessons learned.</t>
  </si>
  <si>
    <t>- Strategy document outlining the approach for building and updating process assets.
-Review reports evaluating the performance and efficiency of the strategy.
-Revised strategy documents reflecting enhancements and adjustments over time.</t>
  </si>
  <si>
    <t>- What process is defined for developing process assets?
为开发过程资产定义了什么流程？</t>
  </si>
  <si>
    <t>-Collaborating with stakeholders to understand process needs and requirements.
-Designing a detailed framework outlining the organization's processes and assets.
-Regularly reviewing and updating the process architecture based on feedback and changes in business needs.</t>
  </si>
  <si>
    <t>- Process architecture document detailing the hierarchy and relationships of organizational processes.
-Process maps illustrating the flow of activities within different processes.
-Updated process architecture repository containing the latest version of the architecture.</t>
  </si>
  <si>
    <t>- What process architecture is in place describing the structure of the organization's processes?
哪种过体系结构描述了组织过程结构？</t>
  </si>
  <si>
    <t>- Creating a centralized repository for storing organization's processes and assets.
-Implementing processes for regular updates and maintenance of the asset library.
-Providing training to team members on how to access and utilize the asset library effectively.</t>
  </si>
  <si>
    <t>Process asset library containing documented processes, templates, and guidelines.
-Schedule for routine updates and reviews of the asset library.
-Training materials and guides for navigating and utilizing the asset library.</t>
  </si>
  <si>
    <t>- How are process assets made available for use in the organization?
如何在组织中使用过程资产？</t>
  </si>
  <si>
    <t>-Defining criteria for tailoring standard processes and assets based on project requirements.
-Updating tailoring guidelines regularly to reflect lessons learned and best practices.
-Applying tailored processes and assets to specific projects while ensuring alignment with organizational standards.</t>
  </si>
  <si>
    <t>- What tailoring guidelines do you have for your standard process assets?
对标准过程资产的裁剪准则有哪些？</t>
  </si>
  <si>
    <t>-Establishing and documenting standards for the work environment.
-Regularly reviewing and updating work environment standards to reflect changes and improvements.
-Distributing and making work environment standards easily accessible to all team members.</t>
  </si>
  <si>
    <t>-Work environment standards document detailing guidelines and expectations.
-Revision history log tracking updates and modifications to the standards.
-Training materials and communication channels for disseminating work environment standards.</t>
  </si>
  <si>
    <t>-Defining measurement and analysis standards aligned with organizational objectives.
-Regularly reviewing and updating measurement and analysis standards to reflect industry best practices.
-Providing training and resources to ensure team members understand and can apply the standards effectively.</t>
  </si>
  <si>
    <t>-Documented organizational measurement and analysis standards.
-Revision history log tracking updates and revisions to the standards.
-Training materials and guidelines for using measurement and analysis standards.</t>
  </si>
  <si>
    <t>- What work environment standards have been established and maintained?
建立并维护了哪些工作环境标准？</t>
  </si>
  <si>
    <t>PROCESS MANAGEMENT</t>
  </si>
  <si>
    <t>过程管理</t>
    <phoneticPr fontId="3" type="noConversion"/>
  </si>
  <si>
    <t>Manages and implements the continuous performance improvement of processes and infrastructure to meet business objectives by identifying and implementing the most beneficial process improvements and making performance results visible, accessible, and sustainable.</t>
  </si>
  <si>
    <t>管理和实施过程和基础条件的持续改进来：支持业务目标的实现；确定和实施能够带来最大效益的过程改进；使过程改进结果可见、可使用和可持续</t>
    <phoneticPr fontId="3" type="noConversion"/>
  </si>
  <si>
    <t>确保过程、基础条件及其环境有助于成功实现业务目标</t>
    <phoneticPr fontId="3" type="noConversion"/>
  </si>
  <si>
    <t>- Establishing a process guidance team responsible for providing support and answering questions related to processes.
-Implementing regular process review meetings to identify and address process problems.
-Conducting periodic evaluations and assessments to identify areas for process improvement.</t>
  </si>
  <si>
    <t>- Support structure documentation outlining roles and responsibilities of process guidance team members.
-Meeting agendas and minutes documenting discussions and resolutions of process problems.
-Improvement plan detailing actions to enhance processes based on evaluation findings.</t>
  </si>
  <si>
    <t>- What process support structure (for example an EPG) do you have in place?
您拥有什么过程支持结构（例如EPG）？</t>
  </si>
  <si>
    <t>-Conducting interviews and surveys with stakeholders to gather feedback on the current process implementation.
-Analyzing process performance data to identify areas of strength and weakness.
-Facilitating workshops or meetings to discuss findings and prioritize improvement opportunities.</t>
  </si>
  <si>
    <t>- Assessment report summarizing strengths and weaknesses of the current process implementation.
-Data analysis findings highlighting performance metrics and trends.
-Prioritized list of improvement opportunities based on assessment results.</t>
  </si>
  <si>
    <t>- What appraisals (CMMI, COBIT, ISO) have you done on your current processes?
对当前过程进行了哪些评估？(update)</t>
  </si>
  <si>
    <t>-Implementing process changes based on identified improvement opportunities.
-Conducting training sessions to address skill gaps or knowledge deficiencies.
-Establishing corrective actions plans to resolve process issues and prevent recurrence.</t>
  </si>
  <si>
    <t>- Updated process documentation reflecting implemented improvements.
-Training materials and resources used to address skill or knowledge gaps.
-Corrective action reports detailing resolutions for process issues and preventive measures.</t>
  </si>
  <si>
    <t xml:space="preserve">- How do you address process improvements identified via appraisals?
- How do you collect improvements submitted internally within the organization?
记录了哪些过程改进？ </t>
  </si>
  <si>
    <t>- Evaluate improvements to select most promising improvements</t>
  </si>
  <si>
    <t>- Subset of proposed improvements from the full list of suggested (identified) improvements.</t>
  </si>
  <si>
    <t>- How do you identify and select the proposed improvements? 
确定了针对过程和过程资产的改进有哪些？</t>
  </si>
  <si>
    <t>- Plan process updates to incorporate improvement
- Plan deployment of newly released processes
- Improvement pilots</t>
  </si>
  <si>
    <t>- Process improvement action plan (implementation plan)</t>
  </si>
  <si>
    <t>- What process improvement actions are followed to implement identified improvements?
采取了哪些过程改进措施以实现识别的改进？</t>
  </si>
  <si>
    <t>- Develop process improvement objectives
- Link process improvement objectives to business objectives</t>
  </si>
  <si>
    <t>- Business objective traced to process improvement objectives</t>
  </si>
  <si>
    <t>- How do you link your process improvement objectives to your business objectives?
如何将过程改进与业务目标联系起来？</t>
  </si>
  <si>
    <t>- Identify major process improvements and their potential contribution to business objectives</t>
  </si>
  <si>
    <t>- Process improvement value assessment</t>
  </si>
  <si>
    <t>- How do you prioritise your process improvements?
如何确定过程改进的优先级？</t>
  </si>
  <si>
    <t>-Researching industry best practices and emerging trends in processes, techniques, and tools.
-Conducting pilot projects or experiments to evaluate the effectiveness of potential new processes or methods.
-Collaborating with stakeholders to gather feedback and insights on potential improvement opportunities.</t>
  </si>
  <si>
    <t>- Research reports summarizing findings on potential new processes, techniques, and tools.
-Pilot project documentation detailing results and lessons learned from experimental implementations.
-Stakeholder feedback summaries highlighting areas of interest and potential improvement opportunities.</t>
  </si>
  <si>
    <t>- How do you evaluate potential new improvements opportunities. Improvements include against processes, techniques, methods and tools?
您如何评估潜在的新的改进机会。改进包括针对过程，技术，方法和工具使用的改进嘛？</t>
  </si>
  <si>
    <t>- Training on new processes releases
- Coaching on new process releases</t>
  </si>
  <si>
    <t>- Process deployment support training
- Process deployment coaching and mentoring- Process deployment PQA</t>
  </si>
  <si>
    <t>- What support is provided for implementing and deploying new process improvements?
为实施和部署新过程改进提供了哪些支持？</t>
  </si>
  <si>
    <t>- Documenting and disseminating organizational standard processes and process assets.
-Providing training and support to stakeholders on the implementation of standard processes.
-Monitoring the deployment of standard processes to ensure consistency and effectiveness.</t>
  </si>
  <si>
    <t>- How are organizational standard processes and process assets deployed?
组织标准过程和过程资产如何部署？</t>
  </si>
  <si>
    <t>-Collecting performance data before and after implementing process improvements.
-Analyzing metrics to assess the impact of deployed improvements on process improvement objectives.
-Generating reports summarizing the effectiveness of deployed improvements and identifying areas for further enhancement.</t>
  </si>
  <si>
    <t>- How do you evaluate the effectiveness of improvements towards achieving business objectives?
如何评估对实现业务目标的改进效果？</t>
  </si>
  <si>
    <t>- Perform statistical or quantitative analysis that demonstrate improved performance form implementing the improvements
- Link statistical and quantitively analysis of improvements to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</si>
  <si>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</si>
  <si>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</si>
  <si>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</si>
  <si>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风险与机会管理</t>
    <phoneticPr fontId="3" type="noConversion"/>
  </si>
  <si>
    <t>Identifies, records, analyzes, and manages potential risks or opportunities.</t>
  </si>
  <si>
    <t>识别、记录、分析和管理潜在地风险或机会</t>
    <phoneticPr fontId="3" type="noConversion"/>
  </si>
  <si>
    <t>Mitigates adverse impacts or capitalizes on positive impacts to increase the likelihood of meeting objectives.</t>
  </si>
  <si>
    <t>缓解不利影响或充分利用积极影响来提高实现目标地可能性</t>
    <phoneticPr fontId="3" type="noConversion"/>
  </si>
  <si>
    <t>- Risk Identification Workshops
- Opportunity Scanning Sessions
- Regular Review and Update Meetings</t>
  </si>
  <si>
    <t>- Risk Register
- Risk Management Plan
- SWOT Analysis</t>
  </si>
  <si>
    <t>- How does our organization assess the impact and likelihood of identified risks and opportunities?
我们的组织是如何评估已识别风险和机会的影响和可能性的？这些评估又是如何用于在我们的战略规划中优先排序和分配资源的？</t>
  </si>
  <si>
    <t>- Risk Assessment Workshops
- Opportunity Scouting Sessions</t>
  </si>
  <si>
    <t>- Risk register
- Opportunity Analysis Report</t>
  </si>
  <si>
    <t>- How do you analyse identified risks or opportunities?
如何分析已识别地风险或机会</t>
  </si>
  <si>
    <t>-Regularly reviewing and updating the risk register to track identified risks and opportunities.
-Analyzing the impact and likelihood of each identified risk or opportunity.
-Communicating risk status and mitigation strategies to relevant stakeholders through meetings or reports.</t>
  </si>
  <si>
    <t>-Risk register documenting identified risks, their potential impact, and mitigation plans.
-Risk assessment reports outlining the likelihood and severity of each identified risk.
-Stakeholder communication logs detailing status updates and actions taken to address risks or leverage opportunities.</t>
  </si>
  <si>
    <t>- How do you monitor identified risks or opportunities and comminate this tatus to affected stakeholders?
如何监控已识别地风险或机会并与受影响地干系人沟通风险或机会地状态？</t>
  </si>
  <si>
    <t>-Conducting brainstorming sessions to identify various categories of risks and opportunities.
-Assigning identified risks and opportunities to specific categories based on their nature and impact.
-Developing templates or frameworks for consistently categorizing and managing risks and opportunities.</t>
  </si>
  <si>
    <t>-Risk and opportunity category matrix outlining different types of risks and opportunities.
-Categorized risk and opportunity registers detailing identified items within each category.
-Guidelines or procedures for stakeholders on how to categorize and manage risks and opportunities effectively.</t>
  </si>
  <si>
    <t>- Explain how you make use of risk or opportunity categories?
如何使用风险或机会类别？</t>
  </si>
  <si>
    <t>-Establishing criteria for assessing the severity and likelihood of risks or opportunities.
-Developing procedures for handling different types of risks or opportunities based on predefined parameters.
-Training team members on how to apply risk or opportunity analysis parameters effectively.</t>
  </si>
  <si>
    <t>-Risk and opportunity analysis templates with predefined parameters for assessment.
-Standard operating procedures (SOPs) outlining the handling process for identified risks or opportunities.
-Training materials and guides on the application of risk or opportunity analysis parameters.</t>
  </si>
  <si>
    <t>- What parameters for risk or opportunity analysis is defined and what is it used for?
定义用于风险或机会分析的参数用那些，如何使用？</t>
  </si>
  <si>
    <t>-Conducting regular reviews of the current risk or opportunity management strategy.
-Updating the strategy based on lessons learned from previous projects or new insights.
-Communicating the updated strategy to relevant stakeholders and obtaining their feedback.</t>
  </si>
  <si>
    <t>-Risk or opportunity management strategy document outlining the approach, methodologies, and responsibilities.
-Risk or opportunity management plan detailing specific actions and timelines for implementation.
-Presentation or training materials explaining the updated strategy to project teams and stakeholders.</t>
  </si>
  <si>
    <t>- Explain any risk or opportunity management strategies that you may develop and maintain?
制定和持续更新风险或机会管理策略有哪些？</t>
  </si>
  <si>
    <t>-Identifying and assessing specific risks or opportunities relevant to the project.
-Developing mitigation or enhancement strategies for each identified risk or opportunity.
-Regularly reviewing and updating the risk or opportunity management plans as the project progresses.</t>
  </si>
  <si>
    <t>-Risk or opportunity register documenting identified risks or opportunities.
-Risk mitigation or opportunity enhancement plans outlining actions to address each item.
-Updated risk or opportunity management reports reflecting changes and progress.</t>
  </si>
  <si>
    <t>- Explain any risk or opportunity management plans that you may develop and maintain?
制定和持续更新风险或机会管理计划有哪些？</t>
  </si>
  <si>
    <t>-Executing risk response strategies as outlined in the risk management plan.
-Monitoring and controlling identified risks or opportunities throughout the project lifecycle.
-Communicating updates and changes in risk or opportunity status to stakeholders in a timely manner.</t>
  </si>
  <si>
    <t>-Risk or opportunity response logs detailing actions taken to address specific risks or opportunities.
-Risk or opportunity tracking reports showing the status of identified items and any changes over time.
-Stakeholder communication materials summarizing key risk or opportunity management updates.</t>
  </si>
  <si>
    <t>- Explain how you manage (mitigate) risk or opportunity items?
如何管理风险或机会？</t>
  </si>
  <si>
    <t>REQUIREMENTS DEVELOPMENT AND MANAGEMENT</t>
  </si>
  <si>
    <t>需求开发和管理</t>
    <phoneticPr fontId="3" type="noConversion"/>
  </si>
  <si>
    <t>Elicits requirements, confirms common understanding by stakeholders, and aligns requirements, plans, and work products.</t>
  </si>
  <si>
    <t>抽取需求，确保利益相关方取得一致理解，并调整需求、计划和工作产品</t>
    <phoneticPr fontId="3" type="noConversion"/>
  </si>
  <si>
    <t>Increases likelihood that the solution meets or exceeds customer expectations and needs.</t>
  </si>
  <si>
    <t>确保客户地需求和期望得到满足</t>
    <phoneticPr fontId="3" type="noConversion"/>
  </si>
  <si>
    <t>- Conduct meetings with stakeholders to gather initial requirements.
- Create a requirements document template outlining the necessary sections.
- Document requirements using a standardized format.</t>
  </si>
  <si>
    <t>- Requirements Document Template
- Initial Requirements List
- Meeting Minutes Document</t>
  </si>
  <si>
    <t>- How do you record all necessary requirements?
- 你是否记录了所有必要的需求？</t>
  </si>
  <si>
    <t>- Conduct interviews with stakeholders to understand their needs and expectations.
- Organize focus groups to discuss constraints and interfaces.
- Utilize surveys to gather additional input from stakeholders.</t>
  </si>
  <si>
    <t>- Stakeholder Interview Notes
- Focus Group Summary Report
- Survey Results Analysis</t>
  </si>
  <si>
    <t>- Can you describe how you elicited stakeholder needs, expectations, constraints, and interfaces or connections, and how you confirmed understanding of the requirements?
- 你能描述一下你是如何引出利益相关者的需求、期望、约束以及接口或连接的，以及你如何确认对需求的理解？</t>
  </si>
  <si>
    <t>- Analyze stakeholder inputs and prioritize requirements based on business value.
- Create a requirements prioritization matrix.
- Present prioritized requirements to stakeholders for validation.</t>
  </si>
  <si>
    <t>- Prioritized Requirements List
- Requirements Prioritization Matrix
- Stakeholder Validation Report</t>
  </si>
  <si>
    <t>- How did you transform stakeholder needs, expectations, constraints, and interfaces or connections into prioritized customer requirements?
- 你是如何将利益相关者的需求、期望、约束以及接口或连接转化为优先级排列的客户需求的？</t>
  </si>
  <si>
    <t>- Meeting Minutes Document
- Requirement Clarification Log
- Signed Commitment Forms</t>
  </si>
  <si>
    <t>- Did you obtain commitment from project participants that they can implement the requirements? If so, how?
- 你是否从项目参与者那里获得了能够实施需求的承诺？如果是的话，是如何做到的？</t>
  </si>
  <si>
    <t>- Establish a traceability matrix linking requirements to design and testing activities.
- Regularly update the traceability matrix as requirements evolve.
- Conduct reviews to ensure consistency between requirements and related work products.</t>
  </si>
  <si>
    <t>- Traceability Matrix
- Requirement Change Log
- Review Meeting Minutes</t>
  </si>
  <si>
    <t>- Can you explain how you developed, recorded, and kept updated bidirectional traceability among requirements and activities or work products?
- 你能解释一下你是如何开发、记录并保持需求与活动或工作产品之间的双向可追溯性的吗？</t>
  </si>
  <si>
    <t>- Review project plans to ensure alignment with requirements.
- Conduct regular audits of work products to verify consistency.
- Address any discrepancies between plans and requirements through change management processes.</t>
  </si>
  <si>
    <t>- How did you ensure that plans and activities or work products remained consistent with requirements?
- 你是如何确保计划和活动或工作产品与需求保持一致的？</t>
  </si>
  <si>
    <t>- Conduct regular reviews of evolving project scope and objectives.
- Collaborate with stakeholders to identify emerging needs and refine existing requirements.
- Document changes and updates to requirements using version control mechanisms.</t>
  </si>
  <si>
    <t>- Requirement Change Log
- Updated Requirements Documentation
- Stakeholder Communication Plan</t>
  </si>
  <si>
    <t>- How do you develop and keep requirements updated for the solution and its components?
- 你是如何为解决方案及其组件开发并保持更新的需求的？</t>
  </si>
  <si>
    <t>- Gather input from subject matter experts to understand operational contexts.
- Develop scenarios illustrating how the solution will be used in various contexts.
- Review and refine operational concepts and scenarios with stakeholders.</t>
  </si>
  <si>
    <t>- Operational Concept Document
- Scenario Descriptions
- Stakeholder Feedback Report</t>
  </si>
  <si>
    <t>- Can you provide examples of operational concepts and scenarios you have developed?
- 你能提供你开发的操作概念和场景的示例吗？</t>
  </si>
  <si>
    <t>- Prioritize requirements based on project constraints and objectives.
- Assign requirements to specific development teams or individuals.
- Establish a requirements allocation matrix to track assignment and implementation progress.</t>
  </si>
  <si>
    <t>- Requirement Prioritization Matrix
- Requirements Allocation Matrix
- Assignment Tracking Dashboard</t>
  </si>
  <si>
    <t>- How do you allocate the requirements to be implemented?
- 你是如何分配要实施的需求的？</t>
  </si>
  <si>
    <t>- Interface Identification
- Interface Development
- Update and Maintenance</t>
  </si>
  <si>
    <t>- Interface Matrix or Diagram
- Interface Specifications Document
- Updated Interface Requirement Log</t>
  </si>
  <si>
    <t>- How do you identify, develop, and keep updated interface or connection requirements?
- 你是如何确定、开发并保持更新接口或连接需求的？</t>
  </si>
  <si>
    <t>- Requirement Analysis
- Requirement Validation
- Requirement Refinement</t>
  </si>
  <si>
    <t>- Prioritized Requirements List
- Requirement Traceability Matrix (RTM)
- Requirement Validation Report</t>
  </si>
  <si>
    <t>- How do you ensure that requirements are necessary and sufficient?
- 你如何确保需求是必要且充分的？</t>
  </si>
  <si>
    <t>- Stakeholder Analysis
- Constraint Evaluation
- Negotiation and Compromise</t>
  </si>
  <si>
    <t>- Stakeholder Needs and Constraints Analysis Report
- Constraint Impact Assessment Matrix
- Stakeholder Negotiation Summary</t>
  </si>
  <si>
    <t>- How do you balance stakeholder needs and constraints?
- 你如何平衡利益相关者的需求和约束？</t>
  </si>
  <si>
    <t>- Requirement Testing
- User Acceptance Testing (UAT)
- Requirement Verification</t>
  </si>
  <si>
    <t>- Test Case Suite
- User Acceptance Testing Report
- Requirement Verification Checklist</t>
  </si>
  <si>
    <t>- Can you describe the process you use to validate requirements to ensure the resulting solution will perform as intended in the target environment?
- 你能描述一下你用于验证需求以确保最终解决方案在目标环境中按预期执行的过程吗？</t>
  </si>
  <si>
    <t>PRODUCT INTEGRATION</t>
  </si>
  <si>
    <t>产品集成</t>
    <phoneticPr fontId="3" type="noConversion"/>
  </si>
  <si>
    <t>Integrates and delivers the solution that addresses functionality, performance, and quality requirements.</t>
  </si>
  <si>
    <t>集成并交付满足功能和质量需求地解决方案</t>
    <phoneticPr fontId="3" type="noConversion"/>
  </si>
  <si>
    <t>通过提供达到或超过其功能和质量要求地解决方案来提高客户地满意度</t>
    <phoneticPr fontId="3" type="noConversion"/>
  </si>
  <si>
    <t>- Gathering required components.
- Integrating components into a cohesive solution.
- Packaging the solution for delivery.</t>
  </si>
  <si>
    <t>- Integrated solution package.
- Delivery documentation.
- Customer satisfaction feedback.</t>
  </si>
  <si>
    <t>- Can you describe how solutions are assembled and delivered to the customer?
- 你能描述一下如何组装解决方案并交付给客户吗？</t>
  </si>
  <si>
    <t xml:space="preserve">- Creating an integration strategy document.
- Regularly reviewing and updating the strategy.
- Ensuring adherence to the strategy throughout the integration process. </t>
  </si>
  <si>
    <t>- Integration strategy document.
- Updated strategy implementation guidelines.
- Reports on strategy effectiveness.</t>
  </si>
  <si>
    <t>- What is your integration strategy, and how do you ensure it stays updated and followed?
- 你们的整合策略是什么，你们如何确保它保持更新并得到遵循？</t>
  </si>
  <si>
    <t>- Setting up the integration environment infrastructure.
- Maintaining and updating the environment with necessary tools and resources.
- Conducting testing and validation within the environment.</t>
  </si>
  <si>
    <t>- Integration environment setup documentation.
- List of tools and resources within the environment.
- Test results and validation reports.</t>
  </si>
  <si>
    <t>- Can you explain how you develop and maintain your integration environment?
- 你能解释一下你们是如何开发和维护整合环境的吗？</t>
  </si>
  <si>
    <t>- Creating integration procedures and criteria documents.
- Ensuring team members understand and follow the procedures.
- Reviewing and updating procedures based on feedback and lessons learned.</t>
  </si>
  <si>
    <t>- Integration procedures and criteria documentation.
- Checklist for integration process compliance.
- Records of procedure updates and revisions.</t>
  </si>
  <si>
    <t>- What procedures and criteria do you follow for integrating solutions and components, and how do you ensure they are kept updated?
- 你们是如何为整合解决方案和组件制定和更新程序和标准的，你们如何确保它们保持更新？</t>
  </si>
  <si>
    <t>- How do you confirm that each component has been properly identified and operates according to its requirements and design before integration?
- 在整合之前，你们是如何确认每个组件是否已经正确识别并根据其要求和设计进行操作的？</t>
  </si>
  <si>
    <t>- Conducting integrated testing of components.
- Comparing results against solution requirements and design specifications.
- Identifying and resolving discrepancies or issues.</t>
  </si>
  <si>
    <t>- Integrated component evaluation report.
- Issue tracking log.
- Compliance certificate for the solution.</t>
  </si>
  <si>
    <t>- How do you evaluate integrated components to ensure they conform to the solution's requirements and design?
- 你们是如何评估整合组件以确保其符合解决方案的要求和设计的？</t>
  </si>
  <si>
    <t>- Following the steps outlined in the integration strategy.
- Coordinating with team members for seamless integration.
- Monitoring progress and adjusting as necessary to meet strategy objectives.</t>
  </si>
  <si>
    <t>- Integration progress reports.
- Meeting minutes documenting coordination efforts.
- Integration completion checklist.</t>
  </si>
  <si>
    <t>- Can you walk me through how you integrate solutions and components according to your integration strategy?
- 你能向我介绍一下你们是如何根据整合策略整合解决方案和组件的吗？</t>
  </si>
  <si>
    <t>- Regularly reviewing interface or connection descriptions.
- Updating descriptions based on changes in components or requirements.
- Ensuring consistency across all interfaces or connections.</t>
  </si>
  <si>
    <t>- Interface/connection description documentation.
- Revision history log.
- Compliance report on consistency.</t>
  </si>
  <si>
    <t>- How do you review and keep updated interface or connection descriptions for coverage, completeness, and consistency throughout the solution's life?
- 你们如何审查和保持接口或连接描述的覆盖范围、完整性和一致性，以确保其在整个解决方案生命周期中的更新？</t>
  </si>
  <si>
    <t>- Reviewing component interfaces or connections against descriptions.
- Conducting compatibility checks.
- Documenting any deviations and resolving them before integration.</t>
  </si>
  <si>
    <t>- Interface/connection compliance checklist.
- Deviation report.
- Verification logs.</t>
  </si>
  <si>
    <t>- Before integration, how do you confirm that component interfaces or connections comply with interface or connection descriptions?
- 在整合之前，你们如何确认组件接口或连接是否符合接口或连接描述？</t>
  </si>
  <si>
    <t>- Testing integrated components for compatibility issues.
- Analyzing compatibility test results.
- Resolving any identified compatibility issues.</t>
  </si>
  <si>
    <t>- Compatibility testing report.
- Compatibility issue resolution documentation.
- Updated interface/connection compatibility matrix.</t>
  </si>
  <si>
    <t>- How do you evaluate integrated components for interface or connection compatibility?
- 你们如何评估整合组件的接口或连接兼容性？</t>
  </si>
  <si>
    <t>TECHNICAL SOLUTION</t>
  </si>
  <si>
    <t>技术解决方案</t>
    <phoneticPr fontId="3" type="noConversion"/>
  </si>
  <si>
    <t>Designs and builds solutions that meet requirements.</t>
  </si>
  <si>
    <t>设计和构建满足客户需求的解决方案</t>
    <phoneticPr fontId="3" type="noConversion"/>
  </si>
  <si>
    <t>提供高效的设计和解决方案，以满足客户需求并且减少返工</t>
    <phoneticPr fontId="3" type="noConversion"/>
  </si>
  <si>
    <t>- Gathering requirements from stakeholders.
- Developing a basic prototype or mockup based on requirements.
- Implementing the solution based on the prototype.</t>
  </si>
  <si>
    <t>- Requirements documentation.
- Prototype or mockup.
- Implemented solution.</t>
  </si>
  <si>
    <t>- How do you ensure that the solutions you build align with the stated requirements?
- 你如何确保构建的解决方案符合规定的要求？</t>
  </si>
  <si>
    <t>- Conducting detailed design sessions to refine requirements.
- Creating architecture diagrams and design specifications.
- Implementing the solution based on the design.</t>
  </si>
  <si>
    <t>- Detailed design documentation.
- Architecture diagrams.
- Implemented solution with corresponding documentation.</t>
  </si>
  <si>
    <t>- Can you describe your process for designing and building solutions to meet specific requirements?
- 你能描述一下你设计和构建解决方案以满足特定要求的过程吗？</t>
  </si>
  <si>
    <t>- Conducting design reviews with stakeholders.
- Testing the implemented solution for bugs and performance issues.
- Iteratively refining the design based on feedback.</t>
  </si>
  <si>
    <t>- Design review meeting minutes.
- Test reports highlighting identified issues.
- Updated design documentation reflecting changes.</t>
  </si>
  <si>
    <t>- How do you evaluate the effectiveness of your design, and how do you address any issues that arise during this process?
- 你如何评估设计的有效性，以及如何解决在此过程中出现的任何问题？</t>
  </si>
  <si>
    <t>- User manuals and guides.
- Training materials (slides, videos, etc.).
- Support tickets and resolutions log.</t>
  </si>
  <si>
    <t>- What measures do you take to ensure that users are effectively guided in using the solutions you provide?
- 你采取了哪些措施来确保用户在使用你提供的解决方案时能够得到有效的指导？</t>
  </si>
  <si>
    <t>- Researching best practices and industry standards.
- Collaborating with stakeholders to define design goals.
- Creating decision matrices to evaluate design options.</t>
  </si>
  <si>
    <t>- Design decision criteria document.
- Stakeholder input summaries.
- Decision matrices and analysis reports.</t>
  </si>
  <si>
    <t>- How do you establish the criteria that guide your design decisions?
- 你是如何确立指导你设计决策的标准？</t>
  </si>
  <si>
    <t>- Brainstorming sessions to generate multiple solution ideas.
- Prototyping different approaches to key components.
- Conducting feasibility studies to assess alternative solutions.</t>
  </si>
  <si>
    <t>- Can you explain your approach to developing alternative solutions for specific components within your designs?
- 你如何制定针对特定组件的替代解决方案的方法？</t>
  </si>
  <si>
    <t>- Build vs. buy vs. reuse analysis report.
- Cost comparison spreadsheets.
- Vendor/product evaluations.</t>
  </si>
  <si>
    <t>- When considering solutions, how do you determine whether to build, buy, or reuse certain components?
- 在考虑解决方案时，你如何确定是建立、购买还是重用某些组件？</t>
  </si>
  <si>
    <t>- Reviewing design criteria and requirements.
- Conducting thorough evaluations of potential solutions.
- Making recommendations based on criteria alignment and stakeholder input.</t>
  </si>
  <si>
    <t>- Solution selection justification document.
- Evaluation scorecards.
- Stakeholder approval records.</t>
  </si>
  <si>
    <t>- What factors do you consider when selecting solutions based on your established design criteria?
- 当根据你建立的设计标准选择解决方案时，你考虑了哪些因素？</t>
  </si>
  <si>
    <t>- Documenting design decisions and rationale.
- Maintaining version control for design artifacts.
- Providing access to relevant documentation for team members.</t>
  </si>
  <si>
    <t>- Design documentation repository.
- Version control logs.
- Documentation access policies and procedures.</t>
  </si>
  <si>
    <t>- How do you ensure that the information necessary to implement your designs is both kept updated and effectively utilized?
- 你如何确保实施设计所需的信息既得到更新又得到有效利用？</t>
  </si>
  <si>
    <t>- Defining interface requirements and protocols.
- Collaborating with other teams to ensure compatibility.
- Prototyping and testing interface implementations.</t>
  </si>
  <si>
    <t>- Interface design specifications.
- Compatibility test plans and reports.
- Interface documentation for integration partners.</t>
  </si>
  <si>
    <t>- Could you outline the criteria you use when designing solution interfaces or connections?
- 你在设计解决方案接口或连接时所使用的标准是什么？</t>
  </si>
  <si>
    <t>VERIFICATION AND VALIDATION</t>
  </si>
  <si>
    <t>验证和确认</t>
    <phoneticPr fontId="3" type="noConversion"/>
  </si>
  <si>
    <t>Confirms selected solutions and components meet their requirements, and demonstrates selected solutions and components fulfill their intended use in their target environment.</t>
  </si>
  <si>
    <t>验证和确认的活动包括：确认选定的解决方案和组件能够满足需求</t>
    <phoneticPr fontId="3" type="noConversion"/>
  </si>
  <si>
    <t>Increases the likelihood that the solution will satisfy the customer.</t>
  </si>
  <si>
    <t>正式选定的解决方案和组件在目标环境下能够实现其预期用途</t>
    <phoneticPr fontId="3" type="noConversion"/>
  </si>
  <si>
    <t>- Conducting code reviews to check if the code meets specified requirements.</t>
  </si>
  <si>
    <t>- Verification Report: Documenting the findings of the code reviews and whether the requirements were met.
- Communication: Sending out emails or holding meetings to inform stakeholders about the results of the verification process.</t>
  </si>
  <si>
    <t>- How do you ensure that the requirements are implemented? 
- Can you describe your process for recording and communicating the results of verification?
- 你是如何确保需求已经被实现的？
- 能描述一下你们的验证结果记录和传达流程吗？</t>
  </si>
  <si>
    <t>- How do you confirm that the solution functions as intended in its target environment? 
- Could you explain how you record and communicate the results of validation?
- 你是如何确认解决方案在目标环境中按预期运行的？
- 你能解释一下验证结果的记录和传达方式吗？</t>
  </si>
  <si>
    <t>- Researching and selecting appropriate testing tools and techniques for verification and validation.</t>
  </si>
  <si>
    <t>- Testing Tool Evaluation Report: Documenting the evaluation of various testing tools and selecting the most suitable ones.
- Testing Methodology Document: Outlining the chosen methods and approaches for verification and validation.</t>
  </si>
  <si>
    <t>- What factors influence your selection of components and methods for verification and validation?
- 什么因素影响你们选择验证和验证的组件和方法？</t>
  </si>
  <si>
    <t>- Setting up testing environments that mimic the production environment for accurate validation.</t>
  </si>
  <si>
    <t>- Environment Setup Documentation: Detailing the configuration and setup of testing environments.
- Environment Update Logs: Keeping a record of any changes or updates made to the testing environment.</t>
  </si>
  <si>
    <t>- How do you develop and maintain the environment necessary to support verification and validation activities? 
- Can you describe its usage?
- 你们是如何开发和维护支持验证和验证活动所需的环境的？
- 你能描述一下其使用方式吗？</t>
  </si>
  <si>
    <t>- Establishing standardized procedures and guidelines for conducting verification and validation activities.</t>
  </si>
  <si>
    <t>- Defining specific criteria or metrics for evaluating the success of verification and validation activities.</t>
  </si>
  <si>
    <t>- Verification and Validation Metrics Dashboard: Displaying key metrics such as code coverage, defect density, and test pass rates.
- Criteria Documentation: Detailing the criteria used to determine whether verification and validation activities have been successful.</t>
  </si>
  <si>
    <t>- What criteria do you use for verification and validation processes? 
- How do you ensure they are kept updated and utilized?
- 你们使用哪些标准进行验证和验证流程？
- 你是如何确保这些标准保持更新并得到利用的？</t>
  </si>
  <si>
    <t xml:space="preserve">- Analyzing the results of verification and validation activities to identify trends, patterns, and areas for improvement.
</t>
  </si>
  <si>
    <t>- Analysis Report: Summarizing the findings of verification and validation activities and providing insights for future improvements.
- Presentation Slides: Creating slides to visually communicate the analysis findings to stakeholders.</t>
  </si>
  <si>
    <t>- After completing verification and validation, how do you analyze the results? 
- How do you communicate these findings to relevant stakeholders?
- 在完成验证和验证后，你们是如何分析结果的？
- 你们是如何将这些发现传达给相关利益相关者的？</t>
  </si>
  <si>
    <t>SUPPLIER AGREEMENT MANAGEMENT</t>
  </si>
  <si>
    <t>供应商协议管理</t>
    <phoneticPr fontId="3" type="noConversion"/>
  </si>
  <si>
    <t>Selects qualified suppliers, establishes agreements, and manages the resulting supplier and acquirer activities over the term of the agreement.</t>
  </si>
  <si>
    <t>与选定地供应商签订协议，确保供应商和采购方在协议有效期间履行协议，并评估供应商的交付物</t>
    <phoneticPr fontId="3" type="noConversion"/>
  </si>
  <si>
    <t>Maximizes the probability of mutual success for acquirers and suppliers.</t>
  </si>
  <si>
    <t>为采购方与供应商提供明确的共识，从而最大限度的推动供应商依据协议进行交付</t>
    <phoneticPr fontId="3" type="noConversion"/>
  </si>
  <si>
    <t>SAM 1.1</t>
  </si>
  <si>
    <t xml:space="preserve">- Research potential suppliers, gather information about their capabilities and pricing, and assess their suitability for the organization's needs.
</t>
  </si>
  <si>
    <t>- Supplier evaluation forms
- Supplier profiles with relevant information
- List of selected suppliers</t>
  </si>
  <si>
    <t>- How do you identify, evaluate, and select your suppliers?
- 您是如何识别、评估和选择供应商的？</t>
  </si>
  <si>
    <t>SAM 1.2</t>
  </si>
  <si>
    <t>- Draft contractual terms and conditions in collaboration with legal and procurement teams, negotiate terms with selected suppliers, and finalize agreements.</t>
  </si>
  <si>
    <t>- Supplier contracts/agreements
- Terms and conditions documents
- Signed supplier agreements</t>
  </si>
  <si>
    <t>- Can you describe the process you use to develop and record supplier agreements?
- 您能描述一下您用来制定和记录供应商协议的流程吗？</t>
  </si>
  <si>
    <t>SAM 1.3</t>
  </si>
  <si>
    <t>- Inspect received goods or services against predefined acceptance criteria, and make decisions on whether to accept or reject them.</t>
  </si>
  <si>
    <t>- Inspection reports
- Acceptance/rejection notifications
- Records of accepted/rejected deliverables</t>
  </si>
  <si>
    <t>- How do you determine whether to accept or reject supplier deliverables?
- 您是如何确定是否接受或拒绝供应商提供的交付物的？</t>
  </si>
  <si>
    <t>SAM 1.4</t>
  </si>
  <si>
    <t>- Receive, review, and approve supplier invoices for payment, ensuring accuracy and compliance with contractual terms.</t>
  </si>
  <si>
    <t>- Invoice processing logs
- Approved invoice documents
- Payment records</t>
  </si>
  <si>
    <t>- Could you walk me through your process for processing supplier invoices?
- 您的供应商发票处理流程是怎样的？</t>
  </si>
  <si>
    <t>SAM 2.1</t>
  </si>
  <si>
    <t>- Define criteria for supplier evaluation, identify potential suppliers based on these criteria, and distribute requests for proposals (RFPs) or quotes.</t>
  </si>
  <si>
    <t>- Evaluation criteria matrix
- List of potential suppliers
- RFP documents</t>
  </si>
  <si>
    <t>- How do you identify evaluation criteria, potential suppliers, and distribute supplier requests?
- 您是如何确定评估标准、潜在供应商，并分发供应商请求的？</t>
  </si>
  <si>
    <t>SAM 2.2</t>
  </si>
  <si>
    <t>- Review and score supplier responses against predefined evaluation criteria, conduct supplier interviews or site visits if necessary, and make supplier selection decisions.</t>
  </si>
  <si>
    <t>- Evaluation scorecards
- Meeting minutes from supplier interviews/visits
- Selected supplier list</t>
  </si>
  <si>
    <t>- Can you explain how you evaluate supplier responses and select suppliers based on recorded evaluation criteria?
- 您能解释一下您如何根据记录的评估标准评估供应商的回应，并选择供应商的吗？</t>
  </si>
  <si>
    <t>SAM 2.3</t>
  </si>
  <si>
    <t>- Monitor supplier performance against contractual obligations, communicate with suppliers regarding any necessary adjustments or updates to the agreement, and maintain accurate records of changes.</t>
  </si>
  <si>
    <t>- Supplier performance reports
- Correspondence regarding agreement updates
- Updated supplier agreements</t>
  </si>
  <si>
    <t>- How do you manage supplier activities as specified in the supplier agreement, and how do you keep the agreement updated?
- 您是如何管理供应商活动以符合供应商协议，并保持协议更新的？</t>
  </si>
  <si>
    <t>SAM 2.4</t>
  </si>
  <si>
    <t>- Review Supplier Deliverable
- Conduct Quality Checks
- Communicate with Supplier</t>
  </si>
  <si>
    <t>- Verification Checklist
- Quality Inspection Report
- Communication Log</t>
  </si>
  <si>
    <t>- What steps do you take to verify that supplier agreements are satisfied before accepting acquired supplier deliverables?
- 在接受所获取的供应商交付物之前，您是如何验证供应商协议是否得到满足的？</t>
  </si>
  <si>
    <t>SAM 2.5</t>
  </si>
  <si>
    <t>- Invoice Validation
- Payment Processing
- Resolve Discrepancies</t>
  </si>
  <si>
    <t>- Invoice Verification Log
- Payment Authorization Documentation
- Discrepancy Resolution Records</t>
  </si>
  <si>
    <t>- How do you manage invoices submitted by suppliers according to the supplier agreements?
- 您是如何根据供应商协议管理供应商提交的发票的？</t>
  </si>
  <si>
    <t>SAM 3.1</t>
  </si>
  <si>
    <t>- Assess the quality and technical aspects of supplier deliverables through structured reviews or audits, provide feedback to suppliers, and collaborate on improvement plans.</t>
  </si>
  <si>
    <t>- Technical review reports
- Improvement action plans
- Documentation of feedback provided</t>
  </si>
  <si>
    <t>- How do you conduct technical reviews of supplier performance activities and selected deliverables?
- 您是如何进行供应商绩效活动和选定交付物的技术审查的？</t>
  </si>
  <si>
    <t>SAM 3.2</t>
  </si>
  <si>
    <t>- Performance dashboards
- Corrective action reports
- Performance improvement initiatives</t>
  </si>
  <si>
    <t>- Can you explain how you manage supplier performance and processes based on criteria in the supplier agreement?
- 您能解释一下您如何根据供应商协议中的标准管理供应商绩效和流程的吗？</t>
  </si>
  <si>
    <t>SAM 4.1</t>
  </si>
  <si>
    <t>- Define key performance indicators (KPIs) for supplier performance, collect relevant data, analyze performance trends using statistical techniques, and take strategic actions to optimize supplier relationships.</t>
  </si>
  <si>
    <t>- KPI scorecards
- Performance analysis reports
- Strategic recommendations for supplier optimization</t>
  </si>
  <si>
    <t>- How do you select measures and apply analytical techniques to quantitatively manage suppliers against their performance targets?
- 您是如何选择措施并应用分析技术以定量管理供应商达到其绩效目标的？</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</si>
  <si>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</si>
  <si>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</si>
  <si>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</si>
  <si>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</si>
  <si>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</si>
  <si>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</si>
  <si>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</si>
  <si>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</si>
  <si>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</si>
  <si>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</si>
  <si>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</si>
  <si>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</si>
  <si>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</si>
  <si>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</si>
  <si>
    <t>- Data Collection and Analysis
- Root Cause Identification
- Cross Functional Collaboration</t>
  </si>
  <si>
    <t>- Comparative Analysis
- Simulation Modeling
- Cost Benefit Analysis</t>
  </si>
  <si>
    <t>- Comparative Analysis Report
- Simulation Model Outputs
- Cost Benefit Analysis Summary</t>
  </si>
  <si>
    <t>- Version controlled source code repository.
- Branching and merging strategy documentation.
- Code review reports documenting changes made to the codebase.</t>
  </si>
  <si>
    <t>- How does your company develop and customize its configuration and change management system to meet project requirements?
- How do you ensure that the configuration management system remains up to-date as the project progresses?
- Can you describe the process for training employees on the use of the configuration and change management system?
- 你的公司如何开发和定制其配置和变更管理系统以满足项目要求？
- 你如何确保配置管理系统在项目进行过程中保持最新？
- 你能描述一下培训员工使用配置和变更管理系统的过程吗？</t>
  </si>
  <si>
    <t>- Conducting meetings or workshops to reach a consensus on the decision.
- Seeking approval from decision makers.
- Documenting the final decision making process.</t>
  </si>
  <si>
    <t>- Decision memo or report outlining the chosen alternative.
- Meeting minutes or records of decision making discussions.
- Official approval documentation from relevant authorities.</t>
  </si>
  <si>
    <t>- Establishing clear guidelines and protocols for decision making processes.
- Regularly reviewing and updating decision making rules based on feedback and changes in circumstances.
- Training employees on how to adhere to decision making rules.</t>
  </si>
  <si>
    <t>- Decision making framework document outlining the rules and procedures.
- Training materials and manuals for employees.
- Feedback and evaluation reports on the effectiveness of decision making rules.</t>
  </si>
  <si>
    <t>- How does your company establish and update rules for determining when to follow a specific decision making process?
- Can you describe how these rules are utilized in practice when making criteria based decisions?
- 贵公司如何制定和更新规则，以确定何时遵循特定的决策流程？
- 可以描述一下这些规则在实践中如何在基于标准的决策时使用吗？</t>
  </si>
  <si>
    <t xml:space="preserve">- How does your company develop criteria for evaluating different alternatives when faced with important decisions?
- Could you provide examples of specific criteria used in recent decision making processes?
- 贵公司如何制定评估不同备选方案的标准，当面临重要决策时？
- 能否提供最近决策中使用的具体标准的示例？
</t>
  </si>
  <si>
    <t>- How does your company determine which evaluation methods to use when assessing alternative solutions?
- Could you provide examples of evaluation methods employed in recent decision making processes?
- 贵公司如何确定在评估备选方案时使用哪种评估方法？
- 能否提供最近决策中使用的评估方法的示例？</t>
  </si>
  <si>
    <t>- Applying the chosen evaluation methods to assess each alternative solution against predetermined criteria.
- Holding consensus building meetings or workshops to discuss the strengths and weaknesses of each solution.
- Conducting cost benefit analyses or risk assessments to inform the decision making process.</t>
  </si>
  <si>
    <t>- How does your company evaluate and select solutions based on predetermined criteria and methods?
- Can you walk me through a recent decision making process where solutions were evaluated and selected using specific criteria and methods?
- 贵公司如何根据预先确定的标准和方法评估和选择方案？
- 可以通过最近一次决策的具体案例，演示如何使用特定标准和方法评估和选择方案吗？</t>
  </si>
  <si>
    <t>- Defining roles and responsibilities for decision making within the organization.
- Establishing clear escalation paths for decisions that require higher authority.
- Regularly reviewing and updating role descriptions based on organizational changes.</t>
  </si>
  <si>
    <t>- Role based decision authority matrix outlining decision making responsibilities.
- Organizational chart depicting decision making hierarchy.
- Documentation of role descriptions and responsibilities.</t>
  </si>
  <si>
    <t>- How does your company define and maintain descriptions of role based decision authority within the organization?
- Can you provide examples of how role based decision authority is utilized in practice within your company?
- 贵公司如何定义和维护组织内基于角色的决策权限描述？
- 能否提供基于角色的决策权限在贵公司内部实践中的示例？</t>
  </si>
  <si>
    <t>- Brainstorming session with project team members to discuss the scope of work and generate initial high level estimates.
- Reviewing historical project data to identify similar projects and their associated high level estimates.
- Conducting expert interviews with stakeholders or subject matter experts to gather insights for developing high level estimates.</t>
  </si>
  <si>
    <t>- High level estimate spreadsheet outlining estimated effort, duration, and cost for the project.
- Meeting minutes documenting discussions and decisions made during the brainstorming session.
- Comparison report summarizing historical project data and its relevance to the current project's estimation process.</t>
  </si>
  <si>
    <t>- Can you describe the process you follow to develop high level estimates for performing the work?
- 你能描述一下你用来制定执行工作的高级估算的过程吗？</t>
  </si>
  <si>
    <t>- Estimation method documentation detailing the step by-step process for conducting estimates.
- Estimation tool or template customized to automate and streamline the estimation process.
- Estimation method review report summarizing feedback from project teams and proposed updates to the estimation method.</t>
  </si>
  <si>
    <t>- Conducting surveys and feedback sessions.
- Reviewing performance reports and metrics.
- Engaging in cross functional meetings to gather insights.</t>
  </si>
  <si>
    <t>- Designating process owners and champions.
- Establishing performance review mechanisms.
- Implementing consequence management for non compliance.</t>
  </si>
  <si>
    <t>- RACI matrix outlining roles and responsibilities.
- Performance appraisal forms including process adherence criteria.
- Incident report log documenting consequences for non adherence.</t>
  </si>
  <si>
    <t>- How does senior management ensure that relevant measures supporting organizational objectives are collected and analyzed?
- Can you provide examples of how senior management utilizes the collected measures to inform decision making and drive improvement initiatives? 
- 高级管理层如何确保收集和分析支持组织目标的相关措施？
- 能举例说明高级管理层如何利用收集到的措施来指导决策并推动改进计划吗？</t>
  </si>
  <si>
    <t>- Conducting statistical process control studies.
- Performing regression analysis on process variables.
- Reviewing hypothesis testing results for decision making.</t>
  </si>
  <si>
    <t>- How does senior management incorporate statistical and quantitative analysis into decision making processes?
- Can you provide examples of how senior management ensures that decisions are driven by data and analysis to achieve quality and process performance objectives?
- 高级管理层如何将统计和定量分析纳入决策过程中？
- 能举例说明高级管理层如何确保决策是由数据和分析驱动的，以实现质量和流程绩效目标吗？</t>
  </si>
  <si>
    <t>- How do individuals within your company contribute process related information or assets to enhance organizational effectiveness?
- Can you describe a recent instance where process related information or assets contributed by individuals within your organization resulted in improvements or efficiencies?
- 您的公司内部个人如何贡献流程相关信息或资产以增强组织的效率？
- 能否描述最近一个由您组织内部个人贡献的流程相关信息或资产如何导致改进或效率提升？</t>
  </si>
  <si>
    <t>- Provide training on statistical analysis methods.
- Implement data driven decision making processes.
- Foster a culture of continuous improvement through quantitative analysis.</t>
  </si>
  <si>
    <t>- Training curriculum on statistical analysis techniques.
- Reports demonstrating the impact of data driven decisions.
- Documentation outlining strategies for integrating quantitative techniques into processes.</t>
  </si>
  <si>
    <t>- Can you describe the structure and functionality of your organization's measurement repository?
- How do you ensure that the measurement repository remains up to-date and accessible to relevant stakeholders?
- 能描述一下您组织的测量库的结构和功能？
- 您如何确保测量库保持更新并对相关利益相关者可访问？</t>
  </si>
  <si>
    <t>- Conduct in depth analysis of organizational performance metrics.
- Identify areas for improvement based on performance data.
- Develop strategies and initiatives to address performance gaps.</t>
  </si>
  <si>
    <t>- Conducting strategic analyses.
- Aligning objectives with long term goals.
- Optimizing resource allocation.</t>
  </si>
  <si>
    <t>- How do you evaluate improvement proposals using statistical and quantitative analysis to ensure their potential impact on meeting business, quality, and process performance objectives?
- Can you discuss the decision making process involved in selecting and implementing these proposals, considering their expected effects on performance optimization?
- 您如何使用统计和定量分析评估改进建议，以确保其对满足业务、质量和流程绩效目标的潜在影响？
- 您能否讨论选择和实施这些建议的决策过程，考虑到其对绩效优化的预期影响？</t>
  </si>
  <si>
    <t>-Conducting regular project reviews to identify emerging issues.
-Facilitating problem solving sessions with relevant stakeholders.
Implementing corrective action plans to address identified issues.</t>
  </si>
  <si>
    <t>-Updated project plans reflecting changes in project scope, timeline, and resources.
-Process documentation outlining step by-step procedures for project execution.
-Project performance reports comparing actual progress to planned milestones and activities.</t>
  </si>
  <si>
    <t>-Strategic training plans outlining long term training goals and objectives.
-Training needs analysis reports summarizing current and future skill requirements.
-Training schedule calendars detailing upcoming training sessions and initiatives.</t>
  </si>
  <si>
    <t>-Collaborating with project managers to identify project specific training requirements.
-Aligning organizational training initiatives with project timelines and milestones.
-Facilitating communication between project teams and training providers to ensure timely delivery of required training.</t>
  </si>
  <si>
    <t>-Training coordination schedules detailing training sessions aligned with project schedules.
-Project specific training plans outlining training needs and delivery methods for each project.
-Training resource allocation reports summarizing the distribution of training resources across projects.</t>
  </si>
  <si>
    <t>-Conducting regular assessments to identify changing skill requirements and training needs.
-Collaborating with stakeholders to review and update training plans based on organizational objectives.
-Implementing training programs aligned with strategic goals and short term objectives.</t>
  </si>
  <si>
    <t>-Strategic training plan outlining long term training objectives and initiatives.
-Short term training schedule detailing upcoming training sessions and activities.
-Training progress reports tracking the implementation and effectiveness of training initiatives.</t>
  </si>
  <si>
    <t>-Peer review procedures document outlining step by-step instructions for conducting reviews.
-Review checklist template listing criteria to be evaluated during peer reviews.
-Training materials such as presentations or manuals explaining peer review processes and techniques.</t>
  </si>
  <si>
    <t>-Conducting meetings with stakeholders to review project plans.
-Obtaining sign offs or commitments from stakeholders regarding their roles and responsibilities.
-Addressing any concerns or discrepancies identified during the plan review process.</t>
  </si>
  <si>
    <t>-Applying statistical analysis to identify areas for process improvement.
-Utilizing quantitative techniques to measure process performance metrics.
-Updating project processes based on data driven insights and analysis.</t>
  </si>
  <si>
    <t>- Process asset library containing templates, guidelines, and checklists.
-Documented procedures outlining step by-step workflows for various tasks.
-Lessons learned database capturing insights and improvements from past projects.</t>
  </si>
  <si>
    <t>- Newly created process assets customized for project specific needs.
-Purchasing agreements or contracts for externally sourced process assets.
-Documentation outlining the reuse and adaptation of existing process assets.</t>
  </si>
  <si>
    <t>-Tailoring criteria document outlining factors to consider when adapting standard processes.
-Updated tailoring guidelines incorporating feedback and improvements.
-Project specific process documentation demonstrating the application of tailored processes and assets.</t>
  </si>
  <si>
    <t>- Standard process documentation outlining step by-step procedures and guidelines.
-Training materials and resources for stakeholders involved in process deployment.
-Deployment tracking reports detailing the implementation status of standard processes.</t>
  </si>
  <si>
    <t>- Pre- and post implementation performance comparison charts.
-Analysis reports detailing the impact of deployed improvements on process improvement objectives.
-Improvement effectiveness reports outlining successes and areas for further refinement.</t>
  </si>
  <si>
    <t>- Conduct meetings with project participants to review requirements.
- Clarify any ambiguities and confirm understanding.
- Obtain sign off from relevant stakeholders on their commitment to implementing requirements.</t>
  </si>
  <si>
    <t>- Plan Requirement Consistency Checklist
- Audit Reports
- Change Management Documentation</t>
  </si>
  <si>
    <t>- Component identification and verification.
- Reviewing component requirements and designs.
- Conducting pre integration testing on individual components.</t>
  </si>
  <si>
    <t>- Component identification checklist.
- Requirements and design verification reports.
- Pre integration testing results.</t>
  </si>
  <si>
    <t>Provides a cost effective design and solution that meets customer requirements and reduces rework.</t>
  </si>
  <si>
    <t>- Creating user manuals and documentation.
- Conducting training sessions for end users.
- Providing ongoing support and troubleshooting assistance.</t>
  </si>
  <si>
    <t>- Evaluating the cost and effort of building a solution in house.
- Researching existing commercial solutions available on the market.
- Assessing the feasibility of reusing components from previous projects.</t>
  </si>
  <si>
    <t>- List of alternative solution proposals.
- Prototypes or proof of concept demonstrations.
- Feasibility study reports outlining pros and cons.</t>
  </si>
  <si>
    <t>- Running end to-end tests to ensure the entire system works as intended in its target environment.</t>
  </si>
  <si>
    <t>- Validation Report: Documenting the results of end to-end testing and whether the solution functions correctly in the target environment.
- Communication: Sharing the validation report with stakeholders and discussing any issues or concerns.</t>
  </si>
  <si>
    <t>- Verification and Validation Process Manual: Documenting step by-step procedures for verification and validation.
- Procedure Change Requests: Keeping track of any updates or revisions made to the verification and validation procedures.</t>
  </si>
  <si>
    <t>- What procedures do you have in place for conducting verification and validation? 
- How do you ensure these procedures are kept up to-date and followed?
- 你们有哪些用于进行验证和验证的程序？
- 你们是如何确保这些程序保持更新并被执行的？</t>
  </si>
  <si>
    <t>- Implement performance monitoring systems, track supplier performance metrics against agreed upon targets, and take corrective actions as necessary to ensure compliance with the agreement.</t>
  </si>
  <si>
    <t>Have you identified and addressed the underlying causes of your selected outcomes to enhance the likelihood of achieving your business objectives? 你是否确认并解决了所选结果的原因，以提高实现业务目标的可能性？</t>
  </si>
  <si>
    <t>Have you chosen the outcomes to analyze, focusing on those that most strongly influence the achievement of your objectives? 你是否选定了需要分析的结果，并重点关注那些对实现目标影响最大的结果？</t>
  </si>
  <si>
    <t>Have you analyzed and tackled the causes behind your outcomes to reduce both costs and time in meeting your objectives? 你是否分析并解决了结果的原因，从而更高效地降低成本和所需时间？</t>
  </si>
  <si>
    <t>Have you determined the causes of the selected outcomes by following an organizational process, thus increasing the chance of meeting objectives by fostering successes and avoiding issues? 你是否通过遵循组织流程来确定所选结果的原因，从而通过促进成功和避免问题来提高实现目标的可能性？</t>
  </si>
  <si>
    <t>Have you proposed actions to address the identified causes in order to prevent negative outcomes or generate positive results while saving time and resources? 你是否提出了针对已识别原因的措施，从而通过防止负面结果或产生积极结果来节省成本和时间？</t>
  </si>
  <si>
    <t>Have you implemented the chosen actions that are expected to bring about the most significant changes in increasing the likelihood of meeting your objectives? 你是否实施了那些被选定的行动建议，从而推动对提高实现目标可能性影响最大的变革？</t>
  </si>
  <si>
    <t>Have you recorded and communicated the data from your causal analysis and resolution efforts across the organization to leverage improvements and boost productivity? 你是否记录了因果分析和解决措施的数据，并在整个组织中传达这些改进成果，从而充分利用节省和提高生产力？</t>
  </si>
  <si>
    <t>Have you submitted proposals for improvements that have been proven effective, thereby reducing disruptions and rework while facilitating mutual learning among projects? 你是否提交了那些经证明有效的改进建议，从而减少中断和返工，并促进各项目间的相互学习以提高生产力？</t>
  </si>
  <si>
    <t>Have you performed a root cause analysis on the selected outcomes using statistical and quantitative methods to better ensure that your project meets its quality and process performance goals? 你是否使用统计和其他定量技术对所选结果进行了根本原因分析，从而提高项目实现质量和流程绩效目标的可能性？</t>
  </si>
  <si>
    <t>Have you evaluated the impact of implemented actions on process performance through statistical and quantitative techniques to maximize the chances of meeting quality and performance objectives? 你是否通过统计和其他定量技术评估了已实施措施对流程绩效的影响，从而最大限度地提高实现质量和流程绩效目标的可能性？</t>
  </si>
  <si>
    <t>Have you used statistical and quantitative methods to assess alternative solutions and processes to decide whether the resolution should be applied organization wide to optimize performance, reduce costs, and minimize risk? 你是否利用统计和其他定量技术评估了其他解决方案和流程，以确定是否应在整个组织中采用该方案，从而优化绩效并降低成本与风险？</t>
  </si>
  <si>
    <t>How can version control be performed to ensure the correct solution is delivered, thereby increasing customer satisfaction?
如何执行版本控制，以确保提供正确的解决方案，从而提高客户满意度？</t>
  </si>
  <si>
    <t>How can items be identified for configuration management to reduce rework risks and verify that the correct version is delivered to the customer?
如何确定要置于配置管理之下的项目，以降低返工风险并验证是否向客户交付了正确的版本？</t>
  </si>
  <si>
    <t>How can a configuration and change management system be developed, kept updated, and utilized to reduce the cost and effort needed to maintain the integrity of work products and solutions?
如何开发、保持更新并使用配置和变更管理系统，以减少控制工作产品和解决方案完整性所需的成本和精力？</t>
  </si>
  <si>
    <t>How can baselines be developed or released for internal use or customer delivery to ensure the integrity of work products?
如何制定或发布基线供内部使用或交付给客户，以确保工作产品的完整性？</t>
  </si>
  <si>
    <t>How can changes to items under configuration management be managed to reduce costs and scheduling impacts by ensuring that only authorized changes are made?
如何管理配置管理下项目的更改，以确保仅进行授权的更改，从而降低成本和进度影响？</t>
  </si>
  <si>
    <t>How can records describing configuration-managed items be developed, kept updated, and used to reduce rework through accurate descriptions of configuration items and change statuses?
如何开发、保持更新和使用描述配置管理下项目的记录，以通过准确描述配置项和更改状态来减少返工？</t>
  </si>
  <si>
    <t>How can configuration audits be performed to maintain the integrity of configuration baselines, changes, and the content of the configuration management system, ensuring customer satisfaction and stakeholder acceptance?
如何执行配置审核，以维护配置基线、更改和配置管理系统内容的完整性，从而确保客户满意度和利益相关者的接受度？</t>
  </si>
  <si>
    <t>How can alternatives be clearly defined and recorded to reduce rework?
如何清晰定义并记录替代方案，以减少返工？</t>
  </si>
  <si>
    <t>How can decisions be made and recorded to avoid revisions and rework?
如何做出并记录决策，以避免反复修改和返工？</t>
  </si>
  <si>
    <t>When should recorded processes be followed for criteria-based decisions to reduce costs?
何时应遵循记录的流程进行基于标准的决策，以降低成本？</t>
  </si>
  <si>
    <t>How can criteria be developed to ensure consistent evaluation of alternatives?
如何制定标准，以确保一致地评估替代方案？</t>
  </si>
  <si>
    <t>How can alternative solutions be identified to improve quality and customer satisfaction?
如何确定替代解决方案，以提高质量和客户满意度？</t>
  </si>
  <si>
    <t>How can evaluation methods be selected to optimize cost, schedule, and performance?
如何选择评估方法，以优化成本、进度和性能？</t>
  </si>
  <si>
    <t>How can solutions be evaluated and selected using criteria and methods to ensure the best choice?
如何使用标准和方法评估并选择解决方案，以确保最佳选择？</t>
  </si>
  <si>
    <t>How can decision authority be defined and updated to reduce business risks?
如何定义并更新决策权限，以降低业务风险？</t>
  </si>
  <si>
    <t>How can high-level estimates be developed to address work size, cost, and schedule uncertainties?
如何制定高级估算，以解决工作规模、成本和进度的不确定性？</t>
  </si>
  <si>
    <t>How can the scope of estimates be maintained to ensure a complete solution and avoid rework?
如何保持估算范围，以确保完整解决方案并避免返工？</t>
  </si>
  <si>
    <t>How can solution size estimates be developed and updated to enable tracking and timely corrections?
如何制定并更新解决方案规模的估算，以支持跟踪和及时纠正？</t>
  </si>
  <si>
    <t>How can effort, duration, and cost estimates be recorded based on size estimates for better decisions?
如何基于规模估算记录工作量、持续时间和成本估算，以做出更好的决策？</t>
  </si>
  <si>
    <t>How can organizational measurement data and process assets improve estimation accuracy and reduce risk?
如何利用组织测量数据和流程资产提高估算准确性并降低风险？</t>
  </si>
  <si>
    <t>How can a recorded estimation method be maintained to improve accuracy and efficiency?
如何保持记录的估算方法，以提高准确性和效率？</t>
  </si>
  <si>
    <t>How does senior management define key work priorities and approaches to achieve business objectives?
高级管理层如何定义工作重点和方法，以实现业务目标？</t>
  </si>
  <si>
    <t>How does senior management define, update, and communicate directives for process implementation and improvement?
高级管理层如何定义、更新并传达流程实施和改进的指令？</t>
  </si>
  <si>
    <t>How does senior management provide funding, resources, and training to support and improve processes?
高级管理层如何提供资金、资源和培训，以支持和改进流程？</t>
  </si>
  <si>
    <t>How does senior management determine information needs and use collected data for governance and oversight?
高级管理层如何确定信息需求，并使用收集到的数据进行治理和监督？</t>
  </si>
  <si>
    <t>How does senior management assign authority and ensure accountability for process implementation and improvement?
高级管理层如何分配权力并确保人员对流程实施和改进负责？</t>
  </si>
  <si>
    <t>How does senior management ensure that organizational performance measures are collected, analyzed, and used?
高级管理层如何确保收集、分析和使用组织绩效衡量数据？</t>
  </si>
  <si>
    <t xml:space="preserve">How does senior management align competencies and processes with organizational objectives?
高级管理层如何确保能力和流程与组织目标保持一致？
</t>
  </si>
  <si>
    <t>How does senior management use statistical and quantitative analysis to guide decisions and optimize performance?
高级管理层如何使用统计和定量分析来指导决策并优化绩效？</t>
  </si>
  <si>
    <t>How can processes be performed to ensure solutions are complete, correct, and timely?
如何执行流程，以确保解决方案完整、正确和及时？</t>
  </si>
  <si>
    <t>How can sufficient resources, funding, and training be provided to support process development and execution?
如何提供足够的资源、资金和培训，以支持流程的开发和执行？</t>
  </si>
  <si>
    <t>How can processes be developed, updated, and verified to ensure compliance and minimize waste?
如何开发、更新并验证流程，以确保遵循并最大限度地减少浪费？</t>
  </si>
  <si>
    <t>How can organizational processes and assets be used to plan, manage, and execute work efficiently?
如何使用组织流程和资产来高效地计划、管理和执行工作？</t>
  </si>
  <si>
    <t>How can adherence to and effectiveness of organizational processes be evaluated for improvements?
如何评估组织流程的遵守情况和有效性，以进行改进？</t>
  </si>
  <si>
    <t>How can process-related information and assets be contributed to enhance organizational processes?
如何贡献流程相关信息和资产，以改进组织流程？</t>
  </si>
  <si>
    <t>How can the organization develop capabilities to apply statistical and quantitative techniques effectively?
如何培养组织能力，以有效应用统计和定量技术？</t>
  </si>
  <si>
    <t>How can measures be collected and recorded to improve performance management?
如何收集和记录措施以改进绩效管理？</t>
  </si>
  <si>
    <t>How can performance issues be identified and addressed to achieve objectives?
如何识别和解决绩效问题，以实现目标？</t>
  </si>
  <si>
    <t>How can measurement and performance objectives be derived, recorded, and updated?
如何得出、记录并更新测量和绩效目标？</t>
  </si>
  <si>
    <t>How can operational definitions for measures be developed and maintained for consistency?
如何制定并维护操作定义，以确保测量的一致性？</t>
  </si>
  <si>
    <t>How can measurement data be collected accurately based on operational definitions?
如何根据操作定义准确收集测量数据？</t>
  </si>
  <si>
    <t>How can performance and measurement data be analyzed to meet objectives?
如何分析绩效和测量数据，以实现目标？</t>
  </si>
  <si>
    <t>How can measurement data and analysis results be stored to improve future performance?
如何存储测量数据和分析结果，以改进未来绩效？</t>
  </si>
  <si>
    <t>How can actions be taken to address issues in achieving measurement and performance objectives?
如何采取行动解决绩效目标的实现问题？</t>
  </si>
  <si>
    <t>How can measurement and performance objectives be aligned with business goals?
如何使衡量和绩效目标与业务目标保持一致？</t>
  </si>
  <si>
    <t>How can organizational processes ensure consistent measurement and performance data collection?
如何通过组织流程确保一致的测量和绩效数据收集？</t>
  </si>
  <si>
    <t>How can a data quality process be developed and maintained to improve decision-making?
如何制定和维护数据质量流程，以改进决策？</t>
  </si>
  <si>
    <t>How can organizational performance be analyzed to identify and address improvement needs?
如何分析组织绩效，以确定和解决改进需求？</t>
  </si>
  <si>
    <t>How can performance results be periodically communicated to improve coordination?
如何定期传达绩效结果，以改进协调？</t>
  </si>
  <si>
    <t>How can statistical and quantitative techniques be used to develop quality and process performance objectives?
如何使用统计和定量技术制定质量和流程绩效目标？</t>
  </si>
  <si>
    <t>How can measurement and analytic techniques be selected to manage performance effectively?
如何选择测量和分析技术，以有效管理绩效？</t>
  </si>
  <si>
    <t>How can process performance baselines be developed and analyzed using statistical techniques?
如何使用统计技术开发和分析过程绩效基线？</t>
  </si>
  <si>
    <t>How can process performance models be developed and updated to predict and improve outcomes?
如何开发和更新过程绩效模型，以预测和改进结果？</t>
  </si>
  <si>
    <t>How can statistical techniques be used to predict the achievement of quality and process objectives?
如何使用统计技术预测质量和流程目标的实现？</t>
  </si>
  <si>
    <t>How can improvement proposals be selected and implemented based on statistical analysis?
如何根据统计分析选择和实施改进建议？</t>
  </si>
  <si>
    <t>How can performance data be analyzed to assess the organization's ability to meet objectives?
如何分析绩效数据，以评估组织实现目标的能力？</t>
  </si>
  <si>
    <t>How can business objectives be aligned with strategy using statistical techniques?
如何使用统计技术确保业务目标与战略保持一致？</t>
  </si>
  <si>
    <t xml:space="preserve">How can the organization's measurement repository be developed and used effectively?
如何有效开发和使用组织的测量存储库？
</t>
  </si>
  <si>
    <t>How can task completions be recorded to support better decision-making?
如何记录任务完成情况，以支持更好的决策？</t>
  </si>
  <si>
    <t>How can issues be identified and resolved to prevent cost and schedule overruns?
如何识别和解决问题，以防止成本和进度超支？</t>
  </si>
  <si>
    <t>How can actual results be tracked against estimates to identify deviations and take corrective actions?
如何跟踪实际结果与估算的差异，以识别偏差并采取纠正措施？</t>
  </si>
  <si>
    <t>How can stakeholder involvement and commitments be tracked to ensure successful work completion?
如何跟踪利益相关者的参与和承诺，以确保工作顺利完成？</t>
  </si>
  <si>
    <t>How can the transition to operations and support be monitored to ensure expected benefits?
如何监控向运营和支持的过渡，以确保获得预期收益？</t>
  </si>
  <si>
    <t>How can corrective actions be taken when actual results differ significantly from plans?
如何在实际结果与计划结果存在显著差异时采取纠正措施？</t>
  </si>
  <si>
    <t>How can a project be managed using a project plan and process to reduce rework?
如何使用项目计划和流程管理项目，以减少返工？</t>
  </si>
  <si>
    <t>How can critical dependencies and activities be managed to reduce risk?
如何管理关键依赖关系和活动，以降低风险？</t>
  </si>
  <si>
    <t>How can the work environment be monitored to identify and address issues?
如何监控工作环境，以发现和解决问题？</t>
  </si>
  <si>
    <t>How can issues be managed and resolved with stakeholders to increase success?
如何与利益相关者管理和解决问题，以提高成功率？</t>
  </si>
  <si>
    <t>How can training ensure individuals have the needed skills and knowledge to meet objectives?
如何通过培训确保个人具备所需技能和知识，以实现目标？</t>
  </si>
  <si>
    <t>How can training needs be identified to reduce costs and improve effectiveness?
如何识别培训需求，以降低成本并提高效果？</t>
  </si>
  <si>
    <t>How can personnel training be tracked to avoid redundancy and ensure required skills are acquired?
如何跟踪人员培训，以避免重复培训并确保获取必要技能？</t>
  </si>
  <si>
    <t>How can the organization’s strategic and short-term training needs be developed and updated?
如何制定和更新组织的战略和短期培训需求？</t>
  </si>
  <si>
    <t>How can training needs and delivery be coordinated between projects and the organization?
如何协调项目与组织之间的培训需求和交付？</t>
  </si>
  <si>
    <t>How can training plans be developed and followed to improve efficiency and effectiveness?
如何制定并执行培训计划，以提高效率和效果？</t>
  </si>
  <si>
    <t>How can training capabilities be enhanced to ensure personnel are well-equipped for their roles?
如何提高培训能力，以确保人员具备高效工作的知识、技能和能力？</t>
  </si>
  <si>
    <t>How can the effectiveness of the training program be assessed and reported to maintain relevance?
如何评估并报告培训计划的有效性，以保持其相关性？</t>
  </si>
  <si>
    <t>How can training records be maintained and used to track the program’s impact on business goals?
如何维护和使用培训记录，以跟踪培训计划对业务目标的影响？</t>
  </si>
  <si>
    <t>How can work product reviews and issue recording improve quality and reduce costs?
如何通过审查工作产品和记录问题来提高质量并降低成本？</t>
  </si>
  <si>
    <t>How can procedures and materials for peer reviews be developed and updated to improve effectiveness?
如何制定和更新同行评审的程序和材料，以提高评审效率和效果？</t>
  </si>
  <si>
    <t>How can critical work products be selected for peer review to manage costs?
如何选择关键工作产品进行同行评审，以控制成本？</t>
  </si>
  <si>
    <t>How can peer reviews be prepared and conducted using established procedures to detect issues?
如何使用既定程序准备和执行同行评审，以发现问题？</t>
  </si>
  <si>
    <t>How can issues found in peer reviews be resolved to reduce rework and improve quality?
如何解决同行评审中发现的问题，以减少返工并提高质量？</t>
  </si>
  <si>
    <t>How can peer review results and data be analyzed to improve review efficiency?
如何分析同行评审的结果和数据，以提高评审效率？</t>
  </si>
  <si>
    <t>How can a task list be developed to ensure work meets customer requirements?
如何制定任务清单，以确保工作满足客户需求？</t>
  </si>
  <si>
    <t>How can tasks be assigned to ensure requirements are met and customers are satisfied?
如何分配任务，以确保满足要求并让客户满意？</t>
  </si>
  <si>
    <t>How can the work approach be developed and updated to maximize project success?
如何制定和更新工作方法，以最大限度地提高项目成功率？</t>
  </si>
  <si>
    <t>How can knowledge and skill needs be planned to optimize personnel resources?
如何规划知识和技能需求，以优化人力资源？</t>
  </si>
  <si>
    <t>How can budgets and schedules be updated to manage deviations and corrective actions?
如何更新预算和时间表，以管理偏差并采取纠正措施？</t>
  </si>
  <si>
    <t>How can stakeholder involvement be planned to address needs and reduce rework?
如何规划利益相关者的参与，以满足需求并减少返工？</t>
  </si>
  <si>
    <t>How can transition planning minimize surprises and rework during deployment?
如何规划过渡，以最小化部署过程中的意外和返工？</t>
  </si>
  <si>
    <t>How can plans be reconciled with resource capacity to ensure feasibility?
如何协调计划与资源能力，以确保可行性？</t>
  </si>
  <si>
    <t>How can a project plan be developed and updated for consistency and communication?
如何制定和更新项目计划，以确保一致性和有效沟通？</t>
  </si>
  <si>
    <t>How can plans be reviewed and stakeholder commitments obtained to reduce rework?
如何审查计划并获得利益相关者的承诺，以减少返工？</t>
  </si>
  <si>
    <t>How can standard processes and guidelines be used to develop and update project processes?
如何使用标准流程和指南来制定和更新项目流程？</t>
  </si>
  <si>
    <t>How can project planning leverage organizational assets and measurement repositories?
如何利用组织资产和测量存储库进行项目规划？</t>
  </si>
  <si>
    <t>How can critical dependencies be identified and managed to reduce risk?
如何识别和管理关键依赖性，以降低风险？</t>
  </si>
  <si>
    <t>How can the project environment be planned and updated to ensure resource availability?
如何规划和更新项目环境，以确保资源可用？</t>
  </si>
  <si>
    <t>How can statistical and quantitative techniques be used to improve project processes?
如何使用统计和定量技术改进项目流程？</t>
  </si>
  <si>
    <t>How can process and work product issues be identified and addressed to improve quality and customer satisfaction?
如何识别和解决流程和工作产品问题，以提高质量和客户满意度？</t>
  </si>
  <si>
    <t>How can a quality assurance approach be developed, updated, and followed using historical data?
如何利用历史数据制定、更新并遵循质量保证方法？</t>
  </si>
  <si>
    <t>How can performed processes and work products be objectively evaluated against recorded standards?
如何根据记录的标准客观评估执行的流程和工作产品？</t>
  </si>
  <si>
    <t>How can quality and non-compliance issues be communicated and resolved to avoid rework?
如何沟通和解决质量及不合规问题，以避免返工？</t>
  </si>
  <si>
    <t>How can quality assurance results be recorded and used to optimize future activities?
如何记录和使用质量保证结果，以优化未来活动？</t>
  </si>
  <si>
    <t>How can opportunities for improvement be identified and recorded during quality assurance?
如何在质量保证过程中识别和记录改进机会？</t>
  </si>
  <si>
    <t>How can process assets be developed to improve consistency and meet objectives?
如何开发流程资产，以提高一致性并实现目标？</t>
  </si>
  <si>
    <t>How can necessary process assets be identified to avoid waste and focus resources?
如何确定所需的流程资产，以避免浪费并集中资源？</t>
  </si>
  <si>
    <t>How can process assets be developed, bought, or reused to minimize costs and effort?
如何开发、购买或重复使用流程资产，以减少成本和精力？</t>
  </si>
  <si>
    <t>How can processes and assets be made available to reduce work cost and time?
如何使流程和资产可用，以减少工作成本和时间？</t>
  </si>
  <si>
    <t>How can a strategy for building and updating process assets be developed and followed?
如何制定并遵循流程资产构建和更新的策略？</t>
  </si>
  <si>
    <t>How can a process architecture be developed and updated to ensure process value?
如何开发并更新流程架构，以确保流程增加价值？</t>
  </si>
  <si>
    <t>How can organizational processes and assets be maintained and made available in a library?
如何维护并使组织的流程和资产在资产库中可用？</t>
  </si>
  <si>
    <t>How can tailoring criteria and guidelines be used to balance standardization and flexibility?
如何使用定制标准和指南，在标准化和灵活性之间取得平衡？</t>
  </si>
  <si>
    <t>How can work environment standards be developed and made available to improve consistency?
如何制定并提供工作环境标准，以提高一致性？</t>
  </si>
  <si>
    <t>How can measurement and analysis standards be developed and used for better decision-making?
如何制定并使用测量和分析标准，以改进决策？</t>
  </si>
  <si>
    <t>How can a support structure be developed to guide processes, fix issues, and drive improvements?
如何开发支持结构，以提供流程指导、解决问题并推动改进？</t>
  </si>
  <si>
    <t>How can the current process implementation be appraised to identify strengths and weaknesses?
如何评估当前流程实施情况，以确定优点和缺点？</t>
  </si>
  <si>
    <t>How can process issues and improvement opportunities be addressed to enhance efficiency?
如何解决流程问题和改进机会，以提高效率？</t>
  </si>
  <si>
    <t>How can process and asset improvements be identified to maximize return on investment?
如何确定流程和资产改进，以最大化投资回报？</t>
  </si>
  <si>
    <t>How can plans for process improvements be developed, updated, and followed to meet business goals?
如何制定、更新并执行流程改进计划，以实现业务目标？</t>
  </si>
  <si>
    <t>How can process improvement objectives be aligned with business objectives for better focus?
如何确保流程改进目标与业务目标保持一致？</t>
  </si>
  <si>
    <t>How can key processes that contribute most to business objectives be identified?
如何确定对业务目标贡献最大的流程？</t>
  </si>
  <si>
    <t>How can new processes, techniques, and tools be explored to drive innovation?
如何探索和评估新流程、技术和工具，以推动创新？</t>
  </si>
  <si>
    <t>How can support be provided for implementing, deploying, and sustaining process improvements?
如何支持流程改进的实施、部署和维持？</t>
  </si>
  <si>
    <t>How can standard processes and assets be deployed to ensure efficiency and reduce waste?
如何部署标准流程和资产，以提高效率并减少浪费？</t>
  </si>
  <si>
    <t>How can the effectiveness of deployed improvements be evaluated and reported?
如何评估并报告已部署改进的有效性？</t>
  </si>
  <si>
    <t>How can statistical and quantitative techniques be used to validate performance improvements?
如何使用统计和定量技术验证绩效改进？</t>
  </si>
  <si>
    <t>How can risks and opportunities be identified, recorded, and updated to achieve objectives?
如何识别、记录并更新风险和机遇，以实现目标？</t>
  </si>
  <si>
    <t>How can identified risks and opportunities be analyzed to reduce impact or maximize benefits?
如何分析已识别的风险和机遇，以减少影响或最大化收益？</t>
  </si>
  <si>
    <t>How can risks and opportunities be monitored and communicated to stakeholders for timely action?
如何监控风险和机遇，并向利益相关者通报状态，以便及时采取行动？</t>
  </si>
  <si>
    <t>How can risk and opportunity categories be used to focus on uncertainties affecting objectives?
如何使用风险和机遇类别，以关注影响目标的不确定性？</t>
  </si>
  <si>
    <t>How can parameters be defined and used for risk and opportunity analysis and handling?
如何定义并使用参数来分析和处理风险或机遇？</t>
  </si>
  <si>
    <t>How can a risk and opportunity management strategy be developed and updated to increase success?
如何制定并更新风险和机遇管理策略，以提高成功率？</t>
  </si>
  <si>
    <t>How can risk and opportunity management plans be developed and updated to minimize risk impact?
如何制定并更新管理计划，以最小化风险影响并最大化机会收益？</t>
  </si>
  <si>
    <t>How can planned risk and opportunity management activities be implemented to enhance business value?
如何实施管理活动，以减少风险并利用机遇提升业务价值？</t>
  </si>
  <si>
    <t>How can requirements be recorded to address customer needs and expectations?
如何记录需求，以满足客户的需求和期望？</t>
  </si>
  <si>
    <t>How can stakeholder needs, expectations, and constraints be elicited and confirmed?
如何引出并确认利益相关者的需求、期望和约束？</t>
  </si>
  <si>
    <t>How can stakeholder inputs be transformed into prioritized customer requirements?
如何将利益相关者的输入转化为优先考虑的客户需求？</t>
  </si>
  <si>
    <t>How can project participants commit to implementing the requirements?
如何确保项目参与者承诺执行需求？</t>
  </si>
  <si>
    <t>How can bidirectional traceability between requirements and work products be maintained?
如何保持需求与活动或工作产品之间的双向可追溯性？</t>
  </si>
  <si>
    <t>How can plans and activities be kept consistent with requirements to minimize rework?
如何确保计划和活动与需求保持一致，以减少返工？</t>
  </si>
  <si>
    <t>How can requirements be developed and updated to ensure solutions meet customer needs?
如何开发和更新需求，以确保解决方案符合客户需求？</t>
  </si>
  <si>
    <t>How can operational concepts and scenarios be developed to confirm requirement fulfillment?
如何制定运营概念和场景，以确认需求的满足？</t>
  </si>
  <si>
    <t>How can requirements be allocated to ensure a complete solution is delivered?
如何分配需求，以确保交付完整的解决方案？</t>
  </si>
  <si>
    <t>How can interface requirements be identified and updated to reduce rework and risks?
如何识别并更新接口要求，以减少返工和风险？</t>
  </si>
  <si>
    <t>How can it be ensured that requirements are necessary and sufficient?
如何确保需求是必要且充分的？</t>
  </si>
  <si>
    <t>How can stakeholder needs and constraints be balanced to address conflicts?
如何平衡利益相关者的需求和约束，以解决冲突？</t>
  </si>
  <si>
    <t>How can requirements be validated to ensure the solution performs as intended?
如何验证需求，以确保解决方案按预期运行？</t>
  </si>
  <si>
    <t xml:space="preserve">How can solutions be properly assembled and delivered to customers to ensure they receive a fully functional and usable product?
如何正确组装解决方案并交付给客户，以确保他们收到一个完整可用的产品？
</t>
  </si>
  <si>
    <t>How can an integration strategy be developed, updated, and followed to ensure the final product meets customer requirements while considering available resources?
如何制定、更新并遵循集成策略，以确保最终产品在可用资源的情况下满足客户要求？</t>
  </si>
  <si>
    <t>What methods can be used to develop, maintain, and utilize an integration environment to mitigate risks and ensure proper solution and component integration?
如何开发、维护和使用集成环境，以降低风险并确保解决方案和组件正确集成？</t>
  </si>
  <si>
    <t>How can integration procedures and criteria be developed, maintained, and followed to increase the likelihood of a fully functional solution that meets customer expectations?
如何制定、更新并遵循集成程序和标准，以提高生成正确工作并满足客户需求的解决方案的可能性？</t>
  </si>
  <si>
    <t>What steps should be taken before integration to confirm that each component is correctly identified and operates as intended, reducing costs, rework, and integration delays?
在集成之前，应采取哪些步骤来确认每个组件是否已正确识别并按预期运行，以减少成本、返工和集成延误？</t>
  </si>
  <si>
    <t>How can integrated components be evaluated to ensure they meet the overall solution's requirements and design specifications, leading to a correctly implemented customer solution?
如何评估集成组件，以确保它们符合解决方案的要求和设计规范，从而正确实现客户需求？</t>
  </si>
  <si>
    <t>How can solutions and components be integrated effectively following the integration strategy to deliver a final product that meets both requirements and design standards?
如何根据集成策略有效地集成解决方案和组件，以交付符合要求和设计标准的最终产品？</t>
  </si>
  <si>
    <t>What practices should be in place to continuously review and update interface or connection descriptions to maintain coverage, completeness, and consistency throughout the solution's lifecycle?
应采取哪些措施来持续审查和更新接口或连接描述，以确保整个解决方案生命周期内的覆盖范围、完整性和一致性？</t>
  </si>
  <si>
    <t>How can it be confirmed, before integration, that all component interfaces or connections comply with their descriptions to minimize rework due to incompatibility?
如何在集成之前确认所有组件接口或连接符合其描述，以减少因不兼容而导致的返工？</t>
  </si>
  <si>
    <t>What evaluation methods can be used to assess integrated components for interface or connection compatibility, reducing the risk of failures within the final solution?
可以使用哪些评估方法来检查集成组件的接口或连接兼容性，以降低最终解决方案中出现故障的风险？</t>
  </si>
  <si>
    <t>How can a solution be built to meet customer requirements while minimizing rework costs?
如何构建满足客户需求的解决方案，同时降低返工成本？</t>
  </si>
  <si>
    <t>How can a structured approach be used to design and build a cost-effective solution that meets requirements and avoids rework?
如何使用结构化方法来设计和构建符合要求且经济高效的解决方案，以避免返工？</t>
  </si>
  <si>
    <t>How can the design be evaluated to identify and address issues early, reducing defects and costs?
如何评估设计并尽早解决问题，以减少缺陷和降低成本？</t>
  </si>
  <si>
    <t>How can proper guidance be provided to users to enhance the usability and maintainability of the solution?
如何为用户提供适当的指导，以提高解决方案的可用性和可维护性？</t>
  </si>
  <si>
    <t>How can design criteria be developed to ensure a robust design that meets customer needs and constraints?
如何制定设计标准，以确保设计稳健并满足客户需求和约束？</t>
  </si>
  <si>
    <t>How can alternative solutions be developed for selected components to ensure the most beneficial option is chosen?
如何为选定的组件开发替代方案，以确保选择最有利的解决方案？</t>
  </si>
  <si>
    <t>How can a build, buy, or reuse analysis be conducted to determine the most effective way to implement the design?
如何执行构建、购买或重用分析，以选择最有效的设计实现方式？</t>
  </si>
  <si>
    <t>How can solutions be selected based on design criteria to ensure efficiency, effectiveness, and compliance with cost, schedule, and performance constraints?
如何根据设计标准选择解决方案，以确保高效、有效，并符合成本、进度和性能要求？</t>
  </si>
  <si>
    <t>How can the necessary information for implementing the design be developed, updated, and used to avoid rework?
如何开发、更新和使用实现设计所需的信息，以避免返工？</t>
  </si>
  <si>
    <t>How can solution interfaces or connections be designed using established criteria to reduce failures and maximize performance?
如何使用既定标准设计解决方案接口或连接，以减少故障并最大限度地提高性能？</t>
  </si>
  <si>
    <t>How can verification be performed to ensure that requirements are correctly implemented, while recording and communicating results to reduce costs and improve customer satisfaction?
如何执行验证以确保需求被正确实施，同时记录和传达结果，以降低成本并提高客户满意度？</t>
  </si>
  <si>
    <t>How can validation be conducted to confirm that the solution functions as intended in its target environment, while ensuring results are recorded and communicated effectively?
如何进行验证，以确认解决方案在目标环境中按预期运行，并确保结果得到有效记录和传达？</t>
  </si>
  <si>
    <t>What criteria should be used to select components and methods for verification and validation to ensure the final solution meets or exceeds customer expectations?
应使用哪些标准来选择用于验证和确认的组件和方法，以确保最终解决方案满足或超出客户期望？</t>
  </si>
  <si>
    <t>How can a verification and validation environment be developed, maintained, and used to minimize project delays and ensure readiness when needed?
如何开发、维护和使用验证和确认环境，以最大限度地减少项目延迟并确保环境随时可用？</t>
  </si>
  <si>
    <t>How can verification and validation procedures be developed, updated, and followed to reduce costs and ensure more predictable performance?
如何制定、更新和遵循验证和确认程序，以降低成本并提高绩效的可预测性？</t>
  </si>
  <si>
    <t>How can verification and validation criteria be established and maintained to ensure activities focus on critical needs and minimize waste?
如何制定并维护验证和确认标准，以确保活动关注关键需求并减少浪费？</t>
  </si>
  <si>
    <t>How can verification and validation results be effectively analyzed and communicated to improve the process over time?
如何分析和传达验证和确认结果，以随着时间推移提高验证和确认的有效性？</t>
  </si>
  <si>
    <t>How can suppliers be identified, evaluated, and selected to ensure they meet project requirements?
如何识别、评估和选择供应商，以确保他们符合项目要求？</t>
  </si>
  <si>
    <t>How can a supplier agreement be developed and recorded to increase the likelihood of meeting requirements when using suppliers?
如何制定和记录供应商协议，以增加使用供应商时满足要求的可能性？</t>
  </si>
  <si>
    <t>What criteria should be used to accept or reject supplier deliverables to ensure compliance with agreed-upon terms?
应使用哪些标准来接受或拒绝供应商交付成果，以确保其符合商定条款？</t>
  </si>
  <si>
    <t>How can supplier invoices be processed efficiently to maintain a strong working relationship while ensuring contractual compliance?
如何高效处理供应商发票，以在确保合同合规的同时维持良好的合作关系？</t>
  </si>
  <si>
    <t>How can evaluation criteria, potential suppliers, and supplier requests be identified and distributed to select suppliers that align with business objectives?
如何确定评估标准、潜在供应商并分发供应商请求，以选择符合业务目标的供应商？</t>
  </si>
  <si>
    <t>How can supplier responses be evaluated based on recorded criteria to select the best supplier for contractual requirements?
如何根据记录的评估标准评估供应商的响应，以选择最符合合同要求的供应商？</t>
  </si>
  <si>
    <t>How can supplier activities be managed according to the supplier agreement and kept updated to ensure expectations are met?
如何根据供应商协议管理供应商活动，并保持协议更新，以确保满足期望？</t>
  </si>
  <si>
    <t>What verification steps should be taken before accepting supplier deliverables to confirm compliance with the supplier agreement?
在接受供应商交付成果之前，应采取哪些验证步骤，以确认其符合供应商协议？</t>
  </si>
  <si>
    <t>How can supplier invoices be managed according to agreements to maintain a positive business relationship?
如何根据供应商协议管理发票，以保持良好的业务关系？</t>
  </si>
  <si>
    <t>How can technical reviews be conducted on supplier performance and deliverables to ensure quality and timely delivery?
如何对供应商绩效和交付成果进行技术审查，以确保质量和按时交付？</t>
  </si>
  <si>
    <t>How can supplier performance and processes be managed based on supplier agreement criteria to minimize risks and meet acquirer needs?
如何根据供应商协议的标准管理供应商绩效和流程，以降低风险并满足收购方需求？</t>
  </si>
  <si>
    <t>What measures and analytical techniques can be applied to quantitatively manage suppliers and improve their performance?
可以应用哪些衡量标准和分析技术来定量管理供应商，并提高其绩效？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</si>
</sst>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9"/>
      <name val="Calibri"/>
      <family val="3"/>
      <charset val="134"/>
      <scheme val="minor"/>
    </font>
    <font>
      <b/>
      <sz val="20"/>
      <color rgb="FF505050"/>
      <name val="Calibri"/>
      <family val="2"/>
      <scheme val="minor"/>
    </font>
    <font>
      <sz val="10"/>
      <name val="Calibri"/>
      <family val="2"/>
      <charset val="134"/>
      <scheme val="minor"/>
    </font>
    <font>
      <sz val="11"/>
      <color rgb="FF000000"/>
      <name val="Calibri"/>
      <family val="2"/>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21" fillId="0" borderId="0" applyNumberFormat="0" applyFill="0" applyBorder="0" applyAlignment="0" applyProtection="0">
      <alignment vertical="top"/>
      <protection locked="0"/>
    </xf>
    <xf numFmtId="0" fontId="30" fillId="0" borderId="0"/>
    <xf numFmtId="0" fontId="31" fillId="0" borderId="0"/>
    <xf numFmtId="0" fontId="31" fillId="0" borderId="0"/>
    <xf numFmtId="0" fontId="30" fillId="0" borderId="0"/>
    <xf numFmtId="0" fontId="11" fillId="0" borderId="0"/>
    <xf numFmtId="0" fontId="10" fillId="0" borderId="0"/>
    <xf numFmtId="0" fontId="10" fillId="0" borderId="0"/>
    <xf numFmtId="0" fontId="30" fillId="0" borderId="0"/>
    <xf numFmtId="0" fontId="10" fillId="0" borderId="0"/>
    <xf numFmtId="0" fontId="8" fillId="0" borderId="0"/>
    <xf numFmtId="0" fontId="7" fillId="0" borderId="0"/>
    <xf numFmtId="0" fontId="7" fillId="0" borderId="0"/>
    <xf numFmtId="0" fontId="7" fillId="0" borderId="0"/>
    <xf numFmtId="0" fontId="33" fillId="0" borderId="0"/>
    <xf numFmtId="0" fontId="6" fillId="0" borderId="0"/>
    <xf numFmtId="0" fontId="6" fillId="0" borderId="0"/>
    <xf numFmtId="0" fontId="5" fillId="0" borderId="0"/>
    <xf numFmtId="0" fontId="4" fillId="0" borderId="0"/>
    <xf numFmtId="0" fontId="4" fillId="0" borderId="0"/>
    <xf numFmtId="0" fontId="30" fillId="0" borderId="0"/>
    <xf numFmtId="0" fontId="2" fillId="0" borderId="0"/>
    <xf numFmtId="0" fontId="1" fillId="0" borderId="0"/>
  </cellStyleXfs>
  <cellXfs count="348">
    <xf numFmtId="0" fontId="0" fillId="0" borderId="0" xfId="0"/>
    <xf numFmtId="0" fontId="17" fillId="3" borderId="1" xfId="2" applyFont="1" applyFill="1" applyBorder="1" applyAlignment="1">
      <alignment horizontal="left" vertical="center"/>
    </xf>
    <xf numFmtId="0" fontId="17" fillId="3" borderId="1" xfId="2" applyFont="1" applyFill="1" applyBorder="1" applyAlignment="1">
      <alignment horizontal="left" vertical="center" wrapText="1"/>
    </xf>
    <xf numFmtId="0" fontId="17" fillId="4" borderId="1" xfId="2" applyFont="1" applyFill="1" applyBorder="1" applyAlignment="1">
      <alignment horizontal="left" vertical="top" wrapText="1"/>
    </xf>
    <xf numFmtId="0" fontId="17" fillId="2" borderId="1" xfId="2" applyFont="1" applyFill="1" applyBorder="1" applyAlignment="1">
      <alignment horizontal="center" vertical="center"/>
    </xf>
    <xf numFmtId="0" fontId="17" fillId="0" borderId="1" xfId="5" applyFont="1" applyBorder="1" applyAlignment="1">
      <alignment horizontal="left" vertical="center" wrapText="1"/>
    </xf>
    <xf numFmtId="0" fontId="19" fillId="0" borderId="1" xfId="5" applyFont="1" applyBorder="1" applyAlignment="1">
      <alignment horizontal="center" vertical="center" wrapText="1"/>
    </xf>
    <xf numFmtId="0" fontId="17" fillId="5" borderId="1" xfId="2" applyFont="1" applyFill="1" applyBorder="1" applyAlignment="1">
      <alignment horizontal="center" vertical="center" wrapText="1"/>
    </xf>
    <xf numFmtId="0" fontId="17" fillId="2" borderId="1" xfId="2" applyFont="1" applyFill="1" applyBorder="1" applyAlignment="1">
      <alignment horizontal="left" vertical="center" wrapText="1"/>
    </xf>
    <xf numFmtId="0" fontId="17" fillId="2" borderId="1" xfId="2" applyFont="1" applyFill="1" applyBorder="1" applyAlignment="1">
      <alignment horizontal="center" vertical="center" wrapText="1"/>
    </xf>
    <xf numFmtId="0" fontId="17" fillId="5" borderId="2" xfId="2" applyFont="1" applyFill="1" applyBorder="1" applyAlignment="1">
      <alignment vertical="center" wrapText="1"/>
    </xf>
    <xf numFmtId="0" fontId="17" fillId="4" borderId="1" xfId="2" applyFont="1" applyFill="1" applyBorder="1" applyAlignment="1">
      <alignment vertical="center" wrapText="1"/>
    </xf>
    <xf numFmtId="0" fontId="20" fillId="0" borderId="1" xfId="1" applyNumberFormat="1" applyFont="1" applyFill="1" applyBorder="1" applyAlignment="1" applyProtection="1">
      <alignment horizontal="center" vertical="center" wrapText="1"/>
    </xf>
    <xf numFmtId="0" fontId="17" fillId="3" borderId="1" xfId="2" applyFont="1" applyFill="1" applyBorder="1" applyAlignment="1">
      <alignment horizontal="center" vertical="center" wrapText="1"/>
    </xf>
    <xf numFmtId="0" fontId="0" fillId="0" borderId="0" xfId="0" applyAlignment="1">
      <alignment horizontal="left" vertical="top" wrapText="1"/>
    </xf>
    <xf numFmtId="0" fontId="21" fillId="0" borderId="0" xfId="1" applyAlignment="1" applyProtection="1"/>
    <xf numFmtId="0" fontId="0" fillId="0" borderId="0" xfId="0" applyAlignment="1">
      <alignment horizontal="left" vertical="top"/>
    </xf>
    <xf numFmtId="0" fontId="18" fillId="10" borderId="2" xfId="2" applyFont="1" applyFill="1" applyBorder="1" applyAlignment="1">
      <alignment vertical="center" wrapText="1"/>
    </xf>
    <xf numFmtId="0" fontId="18" fillId="10" borderId="3" xfId="2" applyFont="1" applyFill="1" applyBorder="1" applyAlignment="1">
      <alignment vertical="center" wrapText="1"/>
    </xf>
    <xf numFmtId="0" fontId="17" fillId="9" borderId="1" xfId="2" applyFont="1" applyFill="1" applyBorder="1" applyAlignment="1">
      <alignment horizontal="left" vertical="center" wrapText="1"/>
    </xf>
    <xf numFmtId="0" fontId="17" fillId="4" borderId="1" xfId="2" applyFont="1" applyFill="1" applyBorder="1" applyAlignment="1">
      <alignment horizontal="left" vertical="center" wrapText="1"/>
    </xf>
    <xf numFmtId="0" fontId="14" fillId="0" borderId="0" xfId="13" applyFont="1"/>
    <xf numFmtId="0" fontId="14" fillId="0" borderId="0" xfId="13" applyFont="1" applyAlignment="1">
      <alignment horizontal="left" indent="1"/>
    </xf>
    <xf numFmtId="0" fontId="32" fillId="0" borderId="0" xfId="1" applyFont="1" applyAlignment="1" applyProtection="1"/>
    <xf numFmtId="0" fontId="23" fillId="12" borderId="5" xfId="13" applyFont="1" applyFill="1" applyBorder="1" applyAlignment="1">
      <alignment horizontal="center" vertical="center" textRotation="90" wrapText="1"/>
    </xf>
    <xf numFmtId="0" fontId="23" fillId="0" borderId="5" xfId="13" applyFont="1" applyBorder="1" applyAlignment="1">
      <alignment horizontal="center" vertical="center" textRotation="90" wrapText="1"/>
    </xf>
    <xf numFmtId="0" fontId="16" fillId="12" borderId="4" xfId="13" applyFont="1" applyFill="1" applyBorder="1" applyAlignment="1">
      <alignment horizontal="center" vertical="center" wrapText="1"/>
    </xf>
    <xf numFmtId="0" fontId="7" fillId="2" borderId="0" xfId="13" applyFill="1"/>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10" borderId="5" xfId="13" applyFont="1" applyFill="1" applyBorder="1" applyAlignment="1">
      <alignment horizontal="center" vertical="center" wrapText="1"/>
    </xf>
    <xf numFmtId="0" fontId="23" fillId="10" borderId="5" xfId="14" quotePrefix="1" applyFont="1" applyFill="1" applyBorder="1" applyAlignment="1">
      <alignment horizontal="center" vertical="center" wrapText="1"/>
    </xf>
    <xf numFmtId="0" fontId="16" fillId="8" borderId="4" xfId="13" applyFont="1" applyFill="1" applyBorder="1" applyAlignment="1">
      <alignment horizontal="center" vertical="center" wrapText="1"/>
    </xf>
    <xf numFmtId="0" fontId="23" fillId="10" borderId="5" xfId="14" applyFont="1" applyFill="1" applyBorder="1" applyAlignment="1">
      <alignment horizontal="center" vertical="center" wrapText="1"/>
    </xf>
    <xf numFmtId="0" fontId="25" fillId="2" borderId="0" xfId="13" applyFont="1" applyFill="1"/>
    <xf numFmtId="0" fontId="12" fillId="2" borderId="0" xfId="13" applyFont="1" applyFill="1"/>
    <xf numFmtId="0" fontId="27" fillId="12" borderId="5" xfId="13" applyFont="1" applyFill="1" applyBorder="1" applyAlignment="1">
      <alignment horizontal="center" vertical="center" wrapText="1"/>
    </xf>
    <xf numFmtId="0" fontId="27" fillId="0" borderId="5" xfId="13" applyFont="1" applyBorder="1" applyAlignment="1">
      <alignment horizontal="center" vertical="center" wrapText="1"/>
    </xf>
    <xf numFmtId="0" fontId="15" fillId="12" borderId="4" xfId="13" applyFont="1" applyFill="1" applyBorder="1" applyAlignment="1">
      <alignment horizontal="center" vertical="center" wrapText="1"/>
    </xf>
    <xf numFmtId="0" fontId="26" fillId="2" borderId="0" xfId="13" applyFont="1" applyFill="1" applyAlignment="1">
      <alignment horizontal="center" vertical="center"/>
    </xf>
    <xf numFmtId="0" fontId="26" fillId="2" borderId="5" xfId="13" applyFont="1" applyFill="1" applyBorder="1" applyAlignment="1">
      <alignment horizontal="center" vertical="center"/>
    </xf>
    <xf numFmtId="0" fontId="28" fillId="2" borderId="0" xfId="13" applyFont="1" applyFill="1"/>
    <xf numFmtId="0" fontId="7" fillId="2" borderId="0" xfId="13" applyFill="1" applyAlignment="1">
      <alignment horizontal="center" vertical="center"/>
    </xf>
    <xf numFmtId="0" fontId="29" fillId="7" borderId="5" xfId="13" applyFont="1" applyFill="1" applyBorder="1" applyAlignment="1">
      <alignment horizontal="center" vertical="center" wrapText="1"/>
    </xf>
    <xf numFmtId="0" fontId="29" fillId="0" borderId="5" xfId="13" applyFont="1" applyBorder="1" applyAlignment="1">
      <alignment horizontal="center" vertical="center" wrapText="1"/>
    </xf>
    <xf numFmtId="0" fontId="22" fillId="2" borderId="0" xfId="13" applyFont="1" applyFill="1"/>
    <xf numFmtId="0" fontId="22" fillId="2" borderId="0" xfId="13" applyFont="1" applyFill="1" applyAlignment="1">
      <alignment horizontal="center" vertical="center"/>
    </xf>
    <xf numFmtId="0" fontId="13" fillId="13" borderId="0" xfId="13" applyFont="1" applyFill="1" applyAlignment="1">
      <alignment horizontal="center" vertical="center" textRotation="90" wrapText="1"/>
    </xf>
    <xf numFmtId="0" fontId="23" fillId="10" borderId="5" xfId="13" quotePrefix="1" applyFont="1" applyFill="1" applyBorder="1" applyAlignment="1">
      <alignment horizontal="center" vertical="center" wrapText="1"/>
    </xf>
    <xf numFmtId="0" fontId="24" fillId="2" borderId="0" xfId="13" applyFont="1" applyFill="1"/>
    <xf numFmtId="0" fontId="7" fillId="0" borderId="0" xfId="13" applyAlignment="1">
      <alignment horizontal="left" vertical="top"/>
    </xf>
    <xf numFmtId="0" fontId="17" fillId="3" borderId="1" xfId="15" applyFont="1" applyFill="1" applyBorder="1" applyAlignment="1">
      <alignment horizontal="left" vertical="center" wrapText="1"/>
    </xf>
    <xf numFmtId="0" fontId="17" fillId="3" borderId="1" xfId="15" applyFont="1" applyFill="1" applyBorder="1" applyAlignment="1">
      <alignment horizontal="center" vertical="center" textRotation="90" wrapText="1"/>
    </xf>
    <xf numFmtId="0" fontId="17" fillId="3" borderId="1" xfId="15" applyFont="1" applyFill="1" applyBorder="1" applyAlignment="1">
      <alignment horizontal="center" vertical="center" wrapText="1"/>
    </xf>
    <xf numFmtId="0" fontId="13" fillId="0" borderId="1" xfId="13" applyFont="1" applyBorder="1" applyAlignment="1">
      <alignment horizontal="left" vertical="center" wrapText="1"/>
    </xf>
    <xf numFmtId="0" fontId="13" fillId="2" borderId="0" xfId="13" applyFont="1" applyFill="1"/>
    <xf numFmtId="0" fontId="13" fillId="0" borderId="1" xfId="13" applyFont="1" applyBorder="1" applyAlignment="1">
      <alignment horizontal="left" vertical="top" wrapText="1"/>
    </xf>
    <xf numFmtId="0" fontId="13" fillId="2" borderId="0" xfId="13" applyFont="1" applyFill="1" applyAlignment="1">
      <alignment horizontal="left" vertical="top" wrapText="1"/>
    </xf>
    <xf numFmtId="0" fontId="13" fillId="2" borderId="0" xfId="13" applyFont="1" applyFill="1" applyAlignment="1">
      <alignment horizontal="center" vertical="center"/>
    </xf>
    <xf numFmtId="0" fontId="13" fillId="0" borderId="1" xfId="13" applyFont="1" applyBorder="1" applyAlignment="1">
      <alignment horizontal="left" vertical="center"/>
    </xf>
    <xf numFmtId="0" fontId="15" fillId="2" borderId="0" xfId="13" applyFont="1" applyFill="1" applyAlignment="1">
      <alignment horizontal="left" vertical="top"/>
    </xf>
    <xf numFmtId="0" fontId="12" fillId="2" borderId="0" xfId="13" applyFont="1" applyFill="1" applyAlignment="1">
      <alignment horizontal="left" vertical="top"/>
    </xf>
    <xf numFmtId="0" fontId="16" fillId="2" borderId="0" xfId="13" applyFont="1" applyFill="1" applyAlignment="1">
      <alignment horizontal="left" vertical="top"/>
    </xf>
    <xf numFmtId="0" fontId="14" fillId="2" borderId="0" xfId="13" applyFont="1" applyFill="1" applyAlignment="1">
      <alignment horizontal="left" vertical="top"/>
    </xf>
    <xf numFmtId="0" fontId="13" fillId="2" borderId="0" xfId="13" applyFont="1" applyFill="1" applyAlignment="1">
      <alignment horizontal="left" vertical="top"/>
    </xf>
    <xf numFmtId="0" fontId="34"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6" fillId="0" borderId="0" xfId="17"/>
    <xf numFmtId="0" fontId="35" fillId="0" borderId="0" xfId="19" applyFont="1" applyAlignment="1">
      <alignment horizontal="left" vertical="top"/>
    </xf>
    <xf numFmtId="0" fontId="4" fillId="0" borderId="0" xfId="19" applyAlignment="1">
      <alignment horizontal="left" vertical="top"/>
    </xf>
    <xf numFmtId="0" fontId="13" fillId="0" borderId="0" xfId="19" applyFont="1" applyAlignment="1">
      <alignment horizontal="left" vertical="top"/>
    </xf>
    <xf numFmtId="0" fontId="13" fillId="0" borderId="0" xfId="19" applyFont="1" applyAlignment="1">
      <alignment horizontal="center" vertical="center"/>
    </xf>
    <xf numFmtId="0" fontId="13" fillId="0" borderId="0" xfId="19" applyFont="1" applyAlignment="1">
      <alignment horizontal="center" vertical="top"/>
    </xf>
    <xf numFmtId="0" fontId="4" fillId="0" borderId="0" xfId="19"/>
    <xf numFmtId="0" fontId="13" fillId="0" borderId="0" xfId="19" applyFont="1" applyAlignment="1">
      <alignment horizontal="left" vertical="top" wrapText="1"/>
    </xf>
    <xf numFmtId="0" fontId="23" fillId="2" borderId="0" xfId="19" applyFont="1" applyFill="1" applyAlignment="1">
      <alignment horizontal="left" vertical="top"/>
    </xf>
    <xf numFmtId="0" fontId="13" fillId="14" borderId="0" xfId="19" applyFont="1" applyFill="1" applyAlignment="1">
      <alignment horizontal="left" vertical="top"/>
    </xf>
    <xf numFmtId="0" fontId="13" fillId="6" borderId="0" xfId="19" applyFont="1" applyFill="1" applyAlignment="1">
      <alignment horizontal="left" vertical="top"/>
    </xf>
    <xf numFmtId="0" fontId="13" fillId="6" borderId="0" xfId="19" applyFont="1" applyFill="1" applyAlignment="1">
      <alignment horizontal="center" vertical="center"/>
    </xf>
    <xf numFmtId="0" fontId="13" fillId="15" borderId="0" xfId="19" applyFont="1" applyFill="1" applyAlignment="1">
      <alignment horizontal="left" vertical="top"/>
    </xf>
    <xf numFmtId="0" fontId="13" fillId="15" borderId="0" xfId="19" applyFont="1" applyFill="1" applyAlignment="1">
      <alignment horizontal="left" vertical="top" wrapText="1"/>
    </xf>
    <xf numFmtId="0" fontId="13" fillId="0" borderId="0" xfId="19" applyFont="1"/>
    <xf numFmtId="0" fontId="13" fillId="14" borderId="0" xfId="19" applyFont="1" applyFill="1"/>
    <xf numFmtId="0" fontId="13" fillId="6" borderId="0" xfId="19" applyFont="1" applyFill="1"/>
    <xf numFmtId="0" fontId="13" fillId="15" borderId="0" xfId="19" applyFont="1" applyFill="1" applyAlignment="1">
      <alignment horizontal="center" vertical="top"/>
    </xf>
    <xf numFmtId="0" fontId="23" fillId="16" borderId="1" xfId="19" applyFont="1" applyFill="1" applyBorder="1" applyAlignment="1">
      <alignment horizontal="left" vertical="top"/>
    </xf>
    <xf numFmtId="0" fontId="17" fillId="6" borderId="1" xfId="2" applyFont="1" applyFill="1" applyBorder="1" applyAlignment="1">
      <alignment horizontal="left" vertical="top" wrapText="1"/>
    </xf>
    <xf numFmtId="0" fontId="17" fillId="15" borderId="1" xfId="2" applyFont="1" applyFill="1" applyBorder="1" applyAlignment="1">
      <alignment horizontal="left" vertical="top" wrapText="1"/>
    </xf>
    <xf numFmtId="0" fontId="17" fillId="15" borderId="2" xfId="2" applyFont="1" applyFill="1" applyBorder="1" applyAlignment="1">
      <alignment horizontal="left" vertical="top" wrapText="1"/>
    </xf>
    <xf numFmtId="0" fontId="17" fillId="0" borderId="0" xfId="2" applyFont="1" applyAlignment="1">
      <alignment horizontal="left" vertical="top" wrapText="1"/>
    </xf>
    <xf numFmtId="0" fontId="4" fillId="0" borderId="0" xfId="19" applyAlignment="1">
      <alignment vertical="top"/>
    </xf>
    <xf numFmtId="0" fontId="23" fillId="3" borderId="1" xfId="19" applyFont="1" applyFill="1" applyBorder="1" applyAlignment="1">
      <alignment horizontal="left" vertical="top"/>
    </xf>
    <xf numFmtId="0" fontId="17" fillId="3" borderId="1" xfId="2" applyFont="1" applyFill="1" applyBorder="1" applyAlignment="1">
      <alignment horizontal="left" vertical="top" wrapText="1"/>
    </xf>
    <xf numFmtId="0" fontId="36" fillId="17" borderId="1" xfId="2" quotePrefix="1" applyFont="1" applyFill="1" applyBorder="1" applyAlignment="1">
      <alignment horizontal="left" vertical="top" wrapText="1"/>
    </xf>
    <xf numFmtId="0" fontId="36" fillId="0" borderId="0" xfId="2" quotePrefix="1" applyFont="1" applyAlignment="1">
      <alignment horizontal="left" vertical="top" wrapText="1"/>
    </xf>
    <xf numFmtId="0" fontId="13" fillId="0" borderId="0" xfId="20" applyFont="1" applyAlignment="1" applyProtection="1">
      <alignment horizontal="left" vertical="top" wrapText="1"/>
      <protection locked="0"/>
    </xf>
    <xf numFmtId="0" fontId="13" fillId="0" borderId="0" xfId="20" applyFont="1" applyAlignment="1" applyProtection="1">
      <alignment vertical="top"/>
      <protection locked="0"/>
    </xf>
    <xf numFmtId="0" fontId="17" fillId="17" borderId="1" xfId="2" quotePrefix="1" applyFont="1" applyFill="1" applyBorder="1" applyAlignment="1">
      <alignment horizontal="left" vertical="top" wrapText="1"/>
    </xf>
    <xf numFmtId="0" fontId="17" fillId="17" borderId="1" xfId="2" applyFont="1" applyFill="1" applyBorder="1" applyAlignment="1">
      <alignment horizontal="left" vertical="top" wrapText="1"/>
    </xf>
    <xf numFmtId="0" fontId="23" fillId="19" borderId="1" xfId="19" applyFont="1" applyFill="1" applyBorder="1" applyAlignment="1">
      <alignment horizontal="left" vertical="top"/>
    </xf>
    <xf numFmtId="0" fontId="35" fillId="0" borderId="0" xfId="20" applyFont="1" applyAlignment="1">
      <alignment horizontal="left" vertical="top"/>
    </xf>
    <xf numFmtId="0" fontId="4" fillId="0" borderId="0" xfId="20"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 fillId="0" borderId="0" xfId="20" applyAlignment="1">
      <alignment vertical="top"/>
    </xf>
    <xf numFmtId="0" fontId="13" fillId="0" borderId="0" xfId="20" applyFont="1" applyAlignment="1">
      <alignment horizontal="left" vertical="top" wrapText="1"/>
    </xf>
    <xf numFmtId="0" fontId="23"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6" borderId="0" xfId="20" applyFont="1" applyFill="1" applyAlignment="1">
      <alignment horizontal="center" vertical="center"/>
    </xf>
    <xf numFmtId="0" fontId="13" fillId="6" borderId="0" xfId="20" applyFont="1" applyFill="1" applyAlignment="1">
      <alignment horizontal="left" vertical="top" wrapText="1"/>
    </xf>
    <xf numFmtId="0" fontId="13" fillId="15" borderId="0" xfId="20" applyFont="1" applyFill="1" applyAlignment="1">
      <alignment horizontal="left" vertical="top"/>
    </xf>
    <xf numFmtId="0" fontId="4" fillId="0" borderId="0" xfId="20"/>
    <xf numFmtId="0" fontId="13" fillId="0" borderId="0" xfId="20" applyFont="1"/>
    <xf numFmtId="0" fontId="13" fillId="14" borderId="0" xfId="20" applyFont="1" applyFill="1"/>
    <xf numFmtId="0" fontId="13" fillId="6" borderId="0" xfId="20" applyFont="1" applyFill="1"/>
    <xf numFmtId="0" fontId="13" fillId="15" borderId="0" xfId="20" applyFont="1" applyFill="1" applyAlignment="1">
      <alignment horizontal="center" vertical="top"/>
    </xf>
    <xf numFmtId="0" fontId="23" fillId="16" borderId="1" xfId="20" applyFont="1" applyFill="1" applyBorder="1" applyAlignment="1">
      <alignment horizontal="left" vertical="top"/>
    </xf>
    <xf numFmtId="0" fontId="13" fillId="0" borderId="0" xfId="20" applyFont="1" applyAlignment="1">
      <alignment vertical="top"/>
    </xf>
    <xf numFmtId="0" fontId="23" fillId="3" borderId="1" xfId="20" applyFont="1" applyFill="1" applyBorder="1" applyAlignment="1">
      <alignment horizontal="left" vertical="top"/>
    </xf>
    <xf numFmtId="0" fontId="36" fillId="17" borderId="1" xfId="2" applyFont="1" applyFill="1" applyBorder="1" applyAlignment="1">
      <alignment horizontal="left" vertical="top" wrapText="1"/>
    </xf>
    <xf numFmtId="0" fontId="36" fillId="0" borderId="1" xfId="2" applyFont="1" applyBorder="1" applyAlignment="1">
      <alignment horizontal="left" vertical="top" wrapText="1"/>
    </xf>
    <xf numFmtId="0" fontId="36" fillId="0" borderId="0" xfId="2" applyFont="1" applyAlignment="1">
      <alignment horizontal="left" vertical="top" wrapText="1"/>
    </xf>
    <xf numFmtId="0" fontId="13" fillId="0" borderId="0" xfId="20" applyFont="1" applyAlignment="1" applyProtection="1">
      <alignment horizontal="left" vertical="center"/>
      <protection locked="0"/>
    </xf>
    <xf numFmtId="0" fontId="13" fillId="0" borderId="0" xfId="20" applyFont="1" applyAlignment="1">
      <alignment horizontal="left" vertical="center"/>
    </xf>
    <xf numFmtId="0" fontId="13" fillId="0" borderId="0" xfId="20" applyFont="1" applyAlignment="1" applyProtection="1">
      <alignment horizontal="center" vertical="center"/>
      <protection locked="0"/>
    </xf>
    <xf numFmtId="0" fontId="13" fillId="0" borderId="0" xfId="20" applyFont="1" applyAlignment="1" applyProtection="1">
      <alignment vertical="center"/>
      <protection locked="0"/>
    </xf>
    <xf numFmtId="0" fontId="39" fillId="17" borderId="1" xfId="2" quotePrefix="1" applyFont="1" applyFill="1" applyBorder="1" applyAlignment="1">
      <alignment horizontal="left" vertical="top" wrapText="1"/>
    </xf>
    <xf numFmtId="0" fontId="23" fillId="19" borderId="1" xfId="20" applyFont="1" applyFill="1" applyBorder="1" applyAlignment="1">
      <alignment horizontal="left" vertical="top"/>
    </xf>
    <xf numFmtId="0" fontId="13" fillId="0" borderId="0" xfId="20" applyFont="1" applyAlignment="1">
      <alignment horizontal="center" vertical="center"/>
    </xf>
    <xf numFmtId="0" fontId="17" fillId="0" borderId="0" xfId="2" applyFont="1" applyAlignment="1">
      <alignment horizontal="left" vertical="center" wrapText="1"/>
    </xf>
    <xf numFmtId="0" fontId="13" fillId="0" borderId="0" xfId="20" applyFont="1" applyAlignment="1">
      <alignment horizontal="left" vertical="center" wrapText="1"/>
    </xf>
    <xf numFmtId="0" fontId="17" fillId="0" borderId="0" xfId="5" applyFont="1" applyAlignment="1">
      <alignment horizontal="left" vertical="center" wrapText="1"/>
    </xf>
    <xf numFmtId="0" fontId="13" fillId="0" borderId="0" xfId="20" applyFont="1" applyAlignment="1">
      <alignment vertical="center"/>
    </xf>
    <xf numFmtId="0" fontId="13" fillId="17" borderId="1" xfId="20" applyFont="1" applyFill="1" applyBorder="1" applyAlignment="1" applyProtection="1">
      <alignment horizontal="left" vertical="top"/>
      <protection locked="0"/>
    </xf>
    <xf numFmtId="0" fontId="37" fillId="17" borderId="1" xfId="20" applyFont="1" applyFill="1" applyBorder="1" applyAlignment="1" applyProtection="1">
      <alignment horizontal="left" vertical="top" wrapText="1"/>
      <protection locked="0"/>
    </xf>
    <xf numFmtId="0" fontId="13" fillId="12" borderId="0" xfId="20" applyFont="1" applyFill="1" applyAlignment="1">
      <alignment vertical="top"/>
    </xf>
    <xf numFmtId="0" fontId="13" fillId="12" borderId="0" xfId="20" applyFont="1" applyFill="1" applyAlignment="1">
      <alignment vertical="top" wrapText="1"/>
    </xf>
    <xf numFmtId="0" fontId="13" fillId="12" borderId="0" xfId="20" applyFont="1" applyFill="1" applyAlignment="1">
      <alignment horizontal="center" vertical="top" wrapText="1"/>
    </xf>
    <xf numFmtId="0" fontId="17" fillId="0" borderId="0" xfId="5" applyFont="1" applyAlignment="1">
      <alignment horizontal="left" vertical="top" wrapText="1"/>
    </xf>
    <xf numFmtId="0" fontId="13" fillId="14" borderId="0" xfId="20" applyFont="1" applyFill="1" applyAlignment="1">
      <alignment horizontal="left" vertical="top" wrapText="1"/>
    </xf>
    <xf numFmtId="0" fontId="13" fillId="15" borderId="0" xfId="20" applyFont="1" applyFill="1" applyAlignment="1">
      <alignment horizontal="left" vertical="top" wrapText="1"/>
    </xf>
    <xf numFmtId="0" fontId="39" fillId="17" borderId="1" xfId="2" applyFont="1" applyFill="1" applyBorder="1" applyAlignment="1">
      <alignment horizontal="left" vertical="top" wrapText="1"/>
    </xf>
    <xf numFmtId="0" fontId="17" fillId="0" borderId="9" xfId="2" applyFont="1" applyBorder="1" applyAlignment="1">
      <alignment horizontal="left" vertical="top" wrapText="1"/>
    </xf>
    <xf numFmtId="0" fontId="4" fillId="0" borderId="13" xfId="20" applyBorder="1"/>
    <xf numFmtId="0" fontId="4" fillId="0" borderId="14" xfId="20" applyBorder="1"/>
    <xf numFmtId="0" fontId="13" fillId="17" borderId="1" xfId="20" applyFont="1" applyFill="1" applyBorder="1" applyAlignment="1" applyProtection="1">
      <alignment horizontal="left" vertical="top" wrapText="1"/>
      <protection locked="0"/>
    </xf>
    <xf numFmtId="0" fontId="13" fillId="12" borderId="0" xfId="20" quotePrefix="1" applyFont="1" applyFill="1" applyAlignment="1">
      <alignment vertical="top" wrapText="1"/>
    </xf>
    <xf numFmtId="0" fontId="41" fillId="0" borderId="0" xfId="20" applyFont="1" applyAlignment="1">
      <alignment horizontal="left" vertical="top"/>
    </xf>
    <xf numFmtId="0" fontId="41" fillId="0" borderId="0" xfId="20" applyFont="1" applyAlignment="1">
      <alignment horizontal="center" vertical="center"/>
    </xf>
    <xf numFmtId="0" fontId="23" fillId="20" borderId="1" xfId="20" applyFont="1" applyFill="1" applyBorder="1" applyAlignment="1">
      <alignment horizontal="left" vertical="top"/>
    </xf>
    <xf numFmtId="0" fontId="44" fillId="17" borderId="1" xfId="2" quotePrefix="1" applyFont="1" applyFill="1" applyBorder="1" applyAlignment="1">
      <alignment horizontal="left" vertical="top" wrapText="1"/>
    </xf>
    <xf numFmtId="0" fontId="42" fillId="17" borderId="1" xfId="2" quotePrefix="1" applyFont="1" applyFill="1" applyBorder="1" applyAlignment="1">
      <alignment horizontal="left" vertical="top" wrapText="1"/>
    </xf>
    <xf numFmtId="0" fontId="45" fillId="0" borderId="0" xfId="20" applyFont="1" applyAlignment="1">
      <alignment horizontal="left" vertical="top"/>
    </xf>
    <xf numFmtId="0" fontId="14" fillId="0" borderId="0" xfId="20" applyFont="1" applyAlignment="1">
      <alignment horizontal="left" vertical="top"/>
    </xf>
    <xf numFmtId="0" fontId="14" fillId="0" borderId="0" xfId="20" applyFont="1" applyAlignment="1">
      <alignment horizontal="center" vertical="top"/>
    </xf>
    <xf numFmtId="0" fontId="46" fillId="0" borderId="0" xfId="5" applyFont="1" applyAlignment="1">
      <alignment horizontal="left" vertical="top" wrapText="1"/>
    </xf>
    <xf numFmtId="0" fontId="14" fillId="0" borderId="0" xfId="20" applyFont="1"/>
    <xf numFmtId="0" fontId="13" fillId="15" borderId="0" xfId="20" applyFont="1" applyFill="1"/>
    <xf numFmtId="0" fontId="23" fillId="16" borderId="10" xfId="20" applyFont="1" applyFill="1" applyBorder="1" applyAlignment="1">
      <alignment horizontal="left" vertical="top"/>
    </xf>
    <xf numFmtId="0" fontId="17" fillId="18" borderId="1" xfId="2" applyFont="1" applyFill="1" applyBorder="1" applyAlignment="1">
      <alignment horizontal="left" vertical="top" wrapText="1"/>
    </xf>
    <xf numFmtId="0" fontId="4" fillId="21" borderId="0" xfId="20" applyFill="1"/>
    <xf numFmtId="0" fontId="13" fillId="21" borderId="0" xfId="20" applyFont="1" applyFill="1"/>
    <xf numFmtId="0" fontId="17" fillId="14" borderId="1" xfId="2" applyFont="1" applyFill="1" applyBorder="1" applyAlignment="1">
      <alignment horizontal="left" vertical="top" wrapText="1"/>
    </xf>
    <xf numFmtId="0" fontId="17" fillId="21" borderId="2" xfId="2" applyFont="1" applyFill="1" applyBorder="1" applyAlignment="1">
      <alignment horizontal="left" vertical="top" wrapText="1"/>
    </xf>
    <xf numFmtId="0" fontId="36" fillId="22" borderId="1" xfId="2" applyFont="1" applyFill="1" applyBorder="1" applyAlignment="1">
      <alignment horizontal="left" vertical="top" wrapText="1"/>
    </xf>
    <xf numFmtId="0" fontId="36" fillId="17" borderId="1" xfId="2" quotePrefix="1" applyFont="1" applyFill="1" applyBorder="1" applyAlignment="1">
      <alignment vertical="top" wrapText="1"/>
    </xf>
    <xf numFmtId="0" fontId="36" fillId="0" borderId="0" xfId="2" quotePrefix="1" applyFont="1" applyAlignment="1">
      <alignment vertical="top" wrapText="1"/>
    </xf>
    <xf numFmtId="0" fontId="17" fillId="4" borderId="1" xfId="2" applyFont="1" applyFill="1" applyBorder="1" applyAlignment="1">
      <alignment horizontal="center" vertical="top" wrapText="1"/>
    </xf>
    <xf numFmtId="0" fontId="17" fillId="6" borderId="1" xfId="2" applyFont="1" applyFill="1" applyBorder="1" applyAlignment="1">
      <alignment horizontal="center" vertical="top" wrapText="1"/>
    </xf>
    <xf numFmtId="0" fontId="17" fillId="15" borderId="1" xfId="2" applyFont="1" applyFill="1" applyBorder="1" applyAlignment="1">
      <alignment horizontal="center" vertical="top" wrapText="1"/>
    </xf>
    <xf numFmtId="0" fontId="17" fillId="15" borderId="2" xfId="2" applyFont="1" applyFill="1" applyBorder="1" applyAlignment="1">
      <alignment horizontal="center" vertical="top" wrapText="1"/>
    </xf>
    <xf numFmtId="0" fontId="17" fillId="22" borderId="1" xfId="2" quotePrefix="1" applyFont="1" applyFill="1" applyBorder="1" applyAlignment="1">
      <alignment horizontal="left" vertical="top" wrapText="1"/>
    </xf>
    <xf numFmtId="0" fontId="25" fillId="2" borderId="0" xfId="20" applyFont="1" applyFill="1" applyAlignment="1">
      <alignment horizontal="left" vertical="top"/>
    </xf>
    <xf numFmtId="0" fontId="12" fillId="2" borderId="0" xfId="20" applyFont="1" applyFill="1" applyAlignment="1">
      <alignment horizontal="left" vertical="top"/>
    </xf>
    <xf numFmtId="0" fontId="16" fillId="2" borderId="0" xfId="20" applyFont="1" applyFill="1" applyAlignment="1">
      <alignment horizontal="left" vertical="top"/>
    </xf>
    <xf numFmtId="0" fontId="14" fillId="2" borderId="0" xfId="20" applyFont="1" applyFill="1" applyAlignment="1">
      <alignment horizontal="left" vertical="top"/>
    </xf>
    <xf numFmtId="0" fontId="13" fillId="2" borderId="0" xfId="20" applyFont="1" applyFill="1" applyAlignment="1">
      <alignment horizontal="left" vertical="top"/>
    </xf>
    <xf numFmtId="0" fontId="14" fillId="14" borderId="0" xfId="20" applyFont="1" applyFill="1" applyAlignment="1">
      <alignment horizontal="left" vertical="top"/>
    </xf>
    <xf numFmtId="0" fontId="14" fillId="6" borderId="0" xfId="20" applyFont="1" applyFill="1" applyAlignment="1">
      <alignment horizontal="left" vertical="top"/>
    </xf>
    <xf numFmtId="0" fontId="14" fillId="15" borderId="0" xfId="20" applyFont="1" applyFill="1" applyAlignment="1">
      <alignment horizontal="left" vertical="top"/>
    </xf>
    <xf numFmtId="0" fontId="4" fillId="15" borderId="0" xfId="20" applyFill="1"/>
    <xf numFmtId="0" fontId="4" fillId="18" borderId="0" xfId="20" applyFill="1"/>
    <xf numFmtId="0" fontId="4" fillId="14" borderId="0" xfId="20" applyFill="1"/>
    <xf numFmtId="0" fontId="4" fillId="6" borderId="0" xfId="20" applyFill="1"/>
    <xf numFmtId="0" fontId="13" fillId="18" borderId="0" xfId="20" applyFont="1" applyFill="1"/>
    <xf numFmtId="0" fontId="17" fillId="6" borderId="2" xfId="2" applyFont="1" applyFill="1" applyBorder="1" applyAlignment="1">
      <alignment horizontal="left" vertical="top" wrapText="1"/>
    </xf>
    <xf numFmtId="0" fontId="17" fillId="15" borderId="4" xfId="2" applyFont="1" applyFill="1" applyBorder="1" applyAlignment="1">
      <alignment horizontal="left" vertical="top" wrapText="1"/>
    </xf>
    <xf numFmtId="0" fontId="17" fillId="21" borderId="1" xfId="2" applyFont="1" applyFill="1" applyBorder="1" applyAlignment="1">
      <alignment horizontal="left" vertical="top" wrapText="1"/>
    </xf>
    <xf numFmtId="0" fontId="17" fillId="18" borderId="2" xfId="2" applyFont="1" applyFill="1" applyBorder="1" applyAlignment="1">
      <alignment horizontal="left" vertical="top" wrapText="1"/>
    </xf>
    <xf numFmtId="0" fontId="17" fillId="3" borderId="4" xfId="2" applyFont="1" applyFill="1" applyBorder="1" applyAlignment="1">
      <alignment horizontal="left" vertical="top" wrapText="1"/>
    </xf>
    <xf numFmtId="0" fontId="17" fillId="3" borderId="2" xfId="2" applyFont="1" applyFill="1" applyBorder="1" applyAlignment="1">
      <alignment horizontal="left" vertical="top" wrapText="1"/>
    </xf>
    <xf numFmtId="0" fontId="39" fillId="17" borderId="2" xfId="2" quotePrefix="1" applyFont="1" applyFill="1" applyBorder="1" applyAlignment="1">
      <alignment horizontal="left" vertical="top" wrapText="1"/>
    </xf>
    <xf numFmtId="0" fontId="39" fillId="17" borderId="4" xfId="2" quotePrefix="1" applyFont="1" applyFill="1" applyBorder="1" applyAlignment="1">
      <alignment horizontal="left" vertical="top" wrapText="1"/>
    </xf>
    <xf numFmtId="0" fontId="36" fillId="17" borderId="2" xfId="2" quotePrefix="1" applyFont="1" applyFill="1" applyBorder="1" applyAlignment="1">
      <alignment horizontal="left" vertical="top" wrapText="1"/>
    </xf>
    <xf numFmtId="0" fontId="36" fillId="17" borderId="4" xfId="2" quotePrefix="1" applyFont="1" applyFill="1" applyBorder="1" applyAlignment="1">
      <alignment horizontal="left" vertical="top" wrapText="1"/>
    </xf>
    <xf numFmtId="0" fontId="17" fillId="17" borderId="2" xfId="2" quotePrefix="1" applyFont="1" applyFill="1" applyBorder="1" applyAlignment="1">
      <alignment horizontal="left" vertical="top" wrapText="1"/>
    </xf>
    <xf numFmtId="0" fontId="17" fillId="17" borderId="4" xfId="2" applyFont="1" applyFill="1" applyBorder="1" applyAlignment="1">
      <alignment horizontal="left" vertical="top" wrapText="1"/>
    </xf>
    <xf numFmtId="0" fontId="13" fillId="0" borderId="7" xfId="20" applyFont="1" applyBorder="1" applyAlignment="1">
      <alignment vertical="top"/>
    </xf>
    <xf numFmtId="0" fontId="36" fillId="22" borderId="6" xfId="2" quotePrefix="1" applyFont="1" applyFill="1" applyBorder="1" applyAlignment="1">
      <alignment horizontal="left" vertical="top" wrapText="1"/>
    </xf>
    <xf numFmtId="0" fontId="36" fillId="17" borderId="6" xfId="2" quotePrefix="1" applyFont="1" applyFill="1" applyBorder="1" applyAlignment="1">
      <alignment horizontal="left" vertical="top" wrapText="1"/>
    </xf>
    <xf numFmtId="0" fontId="36" fillId="22" borderId="1" xfId="2" quotePrefix="1" applyFont="1" applyFill="1" applyBorder="1" applyAlignment="1">
      <alignment horizontal="left" vertical="top" wrapText="1"/>
    </xf>
    <xf numFmtId="0" fontId="41" fillId="0" borderId="0" xfId="20" applyFont="1" applyAlignment="1">
      <alignment horizontal="center" vertical="top"/>
    </xf>
    <xf numFmtId="0" fontId="41" fillId="0" borderId="0" xfId="20" applyFont="1" applyAlignment="1">
      <alignment horizontal="left" vertical="top" wrapText="1"/>
    </xf>
    <xf numFmtId="0" fontId="36" fillId="0" borderId="1" xfId="2" quotePrefix="1" applyFont="1" applyBorder="1" applyAlignment="1">
      <alignment horizontal="left" vertical="top" wrapText="1"/>
    </xf>
    <xf numFmtId="0" fontId="13" fillId="0" borderId="0" xfId="20" applyFont="1" applyAlignment="1">
      <alignment horizontal="left"/>
    </xf>
    <xf numFmtId="0" fontId="23" fillId="16" borderId="1" xfId="20" applyFont="1" applyFill="1" applyBorder="1" applyAlignment="1">
      <alignment horizontal="left" vertical="top" wrapText="1"/>
    </xf>
    <xf numFmtId="0" fontId="17" fillId="4" borderId="1" xfId="21" applyFont="1" applyFill="1" applyBorder="1" applyAlignment="1">
      <alignment horizontal="left" vertical="top" wrapText="1"/>
    </xf>
    <xf numFmtId="0" fontId="17" fillId="6" borderId="1" xfId="21" applyFont="1" applyFill="1" applyBorder="1" applyAlignment="1">
      <alignment horizontal="left" vertical="top" wrapText="1"/>
    </xf>
    <xf numFmtId="0" fontId="17" fillId="15" borderId="1" xfId="21" applyFont="1" applyFill="1" applyBorder="1" applyAlignment="1">
      <alignment horizontal="left" vertical="top" wrapText="1"/>
    </xf>
    <xf numFmtId="0" fontId="17" fillId="15" borderId="2" xfId="21" applyFont="1" applyFill="1" applyBorder="1" applyAlignment="1">
      <alignment horizontal="left" vertical="top" wrapText="1"/>
    </xf>
    <xf numFmtId="0" fontId="17" fillId="0" borderId="0" xfId="21" applyFont="1" applyAlignment="1">
      <alignment horizontal="left" vertical="top" wrapText="1"/>
    </xf>
    <xf numFmtId="0" fontId="23" fillId="3" borderId="1" xfId="20" applyFont="1" applyFill="1" applyBorder="1" applyAlignment="1">
      <alignment horizontal="left" vertical="top" wrapText="1"/>
    </xf>
    <xf numFmtId="0" fontId="17" fillId="3" borderId="1" xfId="21" applyFont="1" applyFill="1" applyBorder="1" applyAlignment="1">
      <alignment horizontal="left" vertical="top" wrapText="1"/>
    </xf>
    <xf numFmtId="0" fontId="13" fillId="0" borderId="0" xfId="20" applyFont="1" applyAlignment="1">
      <alignment horizontal="center" vertical="center" wrapText="1"/>
    </xf>
    <xf numFmtId="0" fontId="39" fillId="17" borderId="1" xfId="21" quotePrefix="1" applyFont="1" applyFill="1" applyBorder="1" applyAlignment="1">
      <alignment horizontal="left" vertical="top" wrapText="1"/>
    </xf>
    <xf numFmtId="0" fontId="39" fillId="0" borderId="0" xfId="21" quotePrefix="1" applyFont="1" applyAlignment="1">
      <alignment horizontal="left" vertical="top" wrapText="1"/>
    </xf>
    <xf numFmtId="0" fontId="36" fillId="0" borderId="0" xfId="21" quotePrefix="1" applyFont="1" applyAlignment="1">
      <alignment horizontal="left" vertical="top" wrapText="1"/>
    </xf>
    <xf numFmtId="0" fontId="36" fillId="17" borderId="1" xfId="21" applyFont="1" applyFill="1" applyBorder="1" applyAlignment="1">
      <alignment horizontal="left" vertical="top" wrapText="1"/>
    </xf>
    <xf numFmtId="0" fontId="36" fillId="17" borderId="1" xfId="21" quotePrefix="1" applyFont="1" applyFill="1" applyBorder="1" applyAlignment="1">
      <alignment horizontal="left" vertical="top" wrapText="1"/>
    </xf>
    <xf numFmtId="0" fontId="36" fillId="0" borderId="0" xfId="21" applyFont="1" applyAlignment="1">
      <alignment horizontal="left" vertical="top" wrapText="1"/>
    </xf>
    <xf numFmtId="0" fontId="36" fillId="22" borderId="6" xfId="21" quotePrefix="1" applyFont="1" applyFill="1" applyBorder="1" applyAlignment="1">
      <alignment horizontal="left" vertical="top" wrapText="1"/>
    </xf>
    <xf numFmtId="0" fontId="36" fillId="17" borderId="6" xfId="21" quotePrefix="1" applyFont="1" applyFill="1" applyBorder="1" applyAlignment="1">
      <alignment horizontal="left" vertical="top" wrapText="1"/>
    </xf>
    <xf numFmtId="0" fontId="23" fillId="19" borderId="6" xfId="20" applyFont="1" applyFill="1" applyBorder="1" applyAlignment="1">
      <alignment horizontal="left" vertical="top" wrapText="1"/>
    </xf>
    <xf numFmtId="0" fontId="13" fillId="6" borderId="0" xfId="20" applyFont="1" applyFill="1" applyAlignment="1">
      <alignment horizontal="center" vertical="top"/>
    </xf>
    <xf numFmtId="0" fontId="17" fillId="22" borderId="11" xfId="2" quotePrefix="1" applyFont="1" applyFill="1" applyBorder="1" applyAlignment="1">
      <alignment horizontal="left" vertical="top" wrapText="1"/>
    </xf>
    <xf numFmtId="0" fontId="17" fillId="17" borderId="11" xfId="2" quotePrefix="1" applyFont="1" applyFill="1" applyBorder="1" applyAlignment="1">
      <alignment horizontal="left" vertical="top" wrapText="1"/>
    </xf>
    <xf numFmtId="0" fontId="23" fillId="19" borderId="11" xfId="20" applyFont="1" applyFill="1" applyBorder="1" applyAlignment="1">
      <alignment horizontal="left" vertical="top"/>
    </xf>
    <xf numFmtId="0" fontId="35" fillId="0" borderId="0" xfId="20" applyFont="1" applyAlignment="1" applyProtection="1">
      <alignment vertical="top"/>
      <protection locked="0"/>
    </xf>
    <xf numFmtId="0" fontId="48" fillId="0" borderId="0" xfId="20" applyFont="1" applyAlignment="1" applyProtection="1">
      <alignment vertical="top"/>
      <protection locked="0"/>
    </xf>
    <xf numFmtId="0" fontId="17" fillId="0" borderId="0" xfId="2" applyFont="1" applyAlignment="1" applyProtection="1">
      <alignment horizontal="left" vertical="center" wrapText="1"/>
      <protection locked="0"/>
    </xf>
    <xf numFmtId="0" fontId="13" fillId="0" borderId="0" xfId="20" applyFont="1" applyAlignment="1" applyProtection="1">
      <alignment horizontal="left" vertical="center" wrapText="1"/>
      <protection locked="0"/>
    </xf>
    <xf numFmtId="0" fontId="17" fillId="0" borderId="0" xfId="5" applyFont="1" applyAlignment="1" applyProtection="1">
      <alignment horizontal="left" vertical="center" wrapText="1"/>
      <protection locked="0"/>
    </xf>
    <xf numFmtId="0" fontId="23" fillId="2" borderId="0" xfId="20" applyFont="1" applyFill="1" applyAlignment="1" applyProtection="1">
      <alignment horizontal="left" vertical="top"/>
      <protection locked="0"/>
    </xf>
    <xf numFmtId="0" fontId="13" fillId="14" borderId="0" xfId="20" applyFont="1" applyFill="1" applyAlignment="1" applyProtection="1">
      <alignment horizontal="left" vertical="top"/>
      <protection locked="0"/>
    </xf>
    <xf numFmtId="0" fontId="13" fillId="6" borderId="0" xfId="20" applyFont="1" applyFill="1" applyAlignment="1" applyProtection="1">
      <alignment horizontal="left" vertical="top"/>
      <protection locked="0"/>
    </xf>
    <xf numFmtId="0" fontId="13" fillId="6" borderId="0" xfId="20" applyFont="1" applyFill="1" applyAlignment="1" applyProtection="1">
      <alignment horizontal="center" vertical="center"/>
      <protection locked="0"/>
    </xf>
    <xf numFmtId="0" fontId="13" fillId="15" borderId="0" xfId="20" applyFont="1" applyFill="1" applyAlignment="1" applyProtection="1">
      <alignment horizontal="left" vertical="top"/>
      <protection locked="0"/>
    </xf>
    <xf numFmtId="0" fontId="13" fillId="0" borderId="0" xfId="20" applyFont="1" applyProtection="1">
      <protection locked="0"/>
    </xf>
    <xf numFmtId="0" fontId="13" fillId="14" borderId="0" xfId="20" applyFont="1" applyFill="1" applyProtection="1">
      <protection locked="0"/>
    </xf>
    <xf numFmtId="0" fontId="13" fillId="6" borderId="0" xfId="20" applyFont="1" applyFill="1" applyProtection="1">
      <protection locked="0"/>
    </xf>
    <xf numFmtId="0" fontId="13" fillId="15" borderId="0" xfId="20" applyFont="1" applyFill="1" applyProtection="1">
      <protection locked="0"/>
    </xf>
    <xf numFmtId="0" fontId="23" fillId="16" borderId="1" xfId="20" applyFont="1" applyFill="1" applyBorder="1" applyAlignment="1" applyProtection="1">
      <alignment horizontal="left" vertical="top" wrapText="1"/>
      <protection locked="0"/>
    </xf>
    <xf numFmtId="0" fontId="17" fillId="4" borderId="1" xfId="2" applyFont="1" applyFill="1" applyBorder="1" applyAlignment="1" applyProtection="1">
      <alignment horizontal="left" vertical="top" wrapText="1"/>
      <protection locked="0"/>
    </xf>
    <xf numFmtId="0" fontId="17" fillId="6" borderId="1" xfId="2" applyFont="1" applyFill="1" applyBorder="1" applyAlignment="1" applyProtection="1">
      <alignment horizontal="left" vertical="top" wrapText="1"/>
      <protection locked="0"/>
    </xf>
    <xf numFmtId="0" fontId="17" fillId="15" borderId="1" xfId="2" applyFont="1" applyFill="1" applyBorder="1" applyAlignment="1" applyProtection="1">
      <alignment horizontal="left" vertical="top" wrapText="1"/>
      <protection locked="0"/>
    </xf>
    <xf numFmtId="0" fontId="23" fillId="3" borderId="1" xfId="20" applyFont="1" applyFill="1" applyBorder="1" applyAlignment="1" applyProtection="1">
      <alignment horizontal="left" vertical="top" wrapText="1"/>
      <protection locked="0"/>
    </xf>
    <xf numFmtId="0" fontId="17" fillId="3" borderId="1" xfId="2" applyFont="1" applyFill="1" applyBorder="1" applyAlignment="1" applyProtection="1">
      <alignment horizontal="left" vertical="top" wrapText="1"/>
      <protection locked="0"/>
    </xf>
    <xf numFmtId="0" fontId="36" fillId="17" borderId="1" xfId="2" quotePrefix="1" applyFont="1" applyFill="1" applyBorder="1" applyAlignment="1" applyProtection="1">
      <alignment horizontal="left" vertical="top" wrapText="1"/>
      <protection locked="0"/>
    </xf>
    <xf numFmtId="0" fontId="36" fillId="22" borderId="10" xfId="2" quotePrefix="1" applyFont="1" applyFill="1" applyBorder="1" applyAlignment="1" applyProtection="1">
      <alignment horizontal="left" vertical="top" wrapText="1"/>
      <protection locked="0"/>
    </xf>
    <xf numFmtId="0" fontId="36" fillId="17" borderId="10" xfId="2" quotePrefix="1" applyFont="1" applyFill="1" applyBorder="1" applyAlignment="1" applyProtection="1">
      <alignment horizontal="left" vertical="top" wrapText="1"/>
      <protection locked="0"/>
    </xf>
    <xf numFmtId="0" fontId="23" fillId="19" borderId="10" xfId="20" applyFont="1" applyFill="1" applyBorder="1" applyAlignment="1" applyProtection="1">
      <alignment horizontal="left" vertical="top" wrapText="1"/>
      <protection locked="0"/>
    </xf>
    <xf numFmtId="0" fontId="13" fillId="0" borderId="0" xfId="20" applyFont="1" applyAlignment="1" applyProtection="1">
      <alignment wrapText="1"/>
      <protection locked="0"/>
    </xf>
    <xf numFmtId="0" fontId="14" fillId="0" borderId="0" xfId="20" applyFont="1" applyAlignment="1">
      <alignment horizontal="center" vertical="center"/>
    </xf>
    <xf numFmtId="0" fontId="13" fillId="21" borderId="0" xfId="20" applyFont="1" applyFill="1" applyAlignment="1">
      <alignment horizontal="left" vertical="top"/>
    </xf>
    <xf numFmtId="0" fontId="13" fillId="21" borderId="0" xfId="20" applyFont="1" applyFill="1" applyAlignment="1">
      <alignment horizontal="center" vertical="top"/>
    </xf>
    <xf numFmtId="0" fontId="17" fillId="18" borderId="3" xfId="2" applyFont="1" applyFill="1" applyBorder="1" applyAlignment="1">
      <alignment horizontal="left" vertical="top" wrapText="1"/>
    </xf>
    <xf numFmtId="0" fontId="17" fillId="3" borderId="3" xfId="2" applyFont="1" applyFill="1" applyBorder="1" applyAlignment="1">
      <alignment horizontal="left" vertical="top" wrapText="1"/>
    </xf>
    <xf numFmtId="0" fontId="17" fillId="17" borderId="4" xfId="2" quotePrefix="1" applyFont="1" applyFill="1" applyBorder="1" applyAlignment="1">
      <alignment horizontal="left" vertical="top" wrapText="1"/>
    </xf>
    <xf numFmtId="0" fontId="18" fillId="0" borderId="0" xfId="2" applyFont="1" applyAlignment="1">
      <alignment horizontal="center" vertical="top" wrapText="1"/>
    </xf>
    <xf numFmtId="0" fontId="13" fillId="15" borderId="12" xfId="20" applyFont="1" applyFill="1" applyBorder="1" applyAlignment="1">
      <alignment horizontal="left" vertical="top"/>
    </xf>
    <xf numFmtId="0" fontId="50" fillId="17" borderId="1" xfId="2" quotePrefix="1" applyFont="1" applyFill="1" applyBorder="1" applyAlignment="1">
      <alignment horizontal="left" vertical="top" wrapText="1"/>
    </xf>
    <xf numFmtId="0" fontId="54" fillId="17" borderId="1" xfId="2" quotePrefix="1" applyFont="1" applyFill="1" applyBorder="1" applyAlignment="1">
      <alignment horizontal="left" vertical="top" wrapText="1"/>
    </xf>
    <xf numFmtId="0" fontId="49" fillId="17" borderId="1" xfId="2" quotePrefix="1" applyFont="1" applyFill="1" applyBorder="1" applyAlignment="1">
      <alignment horizontal="left" vertical="top" wrapText="1"/>
    </xf>
    <xf numFmtId="0" fontId="23" fillId="16" borderId="1" xfId="20" applyFont="1" applyFill="1" applyBorder="1" applyAlignment="1">
      <alignment vertical="top"/>
    </xf>
    <xf numFmtId="0" fontId="23" fillId="3" borderId="1" xfId="20" applyFont="1" applyFill="1" applyBorder="1" applyAlignment="1">
      <alignment vertical="top"/>
    </xf>
    <xf numFmtId="0" fontId="4" fillId="0" borderId="0" xfId="20" applyAlignment="1">
      <alignment vertical="top" wrapText="1"/>
    </xf>
    <xf numFmtId="0" fontId="23" fillId="19" borderId="1" xfId="20" applyFont="1" applyFill="1" applyBorder="1" applyAlignment="1">
      <alignment vertical="top"/>
    </xf>
    <xf numFmtId="0" fontId="37" fillId="0" borderId="0" xfId="20" applyFont="1" applyAlignment="1">
      <alignment vertical="top" wrapText="1"/>
    </xf>
    <xf numFmtId="0" fontId="37" fillId="0" borderId="0" xfId="20" applyFont="1" applyAlignment="1">
      <alignment vertical="top"/>
    </xf>
    <xf numFmtId="0" fontId="17" fillId="17" borderId="10" xfId="2" quotePrefix="1" applyFont="1" applyFill="1" applyBorder="1" applyAlignment="1">
      <alignment horizontal="left" vertical="top" wrapText="1"/>
    </xf>
    <xf numFmtId="0" fontId="57" fillId="17" borderId="10" xfId="2" quotePrefix="1" applyFont="1" applyFill="1" applyBorder="1" applyAlignment="1">
      <alignment horizontal="left" vertical="top" wrapText="1"/>
    </xf>
    <xf numFmtId="0" fontId="57" fillId="17" borderId="1" xfId="2" quotePrefix="1" applyFont="1" applyFill="1" applyBorder="1" applyAlignment="1">
      <alignment horizontal="left" vertical="top" wrapText="1"/>
    </xf>
    <xf numFmtId="0" fontId="23" fillId="16" borderId="8" xfId="20" applyFont="1" applyFill="1" applyBorder="1" applyAlignment="1">
      <alignment horizontal="left" vertical="top"/>
    </xf>
    <xf numFmtId="0" fontId="0" fillId="9" borderId="0" xfId="0" applyFill="1"/>
    <xf numFmtId="0" fontId="0" fillId="0" borderId="0" xfId="0" applyAlignment="1">
      <alignment horizontal="center" vertical="center"/>
    </xf>
    <xf numFmtId="0" fontId="14"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62" fillId="0" borderId="0" xfId="23" applyFont="1" applyAlignment="1">
      <alignment horizontal="left" vertical="top"/>
    </xf>
    <xf numFmtId="0" fontId="13" fillId="0" borderId="0" xfId="23" applyFont="1" applyAlignment="1">
      <alignment horizontal="left" vertical="top"/>
    </xf>
    <xf numFmtId="0" fontId="1" fillId="0" borderId="0" xfId="23" applyAlignment="1">
      <alignment horizontal="left" vertical="top"/>
    </xf>
    <xf numFmtId="0" fontId="13" fillId="0" borderId="0" xfId="23" applyFont="1" applyAlignment="1">
      <alignment horizontal="center" vertical="center"/>
    </xf>
    <xf numFmtId="0" fontId="13" fillId="0" borderId="0" xfId="23" applyFont="1" applyAlignment="1">
      <alignment horizontal="left" vertical="top" wrapText="1"/>
    </xf>
    <xf numFmtId="0" fontId="23" fillId="16" borderId="1" xfId="23" applyFont="1" applyFill="1" applyBorder="1"/>
    <xf numFmtId="0" fontId="23" fillId="16" borderId="0" xfId="23" applyFont="1" applyFill="1"/>
    <xf numFmtId="0" fontId="13" fillId="0" borderId="0" xfId="23" applyFont="1"/>
    <xf numFmtId="0" fontId="17" fillId="24" borderId="1" xfId="2" applyFont="1" applyFill="1" applyBorder="1" applyAlignment="1">
      <alignment horizontal="left" vertical="top" wrapText="1"/>
    </xf>
    <xf numFmtId="0" fontId="17" fillId="24" borderId="1" xfId="2" applyFont="1" applyFill="1" applyBorder="1" applyAlignment="1">
      <alignment horizontal="left" vertical="top" textRotation="180" wrapText="1"/>
    </xf>
    <xf numFmtId="0" fontId="17" fillId="24" borderId="0" xfId="2" applyFont="1" applyFill="1" applyAlignment="1">
      <alignment horizontal="left" vertical="top" textRotation="180" wrapText="1"/>
    </xf>
    <xf numFmtId="0" fontId="17" fillId="0" borderId="0" xfId="2" applyFont="1" applyAlignment="1">
      <alignment horizontal="left" vertical="top"/>
    </xf>
    <xf numFmtId="0" fontId="17" fillId="4" borderId="1" xfId="2" quotePrefix="1" applyFont="1" applyFill="1" applyBorder="1" applyAlignment="1">
      <alignment horizontal="left" vertical="top" wrapText="1"/>
    </xf>
    <xf numFmtId="0" fontId="17" fillId="4" borderId="0" xfId="2" quotePrefix="1" applyFont="1" applyFill="1" applyAlignment="1">
      <alignment horizontal="left" vertical="top" wrapText="1"/>
    </xf>
    <xf numFmtId="0" fontId="17" fillId="24" borderId="17" xfId="2" applyFont="1" applyFill="1" applyBorder="1" applyAlignment="1">
      <alignment horizontal="left" vertical="top" textRotation="180" wrapText="1"/>
    </xf>
    <xf numFmtId="0" fontId="13" fillId="0" borderId="0" xfId="23" applyFont="1" applyAlignment="1">
      <alignment horizontal="left" vertical="center"/>
    </xf>
    <xf numFmtId="0" fontId="23" fillId="16" borderId="1" xfId="23" applyFont="1" applyFill="1" applyBorder="1" applyAlignment="1">
      <alignment horizontal="center" vertical="center"/>
    </xf>
    <xf numFmtId="0" fontId="17" fillId="24" borderId="1" xfId="2" applyFont="1" applyFill="1" applyBorder="1" applyAlignment="1">
      <alignment horizontal="left" vertical="center" wrapText="1"/>
    </xf>
    <xf numFmtId="0" fontId="17" fillId="24" borderId="1" xfId="2" applyFont="1" applyFill="1" applyBorder="1" applyAlignment="1">
      <alignment horizontal="left" vertical="center" textRotation="180" wrapText="1"/>
    </xf>
    <xf numFmtId="0" fontId="17" fillId="24" borderId="1" xfId="2" applyFont="1" applyFill="1" applyBorder="1" applyAlignment="1">
      <alignment horizontal="center" vertical="center" textRotation="180" wrapText="1"/>
    </xf>
    <xf numFmtId="0" fontId="13" fillId="0" borderId="0" xfId="23" applyFont="1" applyAlignment="1">
      <alignment horizontal="left" vertical="center" wrapText="1"/>
    </xf>
    <xf numFmtId="0" fontId="17" fillId="4" borderId="1" xfId="2" quotePrefix="1" applyFont="1" applyFill="1" applyBorder="1" applyAlignment="1">
      <alignment horizontal="left" vertical="center" wrapText="1"/>
    </xf>
    <xf numFmtId="0" fontId="17" fillId="4" borderId="1" xfId="2" applyFont="1" applyFill="1" applyBorder="1" applyAlignment="1">
      <alignment horizontal="center" vertical="center" wrapText="1"/>
    </xf>
    <xf numFmtId="0" fontId="17" fillId="4" borderId="1" xfId="2" quotePrefix="1" applyFont="1" applyFill="1" applyBorder="1" applyAlignment="1">
      <alignment horizontal="center" vertical="center" wrapText="1"/>
    </xf>
    <xf numFmtId="0" fontId="23" fillId="16" borderId="1" xfId="23" applyFont="1" applyFill="1" applyBorder="1" applyAlignment="1">
      <alignment horizontal="left" vertical="top"/>
    </xf>
    <xf numFmtId="0" fontId="17" fillId="24" borderId="18" xfId="2" applyFont="1" applyFill="1" applyBorder="1" applyAlignment="1">
      <alignment horizontal="left" vertical="top" wrapText="1"/>
    </xf>
    <xf numFmtId="0" fontId="17" fillId="24" borderId="19" xfId="2" applyFont="1" applyFill="1" applyBorder="1" applyAlignment="1">
      <alignment horizontal="left" vertical="top" wrapText="1"/>
    </xf>
    <xf numFmtId="0" fontId="17" fillId="24" borderId="18" xfId="2" applyFont="1" applyFill="1" applyBorder="1" applyAlignment="1">
      <alignment horizontal="left" vertical="top" textRotation="180" wrapText="1"/>
    </xf>
    <xf numFmtId="0" fontId="17" fillId="4" borderId="18" xfId="2" applyFont="1" applyFill="1" applyBorder="1" applyAlignment="1">
      <alignment horizontal="left" vertical="top" wrapText="1"/>
    </xf>
    <xf numFmtId="0" fontId="17" fillId="4" borderId="19" xfId="2" applyFont="1" applyFill="1" applyBorder="1" applyAlignment="1">
      <alignment horizontal="left" vertical="top" wrapText="1"/>
    </xf>
    <xf numFmtId="0" fontId="17" fillId="4" borderId="18" xfId="2" quotePrefix="1" applyFont="1" applyFill="1" applyBorder="1" applyAlignment="1">
      <alignment horizontal="left" vertical="top" wrapText="1"/>
    </xf>
    <xf numFmtId="0" fontId="17" fillId="24" borderId="1" xfId="2" applyFont="1" applyFill="1" applyBorder="1" applyAlignment="1">
      <alignment horizontal="center" vertical="center" wrapText="1"/>
    </xf>
    <xf numFmtId="0" fontId="13" fillId="0" borderId="0" xfId="23" applyFont="1" applyAlignment="1">
      <alignment vertical="top"/>
    </xf>
    <xf numFmtId="0" fontId="57" fillId="4" borderId="1" xfId="2" applyFont="1" applyFill="1" applyBorder="1" applyAlignment="1">
      <alignment horizontal="left" vertical="top" wrapText="1"/>
    </xf>
    <xf numFmtId="0" fontId="13" fillId="0" borderId="0" xfId="23" applyFont="1" applyAlignment="1">
      <alignment wrapText="1"/>
    </xf>
    <xf numFmtId="0" fontId="23" fillId="16" borderId="1" xfId="23" applyFont="1" applyFill="1" applyBorder="1" applyAlignment="1">
      <alignment horizontal="left" vertical="top" wrapText="1"/>
    </xf>
    <xf numFmtId="0" fontId="17" fillId="0" borderId="0" xfId="5" applyFont="1" applyAlignment="1">
      <alignment horizontal="left" vertical="top"/>
    </xf>
    <xf numFmtId="0" fontId="63" fillId="4" borderId="1" xfId="2" applyFont="1" applyFill="1" applyBorder="1" applyAlignment="1">
      <alignment horizontal="center" vertical="center" wrapText="1"/>
    </xf>
    <xf numFmtId="0" fontId="1" fillId="9" borderId="0" xfId="0" applyFont="1" applyFill="1"/>
    <xf numFmtId="0" fontId="1" fillId="0" borderId="0" xfId="0" applyFont="1"/>
    <xf numFmtId="0" fontId="1" fillId="0" borderId="0" xfId="17" applyFont="1"/>
    <xf numFmtId="0" fontId="1" fillId="0" borderId="0" xfId="0" applyFont="1" applyAlignment="1">
      <alignment horizontal="left" vertical="center" wrapText="1"/>
    </xf>
    <xf numFmtId="0" fontId="13" fillId="0" borderId="0" xfId="20" applyFont="1" applyAlignment="1">
      <alignment horizontal="left" vertical="top" wrapText="1"/>
    </xf>
    <xf numFmtId="0" fontId="4" fillId="0" borderId="0" xfId="20" applyAlignment="1">
      <alignment horizontal="center"/>
    </xf>
    <xf numFmtId="0" fontId="23" fillId="0" borderId="0" xfId="20" applyFont="1" applyAlignment="1">
      <alignment horizontal="center" vertical="center" wrapText="1"/>
    </xf>
    <xf numFmtId="0" fontId="13" fillId="0" borderId="0" xfId="20" applyFont="1" applyAlignment="1">
      <alignment horizontal="left" vertical="top"/>
    </xf>
    <xf numFmtId="0" fontId="23" fillId="0" borderId="5" xfId="13" applyFont="1" applyBorder="1" applyAlignment="1">
      <alignment horizontal="center" vertical="top" wrapText="1"/>
    </xf>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6" borderId="5" xfId="13" applyFont="1" applyFill="1" applyBorder="1" applyAlignment="1">
      <alignment horizontal="center" vertical="center" wrapText="1"/>
    </xf>
    <xf numFmtId="0" fontId="17" fillId="4" borderId="1"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7" fillId="11" borderId="3" xfId="2" applyFont="1" applyFill="1" applyBorder="1" applyAlignment="1">
      <alignment horizontal="center" vertical="center" wrapText="1"/>
    </xf>
    <xf numFmtId="0" fontId="17" fillId="11" borderId="4" xfId="2" applyFont="1" applyFill="1" applyBorder="1" applyAlignment="1">
      <alignment horizontal="center" vertical="center" wrapText="1"/>
    </xf>
    <xf numFmtId="0" fontId="17" fillId="9" borderId="2" xfId="2" applyFont="1" applyFill="1" applyBorder="1" applyAlignment="1">
      <alignment horizontal="left" vertical="center" wrapText="1"/>
    </xf>
    <xf numFmtId="0" fontId="17" fillId="9" borderId="3" xfId="2" applyFont="1" applyFill="1" applyBorder="1" applyAlignment="1">
      <alignment horizontal="left" vertical="center" wrapText="1"/>
    </xf>
    <xf numFmtId="0" fontId="17" fillId="9" borderId="4" xfId="2" applyFont="1" applyFill="1" applyBorder="1" applyAlignment="1">
      <alignment horizontal="left" vertical="center" wrapText="1"/>
    </xf>
    <xf numFmtId="0" fontId="17" fillId="5" borderId="2" xfId="2" applyFont="1" applyFill="1" applyBorder="1" applyAlignment="1">
      <alignment horizontal="center" vertical="center" wrapText="1"/>
    </xf>
    <xf numFmtId="0" fontId="17" fillId="5" borderId="3" xfId="2" applyFont="1" applyFill="1" applyBorder="1" applyAlignment="1">
      <alignment horizontal="center" vertical="center" wrapText="1"/>
    </xf>
    <xf numFmtId="0" fontId="17"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0">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List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Update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List work </a:t>
              </a:r>
            </a:p>
            <a:p>
              <a:pPr algn="ctr" rtl="0">
                <a:defRPr sz="1000"/>
              </a:pPr>
              <a:r>
                <a:rPr lang="en-US"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D41"/>
  <sheetViews>
    <sheetView workbookViewId="0">
      <selection activeCell="D43" sqref="D43"/>
    </sheetView>
  </sheetViews>
  <sheetFormatPr defaultColWidth="11.33203125" defaultRowHeight="14.4"/>
  <cols>
    <col min="2" max="2" width="25.44140625" customWidth="1"/>
    <col min="3" max="3" width="5.33203125" customWidth="1"/>
  </cols>
  <sheetData>
    <row r="2" spans="2:4">
      <c r="B2" s="15" t="s">
        <v>0</v>
      </c>
    </row>
    <row r="3" spans="2:4">
      <c r="B3" s="15" t="s">
        <v>1</v>
      </c>
    </row>
    <row r="4" spans="2:4">
      <c r="B4" s="15"/>
    </row>
    <row r="5" spans="2:4">
      <c r="B5" s="326" t="s">
        <v>2</v>
      </c>
      <c r="C5" s="275"/>
      <c r="D5" s="275"/>
    </row>
    <row r="10" spans="2:4">
      <c r="B10" s="327" t="s">
        <v>3</v>
      </c>
      <c r="C10" s="327" t="s">
        <v>4</v>
      </c>
    </row>
    <row r="12" spans="2:4">
      <c r="D12" s="327" t="s">
        <v>5</v>
      </c>
    </row>
    <row r="14" spans="2:4">
      <c r="D14" s="327" t="s">
        <v>6</v>
      </c>
    </row>
    <row r="16" spans="2:4">
      <c r="D16" s="327" t="s">
        <v>7</v>
      </c>
    </row>
    <row r="18" spans="4:4">
      <c r="D18" s="327" t="s">
        <v>8</v>
      </c>
    </row>
    <row r="21" spans="4:4">
      <c r="D21" s="327" t="s">
        <v>9</v>
      </c>
    </row>
    <row r="23" spans="4:4">
      <c r="D23" s="327" t="s">
        <v>10</v>
      </c>
    </row>
    <row r="25" spans="4:4">
      <c r="D25" s="327" t="s">
        <v>11</v>
      </c>
    </row>
    <row r="27" spans="4:4">
      <c r="D27" s="327" t="s">
        <v>12</v>
      </c>
    </row>
    <row r="29" spans="4:4">
      <c r="D29" s="327" t="s">
        <v>13</v>
      </c>
    </row>
    <row r="31" spans="4:4">
      <c r="D31" s="327" t="s">
        <v>14</v>
      </c>
    </row>
    <row r="33" spans="2:4">
      <c r="D33" s="327" t="s">
        <v>15</v>
      </c>
    </row>
    <row r="36" spans="2:4">
      <c r="B36" s="65" t="s">
        <v>16</v>
      </c>
    </row>
    <row r="37" spans="2:4">
      <c r="B37" s="15" t="s">
        <v>17</v>
      </c>
    </row>
    <row r="38" spans="2:4">
      <c r="B38" s="15" t="s">
        <v>18</v>
      </c>
    </row>
    <row r="39" spans="2:4">
      <c r="B39" s="15" t="s">
        <v>19</v>
      </c>
    </row>
    <row r="40" spans="2:4">
      <c r="B40" s="15" t="s">
        <v>20</v>
      </c>
    </row>
    <row r="41" spans="2:4">
      <c r="B41" s="326" t="s">
        <v>21</v>
      </c>
      <c r="C41" s="275"/>
      <c r="D41" s="275"/>
    </row>
  </sheetData>
  <phoneticPr fontId="61"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U25"/>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4" customWidth="1"/>
    <col min="2" max="4" width="7.88671875" style="74" customWidth="1"/>
    <col min="5" max="13" width="15.6640625" style="74" customWidth="1"/>
    <col min="14" max="14" width="18" style="74" customWidth="1"/>
    <col min="15" max="15" width="82.88671875" style="74" customWidth="1"/>
    <col min="16" max="16" width="3.6640625" style="74" customWidth="1"/>
    <col min="17" max="17" width="25.6640625" style="74" customWidth="1"/>
    <col min="18" max="18" width="88.6640625" style="74" customWidth="1"/>
    <col min="19" max="20" width="20.6640625" style="74" customWidth="1"/>
    <col min="21" max="21" width="64.33203125" style="74" hidden="1" customWidth="1"/>
    <col min="22" max="16384" width="8.6640625" style="74"/>
  </cols>
  <sheetData>
    <row r="1" spans="1:14" ht="18">
      <c r="A1" s="69" t="s">
        <v>22</v>
      </c>
      <c r="B1" s="69"/>
      <c r="C1" s="69"/>
      <c r="D1" s="69"/>
      <c r="E1" s="70"/>
      <c r="F1" s="71"/>
      <c r="G1" s="72"/>
      <c r="H1" s="73"/>
      <c r="I1" s="73"/>
      <c r="J1" s="73"/>
      <c r="K1" s="73"/>
      <c r="L1" s="73"/>
      <c r="M1" s="73"/>
      <c r="N1" s="73"/>
    </row>
    <row r="2" spans="1:14">
      <c r="A2" s="75" t="s">
        <v>23</v>
      </c>
      <c r="B2" s="75"/>
      <c r="C2" s="75"/>
      <c r="D2" s="75"/>
      <c r="E2" s="71" t="s">
        <v>24</v>
      </c>
      <c r="F2" s="71"/>
      <c r="G2" s="72"/>
      <c r="H2" s="73"/>
      <c r="I2" s="73"/>
      <c r="J2" s="73"/>
      <c r="K2" s="73"/>
      <c r="L2" s="73"/>
      <c r="M2" s="73"/>
      <c r="N2" s="73"/>
    </row>
    <row r="3" spans="1:14">
      <c r="A3" s="71" t="s">
        <v>25</v>
      </c>
      <c r="B3" s="71"/>
      <c r="C3" s="71"/>
      <c r="D3" s="71"/>
      <c r="E3" s="71" t="s">
        <v>26</v>
      </c>
      <c r="F3" s="71"/>
      <c r="G3" s="72"/>
      <c r="H3" s="73"/>
      <c r="I3" s="73"/>
      <c r="J3" s="73"/>
      <c r="K3" s="73"/>
      <c r="L3" s="73"/>
      <c r="M3" s="73"/>
      <c r="N3" s="73"/>
    </row>
    <row r="4" spans="1:14">
      <c r="A4" s="76"/>
      <c r="B4" s="76"/>
      <c r="C4" s="76"/>
      <c r="D4" s="76"/>
      <c r="E4" s="77" t="s">
        <v>27</v>
      </c>
      <c r="F4" s="78" t="s">
        <v>28</v>
      </c>
      <c r="G4" s="78"/>
      <c r="H4" s="79"/>
      <c r="I4" s="80" t="s">
        <v>29</v>
      </c>
      <c r="J4" s="81"/>
      <c r="K4" s="81"/>
      <c r="L4" s="81"/>
      <c r="M4" s="80"/>
      <c r="N4" s="80"/>
    </row>
    <row r="5" spans="1:14">
      <c r="A5" s="82"/>
      <c r="B5" s="82"/>
      <c r="C5" s="82"/>
      <c r="D5" s="82"/>
      <c r="E5" s="83" t="s">
        <v>30</v>
      </c>
      <c r="F5" s="84" t="s">
        <v>31</v>
      </c>
      <c r="G5" s="84"/>
      <c r="H5" s="79"/>
      <c r="I5" s="80" t="s">
        <v>32</v>
      </c>
      <c r="J5" s="81"/>
      <c r="K5" s="81"/>
      <c r="L5" s="81"/>
      <c r="M5" s="85"/>
      <c r="N5" s="85"/>
    </row>
    <row r="6" spans="1:14" s="91" customFormat="1">
      <c r="A6" s="86"/>
      <c r="B6" s="86"/>
      <c r="C6" s="86"/>
      <c r="D6" s="86"/>
      <c r="E6" s="3" t="s">
        <v>33</v>
      </c>
      <c r="F6" s="87" t="s">
        <v>34</v>
      </c>
      <c r="G6" s="87" t="s">
        <v>35</v>
      </c>
      <c r="H6" s="87" t="s">
        <v>36</v>
      </c>
      <c r="I6" s="88" t="s">
        <v>37</v>
      </c>
      <c r="J6" s="88" t="s">
        <v>38</v>
      </c>
      <c r="K6" s="88" t="s">
        <v>39</v>
      </c>
      <c r="L6" s="88" t="s">
        <v>40</v>
      </c>
      <c r="M6" s="88" t="s">
        <v>41</v>
      </c>
      <c r="N6" s="89" t="s">
        <v>42</v>
      </c>
    </row>
    <row r="7" spans="1:14" s="91" customFormat="1" ht="69.900000000000006" customHeight="1">
      <c r="A7" s="92" t="s">
        <v>43</v>
      </c>
      <c r="B7" s="92"/>
      <c r="C7" s="92"/>
      <c r="D7" s="92"/>
      <c r="E7" s="93" t="s">
        <v>44</v>
      </c>
      <c r="F7" s="93" t="s">
        <v>45</v>
      </c>
      <c r="G7" s="93" t="s">
        <v>46</v>
      </c>
      <c r="H7" s="93" t="s">
        <v>47</v>
      </c>
      <c r="I7" s="93" t="s">
        <v>48</v>
      </c>
      <c r="J7" s="93" t="s">
        <v>49</v>
      </c>
      <c r="K7" s="93" t="s">
        <v>50</v>
      </c>
      <c r="L7" s="93" t="s">
        <v>51</v>
      </c>
      <c r="M7" s="93" t="s">
        <v>52</v>
      </c>
      <c r="N7" s="93" t="s">
        <v>53</v>
      </c>
    </row>
    <row r="8" spans="1:14" s="91" customFormat="1" ht="110.4" customHeight="1">
      <c r="A8" s="86" t="s">
        <v>54</v>
      </c>
      <c r="B8" s="86"/>
      <c r="C8" s="86"/>
      <c r="D8" s="86"/>
      <c r="E8" s="94" t="s">
        <v>55</v>
      </c>
      <c r="F8" s="94" t="s">
        <v>56</v>
      </c>
      <c r="G8" s="94" t="s">
        <v>57</v>
      </c>
      <c r="H8" s="94" t="s">
        <v>58</v>
      </c>
      <c r="I8" s="94" t="s">
        <v>59</v>
      </c>
      <c r="J8" s="94" t="s">
        <v>60</v>
      </c>
      <c r="K8" s="94" t="s">
        <v>61</v>
      </c>
      <c r="L8" s="94" t="s">
        <v>62</v>
      </c>
      <c r="M8" s="94" t="s">
        <v>63</v>
      </c>
      <c r="N8" s="94" t="s">
        <v>64</v>
      </c>
    </row>
    <row r="9" spans="1:14" s="91" customFormat="1" ht="228">
      <c r="A9" s="86" t="s">
        <v>65</v>
      </c>
      <c r="B9" s="86"/>
      <c r="C9" s="86"/>
      <c r="D9" s="86"/>
      <c r="E9" s="94" t="s">
        <v>66</v>
      </c>
      <c r="F9" s="94" t="s">
        <v>67</v>
      </c>
      <c r="G9" s="94" t="s">
        <v>68</v>
      </c>
      <c r="H9" s="94" t="s">
        <v>69</v>
      </c>
      <c r="I9" s="94" t="s">
        <v>70</v>
      </c>
      <c r="J9" s="94" t="s">
        <v>71</v>
      </c>
      <c r="K9" s="94" t="s">
        <v>72</v>
      </c>
      <c r="L9" s="94" t="s">
        <v>73</v>
      </c>
      <c r="M9" s="94" t="s">
        <v>74</v>
      </c>
      <c r="N9" s="94" t="s">
        <v>75</v>
      </c>
    </row>
    <row r="10" spans="1:14" s="91" customFormat="1" ht="110.4">
      <c r="A10" s="86" t="s">
        <v>76</v>
      </c>
      <c r="B10" s="86"/>
      <c r="C10" s="86"/>
      <c r="D10" s="86"/>
      <c r="E10" s="98"/>
      <c r="F10" s="98" t="s">
        <v>77</v>
      </c>
      <c r="G10" s="98" t="s">
        <v>78</v>
      </c>
      <c r="H10" s="98" t="s">
        <v>79</v>
      </c>
      <c r="I10" s="98" t="s">
        <v>80</v>
      </c>
      <c r="J10" s="98" t="s">
        <v>81</v>
      </c>
      <c r="K10" s="98" t="s">
        <v>82</v>
      </c>
      <c r="L10" s="98" t="s">
        <v>83</v>
      </c>
      <c r="M10" s="98" t="s">
        <v>84</v>
      </c>
      <c r="N10" s="99" t="s">
        <v>85</v>
      </c>
    </row>
    <row r="11" spans="1:14" s="91" customFormat="1" ht="55.2">
      <c r="A11" s="100" t="s">
        <v>86</v>
      </c>
      <c r="B11" s="100"/>
      <c r="C11" s="100"/>
      <c r="D11" s="100"/>
      <c r="E11" s="98"/>
      <c r="F11" s="98" t="s">
        <v>87</v>
      </c>
      <c r="G11" s="98" t="s">
        <v>88</v>
      </c>
      <c r="H11" s="98" t="s">
        <v>89</v>
      </c>
      <c r="I11" s="98" t="s">
        <v>90</v>
      </c>
      <c r="J11" s="98" t="s">
        <v>91</v>
      </c>
      <c r="K11" s="98" t="s">
        <v>92</v>
      </c>
      <c r="L11" s="98" t="s">
        <v>93</v>
      </c>
      <c r="M11" s="98" t="s">
        <v>94</v>
      </c>
      <c r="N11" s="99" t="s">
        <v>95</v>
      </c>
    </row>
    <row r="15" spans="1:14" customFormat="1">
      <c r="A15" t="s">
        <v>96</v>
      </c>
      <c r="B15" t="s">
        <v>97</v>
      </c>
      <c r="C15" t="s">
        <v>98</v>
      </c>
      <c r="D15" s="327" t="s">
        <v>99</v>
      </c>
      <c r="E15" s="14" t="s">
        <v>33</v>
      </c>
      <c r="F15" s="14" t="s">
        <v>34</v>
      </c>
      <c r="G15" s="14" t="s">
        <v>35</v>
      </c>
      <c r="H15" s="14" t="s">
        <v>36</v>
      </c>
      <c r="I15" s="14" t="s">
        <v>37</v>
      </c>
      <c r="J15" s="14" t="s">
        <v>38</v>
      </c>
      <c r="K15" s="14" t="s">
        <v>39</v>
      </c>
      <c r="L15" s="14" t="s">
        <v>40</v>
      </c>
      <c r="M15" s="14" t="s">
        <v>41</v>
      </c>
      <c r="N15" s="14" t="s">
        <v>42</v>
      </c>
    </row>
    <row r="16" spans="1:14">
      <c r="A16" t="s">
        <v>100</v>
      </c>
      <c r="B16" s="15" t="s">
        <v>97</v>
      </c>
      <c r="C16" s="15" t="str">
        <f>HYPERLINK("02-项目级\P2-Qcubic to MySQL数据同步工具 V1.0\01-生存周期\05-设计\01-概要设计书(QCUBIC-SJTB-TS-BD)V1.0-engl.docx", "engl")</f>
        <v>engl</v>
      </c>
      <c r="D16"/>
      <c r="E16" t="s">
        <v>101</v>
      </c>
      <c r="F16" t="s">
        <v>101</v>
      </c>
      <c r="G16" t="s">
        <v>101</v>
      </c>
      <c r="H16"/>
      <c r="I16" t="s">
        <v>101</v>
      </c>
      <c r="J16" t="s">
        <v>101</v>
      </c>
      <c r="K16" t="s">
        <v>101</v>
      </c>
      <c r="L16" t="s">
        <v>101</v>
      </c>
      <c r="M16" t="s">
        <v>101</v>
      </c>
      <c r="N16" t="s">
        <v>101</v>
      </c>
    </row>
    <row r="17" spans="1:14">
      <c r="A17" t="s">
        <v>100</v>
      </c>
      <c r="B17" s="15" t="s">
        <v>97</v>
      </c>
      <c r="C17" s="15" t="str">
        <f>HYPERLINK("02-项目级\P2-Qcubic to MySQL数据同步工具 V1.0\01-生存周期\05-设计\03-详细设计说明书(QCUBIC-SJTB-TS-DD)V1.0-engl.docx", "engl")</f>
        <v>engl</v>
      </c>
      <c r="D17"/>
      <c r="E17" t="s">
        <v>101</v>
      </c>
      <c r="F17" t="s">
        <v>101</v>
      </c>
      <c r="G17" t="s">
        <v>101</v>
      </c>
      <c r="H17"/>
      <c r="I17" t="s">
        <v>101</v>
      </c>
      <c r="J17" t="s">
        <v>101</v>
      </c>
      <c r="K17" t="s">
        <v>101</v>
      </c>
      <c r="L17" t="s">
        <v>101</v>
      </c>
      <c r="M17" t="s">
        <v>101</v>
      </c>
      <c r="N17" t="s">
        <v>101</v>
      </c>
    </row>
    <row r="18" spans="1:14">
      <c r="A18" t="s">
        <v>100</v>
      </c>
      <c r="B18" s="15" t="s">
        <v>97</v>
      </c>
      <c r="C18" s="15" t="str">
        <f>HYPERLINK("02-项目级\P2-Qcubic to MySQL数据同步工具 V1.0\02-全程管理\05-评审管理\05-设计评审\01-概要设计说明书\05-评审报告_概要设计书(QCUBIC-SJTB-PR-ReviewRpt)V1.1-engl.xlsx", "engl")</f>
        <v>engl</v>
      </c>
      <c r="D18"/>
      <c r="E18"/>
      <c r="F18"/>
      <c r="G18" t="s">
        <v>101</v>
      </c>
      <c r="H18"/>
      <c r="I18"/>
      <c r="J18"/>
      <c r="K18"/>
      <c r="L18"/>
      <c r="M18"/>
      <c r="N18"/>
    </row>
    <row r="19" spans="1:14">
      <c r="A19" t="s">
        <v>100</v>
      </c>
      <c r="B19" s="15" t="s">
        <v>97</v>
      </c>
      <c r="C19" s="15" t="str">
        <f>HYPERLINK("02-项目级\P2-Qcubic to MySQL数据同步工具 V1.0\02-全程管理\05-评审管理\05-设计评审\02-详细设计说明书\05-评审报告_详细设计(QCUBIC-SJTB-PR-ReviewRpt)V1.1-engl.xlsx", "engl")</f>
        <v>engl</v>
      </c>
      <c r="D19"/>
      <c r="E19"/>
      <c r="F19"/>
      <c r="G19" t="s">
        <v>101</v>
      </c>
      <c r="H19"/>
      <c r="I19"/>
      <c r="J19"/>
      <c r="K19"/>
      <c r="L19"/>
      <c r="M19"/>
      <c r="N19"/>
    </row>
    <row r="20" spans="1:14">
      <c r="A20" t="s">
        <v>100</v>
      </c>
      <c r="B20" s="15" t="s">
        <v>97</v>
      </c>
      <c r="C20" s="15" t="str">
        <f>HYPERLINK("02-项目级\P2-Qcubic to MySQL数据同步工具 V1.0\01-生存周期\05-设计\04-用户手册(QCUBIC-SJTB-TS-Tem-UserMPMnual)V1.0-engl.docx", "engl")</f>
        <v>engl</v>
      </c>
      <c r="D20"/>
      <c r="E20"/>
      <c r="F20"/>
      <c r="G20"/>
      <c r="H20" t="s">
        <v>101</v>
      </c>
      <c r="I20"/>
      <c r="J20"/>
      <c r="K20"/>
      <c r="L20"/>
      <c r="M20"/>
      <c r="N20"/>
    </row>
    <row r="21" spans="1:14">
      <c r="A21" t="s">
        <v>100</v>
      </c>
      <c r="B21" s="15" t="s">
        <v>97</v>
      </c>
      <c r="C21" s="15" t="str">
        <f>HYPERLINK("01-组织级\01-组织财富库\01-标准过程文件库\02-软件工程规范\03-设计\设计过程文件(QCUBIC-SPI-TS-Proc-Design)V1.2-engl.docx", "engl")</f>
        <v>engl</v>
      </c>
      <c r="D21"/>
      <c r="E21"/>
      <c r="F21"/>
      <c r="G21"/>
      <c r="H21"/>
      <c r="I21" t="s">
        <v>101</v>
      </c>
      <c r="J21"/>
      <c r="K21"/>
      <c r="L21"/>
      <c r="M21"/>
      <c r="N21"/>
    </row>
    <row r="22" spans="1:14">
      <c r="A22" t="s">
        <v>100</v>
      </c>
      <c r="B22" s="15" t="s">
        <v>97</v>
      </c>
      <c r="C22" s="15" t="str">
        <f>HYPERLINK("02-项目级\P2-Qcubic to MySQL数据同步工具 V1.0\02-全程管理\04-决策分析\01-决策分析报告（QCUBIC-SJTB-dar-evaluaterpt)V1.0-engl.xlsx", "engl")</f>
        <v>engl</v>
      </c>
      <c r="D22"/>
      <c r="E22"/>
      <c r="F22"/>
      <c r="G22"/>
      <c r="H22"/>
      <c r="I22"/>
      <c r="J22" t="s">
        <v>101</v>
      </c>
      <c r="K22"/>
      <c r="L22" t="s">
        <v>101</v>
      </c>
      <c r="M22"/>
      <c r="N22"/>
    </row>
    <row r="23" spans="1:14">
      <c r="A23" t="s">
        <v>100</v>
      </c>
      <c r="B23" s="15" t="s">
        <v>97</v>
      </c>
      <c r="C23" s="15" t="str">
        <f>HYPERLINK("02-项目级\P2-Qcubic to MySQL数据同步工具 V1.0\01-生存周期\05-设计\05-购买,复用,自制评价表(QCUBIC-SJTB-TS-Purchase, reuse, self-made evaluation)V1.0-engl.xlsx", "engl")</f>
        <v>engl</v>
      </c>
      <c r="D23"/>
      <c r="E23"/>
      <c r="F23"/>
      <c r="G23"/>
      <c r="H23"/>
      <c r="I23"/>
      <c r="J23"/>
      <c r="K23" t="s">
        <v>101</v>
      </c>
      <c r="L23"/>
      <c r="M23"/>
      <c r="N23"/>
    </row>
    <row r="24" spans="1:14">
      <c r="A24" t="s">
        <v>100</v>
      </c>
      <c r="B24" s="15" t="s">
        <v>97</v>
      </c>
      <c r="C24" s="15" t="str">
        <f>HYPERLINK("01-组织级\01-组织财富库\01-标准过程文件库\02-软件工程规范\03-设计\设计规范(QCUBIC-SPI-TS-Std-Design)V1.2-engl.docx", "engl")</f>
        <v>engl</v>
      </c>
      <c r="D24"/>
      <c r="E24"/>
      <c r="F24"/>
      <c r="G24"/>
      <c r="H24"/>
      <c r="I24"/>
      <c r="J24"/>
      <c r="K24"/>
      <c r="L24"/>
      <c r="M24"/>
      <c r="N24" t="s">
        <v>101</v>
      </c>
    </row>
    <row r="25" spans="1:14">
      <c r="A25" t="s">
        <v>100</v>
      </c>
      <c r="B25" s="15" t="s">
        <v>97</v>
      </c>
      <c r="C25" s="15" t="str">
        <f>HYPERLINK("01-组织级\01-组织财富库\01-标准过程文件库\02-软件工程规范\03-设计\设计指南(QCUBIC-SPI-TS-Guid-Design)V1.2-engl.docx", "engl")</f>
        <v>engl</v>
      </c>
      <c r="D25"/>
      <c r="E25"/>
      <c r="F25"/>
      <c r="G25"/>
      <c r="H25"/>
      <c r="I25"/>
      <c r="J25"/>
      <c r="K25"/>
      <c r="L25"/>
      <c r="M25"/>
      <c r="N25" t="s">
        <v>101</v>
      </c>
    </row>
  </sheetData>
  <phoneticPr fontId="61"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N26"/>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5" customWidth="1"/>
    <col min="2" max="4" width="7.88671875" style="105" customWidth="1"/>
    <col min="5" max="14" width="15.6640625" style="105" customWidth="1"/>
    <col min="15" max="15" width="70.88671875" style="105" customWidth="1"/>
    <col min="16" max="16" width="3.6640625" style="105" customWidth="1"/>
    <col min="17" max="17" width="32.33203125" style="105" customWidth="1"/>
    <col min="18" max="18" width="96.44140625" style="105" customWidth="1"/>
    <col min="19" max="19" width="8.6640625" style="105"/>
    <col min="20" max="20" width="10.33203125" style="105" bestFit="1" customWidth="1"/>
    <col min="21" max="21" width="20.44140625" style="105" bestFit="1" customWidth="1"/>
    <col min="22" max="16384" width="8.6640625" style="105"/>
  </cols>
  <sheetData>
    <row r="1" spans="1:14" ht="18">
      <c r="A1" s="101" t="s">
        <v>102</v>
      </c>
      <c r="B1" s="101"/>
      <c r="C1" s="101"/>
      <c r="D1" s="101"/>
      <c r="E1" s="102"/>
      <c r="F1" s="103"/>
      <c r="G1" s="104"/>
      <c r="H1" s="104"/>
      <c r="I1" s="104"/>
      <c r="J1" s="104"/>
      <c r="K1" s="104"/>
      <c r="L1" s="104"/>
      <c r="M1" s="104"/>
      <c r="N1" s="104"/>
    </row>
    <row r="2" spans="1:14">
      <c r="A2" s="106" t="s">
        <v>23</v>
      </c>
      <c r="B2" s="106"/>
      <c r="C2" s="106"/>
      <c r="D2" s="106"/>
      <c r="E2" s="103" t="s">
        <v>103</v>
      </c>
      <c r="F2" s="103"/>
      <c r="G2" s="104"/>
      <c r="H2" s="104"/>
      <c r="I2" s="104"/>
      <c r="J2" s="104"/>
      <c r="K2" s="104"/>
      <c r="L2" s="104"/>
      <c r="M2" s="104"/>
      <c r="N2" s="104"/>
    </row>
    <row r="3" spans="1:14">
      <c r="A3" s="103" t="s">
        <v>25</v>
      </c>
      <c r="B3" s="103"/>
      <c r="C3" s="103"/>
      <c r="D3" s="103"/>
      <c r="E3" s="103" t="s">
        <v>104</v>
      </c>
      <c r="F3" s="103"/>
      <c r="G3" s="104"/>
      <c r="H3" s="104"/>
      <c r="I3" s="104"/>
      <c r="J3" s="104"/>
      <c r="K3" s="104"/>
      <c r="L3" s="104"/>
      <c r="M3" s="104"/>
      <c r="N3" s="104"/>
    </row>
    <row r="4" spans="1:14">
      <c r="A4" s="107"/>
      <c r="B4" s="107"/>
      <c r="C4" s="107"/>
      <c r="D4" s="107"/>
      <c r="E4" s="108" t="s">
        <v>27</v>
      </c>
      <c r="F4" s="109" t="s">
        <v>28</v>
      </c>
      <c r="G4" s="109"/>
      <c r="H4" s="110"/>
      <c r="I4" s="109"/>
      <c r="J4" s="111"/>
      <c r="K4" s="111"/>
      <c r="L4" s="112" t="s">
        <v>29</v>
      </c>
      <c r="M4" s="112"/>
      <c r="N4" s="112"/>
    </row>
    <row r="5" spans="1:14">
      <c r="A5" s="114"/>
      <c r="B5" s="114"/>
      <c r="C5" s="114"/>
      <c r="D5" s="114"/>
      <c r="E5" s="115" t="s">
        <v>30</v>
      </c>
      <c r="F5" s="116" t="s">
        <v>31</v>
      </c>
      <c r="G5" s="116"/>
      <c r="H5" s="110"/>
      <c r="I5" s="116"/>
      <c r="J5" s="111"/>
      <c r="K5" s="111"/>
      <c r="L5" s="112" t="s">
        <v>32</v>
      </c>
      <c r="M5" s="117"/>
      <c r="N5" s="117"/>
    </row>
    <row r="6" spans="1:14">
      <c r="A6" s="118"/>
      <c r="B6" s="118"/>
      <c r="C6" s="118"/>
      <c r="D6" s="118"/>
      <c r="E6" s="3" t="s">
        <v>105</v>
      </c>
      <c r="F6" s="87" t="s">
        <v>106</v>
      </c>
      <c r="G6" s="87" t="s">
        <v>107</v>
      </c>
      <c r="H6" s="87" t="s">
        <v>108</v>
      </c>
      <c r="I6" s="87" t="s">
        <v>109</v>
      </c>
      <c r="J6" s="87" t="s">
        <v>110</v>
      </c>
      <c r="K6" s="87" t="s">
        <v>111</v>
      </c>
      <c r="L6" s="88" t="s">
        <v>112</v>
      </c>
      <c r="M6" s="88" t="s">
        <v>113</v>
      </c>
      <c r="N6" s="89" t="s">
        <v>114</v>
      </c>
    </row>
    <row r="7" spans="1:14" ht="124.2">
      <c r="A7" s="120" t="s">
        <v>43</v>
      </c>
      <c r="B7" s="120"/>
      <c r="C7" s="120"/>
      <c r="D7" s="120"/>
      <c r="E7" s="93" t="s">
        <v>115</v>
      </c>
      <c r="F7" s="93" t="s">
        <v>116</v>
      </c>
      <c r="G7" s="93" t="s">
        <v>117</v>
      </c>
      <c r="H7" s="93" t="s">
        <v>118</v>
      </c>
      <c r="I7" s="93" t="s">
        <v>119</v>
      </c>
      <c r="J7" s="93" t="s">
        <v>120</v>
      </c>
      <c r="K7" s="93" t="s">
        <v>121</v>
      </c>
      <c r="L7" s="93" t="s">
        <v>122</v>
      </c>
      <c r="M7" s="93" t="s">
        <v>123</v>
      </c>
      <c r="N7" s="93" t="s">
        <v>124</v>
      </c>
    </row>
    <row r="8" spans="1:14" ht="144">
      <c r="A8" s="118" t="s">
        <v>54</v>
      </c>
      <c r="B8" s="118"/>
      <c r="C8" s="118"/>
      <c r="D8" s="118"/>
      <c r="E8" s="121" t="s">
        <v>125</v>
      </c>
      <c r="F8" s="121" t="s">
        <v>126</v>
      </c>
      <c r="G8" s="121" t="s">
        <v>127</v>
      </c>
      <c r="H8" s="121" t="s">
        <v>128</v>
      </c>
      <c r="I8" s="121" t="s">
        <v>129</v>
      </c>
      <c r="J8" s="121" t="s">
        <v>130</v>
      </c>
      <c r="K8" s="121" t="s">
        <v>131</v>
      </c>
      <c r="L8" s="121" t="s">
        <v>132</v>
      </c>
      <c r="M8" s="122" t="s">
        <v>133</v>
      </c>
      <c r="N8" s="122" t="s">
        <v>134</v>
      </c>
    </row>
    <row r="9" spans="1:14" ht="246" customHeight="1">
      <c r="A9" s="118" t="s">
        <v>65</v>
      </c>
      <c r="B9" s="118"/>
      <c r="C9" s="118"/>
      <c r="D9" s="118"/>
      <c r="E9" s="121" t="s">
        <v>135</v>
      </c>
      <c r="F9" s="121" t="s">
        <v>136</v>
      </c>
      <c r="G9" s="121" t="s">
        <v>137</v>
      </c>
      <c r="H9" s="121" t="s">
        <v>138</v>
      </c>
      <c r="I9" s="121" t="s">
        <v>139</v>
      </c>
      <c r="J9" s="121" t="s">
        <v>140</v>
      </c>
      <c r="K9" s="121" t="s">
        <v>141</v>
      </c>
      <c r="L9" s="121" t="s">
        <v>142</v>
      </c>
      <c r="M9" s="121" t="s">
        <v>143</v>
      </c>
      <c r="N9" s="121" t="s">
        <v>144</v>
      </c>
    </row>
    <row r="10" spans="1:14" ht="116.85" customHeight="1">
      <c r="A10" s="118" t="s">
        <v>76</v>
      </c>
      <c r="B10" s="118"/>
      <c r="C10" s="118"/>
      <c r="D10" s="118"/>
      <c r="E10" s="128"/>
      <c r="F10" s="128" t="s">
        <v>145</v>
      </c>
      <c r="G10" s="128" t="s">
        <v>146</v>
      </c>
      <c r="H10" s="128" t="s">
        <v>147</v>
      </c>
      <c r="I10" s="128" t="s">
        <v>148</v>
      </c>
      <c r="J10" s="128" t="s">
        <v>149</v>
      </c>
      <c r="K10" s="128" t="s">
        <v>150</v>
      </c>
      <c r="L10" s="128" t="s">
        <v>151</v>
      </c>
      <c r="M10" s="128" t="s">
        <v>152</v>
      </c>
      <c r="N10" s="128" t="s">
        <v>153</v>
      </c>
    </row>
    <row r="11" spans="1:14" ht="116.85" customHeight="1">
      <c r="A11" s="129" t="s">
        <v>86</v>
      </c>
      <c r="B11" s="129"/>
      <c r="C11" s="129"/>
      <c r="D11" s="129"/>
      <c r="E11" s="128"/>
      <c r="F11" s="128" t="s">
        <v>154</v>
      </c>
      <c r="G11" s="128" t="s">
        <v>155</v>
      </c>
      <c r="H11" s="128" t="s">
        <v>156</v>
      </c>
      <c r="I11" s="128" t="s">
        <v>157</v>
      </c>
      <c r="J11" s="128" t="s">
        <v>158</v>
      </c>
      <c r="K11" s="128" t="s">
        <v>159</v>
      </c>
      <c r="L11" s="128" t="s">
        <v>160</v>
      </c>
      <c r="M11" s="128" t="s">
        <v>161</v>
      </c>
      <c r="N11" s="128" t="s">
        <v>162</v>
      </c>
    </row>
    <row r="12" spans="1:14" s="113" customFormat="1" ht="15" customHeight="1">
      <c r="A12" s="105"/>
      <c r="B12" s="105"/>
      <c r="C12" s="105"/>
      <c r="D12" s="105"/>
      <c r="E12" s="105"/>
      <c r="F12" s="105"/>
      <c r="G12" s="105"/>
      <c r="H12" s="105"/>
      <c r="I12" s="105"/>
      <c r="J12" s="105"/>
      <c r="K12" s="105"/>
      <c r="L12" s="105"/>
      <c r="M12" s="105"/>
      <c r="N12" s="105"/>
    </row>
    <row r="13" spans="1:14" s="113" customFormat="1" ht="15" customHeight="1">
      <c r="A13" s="105"/>
      <c r="B13" s="105"/>
      <c r="C13" s="105"/>
      <c r="D13" s="105"/>
      <c r="E13" s="105"/>
      <c r="F13" s="105"/>
      <c r="G13" s="105"/>
      <c r="H13" s="105"/>
      <c r="I13" s="105"/>
      <c r="J13" s="105"/>
      <c r="K13" s="105"/>
      <c r="L13" s="105"/>
      <c r="M13" s="105"/>
      <c r="N13" s="105"/>
    </row>
    <row r="14" spans="1:14" s="113" customFormat="1" ht="15" customHeight="1">
      <c r="A14" s="105"/>
      <c r="B14" s="105"/>
      <c r="C14" s="105"/>
      <c r="D14" s="105"/>
      <c r="E14" s="105"/>
      <c r="F14" s="105"/>
      <c r="G14" s="105"/>
      <c r="H14" s="105"/>
      <c r="I14" s="105"/>
      <c r="J14" s="105"/>
      <c r="K14" s="105"/>
      <c r="L14" s="105"/>
      <c r="M14" s="105"/>
      <c r="N14" s="105"/>
    </row>
    <row r="15" spans="1:14" customFormat="1">
      <c r="A15" t="s">
        <v>96</v>
      </c>
      <c r="B15" t="s">
        <v>97</v>
      </c>
      <c r="C15" t="s">
        <v>98</v>
      </c>
      <c r="D15" s="327" t="s">
        <v>99</v>
      </c>
      <c r="E15" s="14" t="s">
        <v>105</v>
      </c>
      <c r="F15" s="14" t="s">
        <v>106</v>
      </c>
      <c r="G15" s="14" t="s">
        <v>107</v>
      </c>
      <c r="H15" s="14" t="s">
        <v>108</v>
      </c>
      <c r="I15" s="14" t="s">
        <v>109</v>
      </c>
      <c r="J15" s="14" t="s">
        <v>110</v>
      </c>
      <c r="K15" s="14" t="s">
        <v>111</v>
      </c>
      <c r="L15" s="14" t="s">
        <v>112</v>
      </c>
      <c r="M15" s="14" t="s">
        <v>113</v>
      </c>
      <c r="N15" s="14" t="s">
        <v>114</v>
      </c>
    </row>
    <row r="16" spans="1:14" s="113" customFormat="1" ht="15" customHeight="1">
      <c r="A16" s="327" t="s">
        <v>163</v>
      </c>
      <c r="B16" s="15" t="s">
        <v>97</v>
      </c>
      <c r="C16" s="15" t="str">
        <f>HYPERLINK("02-项目级\P2-Qcubic to MySQL数据同步工具 V1.0\01-生存周期\06-实现\02-产品集成\01-产品集成计划(QCUBIC-SJTB-PI-Plan)V1.0-engl.docx", "engl")</f>
        <v>engl</v>
      </c>
      <c r="D16"/>
      <c r="E16" t="s">
        <v>101</v>
      </c>
      <c r="F16" t="s">
        <v>101</v>
      </c>
      <c r="G16" t="s">
        <v>101</v>
      </c>
      <c r="H16" t="s">
        <v>101</v>
      </c>
      <c r="I16"/>
      <c r="J16"/>
      <c r="K16"/>
      <c r="L16"/>
      <c r="M16"/>
      <c r="N16"/>
    </row>
    <row r="17" spans="1:14" s="113" customFormat="1">
      <c r="A17" s="327" t="s">
        <v>164</v>
      </c>
      <c r="B17" s="15" t="s">
        <v>97</v>
      </c>
      <c r="C17" s="15" t="str">
        <f>HYPERLINK("02-项目级\P2-Qcubic to MySQL数据同步工具 V1.0\01-生存周期\06-实现\02-产品集成\06-产品集成阶段报告\03-产品集成阶段报告(QCUBIC-SJTB-PI-InterimReport-3)V1.0-engl.docx", "engl")</f>
        <v>engl</v>
      </c>
      <c r="D17"/>
      <c r="E17" t="s">
        <v>101</v>
      </c>
      <c r="F17"/>
      <c r="G17"/>
      <c r="H17" t="s">
        <v>101</v>
      </c>
      <c r="I17"/>
      <c r="J17" t="s">
        <v>101</v>
      </c>
      <c r="K17" t="s">
        <v>101</v>
      </c>
      <c r="L17"/>
      <c r="M17"/>
      <c r="N17" t="s">
        <v>101</v>
      </c>
    </row>
    <row r="18" spans="1:14">
      <c r="A18" t="s">
        <v>100</v>
      </c>
      <c r="B18" s="15" t="s">
        <v>97</v>
      </c>
      <c r="C18" s="15" t="str">
        <f>HYPERLINK("01-组织级\01-组织财富库\01-标准过程文件库\02-软件工程规范\04-实现\实现过程文件 (QCUBIC-SPI-DEV-Proc-Doc)V1.2-engl.docx", "engl")</f>
        <v>engl</v>
      </c>
      <c r="D18"/>
      <c r="E18"/>
      <c r="F18"/>
      <c r="G18"/>
      <c r="H18" t="s">
        <v>101</v>
      </c>
      <c r="I18"/>
      <c r="J18"/>
      <c r="K18"/>
      <c r="L18"/>
      <c r="M18"/>
      <c r="N18"/>
    </row>
    <row r="19" spans="1:14">
      <c r="A19" t="s">
        <v>100</v>
      </c>
      <c r="B19" s="15" t="s">
        <v>97</v>
      </c>
      <c r="C19" s="15" t="str">
        <f>HYPERLINK("01-组织级\01-组织财富库\01-标准过程文件库\02-软件工程规范\05-测试\02-产品集成及集成测试\产品集成指南(QCUBIC-SPI-VV-Guid-PI)V1.2-engl.docx", "engl")</f>
        <v>engl</v>
      </c>
      <c r="D19"/>
      <c r="E19"/>
      <c r="F19"/>
      <c r="G19"/>
      <c r="H19" t="s">
        <v>101</v>
      </c>
      <c r="I19"/>
      <c r="J19"/>
      <c r="K19"/>
      <c r="L19"/>
      <c r="M19"/>
      <c r="N19"/>
    </row>
    <row r="20" spans="1:14">
      <c r="A20" t="s">
        <v>100</v>
      </c>
      <c r="B20" s="15" t="s">
        <v>97</v>
      </c>
      <c r="C20" s="15" t="str">
        <f>HYPERLINK("02-项目级\P2-Qcubic to MySQL数据同步工具 V1.0\01-生存周期\06-实现\02-产品集成\03-产品集成检查列表(QCUBIC-SJTB-PI-PIChkList)V1.0-engl.xlsx", "engl")</f>
        <v>engl</v>
      </c>
      <c r="D20"/>
      <c r="E20"/>
      <c r="F20"/>
      <c r="G20"/>
      <c r="H20"/>
      <c r="I20" t="s">
        <v>101</v>
      </c>
      <c r="J20"/>
      <c r="K20"/>
      <c r="L20"/>
      <c r="M20"/>
      <c r="N20"/>
    </row>
    <row r="21" spans="1:14">
      <c r="A21" t="s">
        <v>100</v>
      </c>
      <c r="B21" s="15" t="s">
        <v>97</v>
      </c>
      <c r="C21" s="15" t="str">
        <f>HYPERLINK("02-项目级\P2-Qcubic to MySQL数据同步工具 V1.0\01-生存周期\07-测试\02-集成测试\01-集成测试用例(QCUBIC-SJTB-VV-TestCase-SystemTest)V1.0-engl.xlsx", "engl")</f>
        <v>engl</v>
      </c>
      <c r="D21"/>
      <c r="E21"/>
      <c r="F21"/>
      <c r="G21"/>
      <c r="H21"/>
      <c r="I21"/>
      <c r="J21" t="s">
        <v>101</v>
      </c>
      <c r="K21"/>
      <c r="L21"/>
      <c r="M21"/>
      <c r="N21"/>
    </row>
    <row r="22" spans="1:14">
      <c r="A22" t="s">
        <v>100</v>
      </c>
      <c r="B22" s="15" t="s">
        <v>97</v>
      </c>
      <c r="C22" s="15" t="str">
        <f>HYPERLINK("02-项目级\P2-Qcubic to MySQL数据同步工具 V1.0\01-生存周期\07-测试\02-集成测试\04-集成测试报告(QCUBIC-SJTB-LP_VV_IntegrationTestRet)V1.0-engl.docx", "engl")</f>
        <v>engl</v>
      </c>
      <c r="D22"/>
      <c r="E22"/>
      <c r="F22"/>
      <c r="G22"/>
      <c r="H22"/>
      <c r="I22"/>
      <c r="J22" t="s">
        <v>101</v>
      </c>
      <c r="K22"/>
      <c r="L22"/>
      <c r="M22"/>
      <c r="N22"/>
    </row>
    <row r="23" spans="1:14">
      <c r="A23" t="s">
        <v>100</v>
      </c>
      <c r="B23" s="15" t="s">
        <v>97</v>
      </c>
      <c r="C23" s="15" t="str">
        <f>HYPERLINK("02-项目级\P2-Qcubic to MySQL数据同步工具 V1.0\01-生存周期\05-设计\01-概要设计书(QCUBIC-SJTB-TS-BD)V1.0-engl.docx", "engl")</f>
        <v>engl</v>
      </c>
      <c r="D23"/>
      <c r="E23"/>
      <c r="F23"/>
      <c r="G23"/>
      <c r="H23"/>
      <c r="I23"/>
      <c r="J23"/>
      <c r="K23"/>
      <c r="L23" t="s">
        <v>101</v>
      </c>
      <c r="M23" t="s">
        <v>101</v>
      </c>
      <c r="N23"/>
    </row>
    <row r="24" spans="1:14">
      <c r="A24" t="s">
        <v>100</v>
      </c>
      <c r="B24" s="15" t="s">
        <v>97</v>
      </c>
      <c r="C24" s="15" t="str">
        <f>HYPERLINK("02-项目级\P2-Qcubic to MySQL数据同步工具 V1.0\01-生存周期\05-设计\03-详细设计说明书(QCUBIC-SJTB-TS-DD)V1.0-engl.docx", "engl")</f>
        <v>engl</v>
      </c>
      <c r="D24"/>
      <c r="E24"/>
      <c r="F24"/>
      <c r="G24"/>
      <c r="H24"/>
      <c r="I24"/>
      <c r="J24"/>
      <c r="K24"/>
      <c r="L24" t="s">
        <v>101</v>
      </c>
      <c r="M24" t="s">
        <v>101</v>
      </c>
      <c r="N24"/>
    </row>
    <row r="25" spans="1:14">
      <c r="A25" t="s">
        <v>100</v>
      </c>
      <c r="B25" s="15" t="s">
        <v>97</v>
      </c>
      <c r="C25" s="15" t="str">
        <f>HYPERLINK("02-项目级\P2-Qcubic to MySQL数据同步工具 V1.0\01-生存周期\06-实现\02-产品集成\04-接口检查列表(QCUBIC-SJTB-PI-PIChkList)V1.0-engl.xlsx", "engl")</f>
        <v>engl</v>
      </c>
      <c r="D25"/>
      <c r="E25"/>
      <c r="F25"/>
      <c r="G25"/>
      <c r="H25"/>
      <c r="I25"/>
      <c r="J25"/>
      <c r="K25"/>
      <c r="L25" t="s">
        <v>101</v>
      </c>
      <c r="M25" t="s">
        <v>101</v>
      </c>
      <c r="N25" t="s">
        <v>101</v>
      </c>
    </row>
    <row r="26" spans="1:14">
      <c r="A26" t="s">
        <v>100</v>
      </c>
      <c r="B26" s="15" t="s">
        <v>97</v>
      </c>
      <c r="C26" s="15" t="str">
        <f>HYPERLINK("02-项目级\P2-Qcubic to MySQL数据同步工具 V1.0\01-生存周期\06-实现\03-代码检查\02-代码调试BUG管理表(QCUBIC-SJTB-VV-CDBugList)V1.0-engl.xlsx", "engl")</f>
        <v>engl</v>
      </c>
      <c r="D26"/>
      <c r="E26"/>
      <c r="F26"/>
      <c r="G26"/>
      <c r="H26"/>
      <c r="I26"/>
      <c r="J26"/>
      <c r="K26"/>
      <c r="L26" t="s">
        <v>101</v>
      </c>
      <c r="M26" t="s">
        <v>101</v>
      </c>
      <c r="N26"/>
    </row>
  </sheetData>
  <phoneticPr fontId="61"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Q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4" customWidth="1"/>
    <col min="2" max="4" width="7.88671875" style="114" customWidth="1"/>
    <col min="5" max="8" width="20.6640625" style="114" customWidth="1"/>
    <col min="9" max="10" width="20.6640625" style="130" customWidth="1"/>
    <col min="11" max="11" width="76.88671875" style="130" customWidth="1"/>
    <col min="12" max="12" width="3.6640625" style="130" customWidth="1"/>
    <col min="13" max="13" width="20.6640625" style="130" customWidth="1"/>
    <col min="14" max="14" width="77.88671875" style="130" customWidth="1"/>
    <col min="15" max="17" width="8.6640625" style="130"/>
    <col min="18" max="16384" width="8.6640625" style="114"/>
  </cols>
  <sheetData>
    <row r="1" spans="1:10" s="131" customFormat="1" ht="18">
      <c r="A1" s="101" t="s">
        <v>165</v>
      </c>
      <c r="B1" s="101"/>
      <c r="C1" s="101"/>
      <c r="D1" s="101"/>
      <c r="E1" s="103"/>
      <c r="F1" s="102"/>
      <c r="G1" s="103"/>
      <c r="H1" s="103"/>
      <c r="I1" s="130"/>
      <c r="J1" s="130"/>
    </row>
    <row r="2" spans="1:10" s="132" customFormat="1">
      <c r="A2" s="106" t="s">
        <v>23</v>
      </c>
      <c r="B2" s="106"/>
      <c r="C2" s="106"/>
      <c r="D2" s="106"/>
      <c r="E2" s="103" t="s">
        <v>166</v>
      </c>
      <c r="F2" s="103"/>
      <c r="G2" s="103"/>
      <c r="H2" s="103"/>
      <c r="I2" s="130"/>
      <c r="J2" s="130"/>
    </row>
    <row r="3" spans="1:10" s="132" customFormat="1">
      <c r="A3" s="103" t="s">
        <v>25</v>
      </c>
      <c r="B3" s="103"/>
      <c r="C3" s="103"/>
      <c r="D3" s="103"/>
      <c r="E3" s="103" t="s">
        <v>167</v>
      </c>
      <c r="F3" s="103"/>
      <c r="G3" s="103"/>
      <c r="H3" s="103"/>
      <c r="I3" s="130"/>
      <c r="J3" s="130"/>
    </row>
    <row r="4" spans="1:10" s="132" customFormat="1">
      <c r="A4" s="107"/>
      <c r="B4" s="107"/>
      <c r="C4" s="107"/>
      <c r="D4" s="107"/>
      <c r="E4" s="108" t="s">
        <v>27</v>
      </c>
      <c r="F4" s="109" t="s">
        <v>28</v>
      </c>
      <c r="G4" s="109"/>
      <c r="H4" s="110"/>
      <c r="I4" s="109"/>
      <c r="J4" s="112" t="s">
        <v>29</v>
      </c>
    </row>
    <row r="5" spans="1:10" s="133" customFormat="1">
      <c r="A5" s="114"/>
      <c r="B5" s="114"/>
      <c r="C5" s="114"/>
      <c r="D5" s="114"/>
      <c r="E5" s="115" t="s">
        <v>30</v>
      </c>
      <c r="F5" s="116" t="s">
        <v>31</v>
      </c>
      <c r="G5" s="116"/>
      <c r="H5" s="110"/>
      <c r="I5" s="116"/>
      <c r="J5" s="112" t="s">
        <v>32</v>
      </c>
    </row>
    <row r="6" spans="1:10" s="125" customFormat="1">
      <c r="A6" s="118"/>
      <c r="B6" s="118"/>
      <c r="C6" s="118"/>
      <c r="D6" s="118"/>
      <c r="E6" s="3" t="s">
        <v>168</v>
      </c>
      <c r="F6" s="87" t="s">
        <v>169</v>
      </c>
      <c r="G6" s="87" t="s">
        <v>170</v>
      </c>
      <c r="H6" s="87" t="s">
        <v>171</v>
      </c>
      <c r="I6" s="87" t="s">
        <v>172</v>
      </c>
      <c r="J6" s="88" t="s">
        <v>173</v>
      </c>
    </row>
    <row r="7" spans="1:10" s="125" customFormat="1" ht="84" customHeight="1">
      <c r="A7" s="120" t="s">
        <v>174</v>
      </c>
      <c r="B7" s="120"/>
      <c r="C7" s="120"/>
      <c r="D7" s="120"/>
      <c r="E7" s="93" t="s">
        <v>175</v>
      </c>
      <c r="F7" s="93" t="s">
        <v>176</v>
      </c>
      <c r="G7" s="93" t="s">
        <v>177</v>
      </c>
      <c r="H7" s="93" t="s">
        <v>178</v>
      </c>
      <c r="I7" s="93" t="s">
        <v>179</v>
      </c>
      <c r="J7" s="93" t="s">
        <v>180</v>
      </c>
    </row>
    <row r="8" spans="1:10" s="125" customFormat="1" ht="48">
      <c r="A8" s="118" t="s">
        <v>54</v>
      </c>
      <c r="B8" s="118"/>
      <c r="C8" s="118"/>
      <c r="D8" s="118"/>
      <c r="E8" s="121" t="s">
        <v>181</v>
      </c>
      <c r="F8" s="94" t="s">
        <v>182</v>
      </c>
      <c r="G8" s="94" t="s">
        <v>183</v>
      </c>
      <c r="H8" s="94" t="s">
        <v>184</v>
      </c>
      <c r="I8" s="94" t="s">
        <v>185</v>
      </c>
      <c r="J8" s="94" t="s">
        <v>186</v>
      </c>
    </row>
    <row r="9" spans="1:10" s="125" customFormat="1" ht="156">
      <c r="A9" s="118" t="s">
        <v>65</v>
      </c>
      <c r="B9" s="118"/>
      <c r="C9" s="118"/>
      <c r="D9" s="118"/>
      <c r="E9" s="94" t="s">
        <v>187</v>
      </c>
      <c r="F9" s="94" t="s">
        <v>188</v>
      </c>
      <c r="G9" s="94" t="s">
        <v>189</v>
      </c>
      <c r="H9" s="94" t="s">
        <v>190</v>
      </c>
      <c r="I9" s="121" t="s">
        <v>191</v>
      </c>
      <c r="J9" s="94" t="s">
        <v>192</v>
      </c>
    </row>
    <row r="10" spans="1:10" ht="72">
      <c r="A10" s="118" t="s">
        <v>76</v>
      </c>
      <c r="B10" s="118"/>
      <c r="C10" s="118"/>
      <c r="D10" s="118"/>
      <c r="E10" s="135"/>
      <c r="F10" s="136" t="s">
        <v>193</v>
      </c>
      <c r="G10" s="136" t="s">
        <v>194</v>
      </c>
      <c r="H10" s="136" t="s">
        <v>195</v>
      </c>
      <c r="I10" s="136" t="s">
        <v>196</v>
      </c>
      <c r="J10" s="136" t="s">
        <v>197</v>
      </c>
    </row>
    <row r="11" spans="1:10" s="119" customFormat="1" ht="41.4">
      <c r="A11" s="137" t="s">
        <v>86</v>
      </c>
      <c r="B11" s="137"/>
      <c r="C11" s="137"/>
      <c r="D11" s="137"/>
      <c r="E11" s="138"/>
      <c r="F11" s="138" t="s">
        <v>198</v>
      </c>
      <c r="G11" s="138" t="s">
        <v>199</v>
      </c>
      <c r="H11" s="138" t="s">
        <v>200</v>
      </c>
      <c r="I11" s="139" t="s">
        <v>201</v>
      </c>
      <c r="J11" s="139" t="s">
        <v>202</v>
      </c>
    </row>
    <row r="15" spans="1:10" customFormat="1" ht="14.4">
      <c r="A15" t="s">
        <v>96</v>
      </c>
      <c r="B15" t="s">
        <v>97</v>
      </c>
      <c r="C15" t="s">
        <v>98</v>
      </c>
      <c r="D15" s="327" t="s">
        <v>99</v>
      </c>
      <c r="E15" s="14" t="s">
        <v>168</v>
      </c>
      <c r="F15" s="14" t="s">
        <v>169</v>
      </c>
      <c r="G15" s="14" t="s">
        <v>170</v>
      </c>
      <c r="H15" s="14" t="s">
        <v>171</v>
      </c>
      <c r="I15" s="14" t="s">
        <v>172</v>
      </c>
      <c r="J15" s="14" t="s">
        <v>173</v>
      </c>
    </row>
    <row r="16" spans="1:10" ht="14.4">
      <c r="A16" t="s">
        <v>100</v>
      </c>
      <c r="B16" s="15" t="s">
        <v>97</v>
      </c>
      <c r="C16" s="15" t="str">
        <f>HYPERLINK("02-项目级\P3-主从数据库复制及性能提升项目\01-生存周期\03-项目策划\03-项目计划书 (QCUBIC-XNTS-PLAN-Plan)V1.1-engl.docx", "engl")</f>
        <v>engl</v>
      </c>
      <c r="D16"/>
      <c r="E16" t="s">
        <v>101</v>
      </c>
      <c r="F16"/>
      <c r="G16"/>
      <c r="H16" t="s">
        <v>101</v>
      </c>
      <c r="I16"/>
      <c r="J16"/>
    </row>
    <row r="17" spans="1:10" ht="14.4">
      <c r="A17" t="s">
        <v>100</v>
      </c>
      <c r="B17" s="15" t="s">
        <v>97</v>
      </c>
      <c r="C17" s="15" t="str">
        <f>HYPERLINK("02-项目级\P3-主从数据库复制及性能提升项目\02-全程管理\05-评审管理\03-计划评审\05-评审报告_项目计划(QCUBIC-XNTS-PR-ReviewRpt)V1.1-engl.xlsx", "engl")</f>
        <v>engl</v>
      </c>
      <c r="D17"/>
      <c r="E17" t="s">
        <v>101</v>
      </c>
      <c r="F17" t="s">
        <v>101</v>
      </c>
      <c r="G17" t="s">
        <v>101</v>
      </c>
      <c r="H17" t="s">
        <v>101</v>
      </c>
      <c r="I17" t="s">
        <v>101</v>
      </c>
      <c r="J17"/>
    </row>
    <row r="18" spans="1:10" ht="14.4">
      <c r="A18" t="s">
        <v>100</v>
      </c>
      <c r="B18" s="15" t="s">
        <v>97</v>
      </c>
      <c r="C18" s="15" t="str">
        <f>HYPERLINK("02-项目级\P3-主从数据库复制及性能提升项目\02-全程管理\05-评审管理\04-需求评审\01-需求规格说明书\05-评审报告_需求规格说明书(QCUBIC-XNTS-PR-ReviewRpt)V1.1-engl.xlsx", "engl")</f>
        <v>engl</v>
      </c>
      <c r="D18"/>
      <c r="E18" t="s">
        <v>101</v>
      </c>
      <c r="F18"/>
      <c r="G18" t="s">
        <v>101</v>
      </c>
      <c r="H18" t="s">
        <v>101</v>
      </c>
      <c r="I18" t="s">
        <v>101</v>
      </c>
      <c r="J18"/>
    </row>
    <row r="19" spans="1:10" ht="14.4">
      <c r="A19" t="s">
        <v>100</v>
      </c>
      <c r="B19" s="15" t="s">
        <v>97</v>
      </c>
      <c r="C19" s="15" t="str">
        <f>HYPERLINK("02-项目级\P3-主从数据库复制及性能提升项目\02-全程管理\05-评审管理\04-需求评审\02-用户需求说明书\03-评审报告_用户需求说明书(QCUBIC-XNTS-PR-ReviewRpt)V1.0-engl.xlsx", "engl")</f>
        <v>engl</v>
      </c>
      <c r="D19"/>
      <c r="E19" t="s">
        <v>101</v>
      </c>
      <c r="F19"/>
      <c r="G19" t="s">
        <v>101</v>
      </c>
      <c r="H19" t="s">
        <v>101</v>
      </c>
      <c r="I19" t="s">
        <v>101</v>
      </c>
      <c r="J19"/>
    </row>
    <row r="20" spans="1:10" ht="14.4">
      <c r="A20" t="s">
        <v>100</v>
      </c>
      <c r="B20" s="15" t="s">
        <v>97</v>
      </c>
      <c r="C20" s="15" t="str">
        <f>HYPERLINK("02-项目级\P3-主从数据库复制及性能提升项目\02-全程管理\05-评审管理\05-设计评审\01-概要设计说明书\05-评审报告_概要设计书(QCUBIC-XNTS-PR-ReviewRpt)V1.1-engl.xlsx", "engl")</f>
        <v>engl</v>
      </c>
      <c r="D20"/>
      <c r="E20" t="s">
        <v>101</v>
      </c>
      <c r="F20"/>
      <c r="G20" t="s">
        <v>101</v>
      </c>
      <c r="H20" t="s">
        <v>101</v>
      </c>
      <c r="I20" t="s">
        <v>101</v>
      </c>
      <c r="J20"/>
    </row>
    <row r="21" spans="1:10" ht="14.4">
      <c r="A21" t="s">
        <v>100</v>
      </c>
      <c r="B21" s="15" t="s">
        <v>97</v>
      </c>
      <c r="C21" s="15" t="str">
        <f>HYPERLINK("02-项目级\P3-主从数据库复制及性能提升项目\02-全程管理\05-评审管理\05-设计评审\02-详细设计说明书\05-评审报告_详细设计(QCUBIC-XNTS-PR-ReviewRpt)V1.1-engl.xlsx", "engl")</f>
        <v>engl</v>
      </c>
      <c r="D21"/>
      <c r="E21" t="s">
        <v>101</v>
      </c>
      <c r="F21"/>
      <c r="G21" t="s">
        <v>101</v>
      </c>
      <c r="H21" t="s">
        <v>101</v>
      </c>
      <c r="I21" t="s">
        <v>101</v>
      </c>
      <c r="J21"/>
    </row>
    <row r="22" spans="1:10" ht="14.4">
      <c r="A22" t="s">
        <v>100</v>
      </c>
      <c r="B22" s="15" t="s">
        <v>97</v>
      </c>
      <c r="C22" s="15" t="str">
        <f>HYPERLINK("02-项目级\P3-主从数据库复制及性能提升项目\02-全程管理\05-评审管理\07-测试评审\02-系统测试用例\05-评审报告_系统测试用例(QCUBIC-XNTS-PR-ReviewRpt)V1.1-engl.xlsx", "engl")</f>
        <v>engl</v>
      </c>
      <c r="D22"/>
      <c r="E22" t="s">
        <v>101</v>
      </c>
      <c r="F22"/>
      <c r="G22" t="s">
        <v>101</v>
      </c>
      <c r="H22" t="s">
        <v>101</v>
      </c>
      <c r="I22" t="s">
        <v>101</v>
      </c>
      <c r="J22" t="s">
        <v>101</v>
      </c>
    </row>
    <row r="23" spans="1:10" ht="14.4">
      <c r="A23" t="s">
        <v>100</v>
      </c>
      <c r="B23" s="15" t="s">
        <v>97</v>
      </c>
      <c r="C23" s="15" t="str">
        <f>HYPERLINK("02-项目级\P3-主从数据库复制及性能提升项目\02-全程管理\05-评审管理\03-计划评审\01-评审准备表_项目计划(QCUBIC-XNTS-PR-ReviewPrp)V1.0-engl.docx", "engl")</f>
        <v>engl</v>
      </c>
      <c r="D23"/>
      <c r="E23"/>
      <c r="F23" t="s">
        <v>101</v>
      </c>
      <c r="G23"/>
      <c r="H23"/>
      <c r="I23"/>
      <c r="J23"/>
    </row>
    <row r="24" spans="1:10" ht="14.4">
      <c r="A24" t="s">
        <v>100</v>
      </c>
      <c r="B24" s="15" t="s">
        <v>97</v>
      </c>
      <c r="C24" s="15" t="str">
        <f>HYPERLINK("02-项目级\P3-主从数据库复制及性能提升项目\02-全程管理\05-评审管理\03-计划评审\02-评审检查表_项目计划(QCUBIC-XNTS-PR-RevChkList)V1.0-engl.xlsx", "engl")</f>
        <v>engl</v>
      </c>
      <c r="D24"/>
      <c r="E24"/>
      <c r="F24" t="s">
        <v>101</v>
      </c>
      <c r="G24"/>
      <c r="H24"/>
      <c r="I24"/>
      <c r="J24"/>
    </row>
    <row r="25" spans="1:10" ht="14.4">
      <c r="A25" t="s">
        <v>100</v>
      </c>
      <c r="B25" s="15" t="s">
        <v>97</v>
      </c>
      <c r="C25" s="15" t="str">
        <f>HYPERLINK("01-组织级\01-组织财富库\01-标准过程文件库\03-支持类\05-评审管理\评审管理过程文件(QCUBIC-SPI-VV-Proc-Doc)V1.2-engl.docx", "engl")</f>
        <v>engl</v>
      </c>
      <c r="D25"/>
      <c r="E25"/>
      <c r="F25" t="s">
        <v>101</v>
      </c>
      <c r="G25"/>
      <c r="H25" t="s">
        <v>101</v>
      </c>
      <c r="I25"/>
      <c r="J25"/>
    </row>
    <row r="26" spans="1:10" ht="14.4">
      <c r="A26" t="s">
        <v>100</v>
      </c>
      <c r="B26" s="15" t="s">
        <v>97</v>
      </c>
      <c r="C26" s="15" t="str">
        <f>HYPERLINK("01-组织级\01-组织财富库\01-标准过程文件库\03-支持类\05-评审管理\评审指南(QCUBIC-SPI-VV-Guid-Review)V1.2-engl.docx", "engl")</f>
        <v>engl</v>
      </c>
      <c r="D26"/>
      <c r="E26"/>
      <c r="F26" t="s">
        <v>101</v>
      </c>
      <c r="G26"/>
      <c r="H26"/>
      <c r="I26"/>
      <c r="J26"/>
    </row>
    <row r="27" spans="1:10" ht="14.4">
      <c r="A27" t="s">
        <v>100</v>
      </c>
      <c r="B27" s="15" t="s">
        <v>97</v>
      </c>
      <c r="C27" s="15" t="str">
        <f>HYPERLINK("02-项目级\P3-主从数据库复制及性能提升项目\02-全程管理\05-评审管理\01-评审缺陷管理表(QCUBIC-XNTS-MC-DefectList)V1.0-engl.xlsx", "engl")</f>
        <v>engl</v>
      </c>
      <c r="D27"/>
      <c r="E27"/>
      <c r="F27"/>
      <c r="G27"/>
      <c r="H27"/>
      <c r="I27" t="s">
        <v>101</v>
      </c>
      <c r="J27" t="s">
        <v>101</v>
      </c>
    </row>
  </sheetData>
  <phoneticPr fontId="61"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K24"/>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3" customWidth="1"/>
    <col min="2" max="4" width="7.88671875" style="113" customWidth="1"/>
    <col min="5" max="11" width="15.6640625" style="113" customWidth="1"/>
    <col min="12" max="12" width="50.6640625" style="113" customWidth="1"/>
    <col min="13" max="13" width="3.6640625" style="113" customWidth="1"/>
    <col min="14" max="14" width="21" style="113" customWidth="1"/>
    <col min="15" max="15" width="87.88671875" style="113" customWidth="1"/>
    <col min="16" max="17" width="15.6640625" style="113" customWidth="1"/>
    <col min="18" max="16384" width="8.6640625" style="113"/>
  </cols>
  <sheetData>
    <row r="1" spans="1:11" ht="18">
      <c r="A1" s="101" t="s">
        <v>203</v>
      </c>
      <c r="B1" s="101"/>
      <c r="C1" s="101"/>
      <c r="D1" s="101"/>
      <c r="E1" s="102"/>
      <c r="F1" s="103"/>
      <c r="G1" s="104"/>
      <c r="H1" s="104"/>
      <c r="I1" s="104"/>
      <c r="J1" s="104"/>
      <c r="K1" s="104"/>
    </row>
    <row r="2" spans="1:11">
      <c r="A2" s="106" t="s">
        <v>23</v>
      </c>
      <c r="B2" s="106"/>
      <c r="C2" s="106"/>
      <c r="D2" s="106"/>
      <c r="E2" s="103" t="s">
        <v>204</v>
      </c>
      <c r="F2" s="103"/>
      <c r="G2" s="104"/>
      <c r="H2" s="104"/>
      <c r="I2" s="104"/>
      <c r="J2" s="104"/>
      <c r="K2" s="104"/>
    </row>
    <row r="3" spans="1:11">
      <c r="A3" s="103" t="s">
        <v>25</v>
      </c>
      <c r="B3" s="103"/>
      <c r="C3" s="103"/>
      <c r="D3" s="103"/>
      <c r="E3" s="103" t="s">
        <v>205</v>
      </c>
      <c r="F3" s="103"/>
      <c r="G3" s="104"/>
      <c r="H3" s="104"/>
      <c r="I3" s="104"/>
      <c r="J3" s="104"/>
      <c r="K3" s="104"/>
    </row>
    <row r="4" spans="1:11">
      <c r="A4" s="107"/>
      <c r="B4" s="107"/>
      <c r="C4" s="107"/>
      <c r="D4" s="107"/>
      <c r="E4" s="108" t="s">
        <v>27</v>
      </c>
      <c r="F4" s="141"/>
      <c r="G4" s="109" t="s">
        <v>28</v>
      </c>
      <c r="H4" s="110"/>
      <c r="I4" s="109"/>
      <c r="J4" s="112" t="s">
        <v>29</v>
      </c>
      <c r="K4" s="142"/>
    </row>
    <row r="5" spans="1:11">
      <c r="A5" s="114"/>
      <c r="B5" s="114"/>
      <c r="C5" s="114"/>
      <c r="D5" s="114"/>
      <c r="E5" s="115" t="s">
        <v>30</v>
      </c>
      <c r="F5" s="141"/>
      <c r="G5" s="116" t="s">
        <v>31</v>
      </c>
      <c r="H5" s="110"/>
      <c r="I5" s="116"/>
      <c r="J5" s="112" t="s">
        <v>32</v>
      </c>
      <c r="K5" s="142"/>
    </row>
    <row r="6" spans="1:11">
      <c r="A6" s="118"/>
      <c r="B6" s="118"/>
      <c r="C6" s="118"/>
      <c r="D6" s="118"/>
      <c r="E6" s="3" t="s">
        <v>206</v>
      </c>
      <c r="F6" s="3" t="s">
        <v>207</v>
      </c>
      <c r="G6" s="87" t="s">
        <v>208</v>
      </c>
      <c r="H6" s="87" t="s">
        <v>209</v>
      </c>
      <c r="I6" s="87" t="s">
        <v>210</v>
      </c>
      <c r="J6" s="88" t="s">
        <v>211</v>
      </c>
      <c r="K6" s="89" t="s">
        <v>212</v>
      </c>
    </row>
    <row r="7" spans="1:11" ht="150.6" customHeight="1">
      <c r="A7" s="120" t="s">
        <v>174</v>
      </c>
      <c r="B7" s="120"/>
      <c r="C7" s="120"/>
      <c r="D7" s="120"/>
      <c r="E7" s="93" t="s">
        <v>213</v>
      </c>
      <c r="F7" s="93" t="s">
        <v>214</v>
      </c>
      <c r="G7" s="93" t="s">
        <v>215</v>
      </c>
      <c r="H7" s="93" t="s">
        <v>216</v>
      </c>
      <c r="I7" s="93" t="s">
        <v>217</v>
      </c>
      <c r="J7" s="93" t="s">
        <v>218</v>
      </c>
      <c r="K7" s="93" t="s">
        <v>219</v>
      </c>
    </row>
    <row r="8" spans="1:11" ht="107.4" customHeight="1">
      <c r="A8" s="118" t="s">
        <v>54</v>
      </c>
      <c r="B8" s="118"/>
      <c r="C8" s="118"/>
      <c r="D8" s="118"/>
      <c r="E8" s="143" t="s">
        <v>220</v>
      </c>
      <c r="F8" s="143" t="s">
        <v>221</v>
      </c>
      <c r="G8" s="143" t="s">
        <v>222</v>
      </c>
      <c r="H8" s="143" t="s">
        <v>223</v>
      </c>
      <c r="I8" s="143" t="s">
        <v>224</v>
      </c>
      <c r="J8" s="143" t="s">
        <v>225</v>
      </c>
      <c r="K8" s="143" t="s">
        <v>226</v>
      </c>
    </row>
    <row r="9" spans="1:11" ht="144" customHeight="1">
      <c r="A9" s="118" t="s">
        <v>65</v>
      </c>
      <c r="B9" s="118"/>
      <c r="C9" s="118"/>
      <c r="D9" s="118"/>
      <c r="E9" s="121" t="s">
        <v>227</v>
      </c>
      <c r="F9" s="121" t="s">
        <v>228</v>
      </c>
      <c r="G9" s="121" t="s">
        <v>229</v>
      </c>
      <c r="H9" s="121" t="s">
        <v>230</v>
      </c>
      <c r="I9" s="121" t="s">
        <v>231</v>
      </c>
      <c r="J9" s="121" t="s">
        <v>232</v>
      </c>
      <c r="K9" s="121" t="s">
        <v>233</v>
      </c>
    </row>
    <row r="10" spans="1:11" ht="110.4">
      <c r="A10" s="118" t="s">
        <v>76</v>
      </c>
      <c r="B10" s="118"/>
      <c r="C10" s="118"/>
      <c r="D10" s="118"/>
      <c r="E10" s="135"/>
      <c r="F10" s="135"/>
      <c r="G10" s="147" t="s">
        <v>234</v>
      </c>
      <c r="H10" s="147" t="s">
        <v>235</v>
      </c>
      <c r="I10" s="147" t="s">
        <v>236</v>
      </c>
      <c r="J10" s="147" t="s">
        <v>237</v>
      </c>
      <c r="K10" s="147" t="s">
        <v>238</v>
      </c>
    </row>
    <row r="11" spans="1:11" s="105" customFormat="1" ht="55.2">
      <c r="A11" s="137" t="s">
        <v>86</v>
      </c>
      <c r="B11" s="137"/>
      <c r="C11" s="137"/>
      <c r="D11" s="137"/>
      <c r="E11" s="148"/>
      <c r="F11" s="148"/>
      <c r="G11" s="148" t="s">
        <v>239</v>
      </c>
      <c r="H11" s="148" t="s">
        <v>240</v>
      </c>
      <c r="I11" s="148" t="s">
        <v>241</v>
      </c>
      <c r="J11" s="148" t="s">
        <v>242</v>
      </c>
      <c r="K11" s="148" t="s">
        <v>243</v>
      </c>
    </row>
    <row r="15" spans="1:11" customFormat="1">
      <c r="A15" t="s">
        <v>96</v>
      </c>
      <c r="B15" t="s">
        <v>97</v>
      </c>
      <c r="C15" t="s">
        <v>98</v>
      </c>
      <c r="D15" s="327" t="s">
        <v>99</v>
      </c>
      <c r="E15" s="14" t="s">
        <v>206</v>
      </c>
      <c r="F15" s="14" t="s">
        <v>207</v>
      </c>
      <c r="G15" s="14" t="s">
        <v>208</v>
      </c>
      <c r="H15" s="14" t="s">
        <v>209</v>
      </c>
      <c r="I15" s="14" t="s">
        <v>210</v>
      </c>
      <c r="J15" s="14" t="s">
        <v>211</v>
      </c>
      <c r="K15" s="14" t="s">
        <v>212</v>
      </c>
    </row>
    <row r="16" spans="1:11">
      <c r="A16" t="s">
        <v>100</v>
      </c>
      <c r="B16" s="15" t="s">
        <v>97</v>
      </c>
      <c r="C16" s="15" t="str">
        <f>HYPERLINK("02-项目级\P3-主从数据库复制及性能提升项目\01-生存周期\07-测试\01-测试计划(QCUBIC-XNTS-VV-TestPlan)V1.0-engl.docx", "engl")</f>
        <v>engl</v>
      </c>
      <c r="D16"/>
      <c r="E16" t="s">
        <v>101</v>
      </c>
      <c r="F16" t="s">
        <v>101</v>
      </c>
      <c r="G16" t="s">
        <v>101</v>
      </c>
      <c r="H16" t="s">
        <v>101</v>
      </c>
      <c r="I16" t="s">
        <v>101</v>
      </c>
      <c r="J16" t="s">
        <v>101</v>
      </c>
      <c r="K16" t="s">
        <v>101</v>
      </c>
    </row>
    <row r="17" spans="1:11">
      <c r="A17" t="s">
        <v>100</v>
      </c>
      <c r="B17" s="15" t="s">
        <v>97</v>
      </c>
      <c r="C17" s="15" t="str">
        <f>HYPERLINK("02-项目级\P3-主从数据库复制及性能提升项目\01-生存周期\07-测试\03-系统测试\03-系统测试BUG管理表(QCUBIC-XNTS-VV-STBugList)V1.0-engl.xlsx", "engl")</f>
        <v>engl</v>
      </c>
      <c r="D17"/>
      <c r="E17" t="s">
        <v>101</v>
      </c>
      <c r="F17" t="s">
        <v>101</v>
      </c>
      <c r="G17" t="s">
        <v>101</v>
      </c>
      <c r="H17" t="s">
        <v>101</v>
      </c>
      <c r="I17"/>
      <c r="J17"/>
      <c r="K17"/>
    </row>
    <row r="18" spans="1:11">
      <c r="A18" t="s">
        <v>100</v>
      </c>
      <c r="B18" s="15" t="s">
        <v>97</v>
      </c>
      <c r="C18" s="15" t="str">
        <f>HYPERLINK("02-项目级\P3-主从数据库复制及性能提升项目\01-生存周期\07-测试\03-系统测试\04-系统测试报告(QCUBIC-XNTS-VV-TestReport-SystemTest)V1.0-engl.docx", "engl")</f>
        <v>engl</v>
      </c>
      <c r="D18"/>
      <c r="E18" t="s">
        <v>101</v>
      </c>
      <c r="F18"/>
      <c r="G18" t="s">
        <v>101</v>
      </c>
      <c r="H18" t="s">
        <v>101</v>
      </c>
      <c r="I18" t="s">
        <v>101</v>
      </c>
      <c r="J18"/>
      <c r="K18" t="s">
        <v>101</v>
      </c>
    </row>
    <row r="19" spans="1:11">
      <c r="A19" t="s">
        <v>100</v>
      </c>
      <c r="B19" s="15" t="s">
        <v>97</v>
      </c>
      <c r="C19" s="15" t="str">
        <f>HYPERLINK("02-项目级\P3-主从数据库复制及性能提升项目\01-生存周期\07-测试\02-集成测试\04-集成测试报告(QCUBIC-XNTS-LP_VV_IntegrationTestRet)V1.0-engl.docx", "engl")</f>
        <v>engl</v>
      </c>
      <c r="D19"/>
      <c r="E19" t="s">
        <v>101</v>
      </c>
      <c r="F19"/>
      <c r="G19" t="s">
        <v>101</v>
      </c>
      <c r="H19" t="s">
        <v>101</v>
      </c>
      <c r="I19" t="s">
        <v>101</v>
      </c>
      <c r="J19"/>
      <c r="K19" t="s">
        <v>101</v>
      </c>
    </row>
    <row r="20" spans="1:11">
      <c r="A20" t="s">
        <v>100</v>
      </c>
      <c r="B20" s="15" t="s">
        <v>97</v>
      </c>
      <c r="C20" s="15" t="str">
        <f>HYPERLINK("02-项目级\P3-主从数据库复制及性能提升项目\01-生存周期\08-试运行及验收\02-验收\01-验收计划(QCUBIC-XNTS-DA-AcceptencePlan)V1.0-engl.docx", "engl")</f>
        <v>engl</v>
      </c>
      <c r="D20"/>
      <c r="E20"/>
      <c r="F20" t="s">
        <v>101</v>
      </c>
      <c r="G20"/>
      <c r="H20"/>
      <c r="I20" t="s">
        <v>101</v>
      </c>
      <c r="J20" t="s">
        <v>101</v>
      </c>
      <c r="K20"/>
    </row>
    <row r="21" spans="1:11">
      <c r="A21" t="s">
        <v>100</v>
      </c>
      <c r="B21" s="15" t="s">
        <v>97</v>
      </c>
      <c r="C21" s="15" t="str">
        <f>HYPERLINK("02-项目级\P3-主从数据库复制及性能提升项目\01-生存周期\08-试运行及验收\02-验收\03-验收报告(QCUBIC-XNTS-VV-TestReport-AcceptenceReport)V1.0-engl.docx", "engl")</f>
        <v>engl</v>
      </c>
      <c r="D21"/>
      <c r="E21"/>
      <c r="F21" t="s">
        <v>101</v>
      </c>
      <c r="G21"/>
      <c r="H21"/>
      <c r="I21" t="s">
        <v>101</v>
      </c>
      <c r="J21"/>
      <c r="K21" t="s">
        <v>101</v>
      </c>
    </row>
    <row r="22" spans="1:11">
      <c r="A22" t="s">
        <v>100</v>
      </c>
      <c r="B22" s="15" t="s">
        <v>97</v>
      </c>
      <c r="C22" s="15" t="str">
        <f>HYPERLINK("01-组织级\01-组织财富库\01-标准过程文件库\02-软件工程规范\05-测试\测试用例规范(QCUBIC-SPI-VV-Tem-STD-TestExampleStd)V1.2-engl.docx", "engl")</f>
        <v>engl</v>
      </c>
      <c r="D22"/>
      <c r="E22"/>
      <c r="F22"/>
      <c r="G22"/>
      <c r="H22"/>
      <c r="I22" t="s">
        <v>101</v>
      </c>
      <c r="J22"/>
      <c r="K22"/>
    </row>
    <row r="23" spans="1:11">
      <c r="A23" t="s">
        <v>100</v>
      </c>
      <c r="B23" s="15" t="s">
        <v>97</v>
      </c>
      <c r="C23" s="15" t="str">
        <f>HYPERLINK("01-组织级\01-组织财富库\01-标准过程文件库\02-软件工程规范\06-试运行及验收\试运行及验收过程文件(QCUBIC-SPI-DA-Proc-Doc)V1.2-engl.docx", "engl")</f>
        <v>engl</v>
      </c>
      <c r="D23"/>
      <c r="E23"/>
      <c r="F23"/>
      <c r="G23"/>
      <c r="H23"/>
      <c r="I23" t="s">
        <v>101</v>
      </c>
      <c r="J23"/>
      <c r="K23"/>
    </row>
    <row r="24" spans="1:11">
      <c r="A24" t="s">
        <v>100</v>
      </c>
      <c r="B24" s="15" t="s">
        <v>97</v>
      </c>
      <c r="C24" s="15" t="str">
        <f>HYPERLINK("01-组织级\01-组织财富库\01-标准过程文件库\02-软件工程规范\05-测试\软件测试过程文件(QCUBIC-SPI-Tes-Proc-Doc)V1.2-engl.docx", "engl")</f>
        <v>engl</v>
      </c>
      <c r="D24"/>
      <c r="E24"/>
      <c r="F24"/>
      <c r="G24"/>
      <c r="H24"/>
      <c r="I24" t="s">
        <v>101</v>
      </c>
      <c r="J24"/>
      <c r="K24"/>
    </row>
  </sheetData>
  <phoneticPr fontId="61"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M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4" customWidth="1"/>
    <col min="2" max="4" width="7.88671875" style="114" customWidth="1"/>
    <col min="5" max="6" width="18.6640625" style="114" customWidth="1"/>
    <col min="7" max="10" width="18.6640625" style="130" customWidth="1"/>
    <col min="11" max="11" width="102.88671875" style="130" customWidth="1"/>
    <col min="12" max="12" width="3.6640625" style="130" customWidth="1"/>
    <col min="13" max="13" width="31.33203125" style="130" customWidth="1"/>
    <col min="14" max="14" width="78.33203125" style="114" customWidth="1"/>
    <col min="15" max="16384" width="8.6640625" style="114"/>
  </cols>
  <sheetData>
    <row r="1" spans="1:10" s="149" customFormat="1" ht="18">
      <c r="A1" s="101" t="s">
        <v>244</v>
      </c>
      <c r="B1" s="101"/>
      <c r="C1" s="101"/>
      <c r="D1" s="101"/>
      <c r="G1" s="150"/>
      <c r="H1" s="150"/>
      <c r="I1" s="150"/>
      <c r="J1" s="150"/>
    </row>
    <row r="2" spans="1:10" s="103" customFormat="1">
      <c r="A2" s="106" t="s">
        <v>23</v>
      </c>
      <c r="B2" s="106"/>
      <c r="C2" s="106"/>
      <c r="D2" s="106"/>
      <c r="E2" s="103" t="s">
        <v>245</v>
      </c>
      <c r="G2" s="130"/>
      <c r="H2" s="130"/>
      <c r="I2" s="130"/>
      <c r="J2" s="130"/>
    </row>
    <row r="3" spans="1:10" s="103" customFormat="1">
      <c r="A3" s="103" t="s">
        <v>25</v>
      </c>
      <c r="E3" s="103" t="s">
        <v>246</v>
      </c>
      <c r="G3" s="130"/>
      <c r="H3" s="130"/>
      <c r="I3" s="130"/>
      <c r="J3" s="130"/>
    </row>
    <row r="4" spans="1:10">
      <c r="A4" s="107"/>
      <c r="B4" s="107"/>
      <c r="C4" s="107"/>
      <c r="D4" s="107"/>
      <c r="E4" s="108" t="s">
        <v>27</v>
      </c>
      <c r="F4" s="109" t="s">
        <v>28</v>
      </c>
      <c r="G4" s="109"/>
      <c r="H4" s="110"/>
      <c r="I4" s="109"/>
      <c r="J4" s="112" t="s">
        <v>29</v>
      </c>
    </row>
    <row r="5" spans="1:10" s="125" customFormat="1">
      <c r="A5" s="114"/>
      <c r="B5" s="114"/>
      <c r="C5" s="114"/>
      <c r="D5" s="114"/>
      <c r="E5" s="115" t="s">
        <v>30</v>
      </c>
      <c r="F5" s="116" t="s">
        <v>31</v>
      </c>
      <c r="G5" s="116"/>
      <c r="H5" s="110"/>
      <c r="I5" s="116"/>
      <c r="J5" s="112" t="s">
        <v>32</v>
      </c>
    </row>
    <row r="6" spans="1:10" s="125" customFormat="1">
      <c r="A6" s="129"/>
      <c r="B6" s="129"/>
      <c r="C6" s="129"/>
      <c r="D6" s="129"/>
      <c r="E6" s="3" t="s">
        <v>247</v>
      </c>
      <c r="F6" s="87" t="s">
        <v>248</v>
      </c>
      <c r="G6" s="87" t="s">
        <v>249</v>
      </c>
      <c r="H6" s="87" t="s">
        <v>250</v>
      </c>
      <c r="I6" s="87" t="s">
        <v>251</v>
      </c>
      <c r="J6" s="88" t="s">
        <v>252</v>
      </c>
    </row>
    <row r="7" spans="1:10" s="125" customFormat="1" ht="123" customHeight="1">
      <c r="A7" s="120" t="s">
        <v>174</v>
      </c>
      <c r="B7" s="120"/>
      <c r="C7" s="120"/>
      <c r="D7" s="120"/>
      <c r="E7" s="93" t="s">
        <v>253</v>
      </c>
      <c r="F7" s="93" t="s">
        <v>254</v>
      </c>
      <c r="G7" s="93" t="s">
        <v>255</v>
      </c>
      <c r="H7" s="93" t="s">
        <v>256</v>
      </c>
      <c r="I7" s="93" t="s">
        <v>257</v>
      </c>
      <c r="J7" s="93" t="s">
        <v>258</v>
      </c>
    </row>
    <row r="8" spans="1:10" s="125" customFormat="1" ht="83.4" customHeight="1">
      <c r="A8" s="129" t="s">
        <v>54</v>
      </c>
      <c r="B8" s="129"/>
      <c r="C8" s="129"/>
      <c r="D8" s="129"/>
      <c r="E8" s="94" t="s">
        <v>259</v>
      </c>
      <c r="F8" s="94" t="s">
        <v>260</v>
      </c>
      <c r="G8" s="94" t="s">
        <v>261</v>
      </c>
      <c r="H8" s="94" t="s">
        <v>262</v>
      </c>
      <c r="I8" s="94" t="s">
        <v>263</v>
      </c>
      <c r="J8" s="94" t="s">
        <v>264</v>
      </c>
    </row>
    <row r="9" spans="1:10" s="125" customFormat="1" ht="180">
      <c r="A9" s="129" t="s">
        <v>65</v>
      </c>
      <c r="B9" s="129"/>
      <c r="C9" s="129"/>
      <c r="D9" s="129"/>
      <c r="E9" s="94" t="s">
        <v>265</v>
      </c>
      <c r="F9" s="94" t="s">
        <v>266</v>
      </c>
      <c r="G9" s="94" t="s">
        <v>267</v>
      </c>
      <c r="H9" s="94" t="s">
        <v>268</v>
      </c>
      <c r="I9" s="94" t="s">
        <v>269</v>
      </c>
      <c r="J9" s="94" t="s">
        <v>270</v>
      </c>
    </row>
    <row r="10" spans="1:10" s="125" customFormat="1" ht="220.8">
      <c r="A10" s="118" t="s">
        <v>76</v>
      </c>
      <c r="B10" s="118"/>
      <c r="C10" s="118"/>
      <c r="D10" s="118"/>
      <c r="E10" s="98" t="s">
        <v>271</v>
      </c>
      <c r="F10" s="98" t="s">
        <v>272</v>
      </c>
      <c r="G10" s="98" t="s">
        <v>273</v>
      </c>
      <c r="H10" s="98" t="s">
        <v>274</v>
      </c>
      <c r="I10" s="98" t="s">
        <v>275</v>
      </c>
      <c r="J10" s="98" t="s">
        <v>276</v>
      </c>
    </row>
    <row r="11" spans="1:10" s="125" customFormat="1" ht="134.4">
      <c r="A11" s="151" t="s">
        <v>86</v>
      </c>
      <c r="B11" s="151"/>
      <c r="C11" s="151"/>
      <c r="D11" s="151"/>
      <c r="E11" s="99"/>
      <c r="F11" s="152" t="s">
        <v>277</v>
      </c>
      <c r="G11" s="98" t="s">
        <v>278</v>
      </c>
      <c r="H11" s="98" t="s">
        <v>279</v>
      </c>
      <c r="I11" s="153" t="s">
        <v>280</v>
      </c>
      <c r="J11" s="98" t="s">
        <v>281</v>
      </c>
    </row>
    <row r="12" spans="1:10" s="113" customFormat="1" ht="14.4">
      <c r="A12" s="114"/>
      <c r="B12" s="114"/>
      <c r="C12" s="114"/>
      <c r="D12" s="114"/>
      <c r="E12" s="114"/>
      <c r="F12" s="114"/>
      <c r="G12" s="130"/>
      <c r="H12" s="130"/>
      <c r="I12" s="130"/>
      <c r="J12" s="130"/>
    </row>
    <row r="13" spans="1:10" s="113" customFormat="1" ht="14.4">
      <c r="A13" s="114"/>
      <c r="B13" s="114"/>
      <c r="C13" s="114"/>
      <c r="D13" s="114"/>
      <c r="E13" s="114"/>
      <c r="F13" s="114"/>
      <c r="G13" s="130"/>
      <c r="H13" s="130"/>
      <c r="I13" s="130"/>
      <c r="J13" s="130"/>
    </row>
    <row r="14" spans="1:10" s="113" customFormat="1" ht="14.4">
      <c r="A14" s="114"/>
      <c r="B14" s="114"/>
      <c r="C14" s="114"/>
      <c r="D14" s="114"/>
      <c r="E14" s="114"/>
      <c r="F14" s="114"/>
      <c r="G14" s="130"/>
      <c r="H14" s="130"/>
      <c r="I14" s="130"/>
      <c r="J14" s="130"/>
    </row>
    <row r="15" spans="1:10" customFormat="1" ht="14.4">
      <c r="A15" t="s">
        <v>96</v>
      </c>
      <c r="B15" t="s">
        <v>97</v>
      </c>
      <c r="C15" t="s">
        <v>98</v>
      </c>
      <c r="D15" s="327" t="s">
        <v>99</v>
      </c>
      <c r="E15" s="14" t="s">
        <v>247</v>
      </c>
      <c r="F15" s="14" t="s">
        <v>248</v>
      </c>
      <c r="G15" s="14" t="s">
        <v>249</v>
      </c>
      <c r="H15" s="14" t="s">
        <v>250</v>
      </c>
      <c r="I15" s="14" t="s">
        <v>251</v>
      </c>
      <c r="J15" s="14" t="s">
        <v>252</v>
      </c>
    </row>
    <row r="16" spans="1:10" s="125" customFormat="1" ht="14.4">
      <c r="A16" t="s">
        <v>100</v>
      </c>
      <c r="B16" s="15" t="s">
        <v>97</v>
      </c>
      <c r="C16" s="15" t="str">
        <f>HYPERLINK("01-组织级\02-组织工作库\03-PQA活动库\组织级的质量保证计划(QCUBIC-SPI-PQA-OQAPlan)V1.4-engl.xlsx", "engl")</f>
        <v>engl</v>
      </c>
      <c r="D16"/>
      <c r="E16" t="s">
        <v>101</v>
      </c>
      <c r="F16" t="s">
        <v>101</v>
      </c>
      <c r="G16" t="s">
        <v>101</v>
      </c>
      <c r="H16" t="s">
        <v>101</v>
      </c>
      <c r="I16" t="s">
        <v>101</v>
      </c>
      <c r="J16" t="s">
        <v>101</v>
      </c>
    </row>
    <row r="17" spans="1:10" s="125" customFormat="1" ht="14.4">
      <c r="A17" t="s">
        <v>100</v>
      </c>
      <c r="B17" s="15" t="s">
        <v>97</v>
      </c>
      <c r="C17" s="15" t="str">
        <f>HYPERLINK("01-组织级\02-组织工作库\03-PQA活动库\组织级不符合项管理表(QCUBIC-SPI-PQA-NCList)V1.2-engl.xlsx", "engl")</f>
        <v>engl</v>
      </c>
      <c r="D17"/>
      <c r="E17" t="s">
        <v>101</v>
      </c>
      <c r="F17" t="s">
        <v>101</v>
      </c>
      <c r="G17"/>
      <c r="H17" t="s">
        <v>101</v>
      </c>
      <c r="I17" t="s">
        <v>101</v>
      </c>
      <c r="J17"/>
    </row>
    <row r="18" spans="1:10" s="125" customFormat="1" ht="14.4">
      <c r="A18" t="s">
        <v>100</v>
      </c>
      <c r="B18" s="15" t="s">
        <v>97</v>
      </c>
      <c r="C18" s="15" t="str">
        <f>HYPERLINK("01-组织级\02-组织工作库\03-PQA活动库\组织级工作产品和过程检查表(QCUBIC-ORG-PQA-Checklist_20200627)V1.0-engl.xlsx", "engl")</f>
        <v>engl</v>
      </c>
      <c r="D18"/>
      <c r="E18"/>
      <c r="F18"/>
      <c r="G18" t="s">
        <v>101</v>
      </c>
      <c r="H18"/>
      <c r="I18"/>
      <c r="J18"/>
    </row>
    <row r="19" spans="1:10" s="125" customFormat="1" ht="14.4">
      <c r="A19" t="s">
        <v>100</v>
      </c>
      <c r="B19" s="15" t="s">
        <v>97</v>
      </c>
      <c r="C19" s="15" t="str">
        <f>HYPERLINK("01-组织级\02-组织工作库\03-PQA活动库\组织质量保证报告\质量保证报告(QCUBIC-SPI-PQA-Report_20200627)V1.0-engl.xlsx", "engl")</f>
        <v>engl</v>
      </c>
      <c r="D19"/>
      <c r="E19"/>
      <c r="F19"/>
      <c r="G19"/>
      <c r="H19"/>
      <c r="I19" t="s">
        <v>101</v>
      </c>
      <c r="J19"/>
    </row>
    <row r="20" spans="1:10" s="125" customFormat="1" ht="14.4">
      <c r="A20" t="s">
        <v>100</v>
      </c>
      <c r="B20" s="15" t="s">
        <v>97</v>
      </c>
      <c r="C20" s="15" t="str">
        <f>HYPERLINK("01-组织级\02-组织工作库\02-EPG活动库\07-EPG跟踪\05-过程改进建议表\过程改进建议表(QCUBIC-SPI-PIM-SPIAdvic)V1.2-engl.xlsx", "engl")</f>
        <v>engl</v>
      </c>
      <c r="D20"/>
      <c r="E20"/>
      <c r="F20"/>
      <c r="G20"/>
      <c r="H20"/>
      <c r="I20"/>
      <c r="J20" t="s">
        <v>101</v>
      </c>
    </row>
  </sheetData>
  <phoneticPr fontId="61"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R25"/>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5" customWidth="1"/>
    <col min="2" max="4" width="7.88671875" style="105" customWidth="1"/>
    <col min="5" max="18" width="15.6640625" style="113" customWidth="1"/>
    <col min="19" max="19" width="83.109375" style="113" customWidth="1"/>
    <col min="20" max="20" width="3.6640625" style="113" customWidth="1"/>
    <col min="21" max="21" width="45.6640625" style="113" customWidth="1"/>
    <col min="22" max="22" width="121.44140625" style="113" customWidth="1"/>
    <col min="23" max="24" width="15.6640625" style="113" customWidth="1"/>
    <col min="25" max="25" width="20" style="113" bestFit="1" customWidth="1"/>
    <col min="26" max="16384" width="8.6640625" style="113"/>
  </cols>
  <sheetData>
    <row r="1" spans="1:18" s="158" customFormat="1" ht="15.6">
      <c r="A1" s="154" t="s">
        <v>282</v>
      </c>
      <c r="B1" s="154"/>
      <c r="C1" s="154"/>
      <c r="D1" s="154"/>
      <c r="E1" s="155"/>
      <c r="F1" s="155"/>
      <c r="G1" s="156"/>
      <c r="H1" s="156"/>
      <c r="I1" s="156"/>
      <c r="J1" s="156"/>
      <c r="K1" s="156"/>
      <c r="L1" s="156"/>
      <c r="M1" s="156"/>
      <c r="N1" s="156"/>
      <c r="O1" s="156"/>
      <c r="P1" s="156"/>
      <c r="Q1" s="156"/>
      <c r="R1" s="157"/>
    </row>
    <row r="2" spans="1:18">
      <c r="A2" s="106" t="s">
        <v>23</v>
      </c>
      <c r="B2" s="106"/>
      <c r="C2" s="106"/>
      <c r="D2" s="106"/>
      <c r="E2" s="103" t="s">
        <v>283</v>
      </c>
      <c r="F2" s="103"/>
      <c r="G2" s="103"/>
      <c r="H2" s="104"/>
      <c r="I2" s="104"/>
      <c r="J2" s="104"/>
      <c r="K2" s="104"/>
      <c r="L2" s="104"/>
      <c r="M2" s="104"/>
      <c r="N2" s="104"/>
      <c r="O2" s="104"/>
      <c r="P2" s="104"/>
      <c r="Q2" s="104"/>
      <c r="R2" s="106"/>
    </row>
    <row r="3" spans="1:18">
      <c r="A3" s="103" t="s">
        <v>25</v>
      </c>
      <c r="B3" s="103"/>
      <c r="C3" s="103"/>
      <c r="D3" s="103"/>
      <c r="E3" s="103" t="s">
        <v>284</v>
      </c>
      <c r="F3" s="103"/>
      <c r="G3" s="103"/>
      <c r="H3" s="104"/>
      <c r="I3" s="104"/>
      <c r="J3" s="104"/>
      <c r="K3" s="104"/>
      <c r="L3" s="104"/>
      <c r="M3" s="104"/>
      <c r="N3" s="104"/>
      <c r="O3" s="104"/>
      <c r="P3" s="104"/>
      <c r="Q3" s="104"/>
      <c r="R3" s="90"/>
    </row>
    <row r="4" spans="1:18">
      <c r="A4" s="107"/>
      <c r="B4" s="107"/>
      <c r="C4" s="107"/>
      <c r="D4" s="107"/>
      <c r="E4" s="108" t="s">
        <v>27</v>
      </c>
      <c r="F4" s="109" t="s">
        <v>28</v>
      </c>
      <c r="G4" s="109"/>
      <c r="H4" s="110"/>
      <c r="I4" s="109"/>
      <c r="J4" s="111"/>
      <c r="K4" s="111"/>
      <c r="L4" s="112" t="s">
        <v>29</v>
      </c>
      <c r="M4" s="112"/>
      <c r="N4" s="112"/>
      <c r="O4" s="112"/>
      <c r="P4" s="112"/>
      <c r="Q4" s="112"/>
      <c r="R4" s="142"/>
    </row>
    <row r="5" spans="1:18">
      <c r="A5" s="114"/>
      <c r="B5" s="114"/>
      <c r="C5" s="114"/>
      <c r="D5" s="114"/>
      <c r="E5" s="115" t="s">
        <v>30</v>
      </c>
      <c r="F5" s="116" t="s">
        <v>31</v>
      </c>
      <c r="G5" s="116"/>
      <c r="H5" s="110"/>
      <c r="I5" s="116"/>
      <c r="J5" s="111"/>
      <c r="K5" s="111"/>
      <c r="L5" s="112" t="s">
        <v>32</v>
      </c>
      <c r="M5" s="117"/>
      <c r="N5" s="117"/>
      <c r="O5" s="112"/>
      <c r="P5" s="159"/>
      <c r="Q5" s="112"/>
      <c r="R5" s="142"/>
    </row>
    <row r="6" spans="1:18">
      <c r="A6" s="118"/>
      <c r="B6" s="118"/>
      <c r="C6" s="118"/>
      <c r="D6" s="118"/>
      <c r="E6" s="3" t="s">
        <v>285</v>
      </c>
      <c r="F6" s="87" t="s">
        <v>286</v>
      </c>
      <c r="G6" s="87" t="s">
        <v>287</v>
      </c>
      <c r="H6" s="87" t="s">
        <v>288</v>
      </c>
      <c r="I6" s="87" t="s">
        <v>289</v>
      </c>
      <c r="J6" s="87" t="s">
        <v>290</v>
      </c>
      <c r="K6" s="87" t="s">
        <v>291</v>
      </c>
      <c r="L6" s="88" t="s">
        <v>292</v>
      </c>
      <c r="M6" s="88" t="s">
        <v>293</v>
      </c>
      <c r="N6" s="88" t="s">
        <v>294</v>
      </c>
      <c r="O6" s="88" t="s">
        <v>295</v>
      </c>
      <c r="P6" s="88" t="s">
        <v>296</v>
      </c>
      <c r="Q6" s="88" t="s">
        <v>297</v>
      </c>
      <c r="R6" s="89" t="s">
        <v>298</v>
      </c>
    </row>
    <row r="7" spans="1:18" ht="138" customHeight="1">
      <c r="A7" s="120" t="s">
        <v>174</v>
      </c>
      <c r="B7" s="120"/>
      <c r="C7" s="120"/>
      <c r="D7" s="120"/>
      <c r="E7" s="93" t="s">
        <v>299</v>
      </c>
      <c r="F7" s="93" t="s">
        <v>300</v>
      </c>
      <c r="G7" s="93" t="s">
        <v>301</v>
      </c>
      <c r="H7" s="93" t="s">
        <v>302</v>
      </c>
      <c r="I7" s="93" t="s">
        <v>303</v>
      </c>
      <c r="J7" s="93" t="s">
        <v>304</v>
      </c>
      <c r="K7" s="93" t="s">
        <v>305</v>
      </c>
      <c r="L7" s="93" t="s">
        <v>306</v>
      </c>
      <c r="M7" s="93" t="s">
        <v>307</v>
      </c>
      <c r="N7" s="93" t="s">
        <v>308</v>
      </c>
      <c r="O7" s="93" t="s">
        <v>309</v>
      </c>
      <c r="P7" s="93" t="s">
        <v>310</v>
      </c>
      <c r="Q7" s="93" t="s">
        <v>311</v>
      </c>
      <c r="R7" s="93" t="s">
        <v>312</v>
      </c>
    </row>
    <row r="8" spans="1:18" ht="107.85" customHeight="1">
      <c r="A8" s="118" t="s">
        <v>54</v>
      </c>
      <c r="B8" s="118"/>
      <c r="C8" s="118"/>
      <c r="D8" s="118"/>
      <c r="E8" s="94" t="s">
        <v>313</v>
      </c>
      <c r="F8" s="94" t="s">
        <v>314</v>
      </c>
      <c r="G8" s="94" t="s">
        <v>315</v>
      </c>
      <c r="H8" s="94" t="s">
        <v>316</v>
      </c>
      <c r="I8" s="94" t="s">
        <v>317</v>
      </c>
      <c r="J8" s="94" t="s">
        <v>318</v>
      </c>
      <c r="K8" s="94" t="s">
        <v>319</v>
      </c>
      <c r="L8" s="94" t="s">
        <v>320</v>
      </c>
      <c r="M8" s="94" t="s">
        <v>321</v>
      </c>
      <c r="N8" s="94" t="s">
        <v>322</v>
      </c>
      <c r="O8" s="94" t="s">
        <v>323</v>
      </c>
      <c r="P8" s="94" t="s">
        <v>324</v>
      </c>
      <c r="Q8" s="94" t="s">
        <v>325</v>
      </c>
      <c r="R8" s="94" t="s">
        <v>326</v>
      </c>
    </row>
    <row r="9" spans="1:18" ht="165.6" customHeight="1">
      <c r="A9" s="118" t="s">
        <v>65</v>
      </c>
      <c r="B9" s="118"/>
      <c r="C9" s="118"/>
      <c r="D9" s="118"/>
      <c r="E9" s="121" t="s">
        <v>327</v>
      </c>
      <c r="F9" s="121" t="s">
        <v>328</v>
      </c>
      <c r="G9" s="94" t="s">
        <v>329</v>
      </c>
      <c r="H9" s="121" t="s">
        <v>330</v>
      </c>
      <c r="I9" s="121" t="s">
        <v>331</v>
      </c>
      <c r="J9" s="121" t="s">
        <v>332</v>
      </c>
      <c r="K9" s="121" t="s">
        <v>333</v>
      </c>
      <c r="L9" s="121" t="s">
        <v>334</v>
      </c>
      <c r="M9" s="121" t="s">
        <v>335</v>
      </c>
      <c r="N9" s="121" t="s">
        <v>336</v>
      </c>
      <c r="O9" s="121" t="s">
        <v>337</v>
      </c>
      <c r="P9" s="121" t="s">
        <v>338</v>
      </c>
      <c r="Q9" s="121" t="s">
        <v>339</v>
      </c>
      <c r="R9" s="121" t="s">
        <v>340</v>
      </c>
    </row>
    <row r="10" spans="1:18" ht="134.1" customHeight="1">
      <c r="A10" s="118" t="s">
        <v>76</v>
      </c>
      <c r="B10" s="118"/>
      <c r="C10" s="118"/>
      <c r="D10" s="118"/>
      <c r="E10" s="98" t="s">
        <v>341</v>
      </c>
      <c r="F10" s="98" t="s">
        <v>342</v>
      </c>
      <c r="G10" s="98" t="s">
        <v>343</v>
      </c>
      <c r="H10" s="98" t="s">
        <v>344</v>
      </c>
      <c r="I10" s="98" t="s">
        <v>345</v>
      </c>
      <c r="J10" s="99" t="s">
        <v>346</v>
      </c>
      <c r="K10" s="99" t="s">
        <v>347</v>
      </c>
      <c r="L10" s="99" t="s">
        <v>348</v>
      </c>
      <c r="M10" s="98" t="s">
        <v>349</v>
      </c>
      <c r="N10" s="98" t="s">
        <v>350</v>
      </c>
      <c r="O10" s="98" t="s">
        <v>351</v>
      </c>
      <c r="P10" s="98" t="s">
        <v>352</v>
      </c>
      <c r="Q10" s="98" t="s">
        <v>353</v>
      </c>
      <c r="R10" s="98" t="s">
        <v>354</v>
      </c>
    </row>
    <row r="11" spans="1:18" ht="82.8">
      <c r="A11" s="129" t="s">
        <v>86</v>
      </c>
      <c r="B11" s="129"/>
      <c r="C11" s="129"/>
      <c r="D11" s="129"/>
      <c r="E11" s="98"/>
      <c r="F11" s="98" t="s">
        <v>355</v>
      </c>
      <c r="G11" s="98" t="s">
        <v>356</v>
      </c>
      <c r="H11" s="98" t="s">
        <v>357</v>
      </c>
      <c r="I11" s="98" t="s">
        <v>358</v>
      </c>
      <c r="J11" s="99" t="s">
        <v>359</v>
      </c>
      <c r="K11" s="99" t="s">
        <v>360</v>
      </c>
      <c r="L11" s="99" t="s">
        <v>361</v>
      </c>
      <c r="M11" s="98" t="s">
        <v>362</v>
      </c>
      <c r="N11" s="98" t="s">
        <v>363</v>
      </c>
      <c r="O11" s="98" t="s">
        <v>364</v>
      </c>
      <c r="P11" s="98" t="s">
        <v>365</v>
      </c>
      <c r="Q11" s="98" t="s">
        <v>366</v>
      </c>
      <c r="R11" s="98" t="s">
        <v>367</v>
      </c>
    </row>
    <row r="15" spans="1:18" customFormat="1">
      <c r="A15" t="s">
        <v>96</v>
      </c>
      <c r="B15" t="s">
        <v>97</v>
      </c>
      <c r="C15" t="s">
        <v>98</v>
      </c>
      <c r="D15" s="327" t="s">
        <v>99</v>
      </c>
      <c r="E15" s="14" t="s">
        <v>285</v>
      </c>
      <c r="F15" s="14" t="s">
        <v>286</v>
      </c>
      <c r="G15" s="14" t="s">
        <v>287</v>
      </c>
      <c r="H15" s="14" t="s">
        <v>288</v>
      </c>
      <c r="I15" s="14" t="s">
        <v>289</v>
      </c>
      <c r="J15" s="14" t="s">
        <v>290</v>
      </c>
      <c r="K15" s="14" t="s">
        <v>291</v>
      </c>
      <c r="L15" s="14" t="s">
        <v>292</v>
      </c>
      <c r="M15" s="14" t="s">
        <v>293</v>
      </c>
      <c r="N15" s="14" t="s">
        <v>294</v>
      </c>
      <c r="O15" s="14" t="s">
        <v>295</v>
      </c>
      <c r="P15" s="14" t="s">
        <v>296</v>
      </c>
      <c r="Q15" s="14" t="s">
        <v>297</v>
      </c>
      <c r="R15" s="14" t="s">
        <v>298</v>
      </c>
    </row>
    <row r="16" spans="1:18">
      <c r="A16" t="s">
        <v>100</v>
      </c>
      <c r="B16" s="15" t="s">
        <v>97</v>
      </c>
      <c r="C16" s="15" t="str">
        <f>HYPERLINK("02-项目级\P3-主从数据库复制及性能提升项目\01-生存周期\04-需求\04-需求调研报告\01-需求调研报告(QCUBIC-XNTS-RDM-Report-20220113pm)V1.0-engl.docx", "engl")</f>
        <v>engl</v>
      </c>
      <c r="D16"/>
      <c r="E16" t="s">
        <v>101</v>
      </c>
      <c r="F16"/>
      <c r="G16"/>
      <c r="H16"/>
      <c r="I16"/>
      <c r="J16"/>
      <c r="K16"/>
      <c r="L16"/>
      <c r="M16"/>
      <c r="N16"/>
      <c r="O16"/>
      <c r="P16"/>
      <c r="Q16"/>
      <c r="R16" t="s">
        <v>101</v>
      </c>
    </row>
    <row r="17" spans="1:18">
      <c r="A17" t="s">
        <v>100</v>
      </c>
      <c r="B17" s="15" t="s">
        <v>97</v>
      </c>
      <c r="C17" s="15" t="str">
        <f>HYPERLINK("02-项目级\P3-主从数据库复制及性能提升项目\01-生存周期\04-需求\02-需求规格说明书 (QCUBIC-XNTS-RDM-SRS)V1.1-engl.docx", "engl")</f>
        <v>engl</v>
      </c>
      <c r="D17"/>
      <c r="E17" t="s">
        <v>101</v>
      </c>
      <c r="F17" t="s">
        <v>101</v>
      </c>
      <c r="G17" t="s">
        <v>101</v>
      </c>
      <c r="H17" t="s">
        <v>101</v>
      </c>
      <c r="I17" t="s">
        <v>101</v>
      </c>
      <c r="J17" t="s">
        <v>101</v>
      </c>
      <c r="K17"/>
      <c r="L17" t="s">
        <v>101</v>
      </c>
      <c r="M17" t="s">
        <v>101</v>
      </c>
      <c r="N17" t="s">
        <v>101</v>
      </c>
      <c r="O17" t="s">
        <v>101</v>
      </c>
      <c r="P17" t="s">
        <v>101</v>
      </c>
      <c r="Q17" t="s">
        <v>101</v>
      </c>
      <c r="R17" t="s">
        <v>101</v>
      </c>
    </row>
    <row r="18" spans="1:18">
      <c r="A18" t="s">
        <v>100</v>
      </c>
      <c r="B18" s="15" t="s">
        <v>97</v>
      </c>
      <c r="C18" s="15" t="str">
        <f>HYPERLINK("02-项目级\P3-主从数据库复制及性能提升项目\01-生存周期\04-需求\03-用户需求说明书(QCUBIC-XNTS-RDM-CRS)V1.1-engl.docx", "engl")</f>
        <v>engl</v>
      </c>
      <c r="D18"/>
      <c r="E18"/>
      <c r="F18" t="s">
        <v>101</v>
      </c>
      <c r="G18" t="s">
        <v>101</v>
      </c>
      <c r="H18" t="s">
        <v>101</v>
      </c>
      <c r="I18" t="s">
        <v>101</v>
      </c>
      <c r="J18"/>
      <c r="K18"/>
      <c r="L18"/>
      <c r="M18"/>
      <c r="N18"/>
      <c r="O18"/>
      <c r="P18"/>
      <c r="Q18"/>
      <c r="R18"/>
    </row>
    <row r="19" spans="1:18">
      <c r="A19" t="s">
        <v>100</v>
      </c>
      <c r="B19" s="15" t="s">
        <v>97</v>
      </c>
      <c r="C19" s="15" t="str">
        <f>HYPERLINK("02-项目级\P3-主从数据库复制及性能提升项目\02-全程管理\05-评审管理\04-需求评审\01-需求规格说明书\05-评审报告_需求规格说明书(QCUBIC-XNTS-PR-ReviewRpt)V1.1-engl.xlsx", "engl")</f>
        <v>engl</v>
      </c>
      <c r="D19"/>
      <c r="E19"/>
      <c r="F19"/>
      <c r="G19"/>
      <c r="H19" t="s">
        <v>101</v>
      </c>
      <c r="I19" t="s">
        <v>101</v>
      </c>
      <c r="J19"/>
      <c r="K19"/>
      <c r="L19"/>
      <c r="M19"/>
      <c r="N19"/>
      <c r="O19"/>
      <c r="P19" t="s">
        <v>101</v>
      </c>
      <c r="Q19" t="s">
        <v>101</v>
      </c>
      <c r="R19" t="s">
        <v>101</v>
      </c>
    </row>
    <row r="20" spans="1:18">
      <c r="A20" t="s">
        <v>100</v>
      </c>
      <c r="B20" s="15" t="s">
        <v>97</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101</v>
      </c>
      <c r="J20"/>
      <c r="K20"/>
      <c r="L20"/>
      <c r="M20"/>
      <c r="N20"/>
      <c r="O20"/>
      <c r="P20" t="s">
        <v>101</v>
      </c>
      <c r="Q20"/>
      <c r="R20"/>
    </row>
    <row r="21" spans="1:18">
      <c r="A21" t="s">
        <v>100</v>
      </c>
      <c r="B21" s="15" t="s">
        <v>97</v>
      </c>
      <c r="C21" s="15" t="str">
        <f>HYPERLINK("02-项目级\P3-主从数据库复制及性能提升项目\01-生存周期\04-需求\05-需求跟踪矩阵\01-需求跟踪矩阵(QCUBIC-XNTS-RDM-RTX)V1.1-engl.xlsx", "engl")</f>
        <v>engl</v>
      </c>
      <c r="D21"/>
      <c r="E21"/>
      <c r="F21"/>
      <c r="G21"/>
      <c r="H21"/>
      <c r="I21"/>
      <c r="J21" t="s">
        <v>101</v>
      </c>
      <c r="K21" t="s">
        <v>101</v>
      </c>
      <c r="L21"/>
      <c r="M21"/>
      <c r="N21"/>
      <c r="O21"/>
      <c r="P21"/>
      <c r="Q21"/>
      <c r="R21"/>
    </row>
    <row r="22" spans="1:18">
      <c r="A22" t="s">
        <v>100</v>
      </c>
      <c r="B22" s="15" t="s">
        <v>97</v>
      </c>
      <c r="C22" s="15" t="str">
        <f>HYPERLINK("02-项目级\P3-主从数据库复制及性能提升项目\01-生存周期\03-项目策划\03-项目计划书 (QCUBIC-XNTS-PLAN-Plan)V1.1-engl.docx", "engl")</f>
        <v>engl</v>
      </c>
      <c r="D22"/>
      <c r="E22"/>
      <c r="F22"/>
      <c r="G22"/>
      <c r="H22"/>
      <c r="I22"/>
      <c r="J22"/>
      <c r="K22" t="s">
        <v>101</v>
      </c>
      <c r="L22"/>
      <c r="M22"/>
      <c r="N22"/>
      <c r="O22"/>
      <c r="P22"/>
      <c r="Q22"/>
      <c r="R22"/>
    </row>
    <row r="23" spans="1:18">
      <c r="A23" t="s">
        <v>100</v>
      </c>
      <c r="B23" s="15" t="s">
        <v>97</v>
      </c>
      <c r="C23" s="15" t="str">
        <f>HYPERLINK("02-项目级\P3-主从数据库复制及性能提升项目\01-生存周期\04-需求\01-需求调研计划(QCUBIC-XNTS-RDM-Plan)V1.0-engl.docx", "engl")</f>
        <v>engl</v>
      </c>
      <c r="D23"/>
      <c r="E23"/>
      <c r="F23"/>
      <c r="G23"/>
      <c r="H23"/>
      <c r="I23"/>
      <c r="J23"/>
      <c r="K23" t="s">
        <v>101</v>
      </c>
      <c r="L23"/>
      <c r="M23"/>
      <c r="N23"/>
      <c r="O23"/>
      <c r="P23"/>
      <c r="Q23"/>
      <c r="R23"/>
    </row>
    <row r="24" spans="1:18">
      <c r="A24" t="s">
        <v>100</v>
      </c>
      <c r="B24" s="15" t="s">
        <v>97</v>
      </c>
      <c r="C24" s="15" t="str">
        <f>HYPERLINK("02-项目级\P3-主从数据库复制及性能提升项目\02-全程管理\06-变更管理\03-变更结果报告(QCUBIC-XNTS-mc-changereport_001)V1.0-engl.docx", "engl")</f>
        <v>engl</v>
      </c>
      <c r="D24"/>
      <c r="E24"/>
      <c r="F24"/>
      <c r="G24"/>
      <c r="H24"/>
      <c r="I24"/>
      <c r="J24"/>
      <c r="K24" t="s">
        <v>101</v>
      </c>
      <c r="L24" t="s">
        <v>101</v>
      </c>
      <c r="M24"/>
      <c r="N24"/>
      <c r="O24"/>
      <c r="P24"/>
      <c r="Q24"/>
      <c r="R24"/>
    </row>
    <row r="25" spans="1:18">
      <c r="A25" t="s">
        <v>100</v>
      </c>
      <c r="B25" s="15" t="s">
        <v>97</v>
      </c>
      <c r="C25" s="15" t="str">
        <f>HYPERLINK("02-项目级\P3-主从数据库复制及性能提升项目\02-全程管理\06-变更管理\02-变更列表(QCUBIC-XNTS-MC-CRecoRDM)V1.0-engl.xlsx", "engl")</f>
        <v>engl</v>
      </c>
      <c r="D25"/>
      <c r="E25"/>
      <c r="F25"/>
      <c r="G25"/>
      <c r="H25"/>
      <c r="I25"/>
      <c r="J25"/>
      <c r="K25"/>
      <c r="L25" t="s">
        <v>101</v>
      </c>
      <c r="M25"/>
      <c r="N25"/>
      <c r="O25"/>
      <c r="P25"/>
      <c r="Q25"/>
      <c r="R25"/>
    </row>
  </sheetData>
  <phoneticPr fontId="61"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Q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4" customWidth="1"/>
    <col min="2" max="4" width="7.88671875" style="114" customWidth="1"/>
    <col min="5" max="7" width="15.6640625" style="114" customWidth="1"/>
    <col min="8" max="9" width="15.6640625" style="130" customWidth="1"/>
    <col min="10" max="15" width="15.6640625" style="114" customWidth="1"/>
    <col min="16" max="16" width="15.6640625" style="114" hidden="1" customWidth="1"/>
    <col min="17" max="17" width="15" style="114" customWidth="1"/>
    <col min="18" max="18" width="3.6640625" style="114" customWidth="1"/>
    <col min="19" max="19" width="40.109375" style="114" bestFit="1" customWidth="1"/>
    <col min="20" max="20" width="87.33203125" style="114" customWidth="1"/>
    <col min="21" max="16384" width="8.6640625" style="114"/>
  </cols>
  <sheetData>
    <row r="1" spans="1:17" s="103" customFormat="1" ht="18">
      <c r="A1" s="101" t="s">
        <v>368</v>
      </c>
      <c r="B1" s="101"/>
      <c r="C1" s="101"/>
      <c r="D1" s="101"/>
      <c r="E1" s="102"/>
      <c r="H1" s="130"/>
      <c r="I1" s="130"/>
    </row>
    <row r="2" spans="1:17" s="103" customFormat="1">
      <c r="A2" s="106" t="s">
        <v>23</v>
      </c>
      <c r="B2" s="106"/>
      <c r="C2" s="106"/>
      <c r="D2" s="106"/>
      <c r="E2" s="330" t="s">
        <v>369</v>
      </c>
      <c r="F2" s="330"/>
      <c r="G2" s="330"/>
      <c r="H2" s="330"/>
      <c r="I2" s="330"/>
      <c r="J2" s="330"/>
    </row>
    <row r="3" spans="1:17" s="103" customFormat="1">
      <c r="A3" s="103" t="s">
        <v>25</v>
      </c>
      <c r="E3" s="103" t="s">
        <v>370</v>
      </c>
      <c r="H3" s="130"/>
      <c r="I3" s="130"/>
    </row>
    <row r="4" spans="1:17" s="103" customFormat="1" ht="14.4">
      <c r="A4" s="107"/>
      <c r="B4" s="107"/>
      <c r="C4" s="107"/>
      <c r="D4" s="107"/>
      <c r="E4" s="108" t="s">
        <v>27</v>
      </c>
      <c r="F4" s="141"/>
      <c r="G4" s="108"/>
      <c r="H4" s="109" t="s">
        <v>28</v>
      </c>
      <c r="I4" s="109"/>
      <c r="J4" s="112" t="s">
        <v>29</v>
      </c>
      <c r="K4" s="142"/>
      <c r="L4" s="142"/>
      <c r="M4" s="112"/>
      <c r="N4" s="112"/>
      <c r="O4" s="112" t="s">
        <v>29</v>
      </c>
      <c r="P4" s="162" t="s">
        <v>371</v>
      </c>
      <c r="Q4" s="113"/>
    </row>
    <row r="5" spans="1:17">
      <c r="E5" s="115" t="s">
        <v>30</v>
      </c>
      <c r="F5" s="141"/>
      <c r="G5" s="115"/>
      <c r="H5" s="116" t="s">
        <v>31</v>
      </c>
      <c r="I5" s="116"/>
      <c r="J5" s="112" t="s">
        <v>32</v>
      </c>
      <c r="K5" s="142"/>
      <c r="L5" s="142"/>
      <c r="M5" s="117"/>
      <c r="N5" s="117"/>
      <c r="O5" s="112" t="s">
        <v>32</v>
      </c>
      <c r="P5" s="163" t="s">
        <v>372</v>
      </c>
    </row>
    <row r="6" spans="1:17">
      <c r="A6" s="129"/>
      <c r="B6" s="129"/>
      <c r="C6" s="129"/>
      <c r="D6" s="129"/>
      <c r="E6" s="164" t="s">
        <v>373</v>
      </c>
      <c r="F6" s="164" t="s">
        <v>374</v>
      </c>
      <c r="G6" s="164" t="s">
        <v>375</v>
      </c>
      <c r="H6" s="87" t="s">
        <v>376</v>
      </c>
      <c r="I6" s="87" t="s">
        <v>377</v>
      </c>
      <c r="J6" s="88" t="s">
        <v>378</v>
      </c>
      <c r="K6" s="88" t="s">
        <v>379</v>
      </c>
      <c r="L6" s="88" t="s">
        <v>380</v>
      </c>
      <c r="M6" s="88" t="s">
        <v>381</v>
      </c>
      <c r="N6" s="88" t="s">
        <v>382</v>
      </c>
      <c r="O6" s="88" t="s">
        <v>383</v>
      </c>
      <c r="P6" s="165" t="s">
        <v>384</v>
      </c>
      <c r="Q6" s="144"/>
    </row>
    <row r="7" spans="1:17" ht="116.4" customHeight="1">
      <c r="A7" s="120" t="s">
        <v>174</v>
      </c>
      <c r="B7" s="120"/>
      <c r="C7" s="120"/>
      <c r="D7" s="120"/>
      <c r="E7" s="93" t="s">
        <v>385</v>
      </c>
      <c r="F7" s="93" t="s">
        <v>386</v>
      </c>
      <c r="G7" s="93" t="s">
        <v>387</v>
      </c>
      <c r="H7" s="93" t="s">
        <v>388</v>
      </c>
      <c r="I7" s="93" t="s">
        <v>389</v>
      </c>
      <c r="J7" s="93" t="s">
        <v>390</v>
      </c>
      <c r="K7" s="93" t="s">
        <v>391</v>
      </c>
      <c r="L7" s="93" t="s">
        <v>392</v>
      </c>
      <c r="M7" s="93" t="s">
        <v>393</v>
      </c>
      <c r="N7" s="93" t="s">
        <v>394</v>
      </c>
      <c r="O7" s="93" t="s">
        <v>395</v>
      </c>
      <c r="P7" s="93" t="s">
        <v>396</v>
      </c>
      <c r="Q7" s="90"/>
    </row>
    <row r="8" spans="1:17" ht="80.400000000000006" customHeight="1">
      <c r="A8" s="129" t="s">
        <v>54</v>
      </c>
      <c r="B8" s="129"/>
      <c r="C8" s="129"/>
      <c r="D8" s="129"/>
      <c r="E8" s="94" t="s">
        <v>397</v>
      </c>
      <c r="F8" s="94" t="s">
        <v>398</v>
      </c>
      <c r="G8" s="94" t="s">
        <v>399</v>
      </c>
      <c r="H8" s="94" t="s">
        <v>400</v>
      </c>
      <c r="I8" s="94" t="s">
        <v>401</v>
      </c>
      <c r="J8" s="94" t="s">
        <v>402</v>
      </c>
      <c r="K8" s="94" t="s">
        <v>403</v>
      </c>
      <c r="L8" s="94" t="s">
        <v>404</v>
      </c>
      <c r="M8" s="94" t="s">
        <v>405</v>
      </c>
      <c r="N8" s="94" t="s">
        <v>406</v>
      </c>
      <c r="O8" s="94" t="s">
        <v>407</v>
      </c>
      <c r="P8" s="121" t="s">
        <v>408</v>
      </c>
      <c r="Q8" s="123"/>
    </row>
    <row r="9" spans="1:17" ht="312">
      <c r="A9" s="129" t="s">
        <v>65</v>
      </c>
      <c r="B9" s="129"/>
      <c r="C9" s="129"/>
      <c r="D9" s="129"/>
      <c r="E9" s="94" t="s">
        <v>409</v>
      </c>
      <c r="F9" s="121" t="s">
        <v>410</v>
      </c>
      <c r="G9" s="121" t="s">
        <v>411</v>
      </c>
      <c r="H9" s="121" t="s">
        <v>412</v>
      </c>
      <c r="I9" s="121" t="s">
        <v>413</v>
      </c>
      <c r="J9" s="121" t="s">
        <v>414</v>
      </c>
      <c r="K9" s="121" t="s">
        <v>415</v>
      </c>
      <c r="L9" s="121" t="s">
        <v>416</v>
      </c>
      <c r="M9" s="121" t="s">
        <v>417</v>
      </c>
      <c r="N9" s="121" t="s">
        <v>418</v>
      </c>
      <c r="O9" s="121" t="s">
        <v>419</v>
      </c>
      <c r="P9" s="121" t="s">
        <v>420</v>
      </c>
      <c r="Q9" s="123"/>
    </row>
    <row r="10" spans="1:17" ht="189" customHeight="1">
      <c r="A10" s="118" t="s">
        <v>76</v>
      </c>
      <c r="B10" s="118"/>
      <c r="C10" s="118"/>
      <c r="D10" s="118"/>
      <c r="E10" s="166" t="s">
        <v>421</v>
      </c>
      <c r="F10" s="166" t="s">
        <v>422</v>
      </c>
      <c r="G10" s="166" t="s">
        <v>423</v>
      </c>
      <c r="H10" s="121" t="s">
        <v>424</v>
      </c>
      <c r="I10" s="121" t="s">
        <v>425</v>
      </c>
      <c r="J10" s="121" t="s">
        <v>426</v>
      </c>
      <c r="K10" s="121" t="s">
        <v>427</v>
      </c>
      <c r="L10" s="121" t="s">
        <v>428</v>
      </c>
      <c r="M10" s="121" t="s">
        <v>429</v>
      </c>
      <c r="N10" s="121" t="s">
        <v>430</v>
      </c>
      <c r="O10" s="121" t="s">
        <v>431</v>
      </c>
      <c r="P10" s="167" t="s">
        <v>432</v>
      </c>
      <c r="Q10" s="168"/>
    </row>
    <row r="11" spans="1:17" ht="72" customHeight="1">
      <c r="A11" s="151" t="s">
        <v>86</v>
      </c>
      <c r="B11" s="151"/>
      <c r="C11" s="151"/>
      <c r="D11" s="151"/>
      <c r="E11" s="121"/>
      <c r="F11" s="121" t="s">
        <v>433</v>
      </c>
      <c r="G11" s="121" t="s">
        <v>434</v>
      </c>
      <c r="H11" s="121" t="s">
        <v>435</v>
      </c>
      <c r="I11" s="121" t="s">
        <v>436</v>
      </c>
      <c r="J11" s="121" t="s">
        <v>437</v>
      </c>
      <c r="K11" s="121" t="s">
        <v>438</v>
      </c>
      <c r="L11" s="121" t="s">
        <v>439</v>
      </c>
      <c r="M11" s="121" t="s">
        <v>440</v>
      </c>
      <c r="N11" s="121" t="s">
        <v>441</v>
      </c>
      <c r="O11" s="121" t="s">
        <v>442</v>
      </c>
      <c r="P11" s="167" t="s">
        <v>432</v>
      </c>
      <c r="Q11" s="168"/>
    </row>
    <row r="12" spans="1:17" s="113" customFormat="1" ht="14.4">
      <c r="A12" s="114"/>
      <c r="B12" s="114"/>
      <c r="C12" s="114"/>
      <c r="D12" s="114"/>
      <c r="E12" s="114"/>
      <c r="F12" s="114"/>
      <c r="G12" s="114"/>
      <c r="H12" s="130"/>
      <c r="I12" s="130"/>
      <c r="J12" s="114"/>
      <c r="K12" s="114"/>
      <c r="L12" s="114"/>
      <c r="M12" s="114"/>
      <c r="N12" s="114"/>
      <c r="O12" s="114"/>
      <c r="P12" s="114"/>
      <c r="Q12" s="114"/>
    </row>
    <row r="13" spans="1:17" s="113" customFormat="1" ht="14.4">
      <c r="A13" s="114"/>
      <c r="B13" s="114"/>
      <c r="C13" s="114"/>
      <c r="D13" s="114"/>
      <c r="E13" s="114"/>
      <c r="F13" s="114"/>
      <c r="G13" s="114"/>
      <c r="H13" s="130"/>
      <c r="I13" s="130"/>
      <c r="J13" s="114"/>
      <c r="K13" s="114"/>
      <c r="L13" s="114"/>
      <c r="M13" s="114"/>
      <c r="N13" s="114"/>
      <c r="O13" s="114"/>
      <c r="P13" s="114"/>
      <c r="Q13" s="114"/>
    </row>
    <row r="14" spans="1:17" s="113" customFormat="1" ht="14.4">
      <c r="A14" s="114"/>
      <c r="B14" s="114"/>
      <c r="C14" s="114"/>
      <c r="D14" s="114"/>
      <c r="E14" s="114"/>
      <c r="F14" s="114"/>
      <c r="G14" s="114"/>
      <c r="H14" s="130"/>
      <c r="I14" s="130"/>
      <c r="J14" s="114"/>
      <c r="K14" s="114"/>
      <c r="L14" s="114"/>
      <c r="M14" s="114"/>
      <c r="N14" s="114"/>
      <c r="O14" s="114"/>
      <c r="P14" s="114"/>
      <c r="Q14" s="114"/>
    </row>
    <row r="15" spans="1:17" customFormat="1" ht="14.4">
      <c r="A15" t="s">
        <v>96</v>
      </c>
      <c r="B15" t="s">
        <v>97</v>
      </c>
      <c r="C15" t="s">
        <v>98</v>
      </c>
      <c r="D15" s="327" t="s">
        <v>99</v>
      </c>
      <c r="E15" s="14" t="s">
        <v>373</v>
      </c>
      <c r="F15" s="14" t="s">
        <v>374</v>
      </c>
      <c r="G15" s="14" t="s">
        <v>375</v>
      </c>
      <c r="H15" s="14" t="s">
        <v>376</v>
      </c>
      <c r="I15" s="14" t="s">
        <v>377</v>
      </c>
      <c r="J15" s="14" t="s">
        <v>378</v>
      </c>
      <c r="K15" s="14" t="s">
        <v>379</v>
      </c>
      <c r="L15" s="14" t="s">
        <v>380</v>
      </c>
      <c r="M15" s="14" t="s">
        <v>381</v>
      </c>
      <c r="N15" s="14" t="s">
        <v>382</v>
      </c>
      <c r="O15" s="14" t="s">
        <v>383</v>
      </c>
      <c r="P15" s="14" t="s">
        <v>384</v>
      </c>
      <c r="Q15" s="14" t="s">
        <v>384</v>
      </c>
    </row>
    <row r="16" spans="1:17" s="113" customFormat="1" ht="14.4">
      <c r="A16" t="s">
        <v>100</v>
      </c>
      <c r="B16" s="15" t="s">
        <v>97</v>
      </c>
      <c r="C16" s="15" t="str">
        <f>HYPERLINK("01-组织级\02-组织工作库\02-EPG活动库\03-过程改进计划\过程改进计划(QCUBIC-SPI-PIM-PIPlan)V1.2-engl.docx", "engl")</f>
        <v>engl</v>
      </c>
      <c r="D16"/>
      <c r="E16" t="s">
        <v>101</v>
      </c>
      <c r="F16"/>
      <c r="G16"/>
      <c r="H16" t="s">
        <v>101</v>
      </c>
      <c r="I16" t="s">
        <v>101</v>
      </c>
      <c r="J16" t="s">
        <v>101</v>
      </c>
      <c r="K16" t="s">
        <v>101</v>
      </c>
      <c r="L16"/>
      <c r="M16"/>
      <c r="N16"/>
      <c r="O16"/>
      <c r="P16"/>
      <c r="Q16"/>
    </row>
    <row r="17" spans="1:17" s="113" customFormat="1" ht="14.4">
      <c r="A17" t="s">
        <v>100</v>
      </c>
      <c r="B17" s="15" t="s">
        <v>97</v>
      </c>
      <c r="C17" s="15" t="str">
        <f>HYPERLINK("01-组织级\02-组织工作库\02-EPG活动库\02-现场诊断\北京快立方科技有限公司现场诊断报告-engl.pptx", "engl")</f>
        <v>engl</v>
      </c>
      <c r="D17"/>
      <c r="E17"/>
      <c r="F17" t="s">
        <v>101</v>
      </c>
      <c r="G17"/>
      <c r="H17"/>
      <c r="I17"/>
      <c r="J17"/>
      <c r="K17"/>
      <c r="L17"/>
      <c r="M17"/>
      <c r="N17"/>
      <c r="O17"/>
      <c r="P17"/>
      <c r="Q17"/>
    </row>
    <row r="18" spans="1:17" s="113" customFormat="1" ht="14.4">
      <c r="A18" t="s">
        <v>100</v>
      </c>
      <c r="B18" s="15" t="s">
        <v>97</v>
      </c>
      <c r="C18" s="15" t="str">
        <f>HYPERLINK("01-组织级\02-组织工作库\02-EPG活动库\过程改进总结报告-engl.pptx", "engl")</f>
        <v>engl</v>
      </c>
      <c r="D18"/>
      <c r="E18"/>
      <c r="F18" t="s">
        <v>101</v>
      </c>
      <c r="G18"/>
      <c r="H18"/>
      <c r="I18"/>
      <c r="J18"/>
      <c r="K18"/>
      <c r="L18" t="s">
        <v>101</v>
      </c>
      <c r="M18"/>
      <c r="N18" t="s">
        <v>101</v>
      </c>
      <c r="O18" t="s">
        <v>101</v>
      </c>
      <c r="P18"/>
      <c r="Q18"/>
    </row>
    <row r="19" spans="1:17" s="113" customFormat="1" ht="14.4">
      <c r="A19" t="s">
        <v>100</v>
      </c>
      <c r="B19" s="15" t="s">
        <v>97</v>
      </c>
      <c r="C19" s="15" t="str">
        <f>HYPERLINK("01-组织级\02-组织工作库\02-EPG活动库\01-EPG章程\EPG章程(QCUBIC-SPI-PIM-Std-EPGRule)V1.2-engl.docx", "engl")</f>
        <v>engl</v>
      </c>
      <c r="D19"/>
      <c r="E19"/>
      <c r="F19" t="s">
        <v>101</v>
      </c>
      <c r="G19"/>
      <c r="H19"/>
      <c r="I19"/>
      <c r="J19"/>
      <c r="K19"/>
      <c r="L19"/>
      <c r="M19"/>
      <c r="N19"/>
      <c r="O19"/>
      <c r="P19"/>
      <c r="Q19"/>
    </row>
    <row r="20" spans="1:17" s="113" customFormat="1" ht="14.4">
      <c r="A20" t="s">
        <v>100</v>
      </c>
      <c r="B20" s="15" t="s">
        <v>97</v>
      </c>
      <c r="C20" s="15" t="str">
        <f>HYPERLINK("01-组织级\02-组织工作库\02-EPG活动库\07-EPG跟踪\05-过程改进建议表\过程改进建议表(QCUBIC-SPI-PIM-SPIAdvic)V1.2-engl.xlsx", "engl")</f>
        <v>engl</v>
      </c>
      <c r="D20"/>
      <c r="E20"/>
      <c r="F20"/>
      <c r="G20" t="s">
        <v>101</v>
      </c>
      <c r="H20"/>
      <c r="I20"/>
      <c r="J20"/>
      <c r="K20"/>
      <c r="L20"/>
      <c r="M20" t="s">
        <v>101</v>
      </c>
      <c r="N20"/>
      <c r="O20"/>
      <c r="P20"/>
      <c r="Q20"/>
    </row>
    <row r="21" spans="1:17" ht="14.4">
      <c r="A21" t="s">
        <v>100</v>
      </c>
      <c r="B21" s="15" t="s">
        <v>97</v>
      </c>
      <c r="C21"/>
      <c r="D21"/>
      <c r="E21"/>
      <c r="F21"/>
      <c r="G21"/>
      <c r="H21"/>
      <c r="I21"/>
      <c r="J21"/>
      <c r="K21" t="s">
        <v>101</v>
      </c>
      <c r="L21"/>
      <c r="M21"/>
      <c r="N21"/>
      <c r="O21"/>
      <c r="P21"/>
      <c r="Q21"/>
    </row>
    <row r="22" spans="1:17" ht="14.4">
      <c r="A22" t="s">
        <v>100</v>
      </c>
      <c r="B22" s="15" t="s">
        <v>97</v>
      </c>
      <c r="C22" s="15" t="str">
        <f>HYPERLINK("01-组织级\02-组织工作库\02-EPG活动库\03-过程改进计划\关键子过程选择(QCUBIC_PCM_Select subprocess)V1.0-engl.xlsx", "engl")</f>
        <v>engl</v>
      </c>
      <c r="D22"/>
      <c r="E22"/>
      <c r="F22"/>
      <c r="G22"/>
      <c r="H22"/>
      <c r="I22"/>
      <c r="J22"/>
      <c r="K22" t="s">
        <v>101</v>
      </c>
      <c r="L22"/>
      <c r="M22"/>
      <c r="N22"/>
      <c r="O22"/>
      <c r="P22"/>
      <c r="Q22"/>
    </row>
    <row r="23" spans="1:17" ht="14.4">
      <c r="A23" t="s">
        <v>100</v>
      </c>
      <c r="B23" s="15" t="s">
        <v>97</v>
      </c>
      <c r="C23" s="15" t="str">
        <f>HYPERLINK("01-组织级\02-组织工作库\02-EPG活动库\03-过程改进计划\过程改进计划评审报告(QCUBIC-SPI-VV-Tem-ReviewRpt)V1.2-engl.xlsx", "engl")</f>
        <v>engl</v>
      </c>
      <c r="D23"/>
      <c r="E23"/>
      <c r="F23"/>
      <c r="G23"/>
      <c r="H23"/>
      <c r="I23"/>
      <c r="J23"/>
      <c r="K23"/>
      <c r="L23" t="s">
        <v>101</v>
      </c>
      <c r="M23"/>
      <c r="N23"/>
      <c r="O23"/>
      <c r="P23"/>
      <c r="Q23"/>
    </row>
    <row r="24" spans="1:17" ht="14.4">
      <c r="A24" t="s">
        <v>100</v>
      </c>
      <c r="B24" s="15" t="s">
        <v>97</v>
      </c>
      <c r="C24"/>
      <c r="D24"/>
      <c r="E24"/>
      <c r="F24"/>
      <c r="G24"/>
      <c r="H24"/>
      <c r="I24"/>
      <c r="J24"/>
      <c r="K24"/>
      <c r="L24"/>
      <c r="M24" t="s">
        <v>101</v>
      </c>
      <c r="N24"/>
      <c r="O24"/>
      <c r="P24"/>
      <c r="Q24"/>
    </row>
    <row r="25" spans="1:17" ht="14.4">
      <c r="A25" t="s">
        <v>100</v>
      </c>
      <c r="B25" s="15" t="s">
        <v>97</v>
      </c>
      <c r="C25" s="15" t="str">
        <f>HYPERLINK("01-组织级\02-组织工作库\02-EPG活动库\05-项目试点\试点行动计划(QCUBIC-SPI-PIM-PilotPlan)V1.1-engl.docx", "engl")</f>
        <v>engl</v>
      </c>
      <c r="D25"/>
      <c r="E25"/>
      <c r="F25"/>
      <c r="G25"/>
      <c r="H25"/>
      <c r="I25"/>
      <c r="J25"/>
      <c r="K25"/>
      <c r="L25"/>
      <c r="M25" t="s">
        <v>101</v>
      </c>
      <c r="N25"/>
      <c r="O25"/>
      <c r="P25"/>
      <c r="Q25"/>
    </row>
    <row r="26" spans="1:17" ht="14.4">
      <c r="A26" t="s">
        <v>100</v>
      </c>
      <c r="B26" s="15" t="s">
        <v>97</v>
      </c>
      <c r="C26" s="15" t="str">
        <f>HYPERLINK("01-组织级\02-组织工作库\02-EPG活动库\07-EPG跟踪\06-过程改进里程碑\过程改进里程碑报告(ORG_PCM_Milestone_20220628)V1.0-engl.docx", "engl")</f>
        <v>engl</v>
      </c>
      <c r="D26"/>
      <c r="E26"/>
      <c r="F26"/>
      <c r="G26"/>
      <c r="H26"/>
      <c r="I26"/>
      <c r="J26"/>
      <c r="K26"/>
      <c r="L26"/>
      <c r="M26"/>
      <c r="N26" t="s">
        <v>101</v>
      </c>
      <c r="O26"/>
      <c r="P26"/>
      <c r="Q26"/>
    </row>
    <row r="27" spans="1:17" ht="14.4">
      <c r="A27" t="s">
        <v>100</v>
      </c>
      <c r="B27" s="15" t="s">
        <v>97</v>
      </c>
      <c r="C27" s="15" t="str">
        <f>HYPERLINK("01-组织级\02-组织工作库\02-EPG活动库\06-过程推广\过程部署计划(QCUBIC-SPI-PIM-PSPreadPlan)V1.2-engl.docx", "engl")</f>
        <v>engl</v>
      </c>
      <c r="D27"/>
      <c r="E27"/>
      <c r="F27"/>
      <c r="G27"/>
      <c r="H27"/>
      <c r="I27"/>
      <c r="J27"/>
      <c r="K27"/>
      <c r="L27"/>
      <c r="M27"/>
      <c r="N27" t="s">
        <v>101</v>
      </c>
      <c r="O27"/>
      <c r="P27"/>
      <c r="Q27"/>
    </row>
  </sheetData>
  <mergeCells count="1">
    <mergeCell ref="E2:J2"/>
  </mergeCells>
  <phoneticPr fontId="61"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O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4" customWidth="1"/>
    <col min="2" max="4" width="7.88671875" style="114" customWidth="1"/>
    <col min="5" max="6" width="15.6640625" style="114" customWidth="1"/>
    <col min="7" max="7" width="15.6640625" style="130" customWidth="1"/>
    <col min="8" max="15" width="15.6640625" style="114" customWidth="1"/>
    <col min="16" max="16" width="50.6640625" style="114" customWidth="1"/>
    <col min="17" max="17" width="3.6640625" style="114" customWidth="1"/>
    <col min="18" max="18" width="45.6640625" style="114" bestFit="1" customWidth="1"/>
    <col min="19" max="19" width="58.6640625" style="114" customWidth="1"/>
    <col min="20" max="16384" width="8.6640625" style="114"/>
  </cols>
  <sheetData>
    <row r="1" spans="1:15" s="132" customFormat="1" ht="18">
      <c r="A1" s="101" t="s">
        <v>443</v>
      </c>
      <c r="B1" s="101"/>
      <c r="C1" s="101"/>
      <c r="D1" s="101"/>
      <c r="E1" s="102"/>
      <c r="F1" s="103"/>
      <c r="G1" s="130"/>
      <c r="H1" s="103"/>
      <c r="I1" s="103"/>
      <c r="J1" s="103"/>
      <c r="K1" s="103"/>
      <c r="L1" s="103"/>
      <c r="M1" s="103"/>
      <c r="N1" s="103"/>
      <c r="O1" s="103"/>
    </row>
    <row r="2" spans="1:15" s="133" customFormat="1">
      <c r="A2" s="106" t="s">
        <v>23</v>
      </c>
      <c r="B2" s="106"/>
      <c r="C2" s="106"/>
      <c r="D2" s="106"/>
      <c r="E2" s="103" t="s">
        <v>444</v>
      </c>
      <c r="F2" s="103"/>
      <c r="G2" s="130"/>
      <c r="H2" s="103"/>
      <c r="I2" s="103"/>
      <c r="J2" s="103"/>
      <c r="K2" s="103"/>
      <c r="L2" s="103"/>
      <c r="M2" s="103"/>
      <c r="N2" s="103"/>
      <c r="O2" s="103"/>
    </row>
    <row r="3" spans="1:15" s="132" customFormat="1">
      <c r="A3" s="103" t="s">
        <v>25</v>
      </c>
      <c r="B3" s="103"/>
      <c r="C3" s="103"/>
      <c r="D3" s="103"/>
      <c r="E3" s="103" t="s">
        <v>445</v>
      </c>
      <c r="F3" s="103"/>
      <c r="G3" s="130"/>
      <c r="H3" s="103"/>
      <c r="I3" s="103"/>
      <c r="J3" s="103"/>
      <c r="K3" s="103"/>
      <c r="L3" s="103"/>
      <c r="M3" s="103"/>
      <c r="N3" s="103"/>
      <c r="O3" s="103"/>
    </row>
    <row r="4" spans="1:15" s="132" customFormat="1">
      <c r="A4" s="107"/>
      <c r="B4" s="107"/>
      <c r="C4" s="107"/>
      <c r="D4" s="107"/>
      <c r="E4" s="108" t="s">
        <v>27</v>
      </c>
      <c r="F4" s="109" t="s">
        <v>28</v>
      </c>
      <c r="G4" s="109"/>
      <c r="H4" s="110"/>
      <c r="I4" s="112" t="s">
        <v>29</v>
      </c>
      <c r="J4" s="142"/>
      <c r="K4" s="142"/>
      <c r="L4" s="142"/>
      <c r="M4" s="112"/>
      <c r="N4" s="112"/>
      <c r="O4" s="112"/>
    </row>
    <row r="5" spans="1:15">
      <c r="E5" s="115" t="s">
        <v>30</v>
      </c>
      <c r="F5" s="116" t="s">
        <v>31</v>
      </c>
      <c r="G5" s="116"/>
      <c r="H5" s="110"/>
      <c r="I5" s="112" t="s">
        <v>32</v>
      </c>
      <c r="J5" s="142"/>
      <c r="K5" s="142"/>
      <c r="L5" s="142"/>
      <c r="M5" s="117"/>
      <c r="N5" s="117"/>
      <c r="O5" s="112"/>
    </row>
    <row r="6" spans="1:15">
      <c r="A6" s="129"/>
      <c r="B6" s="129"/>
      <c r="C6" s="129"/>
      <c r="D6" s="129"/>
      <c r="E6" s="169" t="s">
        <v>446</v>
      </c>
      <c r="F6" s="170" t="s">
        <v>447</v>
      </c>
      <c r="G6" s="170" t="s">
        <v>448</v>
      </c>
      <c r="H6" s="170" t="s">
        <v>449</v>
      </c>
      <c r="I6" s="171" t="s">
        <v>450</v>
      </c>
      <c r="J6" s="171" t="s">
        <v>451</v>
      </c>
      <c r="K6" s="171" t="s">
        <v>452</v>
      </c>
      <c r="L6" s="171" t="s">
        <v>453</v>
      </c>
      <c r="M6" s="171" t="s">
        <v>454</v>
      </c>
      <c r="N6" s="171" t="s">
        <v>455</v>
      </c>
      <c r="O6" s="172" t="s">
        <v>456</v>
      </c>
    </row>
    <row r="7" spans="1:15" ht="124.2">
      <c r="A7" s="120" t="s">
        <v>174</v>
      </c>
      <c r="B7" s="120"/>
      <c r="C7" s="120"/>
      <c r="D7" s="120"/>
      <c r="E7" s="93" t="s">
        <v>457</v>
      </c>
      <c r="F7" s="93" t="s">
        <v>458</v>
      </c>
      <c r="G7" s="93" t="s">
        <v>459</v>
      </c>
      <c r="H7" s="93" t="s">
        <v>460</v>
      </c>
      <c r="I7" s="93" t="s">
        <v>461</v>
      </c>
      <c r="J7" s="93" t="s">
        <v>462</v>
      </c>
      <c r="K7" s="93" t="s">
        <v>463</v>
      </c>
      <c r="L7" s="93" t="s">
        <v>464</v>
      </c>
      <c r="M7" s="93" t="s">
        <v>465</v>
      </c>
      <c r="N7" s="93" t="s">
        <v>466</v>
      </c>
      <c r="O7" s="93" t="s">
        <v>467</v>
      </c>
    </row>
    <row r="8" spans="1:15" ht="71.400000000000006">
      <c r="A8" s="129" t="s">
        <v>54</v>
      </c>
      <c r="B8" s="129"/>
      <c r="C8" s="129"/>
      <c r="D8" s="129"/>
      <c r="E8" s="128" t="s">
        <v>468</v>
      </c>
      <c r="F8" s="143" t="s">
        <v>469</v>
      </c>
      <c r="G8" s="143" t="s">
        <v>470</v>
      </c>
      <c r="H8" s="143" t="s">
        <v>471</v>
      </c>
      <c r="I8" s="143" t="s">
        <v>472</v>
      </c>
      <c r="J8" s="143" t="s">
        <v>473</v>
      </c>
      <c r="K8" s="143" t="s">
        <v>474</v>
      </c>
      <c r="L8" s="143" t="s">
        <v>475</v>
      </c>
      <c r="M8" s="143" t="s">
        <v>476</v>
      </c>
      <c r="N8" s="143" t="s">
        <v>477</v>
      </c>
      <c r="O8" s="143" t="s">
        <v>478</v>
      </c>
    </row>
    <row r="9" spans="1:15" ht="165" customHeight="1">
      <c r="A9" s="129" t="s">
        <v>65</v>
      </c>
      <c r="B9" s="129"/>
      <c r="C9" s="129"/>
      <c r="D9" s="129"/>
      <c r="E9" s="121" t="s">
        <v>479</v>
      </c>
      <c r="F9" s="121" t="s">
        <v>480</v>
      </c>
      <c r="G9" s="121" t="s">
        <v>481</v>
      </c>
      <c r="H9" s="121" t="s">
        <v>482</v>
      </c>
      <c r="I9" s="121" t="s">
        <v>483</v>
      </c>
      <c r="J9" s="121" t="s">
        <v>484</v>
      </c>
      <c r="K9" s="121" t="s">
        <v>485</v>
      </c>
      <c r="L9" s="121" t="s">
        <v>486</v>
      </c>
      <c r="M9" s="121" t="s">
        <v>487</v>
      </c>
      <c r="N9" s="121" t="s">
        <v>488</v>
      </c>
      <c r="O9" s="121" t="s">
        <v>489</v>
      </c>
    </row>
    <row r="10" spans="1:15" ht="124.2">
      <c r="A10" s="118" t="s">
        <v>76</v>
      </c>
      <c r="B10" s="118"/>
      <c r="C10" s="118"/>
      <c r="D10" s="118"/>
      <c r="E10" s="173"/>
      <c r="F10" s="98" t="s">
        <v>490</v>
      </c>
      <c r="G10" s="98" t="s">
        <v>491</v>
      </c>
      <c r="H10" s="98" t="s">
        <v>492</v>
      </c>
      <c r="I10" s="98" t="s">
        <v>493</v>
      </c>
      <c r="J10" s="98" t="s">
        <v>494</v>
      </c>
      <c r="K10" s="98" t="s">
        <v>495</v>
      </c>
      <c r="L10" s="98" t="s">
        <v>496</v>
      </c>
      <c r="M10" s="99" t="str">
        <f>K10</f>
        <v>- (2.3) How are the process assets made available for use in the organisation?</v>
      </c>
      <c r="N10" s="98" t="s">
        <v>497</v>
      </c>
      <c r="O10" s="98" t="s">
        <v>498</v>
      </c>
    </row>
    <row r="11" spans="1:15" ht="69">
      <c r="A11" s="151" t="s">
        <v>86</v>
      </c>
      <c r="B11" s="151"/>
      <c r="C11" s="151"/>
      <c r="D11" s="151"/>
      <c r="E11" s="98"/>
      <c r="F11" s="153" t="s">
        <v>499</v>
      </c>
      <c r="G11" s="98" t="s">
        <v>500</v>
      </c>
      <c r="H11" s="98" t="s">
        <v>501</v>
      </c>
      <c r="I11" s="98" t="s">
        <v>502</v>
      </c>
      <c r="J11" s="98" t="s">
        <v>503</v>
      </c>
      <c r="K11" s="98" t="s">
        <v>504</v>
      </c>
      <c r="L11" s="98" t="s">
        <v>505</v>
      </c>
      <c r="M11" s="98" t="str">
        <f>K11</f>
        <v>—(2.3)如何使过程资产在组织中可用?</v>
      </c>
      <c r="N11" s="98" t="s">
        <v>506</v>
      </c>
      <c r="O11" s="98" t="s">
        <v>507</v>
      </c>
    </row>
    <row r="15" spans="1:15" customFormat="1" ht="14.4">
      <c r="A15" t="s">
        <v>96</v>
      </c>
      <c r="B15" t="s">
        <v>97</v>
      </c>
      <c r="C15" t="s">
        <v>98</v>
      </c>
      <c r="D15" s="327" t="s">
        <v>99</v>
      </c>
      <c r="E15" s="14" t="s">
        <v>446</v>
      </c>
      <c r="F15" s="14" t="s">
        <v>447</v>
      </c>
      <c r="G15" s="14" t="s">
        <v>448</v>
      </c>
      <c r="H15" s="14" t="s">
        <v>449</v>
      </c>
      <c r="I15" s="14" t="s">
        <v>450</v>
      </c>
      <c r="J15" s="14" t="s">
        <v>451</v>
      </c>
      <c r="K15" s="14" t="s">
        <v>452</v>
      </c>
      <c r="L15" s="14" t="s">
        <v>453</v>
      </c>
      <c r="M15" s="14" t="s">
        <v>454</v>
      </c>
      <c r="N15" s="14" t="s">
        <v>455</v>
      </c>
      <c r="O15" s="14" t="s">
        <v>456</v>
      </c>
    </row>
    <row r="16" spans="1:15" s="113" customFormat="1" ht="14.4">
      <c r="A16" t="s">
        <v>100</v>
      </c>
      <c r="B16" s="15" t="s">
        <v>97</v>
      </c>
      <c r="C16"/>
      <c r="D16"/>
      <c r="E16" t="s">
        <v>101</v>
      </c>
      <c r="F16" t="s">
        <v>101</v>
      </c>
      <c r="G16" t="s">
        <v>101</v>
      </c>
      <c r="H16"/>
      <c r="I16"/>
      <c r="J16"/>
      <c r="K16"/>
      <c r="L16"/>
      <c r="M16" t="s">
        <v>101</v>
      </c>
      <c r="N16"/>
      <c r="O16"/>
    </row>
    <row r="17" spans="1:15" ht="14.4">
      <c r="A17" t="s">
        <v>100</v>
      </c>
      <c r="B17" s="15" t="s">
        <v>97</v>
      </c>
      <c r="C17"/>
      <c r="D17"/>
      <c r="E17"/>
      <c r="F17"/>
      <c r="G17" t="s">
        <v>101</v>
      </c>
      <c r="H17"/>
      <c r="I17"/>
      <c r="J17"/>
      <c r="K17"/>
      <c r="L17"/>
      <c r="M17"/>
      <c r="N17"/>
      <c r="O17"/>
    </row>
    <row r="18" spans="1:15" ht="14.4">
      <c r="A18" t="s">
        <v>100</v>
      </c>
      <c r="B18" s="15" t="s">
        <v>97</v>
      </c>
      <c r="C18"/>
      <c r="D18"/>
      <c r="E18"/>
      <c r="F18"/>
      <c r="G18"/>
      <c r="H18" t="s">
        <v>101</v>
      </c>
      <c r="I18" t="s">
        <v>101</v>
      </c>
      <c r="J18" t="s">
        <v>101</v>
      </c>
      <c r="K18" t="s">
        <v>101</v>
      </c>
      <c r="L18"/>
      <c r="M18"/>
      <c r="N18"/>
      <c r="O18"/>
    </row>
    <row r="19" spans="1:15" ht="14.4">
      <c r="A19" t="s">
        <v>100</v>
      </c>
      <c r="B19" s="15" t="s">
        <v>97</v>
      </c>
      <c r="C19" s="15" t="str">
        <f>HYPERLINK("01-组织级\02-组织工作库\02-EPG活动库\03-过程改进计划\过程改进计划(QCUBIC-SPI-PIM-PIPlan)V1.2-engl.docx", "engl")</f>
        <v>engl</v>
      </c>
      <c r="D19"/>
      <c r="E19"/>
      <c r="F19"/>
      <c r="G19"/>
      <c r="H19"/>
      <c r="I19" t="s">
        <v>101</v>
      </c>
      <c r="J19"/>
      <c r="K19"/>
      <c r="L19"/>
      <c r="M19"/>
      <c r="N19"/>
      <c r="O19"/>
    </row>
    <row r="20" spans="1:15" ht="14.4">
      <c r="A20" t="s">
        <v>100</v>
      </c>
      <c r="B20" s="15" t="s">
        <v>97</v>
      </c>
      <c r="C20" s="15" t="str">
        <f>HYPERLINK("01-组织级\01-组织财富库\01-标准过程文件库\04-组织过程类\02-过程资产管理\过程资产库管理指南 (QCUBIC-SPI-OPAL-Guid-Assetlib)V1.2-engl.docx", "engl")</f>
        <v>engl</v>
      </c>
      <c r="D20"/>
      <c r="E20"/>
      <c r="F20"/>
      <c r="G20"/>
      <c r="H20"/>
      <c r="I20" t="s">
        <v>101</v>
      </c>
      <c r="J20"/>
      <c r="K20"/>
      <c r="L20"/>
      <c r="M20"/>
      <c r="N20"/>
      <c r="O20"/>
    </row>
    <row r="21" spans="1:15" ht="14.4">
      <c r="A21" t="s">
        <v>100</v>
      </c>
      <c r="B21" s="15" t="s">
        <v>97</v>
      </c>
      <c r="C21" s="15" t="str">
        <f>HYPERLINK("01-组织级\01-组织财富库\01-标准过程文件库\04-组织过程类\02-过程资产管理\过程资产管理过程文件 (QCUBIC-SPI-OPAL-Proc-Doc)V1.2-engl.docx", "engl")</f>
        <v>engl</v>
      </c>
      <c r="D21"/>
      <c r="E21"/>
      <c r="F21"/>
      <c r="G21"/>
      <c r="H21"/>
      <c r="I21" t="s">
        <v>101</v>
      </c>
      <c r="J21"/>
      <c r="K21"/>
      <c r="L21"/>
      <c r="M21"/>
      <c r="N21"/>
      <c r="O21"/>
    </row>
    <row r="22" spans="1:15" ht="14.4">
      <c r="A22" t="s">
        <v>100</v>
      </c>
      <c r="B22" s="15" t="s">
        <v>97</v>
      </c>
      <c r="C22"/>
      <c r="D22"/>
      <c r="E22"/>
      <c r="F22"/>
      <c r="G22"/>
      <c r="H22"/>
      <c r="I22"/>
      <c r="J22" t="s">
        <v>101</v>
      </c>
      <c r="K22"/>
      <c r="L22"/>
      <c r="M22"/>
      <c r="N22"/>
      <c r="O22"/>
    </row>
    <row r="23" spans="1:15" ht="14.4">
      <c r="A23" t="s">
        <v>100</v>
      </c>
      <c r="B23" s="15" t="s">
        <v>97</v>
      </c>
      <c r="C23"/>
      <c r="D23"/>
      <c r="E23"/>
      <c r="F23"/>
      <c r="G23"/>
      <c r="H23"/>
      <c r="I23"/>
      <c r="J23" t="s">
        <v>101</v>
      </c>
      <c r="K23"/>
      <c r="L23"/>
      <c r="M23"/>
      <c r="N23"/>
      <c r="O23"/>
    </row>
    <row r="24" spans="1:15" ht="14.4">
      <c r="A24" t="s">
        <v>100</v>
      </c>
      <c r="B24" s="15" t="s">
        <v>97</v>
      </c>
      <c r="C24" s="15" t="str">
        <f>HYPERLINK("01-组织级\01-组织财富库\01-标准过程文件库\04-组织过程类\02-过程资产管理\裁剪指南 (QCUBIC-SPI-OPAL-Guid-Tailor)V1.2-engl.xlsx", "engl")</f>
        <v>engl</v>
      </c>
      <c r="D24"/>
      <c r="E24"/>
      <c r="F24"/>
      <c r="G24"/>
      <c r="H24"/>
      <c r="I24"/>
      <c r="J24"/>
      <c r="K24"/>
      <c r="L24" t="s">
        <v>101</v>
      </c>
      <c r="M24"/>
      <c r="N24"/>
      <c r="O24"/>
    </row>
    <row r="25" spans="1:15" ht="14.4">
      <c r="A25" t="s">
        <v>100</v>
      </c>
      <c r="B25" s="15" t="s">
        <v>97</v>
      </c>
      <c r="C25" s="15" t="str">
        <f>HYPERLINK("01-组织级\01-组织财富库\01-标准过程文件库\04-组织过程类\02-过程资产管理\工作环境标准(QCUBIC-SPI-OPAL-Std-Environment)V1.2(1)-engl.docx", "engl")</f>
        <v>engl</v>
      </c>
      <c r="D25"/>
      <c r="E25"/>
      <c r="F25"/>
      <c r="G25"/>
      <c r="H25"/>
      <c r="I25"/>
      <c r="J25"/>
      <c r="K25"/>
      <c r="L25"/>
      <c r="M25"/>
      <c r="N25" t="s">
        <v>101</v>
      </c>
      <c r="O25"/>
    </row>
    <row r="26" spans="1:15" s="113" customFormat="1" ht="14.4">
      <c r="A26" t="s">
        <v>100</v>
      </c>
      <c r="B26" s="15" t="s">
        <v>97</v>
      </c>
      <c r="C26" s="15" t="str">
        <f>HYPERLINK("01-组织级\02-组织工作库\06-度量\组织度量表(QCUBIC-SPI-MPM-Tem-datasheet)V1.3-engl.xlsx", "engl")</f>
        <v>engl</v>
      </c>
      <c r="D26"/>
      <c r="E26"/>
      <c r="F26"/>
      <c r="G26"/>
      <c r="H26"/>
      <c r="I26"/>
      <c r="J26"/>
      <c r="K26"/>
      <c r="L26"/>
      <c r="M26"/>
      <c r="N26"/>
      <c r="O26" t="s">
        <v>101</v>
      </c>
    </row>
    <row r="27" spans="1:15" ht="14.4">
      <c r="A27" t="s">
        <v>100</v>
      </c>
      <c r="B27" s="15" t="s">
        <v>97</v>
      </c>
      <c r="C27" s="15" t="str">
        <f>HYPERLINK("01-组织级\01-组织财富库\01-标准过程文件库\03-支持类\03-度量分析\度量分析指南 (QCUBIC-SPI-MPM-Guid-Doc)V1.2-engl.docx", "engl")</f>
        <v>engl</v>
      </c>
      <c r="D27"/>
      <c r="E27"/>
      <c r="F27"/>
      <c r="G27"/>
      <c r="H27"/>
      <c r="I27"/>
      <c r="J27"/>
      <c r="K27"/>
      <c r="L27"/>
      <c r="M27"/>
      <c r="N27"/>
      <c r="O27" t="s">
        <v>101</v>
      </c>
    </row>
  </sheetData>
  <phoneticPr fontId="61"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3" customWidth="1"/>
    <col min="2" max="4" width="7.88671875" style="113" customWidth="1"/>
    <col min="5" max="8" width="12.6640625" style="113" customWidth="1"/>
    <col min="9" max="26" width="14.6640625" style="113" customWidth="1"/>
    <col min="27" max="27" width="10.109375" style="113" customWidth="1"/>
    <col min="28" max="28" width="3.6640625" style="113" customWidth="1"/>
    <col min="29" max="29" width="32.109375" style="113" bestFit="1" customWidth="1"/>
    <col min="30" max="30" width="72" style="113" customWidth="1"/>
    <col min="31" max="32" width="16.6640625" style="113" customWidth="1"/>
    <col min="33" max="33" width="61.88671875" style="113" customWidth="1"/>
    <col min="34" max="16384" width="8.88671875" style="113"/>
  </cols>
  <sheetData>
    <row r="1" spans="1:32" ht="21">
      <c r="A1" s="174" t="s">
        <v>508</v>
      </c>
      <c r="B1" s="174"/>
      <c r="C1" s="174"/>
      <c r="D1" s="174"/>
      <c r="E1" s="175"/>
      <c r="F1" s="175"/>
      <c r="G1" s="175"/>
      <c r="H1" s="175"/>
      <c r="I1" s="175"/>
      <c r="J1" s="175"/>
      <c r="K1" s="175"/>
      <c r="L1" s="175"/>
      <c r="M1" s="330"/>
      <c r="N1" s="330"/>
      <c r="O1" s="330"/>
      <c r="P1" s="330"/>
      <c r="Q1" s="330"/>
      <c r="R1" s="330"/>
    </row>
    <row r="2" spans="1:32" ht="15.6">
      <c r="A2" s="176" t="s">
        <v>23</v>
      </c>
      <c r="B2" s="176"/>
      <c r="C2" s="176"/>
      <c r="D2" s="176"/>
      <c r="E2" s="177" t="s">
        <v>509</v>
      </c>
      <c r="F2" s="177"/>
      <c r="G2" s="177"/>
      <c r="H2" s="177"/>
      <c r="I2" s="177"/>
      <c r="J2" s="177"/>
      <c r="K2" s="177"/>
      <c r="L2" s="177"/>
      <c r="M2" s="177"/>
      <c r="S2" s="178"/>
      <c r="X2" s="119"/>
    </row>
    <row r="3" spans="1:32" ht="15.6">
      <c r="A3" s="176" t="s">
        <v>25</v>
      </c>
      <c r="B3" s="176"/>
      <c r="C3" s="176"/>
      <c r="D3" s="176"/>
      <c r="E3" s="177" t="s">
        <v>510</v>
      </c>
      <c r="F3" s="177"/>
      <c r="G3" s="177"/>
      <c r="H3" s="177"/>
      <c r="I3" s="177"/>
      <c r="J3" s="177"/>
      <c r="K3" s="177"/>
      <c r="L3" s="177"/>
      <c r="M3" s="177"/>
    </row>
    <row r="4" spans="1:32" ht="15.6">
      <c r="A4" s="176"/>
      <c r="B4" s="176"/>
      <c r="C4" s="176"/>
      <c r="D4" s="176"/>
      <c r="E4" s="179" t="s">
        <v>27</v>
      </c>
      <c r="F4" s="179"/>
      <c r="G4" s="180" t="s">
        <v>28</v>
      </c>
      <c r="H4" s="180"/>
      <c r="I4" s="180"/>
      <c r="J4" s="180"/>
      <c r="K4" s="180"/>
      <c r="L4" s="180"/>
      <c r="M4" s="181" t="s">
        <v>29</v>
      </c>
      <c r="N4" s="182"/>
      <c r="O4" s="182"/>
      <c r="P4" s="182"/>
      <c r="Q4" s="182"/>
      <c r="R4" s="182"/>
      <c r="S4" s="162" t="s">
        <v>371</v>
      </c>
      <c r="T4" s="162"/>
      <c r="U4" s="162"/>
      <c r="V4" s="162"/>
      <c r="W4" s="162"/>
      <c r="X4" s="183" t="s">
        <v>511</v>
      </c>
      <c r="Y4" s="183"/>
      <c r="Z4" s="183"/>
    </row>
    <row r="5" spans="1:32">
      <c r="E5" s="115" t="s">
        <v>30</v>
      </c>
      <c r="F5" s="184"/>
      <c r="G5" s="116" t="s">
        <v>31</v>
      </c>
      <c r="H5" s="185"/>
      <c r="I5" s="185"/>
      <c r="J5" s="185"/>
      <c r="K5" s="185"/>
      <c r="L5" s="109"/>
      <c r="M5" s="112" t="s">
        <v>32</v>
      </c>
      <c r="N5" s="182"/>
      <c r="O5" s="182"/>
      <c r="P5" s="182"/>
      <c r="Q5" s="182"/>
      <c r="R5" s="182"/>
      <c r="S5" s="163" t="s">
        <v>372</v>
      </c>
      <c r="T5" s="162"/>
      <c r="U5" s="162"/>
      <c r="V5" s="162"/>
      <c r="W5" s="162"/>
      <c r="X5" s="186" t="s">
        <v>512</v>
      </c>
      <c r="Y5" s="183"/>
      <c r="Z5" s="183"/>
    </row>
    <row r="6" spans="1:32">
      <c r="A6" s="118"/>
      <c r="B6" s="118"/>
      <c r="C6" s="118"/>
      <c r="D6" s="118"/>
      <c r="E6" s="164" t="s">
        <v>513</v>
      </c>
      <c r="F6" s="164" t="s">
        <v>514</v>
      </c>
      <c r="G6" s="87" t="s">
        <v>515</v>
      </c>
      <c r="H6" s="87" t="s">
        <v>516</v>
      </c>
      <c r="I6" s="87" t="s">
        <v>517</v>
      </c>
      <c r="J6" s="87" t="s">
        <v>518</v>
      </c>
      <c r="K6" s="187" t="s">
        <v>519</v>
      </c>
      <c r="L6" s="87" t="s">
        <v>520</v>
      </c>
      <c r="M6" s="188" t="s">
        <v>521</v>
      </c>
      <c r="N6" s="88" t="s">
        <v>522</v>
      </c>
      <c r="O6" s="88" t="s">
        <v>523</v>
      </c>
      <c r="P6" s="88" t="s">
        <v>524</v>
      </c>
      <c r="Q6" s="88" t="s">
        <v>525</v>
      </c>
      <c r="R6" s="88" t="s">
        <v>526</v>
      </c>
      <c r="S6" s="189" t="s">
        <v>527</v>
      </c>
      <c r="T6" s="189" t="s">
        <v>528</v>
      </c>
      <c r="U6" s="189" t="s">
        <v>529</v>
      </c>
      <c r="V6" s="189" t="s">
        <v>530</v>
      </c>
      <c r="W6" s="189" t="s">
        <v>531</v>
      </c>
      <c r="X6" s="161" t="s">
        <v>532</v>
      </c>
      <c r="Y6" s="161" t="s">
        <v>533</v>
      </c>
      <c r="Z6" s="190" t="s">
        <v>534</v>
      </c>
      <c r="AA6" s="90"/>
      <c r="AB6" s="90"/>
      <c r="AC6" s="90"/>
      <c r="AD6" s="331"/>
      <c r="AE6" s="331"/>
      <c r="AF6" s="331"/>
    </row>
    <row r="7" spans="1:32" ht="172.35" customHeight="1">
      <c r="A7" s="120" t="s">
        <v>174</v>
      </c>
      <c r="B7" s="120"/>
      <c r="C7" s="120"/>
      <c r="D7" s="120"/>
      <c r="E7" s="93" t="s">
        <v>535</v>
      </c>
      <c r="F7" s="93" t="s">
        <v>536</v>
      </c>
      <c r="G7" s="93" t="s">
        <v>537</v>
      </c>
      <c r="H7" s="93" t="s">
        <v>538</v>
      </c>
      <c r="I7" s="93" t="s">
        <v>539</v>
      </c>
      <c r="J7" s="93" t="s">
        <v>540</v>
      </c>
      <c r="K7" s="93" t="s">
        <v>541</v>
      </c>
      <c r="L7" s="93" t="s">
        <v>542</v>
      </c>
      <c r="M7" s="191" t="s">
        <v>543</v>
      </c>
      <c r="N7" s="93" t="s">
        <v>544</v>
      </c>
      <c r="O7" s="93" t="s">
        <v>545</v>
      </c>
      <c r="P7" s="93" t="s">
        <v>546</v>
      </c>
      <c r="Q7" s="93" t="s">
        <v>547</v>
      </c>
      <c r="R7" s="93" t="s">
        <v>548</v>
      </c>
      <c r="S7" s="93" t="s">
        <v>549</v>
      </c>
      <c r="T7" s="93" t="s">
        <v>550</v>
      </c>
      <c r="U7" s="93" t="s">
        <v>551</v>
      </c>
      <c r="V7" s="93" t="s">
        <v>552</v>
      </c>
      <c r="W7" s="93" t="s">
        <v>553</v>
      </c>
      <c r="X7" s="93" t="s">
        <v>554</v>
      </c>
      <c r="Y7" s="93" t="s">
        <v>555</v>
      </c>
      <c r="Z7" s="192" t="s">
        <v>556</v>
      </c>
      <c r="AA7" s="90"/>
      <c r="AB7" s="90"/>
      <c r="AC7" s="90"/>
    </row>
    <row r="8" spans="1:32" ht="117.6" customHeight="1">
      <c r="A8" s="118" t="s">
        <v>54</v>
      </c>
      <c r="B8" s="118"/>
      <c r="C8" s="118"/>
      <c r="D8" s="118"/>
      <c r="E8" s="128" t="s">
        <v>557</v>
      </c>
      <c r="F8" s="128" t="s">
        <v>558</v>
      </c>
      <c r="G8" s="128" t="s">
        <v>559</v>
      </c>
      <c r="H8" s="128" t="s">
        <v>560</v>
      </c>
      <c r="I8" s="128" t="s">
        <v>561</v>
      </c>
      <c r="J8" s="128" t="s">
        <v>562</v>
      </c>
      <c r="K8" s="193" t="s">
        <v>563</v>
      </c>
      <c r="L8" s="128" t="s">
        <v>564</v>
      </c>
      <c r="M8" s="194" t="s">
        <v>565</v>
      </c>
      <c r="N8" s="128" t="s">
        <v>566</v>
      </c>
      <c r="O8" s="128" t="s">
        <v>567</v>
      </c>
      <c r="P8" s="128" t="s">
        <v>568</v>
      </c>
      <c r="Q8" s="128" t="s">
        <v>569</v>
      </c>
      <c r="R8" s="128" t="s">
        <v>570</v>
      </c>
      <c r="S8" s="94" t="s">
        <v>571</v>
      </c>
      <c r="T8" s="94" t="s">
        <v>572</v>
      </c>
      <c r="U8" s="94" t="s">
        <v>573</v>
      </c>
      <c r="V8" s="94" t="s">
        <v>574</v>
      </c>
      <c r="W8" s="94" t="s">
        <v>575</v>
      </c>
      <c r="X8" s="94" t="s">
        <v>576</v>
      </c>
      <c r="Y8" s="94" t="s">
        <v>577</v>
      </c>
      <c r="Z8" s="195" t="s">
        <v>578</v>
      </c>
      <c r="AA8" s="95"/>
      <c r="AB8" s="95"/>
      <c r="AC8" s="95"/>
    </row>
    <row r="9" spans="1:32" ht="75" customHeight="1">
      <c r="A9" s="118" t="s">
        <v>65</v>
      </c>
      <c r="B9" s="118"/>
      <c r="C9" s="118"/>
      <c r="D9" s="118"/>
      <c r="E9" s="94" t="s">
        <v>579</v>
      </c>
      <c r="F9" s="94" t="s">
        <v>580</v>
      </c>
      <c r="G9" s="94" t="s">
        <v>581</v>
      </c>
      <c r="H9" s="94" t="s">
        <v>582</v>
      </c>
      <c r="I9" s="94" t="s">
        <v>583</v>
      </c>
      <c r="J9" s="94" t="s">
        <v>584</v>
      </c>
      <c r="K9" s="195" t="s">
        <v>585</v>
      </c>
      <c r="L9" s="94" t="s">
        <v>586</v>
      </c>
      <c r="M9" s="196" t="s">
        <v>587</v>
      </c>
      <c r="N9" s="94" t="s">
        <v>588</v>
      </c>
      <c r="O9" s="94" t="s">
        <v>589</v>
      </c>
      <c r="P9" s="94" t="s">
        <v>590</v>
      </c>
      <c r="Q9" s="94" t="s">
        <v>591</v>
      </c>
      <c r="R9" s="94" t="s">
        <v>592</v>
      </c>
      <c r="S9" s="121" t="s">
        <v>593</v>
      </c>
      <c r="T9" s="121" t="s">
        <v>594</v>
      </c>
      <c r="U9" s="94" t="s">
        <v>595</v>
      </c>
      <c r="V9" s="94" t="s">
        <v>596</v>
      </c>
      <c r="W9" s="94" t="s">
        <v>597</v>
      </c>
      <c r="X9" s="94" t="s">
        <v>598</v>
      </c>
      <c r="Y9" s="94" t="s">
        <v>599</v>
      </c>
      <c r="Z9" s="195" t="s">
        <v>600</v>
      </c>
      <c r="AA9" s="95"/>
      <c r="AB9" s="95"/>
      <c r="AC9" s="95"/>
    </row>
    <row r="10" spans="1:32" ht="198.6" customHeight="1">
      <c r="A10" s="118" t="s">
        <v>76</v>
      </c>
      <c r="B10" s="118"/>
      <c r="C10" s="118"/>
      <c r="D10" s="118"/>
      <c r="E10" s="98" t="s">
        <v>601</v>
      </c>
      <c r="F10" s="98" t="s">
        <v>602</v>
      </c>
      <c r="G10" s="98" t="s">
        <v>603</v>
      </c>
      <c r="H10" s="98" t="s">
        <v>604</v>
      </c>
      <c r="I10" s="98" t="s">
        <v>605</v>
      </c>
      <c r="J10" s="98" t="s">
        <v>606</v>
      </c>
      <c r="K10" s="197" t="s">
        <v>607</v>
      </c>
      <c r="L10" s="99" t="s">
        <v>608</v>
      </c>
      <c r="M10" s="198" t="s">
        <v>609</v>
      </c>
      <c r="N10" s="99" t="s">
        <v>610</v>
      </c>
      <c r="O10" s="99" t="s">
        <v>611</v>
      </c>
      <c r="P10" s="99" t="s">
        <v>612</v>
      </c>
      <c r="Q10" s="99" t="s">
        <v>613</v>
      </c>
      <c r="R10" s="99" t="s">
        <v>614</v>
      </c>
      <c r="S10" s="99" t="s">
        <v>615</v>
      </c>
      <c r="T10" s="99" t="s">
        <v>616</v>
      </c>
      <c r="U10" s="99" t="s">
        <v>617</v>
      </c>
      <c r="V10" s="99" t="s">
        <v>618</v>
      </c>
      <c r="W10" s="99" t="s">
        <v>619</v>
      </c>
      <c r="X10" s="99" t="s">
        <v>620</v>
      </c>
      <c r="Y10" s="99" t="s">
        <v>621</v>
      </c>
      <c r="Z10" s="99" t="s">
        <v>622</v>
      </c>
      <c r="AA10" s="90"/>
      <c r="AB10" s="90"/>
      <c r="AC10" s="90"/>
    </row>
    <row r="11" spans="1:32" ht="118.35" customHeight="1">
      <c r="A11" s="129" t="s">
        <v>86</v>
      </c>
      <c r="B11" s="129"/>
      <c r="C11" s="129"/>
      <c r="D11" s="129"/>
      <c r="E11" s="98" t="s">
        <v>623</v>
      </c>
      <c r="F11" s="98"/>
      <c r="G11" s="98" t="s">
        <v>624</v>
      </c>
      <c r="H11" s="98" t="s">
        <v>625</v>
      </c>
      <c r="I11" s="98" t="s">
        <v>626</v>
      </c>
      <c r="J11" s="98" t="s">
        <v>627</v>
      </c>
      <c r="K11" s="197" t="s">
        <v>628</v>
      </c>
      <c r="L11" s="99" t="s">
        <v>629</v>
      </c>
      <c r="M11" s="198" t="s">
        <v>630</v>
      </c>
      <c r="N11" s="99" t="s">
        <v>631</v>
      </c>
      <c r="O11" s="99" t="s">
        <v>632</v>
      </c>
      <c r="P11" s="99" t="s">
        <v>633</v>
      </c>
      <c r="Q11" s="99" t="s">
        <v>634</v>
      </c>
      <c r="R11" s="99" t="s">
        <v>635</v>
      </c>
      <c r="S11" s="99" t="s">
        <v>615</v>
      </c>
      <c r="T11" s="99" t="s">
        <v>616</v>
      </c>
      <c r="U11" s="99" t="s">
        <v>617</v>
      </c>
      <c r="V11" s="99" t="s">
        <v>618</v>
      </c>
      <c r="W11" s="99" t="s">
        <v>619</v>
      </c>
      <c r="X11" s="99" t="s">
        <v>620</v>
      </c>
      <c r="Y11" s="99" t="s">
        <v>621</v>
      </c>
      <c r="Z11" s="99" t="s">
        <v>622</v>
      </c>
      <c r="AA11" s="90"/>
      <c r="AB11" s="90"/>
      <c r="AC11" s="90"/>
    </row>
    <row r="15" spans="1:32" customFormat="1">
      <c r="A15" t="s">
        <v>96</v>
      </c>
      <c r="B15" t="s">
        <v>97</v>
      </c>
      <c r="C15" t="s">
        <v>98</v>
      </c>
      <c r="D15" s="327" t="s">
        <v>99</v>
      </c>
      <c r="E15" s="14" t="s">
        <v>513</v>
      </c>
      <c r="F15" s="14" t="s">
        <v>514</v>
      </c>
      <c r="G15" s="14" t="s">
        <v>515</v>
      </c>
      <c r="H15" s="14" t="s">
        <v>516</v>
      </c>
      <c r="I15" s="14" t="s">
        <v>517</v>
      </c>
      <c r="J15" s="14" t="s">
        <v>518</v>
      </c>
      <c r="K15" s="14" t="s">
        <v>519</v>
      </c>
      <c r="L15" s="14" t="s">
        <v>520</v>
      </c>
      <c r="M15" s="14" t="s">
        <v>521</v>
      </c>
      <c r="N15" s="14" t="s">
        <v>522</v>
      </c>
      <c r="O15" s="14" t="s">
        <v>523</v>
      </c>
      <c r="P15" s="14" t="s">
        <v>524</v>
      </c>
      <c r="Q15" s="14" t="s">
        <v>525</v>
      </c>
      <c r="R15" s="14" t="s">
        <v>526</v>
      </c>
      <c r="S15" s="14" t="s">
        <v>527</v>
      </c>
      <c r="T15" s="14" t="s">
        <v>528</v>
      </c>
      <c r="U15" s="14" t="s">
        <v>529</v>
      </c>
      <c r="V15" s="14" t="s">
        <v>530</v>
      </c>
      <c r="W15" s="14" t="s">
        <v>531</v>
      </c>
      <c r="X15" s="14" t="s">
        <v>532</v>
      </c>
      <c r="Y15" s="14" t="s">
        <v>533</v>
      </c>
      <c r="Z15" s="14" t="s">
        <v>534</v>
      </c>
      <c r="AA15" s="14"/>
    </row>
    <row r="16" spans="1:32">
      <c r="A16" t="s">
        <v>100</v>
      </c>
      <c r="B16" s="15" t="s">
        <v>97</v>
      </c>
      <c r="C16" s="15" t="str">
        <f>HYPERLINK("01-组织级\02-组织工作库\06-度量\组织度量表(QCUBIC-SPI-MPM-Tem-datasheet)V1.3-engl.xlsx", "engl")</f>
        <v>engl</v>
      </c>
      <c r="D16"/>
      <c r="E16" t="s">
        <v>101</v>
      </c>
      <c r="F16" t="s">
        <v>101</v>
      </c>
      <c r="G16"/>
      <c r="H16"/>
      <c r="I16" t="s">
        <v>101</v>
      </c>
      <c r="J16" t="s">
        <v>101</v>
      </c>
      <c r="K16" t="s">
        <v>101</v>
      </c>
      <c r="L16" t="s">
        <v>101</v>
      </c>
      <c r="M16" t="s">
        <v>101</v>
      </c>
      <c r="N16" t="s">
        <v>101</v>
      </c>
      <c r="O16"/>
      <c r="P16" t="s">
        <v>101</v>
      </c>
      <c r="Q16" t="s">
        <v>101</v>
      </c>
      <c r="R16" t="s">
        <v>101</v>
      </c>
      <c r="S16"/>
      <c r="T16"/>
      <c r="U16"/>
      <c r="V16"/>
      <c r="W16"/>
      <c r="X16"/>
      <c r="Y16"/>
      <c r="Z16"/>
      <c r="AA16"/>
    </row>
    <row r="17" spans="1:26">
      <c r="A17" t="s">
        <v>100</v>
      </c>
      <c r="B17" s="15" t="s">
        <v>97</v>
      </c>
      <c r="C17" s="15" t="str">
        <f>HYPERLINK("01-组织级\02-组织工作库\06-度量\组织度量计划(QCUBIC-SPI-MPM-Plan)V1.3-engl.xlsx", "engl")</f>
        <v>engl</v>
      </c>
      <c r="D17"/>
      <c r="E17" t="s">
        <v>101</v>
      </c>
      <c r="F17"/>
      <c r="G17" t="s">
        <v>101</v>
      </c>
      <c r="H17" t="s">
        <v>101</v>
      </c>
      <c r="I17"/>
      <c r="J17"/>
      <c r="K17"/>
      <c r="L17"/>
      <c r="M17"/>
      <c r="N17" t="s">
        <v>101</v>
      </c>
      <c r="O17"/>
      <c r="P17"/>
      <c r="Q17"/>
      <c r="R17"/>
      <c r="S17"/>
      <c r="T17"/>
      <c r="U17"/>
      <c r="V17"/>
      <c r="W17"/>
      <c r="X17"/>
      <c r="Y17"/>
      <c r="Z17"/>
    </row>
    <row r="18" spans="1:26">
      <c r="A18" t="s">
        <v>100</v>
      </c>
      <c r="B18" s="15" t="s">
        <v>97</v>
      </c>
      <c r="C18" s="15" t="str">
        <f>HYPERLINK("01-组织级\01-组织财富库\01-标准过程文件库\03-支持类\03-度量分析\度量分析指南 (QCUBIC-SPI-MPM-Guid-Doc)V1.2-engl.docx", "engl")</f>
        <v>engl</v>
      </c>
      <c r="D18"/>
      <c r="E18"/>
      <c r="F18"/>
      <c r="G18"/>
      <c r="H18" t="s">
        <v>101</v>
      </c>
      <c r="I18"/>
      <c r="J18"/>
      <c r="K18"/>
      <c r="L18"/>
      <c r="M18"/>
      <c r="N18"/>
      <c r="O18" t="s">
        <v>101</v>
      </c>
      <c r="P18"/>
      <c r="Q18"/>
      <c r="R18"/>
      <c r="S18"/>
      <c r="T18"/>
      <c r="U18"/>
      <c r="V18"/>
      <c r="W18"/>
      <c r="X18"/>
      <c r="Y18"/>
      <c r="Z18"/>
    </row>
    <row r="19" spans="1:26">
      <c r="A19" t="s">
        <v>100</v>
      </c>
      <c r="B19" s="15" t="s">
        <v>97</v>
      </c>
      <c r="C19" s="15" t="str">
        <f>HYPERLINK("01-组织级\01-组织财富库\01-标准过程文件库\03-支持类\03-度量分析\度量分析过程文件 (QCUBIC-SPI-MPM-Proc-Doc)V1.2-engl.docx", "engl")</f>
        <v>engl</v>
      </c>
      <c r="D19"/>
      <c r="E19"/>
      <c r="F19"/>
      <c r="G19"/>
      <c r="H19"/>
      <c r="I19"/>
      <c r="J19"/>
      <c r="K19"/>
      <c r="L19"/>
      <c r="M19"/>
      <c r="N19" t="s">
        <v>101</v>
      </c>
      <c r="O19"/>
      <c r="P19"/>
      <c r="Q19"/>
      <c r="R19"/>
      <c r="S19"/>
      <c r="T19"/>
      <c r="U19"/>
      <c r="V19"/>
      <c r="W19"/>
      <c r="X19"/>
      <c r="Y19"/>
      <c r="Z19"/>
    </row>
    <row r="20" spans="1:26">
      <c r="A20" t="s">
        <v>100</v>
      </c>
      <c r="B20" s="15" t="s">
        <v>97</v>
      </c>
      <c r="C20" s="15" t="str">
        <f>HYPERLINK("01-组织级\02-组织工作库\03-PQA活动库\组织级工作产品和过程检查表(QCUBIC-ORG-PQA-Checklist_20200627)V1.0-engl.xlsx", "engl")</f>
        <v>engl</v>
      </c>
      <c r="D20"/>
      <c r="E20"/>
      <c r="F20"/>
      <c r="G20"/>
      <c r="H20"/>
      <c r="I20"/>
      <c r="J20"/>
      <c r="K20"/>
      <c r="L20"/>
      <c r="M20"/>
      <c r="N20"/>
      <c r="O20" t="s">
        <v>101</v>
      </c>
      <c r="P20"/>
      <c r="Q20"/>
      <c r="R20"/>
      <c r="S20"/>
      <c r="T20"/>
      <c r="U20"/>
      <c r="V20"/>
      <c r="W20"/>
      <c r="X20"/>
      <c r="Y20"/>
      <c r="Z20"/>
    </row>
    <row r="21" spans="1:26">
      <c r="A21" t="s">
        <v>100</v>
      </c>
      <c r="B21" s="15" t="s">
        <v>97</v>
      </c>
      <c r="C21" s="15" t="str">
        <f>HYPERLINK("01-组织级\02-组织工作库\02-EPG活动库\07-EPG跟踪\01-EPG月报\EPG月报2020-06-engl.xlsx", "engl")</f>
        <v>engl</v>
      </c>
      <c r="D21"/>
      <c r="E21"/>
      <c r="F21"/>
      <c r="G21"/>
      <c r="H21"/>
      <c r="I21"/>
      <c r="J21"/>
      <c r="K21"/>
      <c r="L21"/>
      <c r="M21"/>
      <c r="N21"/>
      <c r="O21"/>
      <c r="P21"/>
      <c r="Q21"/>
      <c r="R21" t="s">
        <v>101</v>
      </c>
      <c r="S21"/>
      <c r="T21"/>
      <c r="U21"/>
      <c r="V21"/>
      <c r="W21"/>
      <c r="X21"/>
      <c r="Y21"/>
      <c r="Z21"/>
    </row>
    <row r="22" spans="1:26">
      <c r="A22" t="s">
        <v>100</v>
      </c>
      <c r="B22" s="15" t="s">
        <v>97</v>
      </c>
      <c r="C22" s="15" t="str">
        <f>HYPERLINK("01-组织级\02-组织工作库\01-会议记录\高层会议记录(QCUBIC-SPI-MeetingRcd-2020-06-03)V1.0-engl.docx", "engl")</f>
        <v>engl</v>
      </c>
      <c r="D22"/>
      <c r="E22"/>
      <c r="F22"/>
      <c r="G22"/>
      <c r="H22"/>
      <c r="I22"/>
      <c r="J22"/>
      <c r="K22"/>
      <c r="L22"/>
      <c r="M22"/>
      <c r="N22"/>
      <c r="O22"/>
      <c r="P22"/>
      <c r="Q22"/>
      <c r="R22" t="s">
        <v>101</v>
      </c>
      <c r="S22"/>
      <c r="T22"/>
      <c r="U22"/>
      <c r="V22"/>
      <c r="W22"/>
      <c r="X22"/>
      <c r="Y22"/>
      <c r="Z22"/>
    </row>
  </sheetData>
  <mergeCells count="2">
    <mergeCell ref="M1:R1"/>
    <mergeCell ref="AD6:AF6"/>
  </mergeCells>
  <phoneticPr fontId="61"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Q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19" customWidth="1"/>
    <col min="2" max="4" width="7.88671875" style="119" customWidth="1"/>
    <col min="5" max="6" width="20.6640625" style="119" customWidth="1"/>
    <col min="7" max="12" width="20.6640625" style="104" customWidth="1"/>
    <col min="13" max="13" width="50.6640625" style="104" customWidth="1"/>
    <col min="14" max="14" width="3.6640625" style="104" customWidth="1"/>
    <col min="15" max="15" width="35.6640625" style="104" bestFit="1" customWidth="1"/>
    <col min="16" max="16" width="67.109375" style="104" customWidth="1"/>
    <col min="17" max="17" width="24.33203125" style="104" customWidth="1"/>
    <col min="18" max="16384" width="8.6640625" style="119"/>
  </cols>
  <sheetData>
    <row r="1" spans="1:12" s="140" customFormat="1" ht="18">
      <c r="A1" s="101" t="s">
        <v>636</v>
      </c>
      <c r="B1" s="101"/>
      <c r="C1" s="101"/>
      <c r="D1" s="101"/>
      <c r="E1" s="102"/>
      <c r="F1" s="103"/>
      <c r="G1" s="104"/>
      <c r="H1" s="104"/>
      <c r="I1" s="104"/>
      <c r="J1" s="104"/>
      <c r="K1" s="104"/>
      <c r="L1" s="104"/>
    </row>
    <row r="2" spans="1:12" s="106" customFormat="1">
      <c r="A2" s="106" t="s">
        <v>23</v>
      </c>
      <c r="E2" s="119" t="s">
        <v>637</v>
      </c>
      <c r="F2" s="119"/>
      <c r="G2" s="119"/>
      <c r="H2" s="104"/>
      <c r="I2" s="104"/>
      <c r="J2" s="104"/>
      <c r="K2" s="104"/>
      <c r="L2" s="104"/>
    </row>
    <row r="3" spans="1:12" s="140" customFormat="1">
      <c r="A3" s="103" t="s">
        <v>25</v>
      </c>
      <c r="B3" s="103"/>
      <c r="C3" s="103"/>
      <c r="D3" s="103"/>
      <c r="E3" s="199" t="s">
        <v>638</v>
      </c>
      <c r="F3" s="199"/>
      <c r="G3" s="199"/>
      <c r="H3" s="104"/>
      <c r="I3" s="104"/>
      <c r="J3" s="104"/>
      <c r="K3" s="104"/>
      <c r="L3" s="104"/>
    </row>
    <row r="4" spans="1:12" s="140" customFormat="1">
      <c r="A4" s="107"/>
      <c r="B4" s="107"/>
      <c r="C4" s="107"/>
      <c r="D4" s="107"/>
      <c r="E4" s="108" t="s">
        <v>27</v>
      </c>
      <c r="F4" s="109" t="s">
        <v>28</v>
      </c>
      <c r="G4" s="109"/>
      <c r="H4" s="112" t="s">
        <v>29</v>
      </c>
      <c r="I4" s="112"/>
      <c r="J4" s="142"/>
      <c r="K4" s="142"/>
      <c r="L4" s="142"/>
    </row>
    <row r="5" spans="1:12" s="140" customFormat="1">
      <c r="A5" s="114"/>
      <c r="B5" s="114"/>
      <c r="C5" s="114"/>
      <c r="D5" s="114"/>
      <c r="E5" s="115" t="s">
        <v>30</v>
      </c>
      <c r="F5" s="116" t="s">
        <v>31</v>
      </c>
      <c r="G5" s="116"/>
      <c r="H5" s="112" t="s">
        <v>32</v>
      </c>
      <c r="I5" s="159"/>
      <c r="J5" s="142"/>
      <c r="K5" s="142"/>
      <c r="L5" s="142"/>
    </row>
    <row r="6" spans="1:12" s="103" customFormat="1">
      <c r="A6" s="118"/>
      <c r="B6" s="118"/>
      <c r="C6" s="118"/>
      <c r="D6" s="118"/>
      <c r="E6" s="3" t="s">
        <v>639</v>
      </c>
      <c r="F6" s="87" t="s">
        <v>640</v>
      </c>
      <c r="G6" s="87" t="s">
        <v>641</v>
      </c>
      <c r="H6" s="88" t="s">
        <v>642</v>
      </c>
      <c r="I6" s="88" t="s">
        <v>643</v>
      </c>
      <c r="J6" s="88" t="s">
        <v>644</v>
      </c>
      <c r="K6" s="88" t="s">
        <v>645</v>
      </c>
      <c r="L6" s="89" t="s">
        <v>646</v>
      </c>
    </row>
    <row r="7" spans="1:12" s="103" customFormat="1" ht="69">
      <c r="A7" s="120" t="s">
        <v>174</v>
      </c>
      <c r="B7" s="120"/>
      <c r="C7" s="120"/>
      <c r="D7" s="120"/>
      <c r="E7" s="93" t="s">
        <v>647</v>
      </c>
      <c r="F7" s="93" t="s">
        <v>648</v>
      </c>
      <c r="G7" s="93" t="s">
        <v>649</v>
      </c>
      <c r="H7" s="93" t="s">
        <v>650</v>
      </c>
      <c r="I7" s="93" t="s">
        <v>651</v>
      </c>
      <c r="J7" s="93" t="s">
        <v>652</v>
      </c>
      <c r="K7" s="93" t="s">
        <v>653</v>
      </c>
      <c r="L7" s="93" t="s">
        <v>654</v>
      </c>
    </row>
    <row r="8" spans="1:12" s="103" customFormat="1" ht="71.400000000000006">
      <c r="A8" s="118" t="s">
        <v>54</v>
      </c>
      <c r="B8" s="118"/>
      <c r="C8" s="118"/>
      <c r="D8" s="118"/>
      <c r="E8" s="143" t="s">
        <v>655</v>
      </c>
      <c r="F8" s="128" t="s">
        <v>656</v>
      </c>
      <c r="G8" s="128" t="s">
        <v>657</v>
      </c>
      <c r="H8" s="128" t="s">
        <v>658</v>
      </c>
      <c r="I8" s="128" t="s">
        <v>659</v>
      </c>
      <c r="J8" s="128" t="s">
        <v>660</v>
      </c>
      <c r="K8" s="128" t="s">
        <v>661</v>
      </c>
      <c r="L8" s="128" t="s">
        <v>662</v>
      </c>
    </row>
    <row r="9" spans="1:12" s="103" customFormat="1" ht="156.6" thickBot="1">
      <c r="A9" s="118" t="s">
        <v>65</v>
      </c>
      <c r="B9" s="118"/>
      <c r="C9" s="118"/>
      <c r="D9" s="118"/>
      <c r="E9" s="121" t="s">
        <v>663</v>
      </c>
      <c r="F9" s="121" t="s">
        <v>664</v>
      </c>
      <c r="G9" s="121" t="s">
        <v>665</v>
      </c>
      <c r="H9" s="121" t="s">
        <v>666</v>
      </c>
      <c r="I9" s="121" t="s">
        <v>667</v>
      </c>
      <c r="J9" s="121" t="s">
        <v>668</v>
      </c>
      <c r="K9" s="121" t="s">
        <v>669</v>
      </c>
      <c r="L9" s="121" t="s">
        <v>670</v>
      </c>
    </row>
    <row r="10" spans="1:12" s="103" customFormat="1" ht="84">
      <c r="A10" s="118" t="s">
        <v>76</v>
      </c>
      <c r="B10" s="160"/>
      <c r="C10" s="160"/>
      <c r="D10" s="160"/>
      <c r="E10" s="200" t="s">
        <v>671</v>
      </c>
      <c r="F10" s="201" t="s">
        <v>672</v>
      </c>
      <c r="G10" s="201" t="s">
        <v>673</v>
      </c>
      <c r="H10" s="201" t="s">
        <v>674</v>
      </c>
      <c r="I10" s="201" t="s">
        <v>675</v>
      </c>
      <c r="J10" s="201" t="s">
        <v>676</v>
      </c>
      <c r="K10" s="201" t="s">
        <v>677</v>
      </c>
      <c r="L10" s="201" t="s">
        <v>678</v>
      </c>
    </row>
    <row r="11" spans="1:12" s="103" customFormat="1" ht="36">
      <c r="A11" s="129" t="s">
        <v>86</v>
      </c>
      <c r="B11" s="129"/>
      <c r="C11" s="129"/>
      <c r="D11" s="129"/>
      <c r="E11" s="202" t="s">
        <v>679</v>
      </c>
      <c r="F11" s="94" t="s">
        <v>680</v>
      </c>
      <c r="G11" s="94" t="s">
        <v>681</v>
      </c>
      <c r="H11" s="94" t="s">
        <v>682</v>
      </c>
      <c r="I11" s="94" t="s">
        <v>683</v>
      </c>
      <c r="J11" s="94" t="s">
        <v>684</v>
      </c>
      <c r="K11" s="94" t="s">
        <v>685</v>
      </c>
      <c r="L11" s="94" t="s">
        <v>686</v>
      </c>
    </row>
    <row r="12" spans="1:12" ht="15" customHeight="1">
      <c r="G12" s="119"/>
      <c r="H12" s="119"/>
      <c r="I12" s="119"/>
      <c r="J12" s="119"/>
      <c r="K12" s="119"/>
      <c r="L12" s="119"/>
    </row>
    <row r="13" spans="1:12" ht="15" customHeight="1">
      <c r="G13" s="119"/>
      <c r="H13" s="119"/>
      <c r="I13" s="119"/>
      <c r="J13" s="119"/>
      <c r="K13" s="119"/>
      <c r="L13" s="119"/>
    </row>
    <row r="14" spans="1:12" ht="15" customHeight="1">
      <c r="G14" s="119"/>
      <c r="H14" s="119"/>
      <c r="I14" s="119"/>
      <c r="J14" s="119"/>
      <c r="K14" s="119"/>
      <c r="L14" s="119"/>
    </row>
    <row r="15" spans="1:12" customFormat="1" ht="14.4">
      <c r="A15" t="s">
        <v>96</v>
      </c>
      <c r="B15" t="s">
        <v>97</v>
      </c>
      <c r="C15" t="s">
        <v>98</v>
      </c>
      <c r="D15" s="327" t="s">
        <v>99</v>
      </c>
      <c r="E15" s="14" t="s">
        <v>639</v>
      </c>
      <c r="F15" s="14" t="s">
        <v>640</v>
      </c>
      <c r="G15" s="14" t="s">
        <v>641</v>
      </c>
      <c r="H15" s="14" t="s">
        <v>642</v>
      </c>
      <c r="I15" s="14" t="s">
        <v>643</v>
      </c>
      <c r="J15" s="14" t="s">
        <v>644</v>
      </c>
      <c r="K15" s="14" t="s">
        <v>645</v>
      </c>
      <c r="L15" s="14" t="s">
        <v>646</v>
      </c>
    </row>
    <row r="16" spans="1:12" ht="14.4">
      <c r="A16" t="s">
        <v>100</v>
      </c>
      <c r="B16" s="15" t="s">
        <v>97</v>
      </c>
      <c r="C16" s="15" t="str">
        <f>HYPERLINK("02-项目级\P1-Qcubic数据库管理工具 V1.0\02-全程管理\02-风险和机会管理\03-风险和机会管理一览表(QCUBIC-SJKGL-RSK-chk&amp;tracking)V1.2-engl.xlsx", "engl")</f>
        <v>engl</v>
      </c>
      <c r="D16"/>
      <c r="E16" t="s">
        <v>101</v>
      </c>
      <c r="F16" t="s">
        <v>101</v>
      </c>
      <c r="G16" t="s">
        <v>101</v>
      </c>
      <c r="H16" t="s">
        <v>101</v>
      </c>
      <c r="I16" t="s">
        <v>101</v>
      </c>
      <c r="J16" t="s">
        <v>101</v>
      </c>
      <c r="K16"/>
      <c r="L16" t="s">
        <v>101</v>
      </c>
    </row>
    <row r="17" spans="1:12" ht="14.4">
      <c r="A17" t="s">
        <v>100</v>
      </c>
      <c r="B17" s="15" t="s">
        <v>97</v>
      </c>
      <c r="C17" s="15" t="str">
        <f>HYPERLINK("02-项目级\P1-Qcubic数据库管理工具 V1.0\02-全程管理\02-风险和机会管理\01-风险和机会检查表(QCUBIC-SJKGL-RSK-rc)V1.0-engl.xlsx", "engl")</f>
        <v>engl</v>
      </c>
      <c r="D17"/>
      <c r="E17" t="s">
        <v>101</v>
      </c>
      <c r="F17" t="s">
        <v>101</v>
      </c>
      <c r="G17"/>
      <c r="H17"/>
      <c r="I17"/>
      <c r="J17"/>
      <c r="K17"/>
      <c r="L17"/>
    </row>
    <row r="18" spans="1:12" s="104" customFormat="1" ht="14.4">
      <c r="A18" t="s">
        <v>100</v>
      </c>
      <c r="B18" s="15" t="s">
        <v>97</v>
      </c>
      <c r="C18" s="15" t="str">
        <f>HYPERLINK("02-项目级\P1-Qcubic数据库管理工具 V1.0\02-全程管理\02-风险和机会管理\02-风险和机会管理计划(QCUBIC-SJKGL-RSK-plan)V1.0-engl.docx", "engl")</f>
        <v>engl</v>
      </c>
      <c r="D18"/>
      <c r="E18"/>
      <c r="F18" t="s">
        <v>101</v>
      </c>
      <c r="G18"/>
      <c r="H18"/>
      <c r="I18"/>
      <c r="J18"/>
      <c r="K18" t="s">
        <v>101</v>
      </c>
      <c r="L18" t="s">
        <v>101</v>
      </c>
    </row>
    <row r="19" spans="1:12" s="104" customFormat="1" ht="14.4">
      <c r="A19" t="s">
        <v>100</v>
      </c>
      <c r="B19" s="15" t="s">
        <v>97</v>
      </c>
      <c r="C19" s="15" t="str">
        <f>HYPERLINK("01-组织级\01-组织财富库\01-标准过程文件库\01-项目管理规范\05-风险和机会管理\风险和机会管理过程文件(QCUBIC-SPI-RSK-Proc-Doc)V1.2-engl.docx", "engl")</f>
        <v>engl</v>
      </c>
      <c r="D19"/>
      <c r="E19"/>
      <c r="F19"/>
      <c r="G19"/>
      <c r="H19" t="s">
        <v>101</v>
      </c>
      <c r="I19" t="s">
        <v>101</v>
      </c>
      <c r="J19" t="s">
        <v>101</v>
      </c>
      <c r="K19"/>
      <c r="L19"/>
    </row>
    <row r="20" spans="1:12" s="104" customFormat="1" ht="14.4">
      <c r="A20" t="s">
        <v>100</v>
      </c>
      <c r="B20" s="15" t="s">
        <v>97</v>
      </c>
      <c r="C20" s="15" t="str">
        <f>HYPERLINK("01-组织级\01-组织财富库\01-标准过程文件库\01-项目管理规范\05-风险和机会管理\风险和机会管理指南(QCUBIC-SPI-RSK-Guid-Management)V1.2-engl.docx", "engl")</f>
        <v>engl</v>
      </c>
      <c r="D20"/>
      <c r="E20"/>
      <c r="F20"/>
      <c r="G20"/>
      <c r="H20" t="s">
        <v>101</v>
      </c>
      <c r="I20" t="s">
        <v>101</v>
      </c>
      <c r="J20" t="s">
        <v>101</v>
      </c>
      <c r="K20"/>
      <c r="L20"/>
    </row>
  </sheetData>
  <phoneticPr fontId="61"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M26"/>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19" customWidth="1"/>
    <col min="2" max="4" width="7.88671875" style="119" customWidth="1"/>
    <col min="5" max="6" width="15.6640625" style="119" customWidth="1"/>
    <col min="7" max="8" width="15.6640625" style="104" customWidth="1"/>
    <col min="9" max="13" width="15.6640625" style="119" customWidth="1"/>
    <col min="14" max="14" width="94.44140625" style="119" customWidth="1"/>
    <col min="15" max="15" width="3.6640625" style="119" customWidth="1"/>
    <col min="16" max="16" width="31.6640625" style="119" bestFit="1" customWidth="1"/>
    <col min="17" max="17" width="65.6640625" style="119" customWidth="1"/>
    <col min="18" max="18" width="10.33203125" style="119" customWidth="1"/>
    <col min="19" max="16384" width="8.6640625" style="119"/>
  </cols>
  <sheetData>
    <row r="1" spans="1:13" s="204" customFormat="1" ht="18">
      <c r="A1" s="101" t="s">
        <v>687</v>
      </c>
      <c r="B1" s="101"/>
      <c r="C1" s="101"/>
      <c r="D1" s="101"/>
      <c r="E1" s="149"/>
      <c r="F1" s="149"/>
      <c r="G1" s="203"/>
      <c r="H1" s="203"/>
    </row>
    <row r="2" spans="1:13" s="140" customFormat="1">
      <c r="A2" s="106" t="s">
        <v>23</v>
      </c>
      <c r="B2" s="106"/>
      <c r="C2" s="106"/>
      <c r="D2" s="106"/>
      <c r="E2" s="103" t="s">
        <v>688</v>
      </c>
      <c r="F2" s="103"/>
      <c r="G2" s="104"/>
      <c r="H2" s="104"/>
    </row>
    <row r="3" spans="1:13" s="106" customFormat="1">
      <c r="A3" s="103" t="s">
        <v>25</v>
      </c>
      <c r="B3" s="103"/>
      <c r="C3" s="103"/>
      <c r="D3" s="103"/>
      <c r="E3" s="103" t="s">
        <v>689</v>
      </c>
      <c r="F3" s="103"/>
      <c r="G3" s="104"/>
      <c r="H3" s="104"/>
    </row>
    <row r="4" spans="1:13" s="140" customFormat="1">
      <c r="A4" s="107"/>
      <c r="B4" s="107"/>
      <c r="C4" s="107"/>
      <c r="D4" s="107"/>
      <c r="E4" s="108" t="s">
        <v>27</v>
      </c>
      <c r="F4" s="109" t="s">
        <v>28</v>
      </c>
      <c r="G4" s="109"/>
      <c r="H4" s="112" t="s">
        <v>29</v>
      </c>
      <c r="I4" s="112"/>
      <c r="J4" s="142"/>
      <c r="K4" s="142"/>
      <c r="L4" s="142"/>
      <c r="M4" s="112"/>
    </row>
    <row r="5" spans="1:13" s="103" customFormat="1">
      <c r="A5" s="114"/>
      <c r="B5" s="114"/>
      <c r="C5" s="114"/>
      <c r="D5" s="114"/>
      <c r="E5" s="115" t="s">
        <v>30</v>
      </c>
      <c r="F5" s="116" t="s">
        <v>31</v>
      </c>
      <c r="G5" s="116"/>
      <c r="H5" s="112" t="s">
        <v>32</v>
      </c>
      <c r="I5" s="159"/>
      <c r="J5" s="142"/>
      <c r="K5" s="142"/>
      <c r="L5" s="142"/>
      <c r="M5" s="117"/>
    </row>
    <row r="6" spans="1:13" s="103" customFormat="1">
      <c r="A6" s="129"/>
      <c r="B6" s="129"/>
      <c r="C6" s="129"/>
      <c r="D6" s="129"/>
      <c r="E6" s="3" t="s">
        <v>690</v>
      </c>
      <c r="F6" s="87" t="s">
        <v>691</v>
      </c>
      <c r="G6" s="87" t="s">
        <v>692</v>
      </c>
      <c r="H6" s="88" t="s">
        <v>693</v>
      </c>
      <c r="I6" s="88" t="s">
        <v>694</v>
      </c>
      <c r="J6" s="88" t="s">
        <v>695</v>
      </c>
      <c r="K6" s="88" t="s">
        <v>696</v>
      </c>
      <c r="L6" s="88" t="s">
        <v>697</v>
      </c>
      <c r="M6" s="89" t="s">
        <v>698</v>
      </c>
    </row>
    <row r="7" spans="1:13" s="103" customFormat="1" ht="96.6">
      <c r="A7" s="120" t="s">
        <v>174</v>
      </c>
      <c r="B7" s="120"/>
      <c r="C7" s="120"/>
      <c r="D7" s="120"/>
      <c r="E7" s="93" t="s">
        <v>699</v>
      </c>
      <c r="F7" s="93" t="s">
        <v>700</v>
      </c>
      <c r="G7" s="93" t="s">
        <v>701</v>
      </c>
      <c r="H7" s="93" t="s">
        <v>702</v>
      </c>
      <c r="I7" s="93" t="s">
        <v>703</v>
      </c>
      <c r="J7" s="93" t="s">
        <v>704</v>
      </c>
      <c r="K7" s="93" t="s">
        <v>705</v>
      </c>
      <c r="L7" s="93" t="s">
        <v>706</v>
      </c>
      <c r="M7" s="93" t="s">
        <v>707</v>
      </c>
    </row>
    <row r="8" spans="1:13" s="103" customFormat="1" ht="94.35" customHeight="1">
      <c r="A8" s="129" t="s">
        <v>54</v>
      </c>
      <c r="B8" s="129"/>
      <c r="C8" s="129"/>
      <c r="D8" s="129"/>
      <c r="E8" s="121" t="s">
        <v>708</v>
      </c>
      <c r="F8" s="121" t="s">
        <v>709</v>
      </c>
      <c r="G8" s="121" t="s">
        <v>710</v>
      </c>
      <c r="H8" s="121" t="s">
        <v>711</v>
      </c>
      <c r="I8" s="121" t="s">
        <v>712</v>
      </c>
      <c r="J8" s="121" t="s">
        <v>713</v>
      </c>
      <c r="K8" s="94" t="s">
        <v>714</v>
      </c>
      <c r="L8" s="121" t="s">
        <v>715</v>
      </c>
      <c r="M8" s="121" t="s">
        <v>716</v>
      </c>
    </row>
    <row r="9" spans="1:13" s="103" customFormat="1" ht="204" customHeight="1" thickBot="1">
      <c r="A9" s="129" t="s">
        <v>65</v>
      </c>
      <c r="B9" s="129"/>
      <c r="C9" s="129"/>
      <c r="D9" s="129"/>
      <c r="E9" s="121" t="s">
        <v>717</v>
      </c>
      <c r="F9" s="121" t="s">
        <v>718</v>
      </c>
      <c r="G9" s="121" t="s">
        <v>719</v>
      </c>
      <c r="H9" s="121" t="s">
        <v>720</v>
      </c>
      <c r="I9" s="121" t="s">
        <v>721</v>
      </c>
      <c r="J9" s="121" t="s">
        <v>722</v>
      </c>
      <c r="K9" s="121" t="s">
        <v>723</v>
      </c>
      <c r="L9" s="121" t="s">
        <v>724</v>
      </c>
      <c r="M9" s="121" t="s">
        <v>725</v>
      </c>
    </row>
    <row r="10" spans="1:13" s="103" customFormat="1" ht="84">
      <c r="A10" s="118" t="s">
        <v>76</v>
      </c>
      <c r="B10" s="118"/>
      <c r="C10" s="118"/>
      <c r="D10" s="118"/>
      <c r="E10" s="205"/>
      <c r="F10" s="205" t="s">
        <v>726</v>
      </c>
      <c r="G10" s="205" t="s">
        <v>727</v>
      </c>
      <c r="H10" s="94" t="s">
        <v>728</v>
      </c>
      <c r="I10" s="94" t="s">
        <v>729</v>
      </c>
      <c r="J10" s="94" t="s">
        <v>730</v>
      </c>
      <c r="K10" s="94" t="s">
        <v>731</v>
      </c>
      <c r="L10" s="94" t="s">
        <v>732</v>
      </c>
      <c r="M10" s="201" t="s">
        <v>733</v>
      </c>
    </row>
    <row r="11" spans="1:13" s="103" customFormat="1" ht="48">
      <c r="A11" s="151" t="s">
        <v>86</v>
      </c>
      <c r="B11" s="151"/>
      <c r="C11" s="151"/>
      <c r="D11" s="151"/>
      <c r="E11" s="205"/>
      <c r="F11" s="205" t="s">
        <v>734</v>
      </c>
      <c r="G11" s="205" t="s">
        <v>735</v>
      </c>
      <c r="H11" s="94" t="s">
        <v>736</v>
      </c>
      <c r="I11" s="94" t="s">
        <v>737</v>
      </c>
      <c r="J11" s="94" t="s">
        <v>738</v>
      </c>
      <c r="K11" s="94" t="s">
        <v>739</v>
      </c>
      <c r="L11" s="94" t="s">
        <v>740</v>
      </c>
      <c r="M11" s="195" t="s">
        <v>741</v>
      </c>
    </row>
    <row r="15" spans="1:13" customFormat="1" ht="14.4">
      <c r="A15" t="s">
        <v>96</v>
      </c>
      <c r="B15" t="s">
        <v>97</v>
      </c>
      <c r="C15" t="s">
        <v>98</v>
      </c>
      <c r="D15" s="327" t="s">
        <v>99</v>
      </c>
      <c r="E15" s="14" t="s">
        <v>690</v>
      </c>
      <c r="F15" s="14" t="s">
        <v>691</v>
      </c>
      <c r="G15" s="14" t="s">
        <v>692</v>
      </c>
      <c r="H15" s="14" t="s">
        <v>693</v>
      </c>
      <c r="I15" s="14" t="s">
        <v>694</v>
      </c>
      <c r="J15" s="14" t="s">
        <v>695</v>
      </c>
      <c r="K15" s="14" t="s">
        <v>696</v>
      </c>
      <c r="L15" s="14" t="s">
        <v>697</v>
      </c>
      <c r="M15" s="14" t="s">
        <v>698</v>
      </c>
    </row>
    <row r="16" spans="1:13" ht="14.4">
      <c r="A16" t="s">
        <v>100</v>
      </c>
      <c r="B16" s="15" t="s">
        <v>97</v>
      </c>
      <c r="C16" s="15" t="str">
        <f>HYPERLINK("01-组织级\02-组织工作库\05-OT培训库\01_公司级培训\03_2022年培训计划\02_年度培训计划\2022培训课程表(ORG_OT_TraininCNSchedule)V1.0-engl.xlsx", "engl")</f>
        <v>engl</v>
      </c>
      <c r="D16"/>
      <c r="E16" t="s">
        <v>101</v>
      </c>
      <c r="F16" t="s">
        <v>101</v>
      </c>
      <c r="G16"/>
      <c r="H16" t="s">
        <v>101</v>
      </c>
      <c r="I16"/>
      <c r="J16" t="s">
        <v>101</v>
      </c>
      <c r="K16"/>
      <c r="L16"/>
      <c r="M16"/>
    </row>
    <row r="17" spans="1:13" ht="14.4">
      <c r="A17" t="s">
        <v>100</v>
      </c>
      <c r="B17" s="15" t="s">
        <v>97</v>
      </c>
      <c r="C17"/>
      <c r="D17"/>
      <c r="E17" t="s">
        <v>101</v>
      </c>
      <c r="F17"/>
      <c r="G17"/>
      <c r="H17"/>
      <c r="I17"/>
      <c r="J17"/>
      <c r="K17"/>
      <c r="L17"/>
      <c r="M17"/>
    </row>
    <row r="18" spans="1:13" ht="14.4">
      <c r="A18" t="s">
        <v>100</v>
      </c>
      <c r="B18" s="15" t="s">
        <v>97</v>
      </c>
      <c r="C18"/>
      <c r="D18"/>
      <c r="E18" t="s">
        <v>101</v>
      </c>
      <c r="F18"/>
      <c r="G18"/>
      <c r="H18"/>
      <c r="I18"/>
      <c r="J18"/>
      <c r="K18"/>
      <c r="L18"/>
      <c r="M18"/>
    </row>
    <row r="19" spans="1:13" ht="14.4">
      <c r="A19" t="s">
        <v>100</v>
      </c>
      <c r="B19" s="15" t="s">
        <v>97</v>
      </c>
      <c r="C19" s="15" t="str">
        <f>HYPERLINK("01-组织级\02-组织工作库\05-OT培训库\01_公司级培训\03_2022年培训计划\01_培训需求调研\培训需求调研表(ORG_OT_TrainingReqDevTable)V1.1-engl.xlsx", "engl")</f>
        <v>engl</v>
      </c>
      <c r="D19"/>
      <c r="E19"/>
      <c r="F19" t="s">
        <v>101</v>
      </c>
      <c r="G19"/>
      <c r="H19"/>
      <c r="I19"/>
      <c r="J19"/>
      <c r="K19"/>
      <c r="L19"/>
      <c r="M19"/>
    </row>
    <row r="20" spans="1:13" ht="14.4">
      <c r="A20" t="s">
        <v>100</v>
      </c>
      <c r="B20" s="15" t="s">
        <v>97</v>
      </c>
      <c r="C20" s="15" t="str">
        <f>HYPERLINK("01-组织级\02-组织工作库\05-OT培训库\04_内部培训讲师培训\06_学员考核评价表\培训内部讲师培训(ORG-OT-TrainingEVVuationlist)V1.0-engl.xlsx", "engl")</f>
        <v>engl</v>
      </c>
      <c r="D20"/>
      <c r="E20"/>
      <c r="F20"/>
      <c r="G20" t="s">
        <v>101</v>
      </c>
      <c r="H20"/>
      <c r="I20" t="s">
        <v>101</v>
      </c>
      <c r="J20"/>
      <c r="K20" t="s">
        <v>101</v>
      </c>
      <c r="L20" t="s">
        <v>101</v>
      </c>
      <c r="M20"/>
    </row>
    <row r="21" spans="1:13" ht="14.4">
      <c r="A21" t="s">
        <v>100</v>
      </c>
      <c r="B21" s="15" t="s">
        <v>97</v>
      </c>
      <c r="C21" s="15" t="str">
        <f>HYPERLINK("01-组织级\02-组织工作库\05-OT培训库\02_人力资源库\01_员工信息\员工---岗位知识技能矩阵-engl.xlsx", "engl")</f>
        <v>engl</v>
      </c>
      <c r="D21"/>
      <c r="E21"/>
      <c r="F21"/>
      <c r="G21" t="s">
        <v>101</v>
      </c>
      <c r="H21"/>
      <c r="I21" t="s">
        <v>101</v>
      </c>
      <c r="J21"/>
      <c r="K21"/>
      <c r="L21"/>
      <c r="M21"/>
    </row>
    <row r="22" spans="1:13" ht="14.4">
      <c r="A22" t="s">
        <v>100</v>
      </c>
      <c r="B22" s="15" t="s">
        <v>97</v>
      </c>
      <c r="C22" s="15" t="str">
        <f>HYPERLINK("01-组织级\02-组织工作库\05-OT培训库\02_人力资源库\01_员工信息\员工技术及工作经历一览表(ORG_OT_Skills and Experience List)V1.0-engl.xlsx", "engl")</f>
        <v>engl</v>
      </c>
      <c r="D22"/>
      <c r="E22"/>
      <c r="F22"/>
      <c r="G22" t="s">
        <v>101</v>
      </c>
      <c r="H22"/>
      <c r="I22" t="s">
        <v>101</v>
      </c>
      <c r="J22"/>
      <c r="K22"/>
      <c r="L22"/>
      <c r="M22"/>
    </row>
    <row r="23" spans="1:13" ht="14.4">
      <c r="A23" t="s">
        <v>100</v>
      </c>
      <c r="B23" s="15" t="s">
        <v>97</v>
      </c>
      <c r="C23" s="15" t="str">
        <f>HYPERLINK("01-组织级\02-组织工作库\05-OT培训库\02_人力资源库\02_岗位职责\岗位职责说明书(ORG-OT-T01)V1.0-engl.xlsx", "engl")</f>
        <v>engl</v>
      </c>
      <c r="D23"/>
      <c r="E23"/>
      <c r="F23"/>
      <c r="G23" t="s">
        <v>101</v>
      </c>
      <c r="H23"/>
      <c r="I23"/>
      <c r="J23"/>
      <c r="K23"/>
      <c r="L23"/>
      <c r="M23"/>
    </row>
    <row r="24" spans="1:13" ht="14.4">
      <c r="A24" t="s">
        <v>100</v>
      </c>
      <c r="B24" s="15" t="s">
        <v>97</v>
      </c>
      <c r="C24" s="15" t="str">
        <f>HYPERLINK("01-组织级\02-组织工作库\05-OT培训库\01_公司级培训\01_公司战略培训规划\公司战略培训规划(ORG_OT_FutureTraining)V1.0-engl.docx", "engl")</f>
        <v>engl</v>
      </c>
      <c r="D24"/>
      <c r="E24"/>
      <c r="F24"/>
      <c r="G24"/>
      <c r="H24"/>
      <c r="I24"/>
      <c r="J24" t="s">
        <v>101</v>
      </c>
      <c r="K24"/>
      <c r="L24"/>
      <c r="M24"/>
    </row>
    <row r="25" spans="1:13" ht="14.4">
      <c r="A25" t="s">
        <v>100</v>
      </c>
      <c r="B25" s="15" t="s">
        <v>97</v>
      </c>
      <c r="C25" s="15" t="str">
        <f>HYPERLINK("01-组织级\02-组织工作库\05-OT培训库\01_公司级培训\03_2022年培训计划\02_年度培训计划\OT-组织培训计划评审记录2022-engl.xlsx", "engl")</f>
        <v>engl</v>
      </c>
      <c r="D25"/>
      <c r="E25"/>
      <c r="F25"/>
      <c r="G25"/>
      <c r="H25"/>
      <c r="I25"/>
      <c r="J25"/>
      <c r="K25"/>
      <c r="L25" t="s">
        <v>101</v>
      </c>
      <c r="M25"/>
    </row>
    <row r="26" spans="1:13" ht="14.4">
      <c r="A26" t="s">
        <v>100</v>
      </c>
      <c r="B26" s="15" t="s">
        <v>97</v>
      </c>
      <c r="C26"/>
      <c r="D26"/>
      <c r="E26"/>
      <c r="F26"/>
      <c r="G26"/>
      <c r="H26"/>
      <c r="I26"/>
      <c r="J26"/>
      <c r="K26"/>
      <c r="L26"/>
      <c r="M26" t="s">
        <v>101</v>
      </c>
    </row>
  </sheetData>
  <phoneticPr fontId="61"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T28"/>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4" bestFit="1" customWidth="1"/>
    <col min="2" max="4" width="7.88671875" style="114" customWidth="1"/>
    <col min="5" max="6" width="15.6640625" style="114" customWidth="1"/>
    <col min="7" max="14" width="15.6640625" style="130" customWidth="1"/>
    <col min="15" max="15" width="85.33203125" style="130" customWidth="1"/>
    <col min="16" max="16" width="3.6640625" style="130" customWidth="1"/>
    <col min="17" max="17" width="32.33203125" style="130" bestFit="1" customWidth="1"/>
    <col min="18" max="18" width="75.44140625" style="125" customWidth="1"/>
    <col min="19" max="19" width="8.6640625" style="130"/>
    <col min="20" max="16384" width="8.6640625" style="114"/>
  </cols>
  <sheetData>
    <row r="1" spans="1:20" s="133" customFormat="1" ht="18">
      <c r="A1" s="101" t="s">
        <v>742</v>
      </c>
      <c r="B1" s="101"/>
      <c r="C1" s="101"/>
      <c r="D1" s="101"/>
      <c r="E1" s="102"/>
      <c r="F1" s="103"/>
      <c r="G1" s="130"/>
      <c r="H1" s="130"/>
      <c r="I1" s="130"/>
      <c r="J1" s="130"/>
      <c r="K1" s="130"/>
      <c r="L1" s="130"/>
      <c r="M1" s="130"/>
      <c r="N1" s="130"/>
      <c r="O1" s="130"/>
      <c r="P1" s="130"/>
      <c r="Q1" s="130"/>
      <c r="R1" s="125"/>
      <c r="S1" s="130"/>
    </row>
    <row r="2" spans="1:20" s="132" customFormat="1">
      <c r="A2" s="106" t="s">
        <v>23</v>
      </c>
      <c r="B2" s="106"/>
      <c r="C2" s="106"/>
      <c r="D2" s="106"/>
      <c r="E2" s="119" t="s">
        <v>743</v>
      </c>
      <c r="F2" s="119"/>
      <c r="G2" s="119"/>
      <c r="H2" s="130"/>
      <c r="I2" s="130"/>
      <c r="J2" s="130"/>
      <c r="K2" s="130"/>
      <c r="L2" s="130"/>
      <c r="M2" s="130"/>
      <c r="N2" s="130"/>
      <c r="O2" s="130"/>
      <c r="P2" s="130"/>
      <c r="Q2" s="130"/>
      <c r="R2" s="125"/>
      <c r="S2" s="130"/>
    </row>
    <row r="3" spans="1:20" s="133" customFormat="1">
      <c r="A3" s="103" t="s">
        <v>25</v>
      </c>
      <c r="B3" s="103"/>
      <c r="C3" s="103"/>
      <c r="D3" s="103"/>
      <c r="E3" s="119" t="s">
        <v>744</v>
      </c>
      <c r="F3" s="119"/>
      <c r="G3" s="119"/>
      <c r="H3" s="130"/>
      <c r="I3" s="130"/>
      <c r="J3" s="130"/>
      <c r="K3" s="130"/>
      <c r="L3" s="130"/>
      <c r="M3" s="130"/>
      <c r="N3" s="130"/>
      <c r="O3" s="130"/>
      <c r="P3" s="130"/>
      <c r="Q3" s="130"/>
      <c r="R3" s="125"/>
      <c r="S3" s="130"/>
    </row>
    <row r="4" spans="1:20" s="133" customFormat="1">
      <c r="A4" s="107"/>
      <c r="B4" s="107"/>
      <c r="C4" s="107"/>
      <c r="D4" s="107"/>
      <c r="E4" s="108" t="s">
        <v>27</v>
      </c>
      <c r="F4" s="141"/>
      <c r="G4" s="109" t="s">
        <v>28</v>
      </c>
      <c r="H4" s="110"/>
      <c r="I4" s="109"/>
      <c r="J4" s="111"/>
      <c r="K4" s="112" t="s">
        <v>29</v>
      </c>
      <c r="L4" s="112"/>
      <c r="M4" s="112"/>
      <c r="N4" s="112"/>
      <c r="O4" s="103"/>
      <c r="P4" s="103"/>
      <c r="Q4" s="103"/>
      <c r="R4" s="103"/>
      <c r="S4" s="103"/>
      <c r="T4" s="106"/>
    </row>
    <row r="5" spans="1:20" s="133" customFormat="1">
      <c r="A5" s="114"/>
      <c r="B5" s="114"/>
      <c r="C5" s="114"/>
      <c r="D5" s="114"/>
      <c r="E5" s="115" t="s">
        <v>30</v>
      </c>
      <c r="F5" s="141"/>
      <c r="G5" s="116" t="s">
        <v>31</v>
      </c>
      <c r="H5" s="110"/>
      <c r="I5" s="116"/>
      <c r="J5" s="111"/>
      <c r="K5" s="112" t="s">
        <v>32</v>
      </c>
      <c r="L5" s="159"/>
      <c r="M5" s="112"/>
      <c r="N5" s="117"/>
      <c r="O5" s="104"/>
      <c r="P5" s="104"/>
      <c r="Q5" s="104"/>
      <c r="R5" s="206"/>
      <c r="S5" s="103"/>
      <c r="T5" s="106"/>
    </row>
    <row r="6" spans="1:20" s="132" customFormat="1">
      <c r="A6" s="207"/>
      <c r="B6" s="207"/>
      <c r="C6" s="207"/>
      <c r="D6" s="207"/>
      <c r="E6" s="208" t="s">
        <v>745</v>
      </c>
      <c r="F6" s="208" t="s">
        <v>746</v>
      </c>
      <c r="G6" s="209" t="s">
        <v>747</v>
      </c>
      <c r="H6" s="209" t="s">
        <v>748</v>
      </c>
      <c r="I6" s="209" t="s">
        <v>749</v>
      </c>
      <c r="J6" s="209" t="s">
        <v>750</v>
      </c>
      <c r="K6" s="210" t="s">
        <v>751</v>
      </c>
      <c r="L6" s="210" t="s">
        <v>752</v>
      </c>
      <c r="M6" s="210" t="s">
        <v>753</v>
      </c>
      <c r="N6" s="211" t="s">
        <v>754</v>
      </c>
      <c r="O6" s="212"/>
      <c r="P6" s="212"/>
      <c r="Q6" s="212"/>
      <c r="R6" s="332"/>
      <c r="S6" s="332"/>
      <c r="T6" s="332"/>
    </row>
    <row r="7" spans="1:20" s="132" customFormat="1" ht="110.4">
      <c r="A7" s="213" t="s">
        <v>174</v>
      </c>
      <c r="B7" s="213"/>
      <c r="C7" s="213"/>
      <c r="D7" s="213"/>
      <c r="E7" s="214" t="s">
        <v>755</v>
      </c>
      <c r="F7" s="214" t="s">
        <v>756</v>
      </c>
      <c r="G7" s="214" t="s">
        <v>757</v>
      </c>
      <c r="H7" s="214" t="s">
        <v>758</v>
      </c>
      <c r="I7" s="214" t="s">
        <v>759</v>
      </c>
      <c r="J7" s="214" t="s">
        <v>760</v>
      </c>
      <c r="K7" s="214" t="s">
        <v>761</v>
      </c>
      <c r="L7" s="214" t="s">
        <v>762</v>
      </c>
      <c r="M7" s="214" t="s">
        <v>763</v>
      </c>
      <c r="N7" s="214" t="s">
        <v>764</v>
      </c>
      <c r="O7" s="212"/>
      <c r="P7" s="212"/>
      <c r="Q7" s="212"/>
      <c r="S7" s="215"/>
    </row>
    <row r="8" spans="1:20" s="132" customFormat="1" ht="112.2">
      <c r="A8" s="207" t="s">
        <v>54</v>
      </c>
      <c r="B8" s="207"/>
      <c r="C8" s="207"/>
      <c r="D8" s="207"/>
      <c r="E8" s="216" t="s">
        <v>765</v>
      </c>
      <c r="F8" s="216" t="s">
        <v>766</v>
      </c>
      <c r="G8" s="216" t="s">
        <v>767</v>
      </c>
      <c r="H8" s="216" t="s">
        <v>768</v>
      </c>
      <c r="I8" s="216" t="s">
        <v>769</v>
      </c>
      <c r="J8" s="216" t="s">
        <v>770</v>
      </c>
      <c r="K8" s="216" t="s">
        <v>771</v>
      </c>
      <c r="L8" s="216" t="s">
        <v>772</v>
      </c>
      <c r="M8" s="216" t="s">
        <v>773</v>
      </c>
      <c r="N8" s="216" t="s">
        <v>774</v>
      </c>
      <c r="O8" s="217"/>
      <c r="P8" s="217"/>
      <c r="Q8" s="218"/>
      <c r="S8" s="215"/>
    </row>
    <row r="9" spans="1:20" s="132" customFormat="1" ht="191.4" customHeight="1" thickBot="1">
      <c r="A9" s="207" t="s">
        <v>65</v>
      </c>
      <c r="B9" s="207"/>
      <c r="C9" s="207"/>
      <c r="D9" s="207"/>
      <c r="E9" s="219" t="s">
        <v>775</v>
      </c>
      <c r="F9" s="219" t="s">
        <v>776</v>
      </c>
      <c r="G9" s="219" t="s">
        <v>777</v>
      </c>
      <c r="H9" s="219" t="s">
        <v>778</v>
      </c>
      <c r="I9" s="219" t="s">
        <v>779</v>
      </c>
      <c r="J9" s="220" t="s">
        <v>780</v>
      </c>
      <c r="K9" s="220" t="s">
        <v>781</v>
      </c>
      <c r="L9" s="219" t="s">
        <v>782</v>
      </c>
      <c r="M9" s="219" t="s">
        <v>783</v>
      </c>
      <c r="N9" s="219" t="s">
        <v>784</v>
      </c>
      <c r="O9" s="221"/>
      <c r="P9" s="221"/>
      <c r="Q9" s="221"/>
      <c r="S9" s="215"/>
    </row>
    <row r="10" spans="1:20" s="132" customFormat="1" ht="108.6" thickBot="1">
      <c r="A10" s="118" t="s">
        <v>76</v>
      </c>
      <c r="B10" s="160"/>
      <c r="C10" s="160"/>
      <c r="D10" s="160"/>
      <c r="E10" s="222"/>
      <c r="F10" s="222" t="s">
        <v>785</v>
      </c>
      <c r="G10" s="223" t="s">
        <v>786</v>
      </c>
      <c r="H10" s="223" t="s">
        <v>787</v>
      </c>
      <c r="I10" s="223" t="s">
        <v>788</v>
      </c>
      <c r="J10" s="223" t="s">
        <v>789</v>
      </c>
      <c r="K10" s="223" t="s">
        <v>790</v>
      </c>
      <c r="L10" s="223" t="s">
        <v>791</v>
      </c>
      <c r="M10" s="223" t="s">
        <v>792</v>
      </c>
      <c r="N10" s="223" t="s">
        <v>793</v>
      </c>
      <c r="O10" s="218"/>
      <c r="P10" s="218"/>
      <c r="Q10" s="218"/>
      <c r="S10" s="215"/>
    </row>
    <row r="11" spans="1:20" s="132" customFormat="1" ht="60">
      <c r="A11" s="224" t="s">
        <v>86</v>
      </c>
      <c r="B11" s="224"/>
      <c r="C11" s="224"/>
      <c r="D11" s="224"/>
      <c r="E11" s="222"/>
      <c r="F11" s="222" t="s">
        <v>794</v>
      </c>
      <c r="G11" s="223" t="s">
        <v>795</v>
      </c>
      <c r="H11" s="223" t="s">
        <v>796</v>
      </c>
      <c r="I11" s="223" t="s">
        <v>797</v>
      </c>
      <c r="J11" s="223" t="s">
        <v>798</v>
      </c>
      <c r="K11" s="223" t="s">
        <v>799</v>
      </c>
      <c r="L11" s="223" t="s">
        <v>800</v>
      </c>
      <c r="M11" s="223" t="s">
        <v>801</v>
      </c>
      <c r="N11" s="223" t="s">
        <v>802</v>
      </c>
      <c r="O11" s="218"/>
      <c r="P11" s="218"/>
      <c r="Q11" s="218"/>
      <c r="R11" s="215"/>
      <c r="S11" s="215"/>
    </row>
    <row r="12" spans="1:20" s="132" customFormat="1" ht="15" customHeight="1"/>
    <row r="13" spans="1:20" s="132" customFormat="1" ht="15" customHeight="1"/>
    <row r="14" spans="1:20" s="132" customFormat="1" ht="15" customHeight="1"/>
    <row r="15" spans="1:20" customFormat="1" ht="14.4">
      <c r="A15" t="s">
        <v>96</v>
      </c>
      <c r="B15" t="s">
        <v>97</v>
      </c>
      <c r="C15" t="s">
        <v>98</v>
      </c>
      <c r="D15" t="s">
        <v>99</v>
      </c>
      <c r="E15" s="14" t="s">
        <v>745</v>
      </c>
      <c r="F15" s="14" t="s">
        <v>746</v>
      </c>
      <c r="G15" s="14" t="s">
        <v>747</v>
      </c>
      <c r="H15" s="14" t="s">
        <v>748</v>
      </c>
      <c r="I15" s="14" t="s">
        <v>749</v>
      </c>
      <c r="J15" s="14" t="s">
        <v>750</v>
      </c>
      <c r="K15" s="14" t="s">
        <v>751</v>
      </c>
      <c r="L15" s="14" t="s">
        <v>752</v>
      </c>
      <c r="M15" s="14" t="s">
        <v>753</v>
      </c>
      <c r="N15" s="14" t="s">
        <v>754</v>
      </c>
    </row>
    <row r="16" spans="1:20" s="132" customFormat="1" ht="15" customHeight="1">
      <c r="A16" t="s">
        <v>100</v>
      </c>
      <c r="B16" s="15" t="s">
        <v>97</v>
      </c>
      <c r="C16" s="15" t="str">
        <f>HYPERLINK("02-项目级\P2-Qcubic to MySQL数据同步工具 V1.0\01-生存周期\03-项目策划\03-项目计划书 (QCUBIC-SJTB-PLAN-Plan)V1.0-engl.docx", "engl")</f>
        <v>engl</v>
      </c>
      <c r="D16"/>
      <c r="E16" t="s">
        <v>101</v>
      </c>
      <c r="F16"/>
      <c r="G16"/>
      <c r="H16"/>
      <c r="I16"/>
      <c r="J16"/>
      <c r="K16" t="s">
        <v>101</v>
      </c>
      <c r="L16"/>
      <c r="M16"/>
      <c r="N16"/>
      <c r="O16"/>
      <c r="P16"/>
      <c r="Q16"/>
      <c r="R16"/>
      <c r="S16"/>
      <c r="T16"/>
    </row>
    <row r="17" spans="1:14" s="134" customFormat="1" ht="14.4">
      <c r="A17" t="s">
        <v>100</v>
      </c>
      <c r="B17" s="15" t="s">
        <v>97</v>
      </c>
      <c r="C17" s="15" t="str">
        <f>HYPERLINK("02-项目级\P2-Qcubic to MySQL数据同步工具 V1.0\02-全程管理\01-项目监控\02-项目周报(QCUBIC-SJTB-MC-weeklyrpt)v1.1-engl.xlsx", "engl")</f>
        <v>engl</v>
      </c>
      <c r="D17"/>
      <c r="E17" t="s">
        <v>101</v>
      </c>
      <c r="F17"/>
      <c r="G17" t="s">
        <v>101</v>
      </c>
      <c r="H17" t="s">
        <v>101</v>
      </c>
      <c r="I17" t="s">
        <v>101</v>
      </c>
      <c r="J17" t="s">
        <v>101</v>
      </c>
      <c r="K17" t="s">
        <v>101</v>
      </c>
      <c r="L17" t="s">
        <v>101</v>
      </c>
      <c r="M17" t="s">
        <v>101</v>
      </c>
      <c r="N17" t="s">
        <v>101</v>
      </c>
    </row>
    <row r="18" spans="1:14" s="134" customFormat="1" ht="14.4">
      <c r="A18" t="s">
        <v>100</v>
      </c>
      <c r="B18" s="15" t="s">
        <v>97</v>
      </c>
      <c r="C18" s="15" t="str">
        <f>HYPERLINK("02-项目级\P2-Qcubic to MySQL数据同步工具 V1.0\02-全程管理\01-项目监控\04-里程碑状态报告\01-策划里程碑状态报告(QCUBIC-SJTB-MC-PlanMilestoneRpt)V1.0-engl.docx", "engl")</f>
        <v>engl</v>
      </c>
      <c r="D18"/>
      <c r="E18" t="s">
        <v>101</v>
      </c>
      <c r="F18"/>
      <c r="G18" t="s">
        <v>101</v>
      </c>
      <c r="H18" t="s">
        <v>101</v>
      </c>
      <c r="I18" t="s">
        <v>101</v>
      </c>
      <c r="J18" t="s">
        <v>101</v>
      </c>
      <c r="K18" t="s">
        <v>101</v>
      </c>
      <c r="L18" t="s">
        <v>101</v>
      </c>
      <c r="M18" t="s">
        <v>101</v>
      </c>
      <c r="N18" t="s">
        <v>101</v>
      </c>
    </row>
    <row r="19" spans="1:14" s="134" customFormat="1" ht="14.4">
      <c r="A19" t="s">
        <v>100</v>
      </c>
      <c r="B19" s="15" t="s">
        <v>97</v>
      </c>
      <c r="C19" s="15" t="str">
        <f>HYPERLINK("02-项目级\P2-Qcubic to MySQL数据同步工具 V1.0\02-全程管理\01-项目监控\04-里程碑状态报告\02-需求里程碑状态报告(QCUBIC-SJTB-MC-RDMilestoneRpt)V1.1-engl.docx", "engl")</f>
        <v>engl</v>
      </c>
      <c r="D19"/>
      <c r="E19" t="s">
        <v>101</v>
      </c>
      <c r="F19"/>
      <c r="G19" t="s">
        <v>101</v>
      </c>
      <c r="H19" t="s">
        <v>101</v>
      </c>
      <c r="I19" t="s">
        <v>101</v>
      </c>
      <c r="J19" t="s">
        <v>101</v>
      </c>
      <c r="K19" t="s">
        <v>101</v>
      </c>
      <c r="L19" t="s">
        <v>101</v>
      </c>
      <c r="M19" t="s">
        <v>101</v>
      </c>
      <c r="N19" t="s">
        <v>101</v>
      </c>
    </row>
    <row r="20" spans="1:14" s="134" customFormat="1" ht="14.4">
      <c r="A20" t="s">
        <v>100</v>
      </c>
      <c r="B20" s="15" t="s">
        <v>97</v>
      </c>
      <c r="C20" s="15" t="str">
        <f>HYPERLINK("02-项目级\P2-Qcubic to MySQL数据同步工具 V1.0\02-全程管理\01-项目监控\04-里程碑状态报告\03-设计里程碑状态报告(QCUBIC-SJTB-MC-DesMilestoneRpt)V1.0-engl.docx", "engl")</f>
        <v>engl</v>
      </c>
      <c r="D20"/>
      <c r="E20" t="s">
        <v>101</v>
      </c>
      <c r="F20"/>
      <c r="G20" t="s">
        <v>101</v>
      </c>
      <c r="H20" t="s">
        <v>101</v>
      </c>
      <c r="I20" t="s">
        <v>101</v>
      </c>
      <c r="J20" t="s">
        <v>101</v>
      </c>
      <c r="K20" t="s">
        <v>101</v>
      </c>
      <c r="L20" t="s">
        <v>101</v>
      </c>
      <c r="M20" t="s">
        <v>101</v>
      </c>
      <c r="N20" t="s">
        <v>101</v>
      </c>
    </row>
    <row r="21" spans="1:14" s="134" customFormat="1" ht="14.4">
      <c r="A21" t="s">
        <v>100</v>
      </c>
      <c r="B21" s="15" t="s">
        <v>97</v>
      </c>
      <c r="C21" s="15" t="str">
        <f>HYPERLINK("02-项目级\P2-Qcubic to MySQL数据同步工具 V1.0\02-全程管理\01-项目监控\04-里程碑状态报告\04-编码里程碑状态报告(QCUBIC-SJTB-MC-CodingMilestoneRpt)V1.0-engl.docx", "engl")</f>
        <v>engl</v>
      </c>
      <c r="D21"/>
      <c r="E21" t="s">
        <v>101</v>
      </c>
      <c r="F21"/>
      <c r="G21" t="s">
        <v>101</v>
      </c>
      <c r="H21" t="s">
        <v>101</v>
      </c>
      <c r="I21" t="s">
        <v>101</v>
      </c>
      <c r="J21" t="s">
        <v>101</v>
      </c>
      <c r="K21" t="s">
        <v>101</v>
      </c>
      <c r="L21" t="s">
        <v>101</v>
      </c>
      <c r="M21" t="s">
        <v>101</v>
      </c>
      <c r="N21" t="s">
        <v>101</v>
      </c>
    </row>
    <row r="22" spans="1:14" s="134" customFormat="1" ht="14.4">
      <c r="A22" t="s">
        <v>100</v>
      </c>
      <c r="B22" s="15" t="s">
        <v>97</v>
      </c>
      <c r="C22" s="15" t="str">
        <f>HYPERLINK("02-项目级\P2-Qcubic to MySQL数据同步工具 V1.0\02-全程管理\01-项目监控\04-里程碑状态报告\05-测试里程碑状态报告(QCUBIC-SJTB-MC-TestMilestoneRpt)V1.0-engl.docx", "engl")</f>
        <v>engl</v>
      </c>
      <c r="D22"/>
      <c r="E22" t="s">
        <v>101</v>
      </c>
      <c r="F22"/>
      <c r="G22" t="s">
        <v>101</v>
      </c>
      <c r="H22" t="s">
        <v>101</v>
      </c>
      <c r="I22" t="s">
        <v>101</v>
      </c>
      <c r="J22" t="s">
        <v>101</v>
      </c>
      <c r="K22" t="s">
        <v>101</v>
      </c>
      <c r="L22" t="s">
        <v>101</v>
      </c>
      <c r="M22" t="s">
        <v>101</v>
      </c>
      <c r="N22" t="s">
        <v>101</v>
      </c>
    </row>
    <row r="23" spans="1:14" s="134" customFormat="1" ht="14.4">
      <c r="A23" t="s">
        <v>100</v>
      </c>
      <c r="B23" s="15" t="s">
        <v>97</v>
      </c>
      <c r="C23" s="15" t="str">
        <f>HYPERLINK("02-项目级\P2-Qcubic to MySQL数据同步工具 V1.0\02-全程管理\01-项目监控\04-里程碑状态报告\06-验收里程碑状态报告(QCUBIC-SJTB-MC-VVMilestoneRpt)V1.0-engl.docx", "engl")</f>
        <v>engl</v>
      </c>
      <c r="D23"/>
      <c r="E23" t="s">
        <v>101</v>
      </c>
      <c r="F23"/>
      <c r="G23" t="s">
        <v>101</v>
      </c>
      <c r="H23" t="s">
        <v>101</v>
      </c>
      <c r="I23" t="s">
        <v>101</v>
      </c>
      <c r="J23" t="s">
        <v>101</v>
      </c>
      <c r="K23" t="s">
        <v>101</v>
      </c>
      <c r="L23" t="s">
        <v>101</v>
      </c>
      <c r="M23" t="s">
        <v>101</v>
      </c>
      <c r="N23" t="s">
        <v>101</v>
      </c>
    </row>
    <row r="24" spans="1:14" s="134" customFormat="1" ht="14.4">
      <c r="A24" t="s">
        <v>100</v>
      </c>
      <c r="B24" s="15" t="s">
        <v>97</v>
      </c>
      <c r="C24" s="15" t="str">
        <f>HYPERLINK("02-项目级\P2-Qcubic to MySQL数据同步工具 V1.0\02-全程管理\01-项目监控\01-问题管理表(QCUBIC-SJTB-MC-IssueList)V1.1-engl.xlsx", "engl")</f>
        <v>engl</v>
      </c>
      <c r="D24"/>
      <c r="E24"/>
      <c r="F24" t="s">
        <v>101</v>
      </c>
      <c r="G24"/>
      <c r="H24"/>
      <c r="I24"/>
      <c r="J24" t="s">
        <v>101</v>
      </c>
      <c r="K24" t="s">
        <v>101</v>
      </c>
      <c r="L24"/>
      <c r="M24"/>
      <c r="N24" t="s">
        <v>101</v>
      </c>
    </row>
    <row r="25" spans="1:14" s="119" customFormat="1" ht="14.4">
      <c r="A25" t="s">
        <v>100</v>
      </c>
      <c r="B25" s="15" t="s">
        <v>97</v>
      </c>
      <c r="C25" s="15" t="str">
        <f>HYPERLINK("02-项目级\P2-Qcubic to MySQL数据同步工具 V1.0\02-全程管理\07-质量保证\01-质量保证计划(QCUBIC-SJTB-PQA-Plan)V1.0-engl.docx", "engl")</f>
        <v>engl</v>
      </c>
      <c r="D25"/>
      <c r="E25"/>
      <c r="F25" t="s">
        <v>101</v>
      </c>
      <c r="G25"/>
      <c r="H25"/>
      <c r="I25"/>
      <c r="J25"/>
      <c r="K25"/>
      <c r="L25"/>
      <c r="M25"/>
      <c r="N25"/>
    </row>
    <row r="26" spans="1:14" s="119" customFormat="1" ht="14.4">
      <c r="A26" t="s">
        <v>100</v>
      </c>
      <c r="B26" s="15" t="s">
        <v>97</v>
      </c>
      <c r="C26" s="15" t="str">
        <f>HYPERLINK("02-项目级\P2-Qcubic to MySQL数据同步工具 V1.0\02-全程管理\08-配置管理\01-项目配置管理计划 (QCUBIC-SJTB-CM-Plan)V1.0-engl.docx", "engl")</f>
        <v>engl</v>
      </c>
      <c r="D26"/>
      <c r="E26"/>
      <c r="F26" t="s">
        <v>101</v>
      </c>
      <c r="G26"/>
      <c r="H26"/>
      <c r="I26"/>
      <c r="J26"/>
      <c r="K26"/>
      <c r="L26"/>
      <c r="M26"/>
      <c r="N26"/>
    </row>
    <row r="27" spans="1:14" s="119" customFormat="1" ht="14.4">
      <c r="A27" t="s">
        <v>100</v>
      </c>
      <c r="B27" s="15" t="s">
        <v>97</v>
      </c>
      <c r="C27"/>
      <c r="D27"/>
      <c r="E27"/>
      <c r="F27"/>
      <c r="G27" t="s">
        <v>101</v>
      </c>
      <c r="H27"/>
      <c r="I27"/>
      <c r="J27"/>
      <c r="K27"/>
      <c r="L27" t="s">
        <v>101</v>
      </c>
      <c r="M27"/>
      <c r="N27"/>
    </row>
    <row r="28" spans="1:14" s="134" customFormat="1" ht="14.4">
      <c r="A28" t="s">
        <v>100</v>
      </c>
      <c r="B28" s="15" t="s">
        <v>97</v>
      </c>
      <c r="C28" s="15" t="str">
        <f>HYPERLINK("02-项目级\P2-Qcubic to MySQL数据同步工具 V1.0\01-生存周期\03-项目策划\01-项目定义过程 (QCUBIC-SJTB-PLAN-PDP)V1.0-engl.xlsx", "engl")</f>
        <v>engl</v>
      </c>
      <c r="D28"/>
      <c r="E28"/>
      <c r="F28"/>
      <c r="G28"/>
      <c r="H28"/>
      <c r="I28"/>
      <c r="J28"/>
      <c r="K28" t="s">
        <v>101</v>
      </c>
      <c r="L28"/>
      <c r="M28"/>
      <c r="N28"/>
    </row>
  </sheetData>
  <mergeCells count="1">
    <mergeCell ref="R6:T6"/>
  </mergeCells>
  <phoneticPr fontId="61"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S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3" customWidth="1"/>
    <col min="2" max="4" width="7.88671875" style="103" customWidth="1"/>
    <col min="5" max="6" width="15.6640625" style="103" customWidth="1"/>
    <col min="7" max="17" width="15.6640625" style="104" customWidth="1"/>
    <col min="18" max="19" width="15.6640625" style="103" customWidth="1"/>
    <col min="20" max="20" width="71.109375" style="103" customWidth="1"/>
    <col min="21" max="21" width="3.6640625" style="103" customWidth="1"/>
    <col min="22" max="22" width="30.109375" style="103" customWidth="1"/>
    <col min="23" max="23" width="147.109375" style="103" customWidth="1"/>
    <col min="24" max="25" width="18.6640625" style="103" customWidth="1"/>
    <col min="26" max="26" width="16.44140625" style="103" customWidth="1"/>
    <col min="27" max="16384" width="8.6640625" style="103"/>
  </cols>
  <sheetData>
    <row r="1" spans="1:19" s="106" customFormat="1" ht="18">
      <c r="A1" s="101" t="s">
        <v>803</v>
      </c>
      <c r="B1" s="101"/>
      <c r="C1" s="101"/>
      <c r="D1" s="101"/>
      <c r="E1" s="102"/>
      <c r="F1" s="103"/>
      <c r="G1" s="104"/>
      <c r="H1" s="104"/>
      <c r="I1" s="104"/>
      <c r="J1" s="104"/>
      <c r="K1" s="104"/>
      <c r="L1" s="104"/>
      <c r="M1" s="104"/>
      <c r="N1" s="104"/>
      <c r="O1" s="104"/>
      <c r="P1" s="104"/>
      <c r="Q1" s="104"/>
    </row>
    <row r="2" spans="1:19" s="140" customFormat="1" ht="30" customHeight="1">
      <c r="A2" s="106" t="s">
        <v>23</v>
      </c>
      <c r="B2" s="106"/>
      <c r="C2" s="106"/>
      <c r="D2" s="106"/>
      <c r="E2" s="330" t="s">
        <v>804</v>
      </c>
      <c r="F2" s="330"/>
      <c r="G2" s="330"/>
      <c r="H2" s="330"/>
      <c r="I2" s="330"/>
      <c r="J2" s="330"/>
      <c r="K2" s="330"/>
      <c r="L2" s="330"/>
      <c r="M2" s="330"/>
      <c r="N2" s="330"/>
      <c r="O2" s="330"/>
      <c r="P2" s="330"/>
      <c r="Q2" s="330"/>
    </row>
    <row r="3" spans="1:19" s="106" customFormat="1">
      <c r="A3" s="103" t="s">
        <v>25</v>
      </c>
      <c r="B3" s="103"/>
      <c r="C3" s="103"/>
      <c r="D3" s="103"/>
      <c r="E3" s="333" t="s">
        <v>805</v>
      </c>
      <c r="F3" s="333"/>
      <c r="G3" s="333"/>
      <c r="H3" s="333"/>
      <c r="I3" s="333"/>
      <c r="J3" s="333"/>
      <c r="K3" s="333"/>
      <c r="L3" s="333"/>
      <c r="M3" s="333"/>
      <c r="N3" s="333"/>
      <c r="O3" s="333"/>
      <c r="P3" s="333"/>
      <c r="Q3" s="333"/>
    </row>
    <row r="4" spans="1:19" s="106" customFormat="1">
      <c r="A4" s="107"/>
      <c r="B4" s="107"/>
      <c r="C4" s="107"/>
      <c r="D4" s="107"/>
      <c r="E4" s="108" t="s">
        <v>27</v>
      </c>
      <c r="F4" s="141"/>
      <c r="G4" s="109" t="s">
        <v>28</v>
      </c>
      <c r="H4" s="110"/>
      <c r="I4" s="109"/>
      <c r="J4" s="111"/>
      <c r="K4" s="111"/>
      <c r="L4" s="111"/>
      <c r="M4" s="109"/>
      <c r="N4" s="109"/>
      <c r="O4" s="112" t="s">
        <v>29</v>
      </c>
      <c r="P4" s="112"/>
      <c r="Q4" s="112"/>
      <c r="R4" s="142"/>
      <c r="S4" s="163" t="s">
        <v>371</v>
      </c>
    </row>
    <row r="5" spans="1:19" s="106" customFormat="1">
      <c r="A5" s="114"/>
      <c r="B5" s="114"/>
      <c r="C5" s="114"/>
      <c r="D5" s="114"/>
      <c r="E5" s="115" t="s">
        <v>30</v>
      </c>
      <c r="F5" s="141"/>
      <c r="G5" s="116" t="s">
        <v>31</v>
      </c>
      <c r="H5" s="110"/>
      <c r="I5" s="116"/>
      <c r="J5" s="111"/>
      <c r="K5" s="111"/>
      <c r="L5" s="111"/>
      <c r="M5" s="225"/>
      <c r="N5" s="225"/>
      <c r="O5" s="112" t="s">
        <v>32</v>
      </c>
      <c r="P5" s="159"/>
      <c r="Q5" s="112"/>
      <c r="R5" s="142"/>
      <c r="S5" s="163" t="s">
        <v>372</v>
      </c>
    </row>
    <row r="6" spans="1:19">
      <c r="A6" s="118"/>
      <c r="B6" s="118"/>
      <c r="C6" s="118"/>
      <c r="D6" s="118"/>
      <c r="E6" s="164" t="s">
        <v>806</v>
      </c>
      <c r="F6" s="164" t="s">
        <v>807</v>
      </c>
      <c r="G6" s="87" t="s">
        <v>808</v>
      </c>
      <c r="H6" s="87" t="s">
        <v>809</v>
      </c>
      <c r="I6" s="87" t="s">
        <v>810</v>
      </c>
      <c r="J6" s="87" t="s">
        <v>811</v>
      </c>
      <c r="K6" s="87" t="s">
        <v>812</v>
      </c>
      <c r="L6" s="87" t="s">
        <v>813</v>
      </c>
      <c r="M6" s="87" t="s">
        <v>814</v>
      </c>
      <c r="N6" s="87" t="s">
        <v>815</v>
      </c>
      <c r="O6" s="88" t="s">
        <v>816</v>
      </c>
      <c r="P6" s="88" t="s">
        <v>817</v>
      </c>
      <c r="Q6" s="88" t="s">
        <v>818</v>
      </c>
      <c r="R6" s="88" t="s">
        <v>819</v>
      </c>
      <c r="S6" s="165" t="s">
        <v>820</v>
      </c>
    </row>
    <row r="7" spans="1:19" ht="137.4" customHeight="1">
      <c r="A7" s="120" t="s">
        <v>174</v>
      </c>
      <c r="B7" s="120"/>
      <c r="C7" s="120"/>
      <c r="D7" s="120"/>
      <c r="E7" s="93" t="s">
        <v>821</v>
      </c>
      <c r="F7" s="93" t="s">
        <v>822</v>
      </c>
      <c r="G7" s="93" t="s">
        <v>823</v>
      </c>
      <c r="H7" s="93" t="s">
        <v>824</v>
      </c>
      <c r="I7" s="93" t="s">
        <v>825</v>
      </c>
      <c r="J7" s="93" t="s">
        <v>826</v>
      </c>
      <c r="K7" s="93" t="s">
        <v>827</v>
      </c>
      <c r="L7" s="93" t="s">
        <v>828</v>
      </c>
      <c r="M7" s="93" t="s">
        <v>829</v>
      </c>
      <c r="N7" s="93" t="s">
        <v>830</v>
      </c>
      <c r="O7" s="93" t="s">
        <v>831</v>
      </c>
      <c r="P7" s="93" t="s">
        <v>832</v>
      </c>
      <c r="Q7" s="93" t="s">
        <v>833</v>
      </c>
      <c r="R7" s="93" t="s">
        <v>834</v>
      </c>
      <c r="S7" s="93" t="s">
        <v>835</v>
      </c>
    </row>
    <row r="8" spans="1:19" ht="111" customHeight="1">
      <c r="A8" s="118" t="s">
        <v>54</v>
      </c>
      <c r="B8" s="118"/>
      <c r="C8" s="118"/>
      <c r="D8" s="118"/>
      <c r="E8" s="94" t="s">
        <v>836</v>
      </c>
      <c r="F8" s="121" t="s">
        <v>837</v>
      </c>
      <c r="G8" s="94" t="s">
        <v>838</v>
      </c>
      <c r="H8" s="94" t="s">
        <v>839</v>
      </c>
      <c r="I8" s="94" t="s">
        <v>840</v>
      </c>
      <c r="J8" s="94" t="s">
        <v>841</v>
      </c>
      <c r="K8" s="94" t="s">
        <v>842</v>
      </c>
      <c r="L8" s="94" t="s">
        <v>843</v>
      </c>
      <c r="M8" s="94" t="s">
        <v>844</v>
      </c>
      <c r="N8" s="94" t="s">
        <v>845</v>
      </c>
      <c r="O8" s="94" t="s">
        <v>846</v>
      </c>
      <c r="P8" s="94" t="s">
        <v>847</v>
      </c>
      <c r="Q8" s="94" t="s">
        <v>848</v>
      </c>
      <c r="R8" s="94" t="s">
        <v>849</v>
      </c>
      <c r="S8" s="94" t="s">
        <v>850</v>
      </c>
    </row>
    <row r="9" spans="1:19" ht="200.1" customHeight="1">
      <c r="A9" s="118" t="s">
        <v>65</v>
      </c>
      <c r="B9" s="118"/>
      <c r="C9" s="118"/>
      <c r="D9" s="118"/>
      <c r="E9" s="94" t="s">
        <v>851</v>
      </c>
      <c r="F9" s="121" t="s">
        <v>852</v>
      </c>
      <c r="G9" s="94" t="s">
        <v>853</v>
      </c>
      <c r="H9" s="94" t="s">
        <v>854</v>
      </c>
      <c r="I9" s="94" t="s">
        <v>855</v>
      </c>
      <c r="J9" s="94" t="s">
        <v>856</v>
      </c>
      <c r="K9" s="94" t="s">
        <v>857</v>
      </c>
      <c r="L9" s="94" t="s">
        <v>858</v>
      </c>
      <c r="M9" s="94" t="s">
        <v>859</v>
      </c>
      <c r="N9" s="94" t="s">
        <v>860</v>
      </c>
      <c r="O9" s="94" t="s">
        <v>861</v>
      </c>
      <c r="P9" s="94" t="s">
        <v>862</v>
      </c>
      <c r="Q9" s="94" t="s">
        <v>863</v>
      </c>
      <c r="R9" s="94" t="s">
        <v>864</v>
      </c>
      <c r="S9" s="94" t="s">
        <v>865</v>
      </c>
    </row>
    <row r="10" spans="1:19" ht="144" customHeight="1" thickBot="1">
      <c r="A10" s="118" t="s">
        <v>76</v>
      </c>
      <c r="B10" s="274"/>
      <c r="C10" s="274"/>
      <c r="D10" s="274"/>
      <c r="E10" s="226"/>
      <c r="F10" s="226" t="s">
        <v>866</v>
      </c>
      <c r="G10" s="227" t="s">
        <v>867</v>
      </c>
      <c r="H10" s="227" t="s">
        <v>868</v>
      </c>
      <c r="I10" s="227" t="s">
        <v>869</v>
      </c>
      <c r="J10" s="227" t="s">
        <v>870</v>
      </c>
      <c r="K10" s="227" t="s">
        <v>871</v>
      </c>
      <c r="L10" s="227" t="s">
        <v>872</v>
      </c>
      <c r="M10" s="227" t="s">
        <v>873</v>
      </c>
      <c r="N10" s="227" t="s">
        <v>874</v>
      </c>
      <c r="O10" s="227" t="s">
        <v>875</v>
      </c>
      <c r="P10" s="227" t="s">
        <v>876</v>
      </c>
      <c r="Q10" s="227" t="s">
        <v>877</v>
      </c>
      <c r="R10" s="227" t="s">
        <v>878</v>
      </c>
      <c r="S10" s="227" t="s">
        <v>879</v>
      </c>
    </row>
    <row r="11" spans="1:19" ht="108" customHeight="1" thickBot="1">
      <c r="A11" s="228" t="s">
        <v>86</v>
      </c>
      <c r="B11" s="228"/>
      <c r="C11" s="228"/>
      <c r="D11" s="228"/>
      <c r="E11" s="226"/>
      <c r="F11" s="226"/>
      <c r="G11" s="227"/>
      <c r="H11" s="227"/>
      <c r="I11" s="227" t="s">
        <v>880</v>
      </c>
      <c r="J11" s="227" t="s">
        <v>881</v>
      </c>
      <c r="K11" s="227" t="s">
        <v>882</v>
      </c>
      <c r="L11" s="227" t="s">
        <v>883</v>
      </c>
      <c r="M11" s="227" t="s">
        <v>884</v>
      </c>
      <c r="N11" s="227" t="s">
        <v>885</v>
      </c>
      <c r="O11" s="227" t="s">
        <v>886</v>
      </c>
      <c r="P11" s="227" t="s">
        <v>887</v>
      </c>
      <c r="Q11" s="227" t="s">
        <v>888</v>
      </c>
      <c r="R11" s="227" t="s">
        <v>889</v>
      </c>
      <c r="S11" s="227" t="s">
        <v>879</v>
      </c>
    </row>
    <row r="12" spans="1:19" ht="15" customHeight="1"/>
    <row r="13" spans="1:19" ht="15" customHeight="1"/>
    <row r="14" spans="1:19" ht="15" customHeight="1"/>
    <row r="15" spans="1:19" customFormat="1" ht="14.4">
      <c r="A15" t="s">
        <v>96</v>
      </c>
      <c r="B15" t="s">
        <v>97</v>
      </c>
      <c r="C15" t="s">
        <v>98</v>
      </c>
      <c r="D15" t="s">
        <v>99</v>
      </c>
      <c r="E15" s="14" t="s">
        <v>806</v>
      </c>
      <c r="F15" s="14" t="s">
        <v>807</v>
      </c>
      <c r="G15" s="14" t="s">
        <v>808</v>
      </c>
      <c r="H15" s="14" t="s">
        <v>809</v>
      </c>
      <c r="I15" s="14" t="s">
        <v>810</v>
      </c>
      <c r="J15" s="14" t="s">
        <v>811</v>
      </c>
      <c r="K15" s="14" t="s">
        <v>812</v>
      </c>
      <c r="L15" s="14" t="s">
        <v>813</v>
      </c>
      <c r="M15" s="14" t="s">
        <v>814</v>
      </c>
      <c r="N15" s="14" t="s">
        <v>815</v>
      </c>
      <c r="O15" s="14" t="s">
        <v>816</v>
      </c>
      <c r="P15" s="14" t="s">
        <v>817</v>
      </c>
      <c r="Q15" s="14" t="s">
        <v>818</v>
      </c>
      <c r="R15" s="14" t="s">
        <v>819</v>
      </c>
      <c r="S15" s="14" t="s">
        <v>820</v>
      </c>
    </row>
    <row r="16" spans="1:19" ht="14.4">
      <c r="A16" t="s">
        <v>100</v>
      </c>
      <c r="B16" s="15" t="s">
        <v>97</v>
      </c>
      <c r="C16"/>
      <c r="D16"/>
      <c r="E16" t="s">
        <v>101</v>
      </c>
      <c r="F16" t="s">
        <v>101</v>
      </c>
      <c r="G16"/>
      <c r="H16"/>
      <c r="I16" t="s">
        <v>101</v>
      </c>
      <c r="J16" t="s">
        <v>101</v>
      </c>
      <c r="K16" t="s">
        <v>101</v>
      </c>
      <c r="L16" t="s">
        <v>101</v>
      </c>
      <c r="M16" t="s">
        <v>101</v>
      </c>
      <c r="N16"/>
      <c r="O16"/>
      <c r="P16"/>
      <c r="Q16" t="s">
        <v>101</v>
      </c>
      <c r="R16"/>
      <c r="S16"/>
    </row>
    <row r="17" spans="1:19" ht="14.4">
      <c r="A17" t="s">
        <v>100</v>
      </c>
      <c r="B17" s="15" t="s">
        <v>97</v>
      </c>
      <c r="C17" s="15" t="str">
        <f>HYPERLINK("02-项目级\P2-Qcubic to MySQL数据同步工具 V1.0\01-生存周期\03-项目策划\03-项目计划书 (QCUBIC-SJTB-PLAN-Plan)V1.0-engl.docx", "engl")</f>
        <v>engl</v>
      </c>
      <c r="D17"/>
      <c r="E17"/>
      <c r="F17" t="s">
        <v>101</v>
      </c>
      <c r="G17" t="s">
        <v>101</v>
      </c>
      <c r="H17" t="s">
        <v>101</v>
      </c>
      <c r="I17"/>
      <c r="J17"/>
      <c r="K17"/>
      <c r="L17" t="s">
        <v>101</v>
      </c>
      <c r="M17" t="s">
        <v>101</v>
      </c>
      <c r="N17"/>
      <c r="O17"/>
      <c r="P17" t="s">
        <v>101</v>
      </c>
      <c r="Q17" t="s">
        <v>101</v>
      </c>
      <c r="R17" t="s">
        <v>101</v>
      </c>
      <c r="S17"/>
    </row>
    <row r="18" spans="1:19" ht="14.4">
      <c r="A18" t="s">
        <v>100</v>
      </c>
      <c r="B18" s="15" t="s">
        <v>97</v>
      </c>
      <c r="C18" s="15" t="str">
        <f>HYPERLINK("02-项目级\P2-Qcubic to MySQL数据同步工具 V1.0\02-全程管理\05-评审管理\03-计划评审\05-评审报告_项目计划(QCUBIC-SJTB-PR-ReviewRpt)V1.1-engl.xlsx", "engl")</f>
        <v>engl</v>
      </c>
      <c r="D18"/>
      <c r="E18"/>
      <c r="F18"/>
      <c r="G18"/>
      <c r="H18"/>
      <c r="I18"/>
      <c r="J18"/>
      <c r="K18"/>
      <c r="L18" t="s">
        <v>101</v>
      </c>
      <c r="M18"/>
      <c r="N18" t="s">
        <v>101</v>
      </c>
      <c r="O18"/>
      <c r="P18"/>
      <c r="Q18"/>
      <c r="R18"/>
      <c r="S18"/>
    </row>
    <row r="19" spans="1:19" ht="14.4">
      <c r="A19" t="s">
        <v>100</v>
      </c>
      <c r="B19" s="15" t="s">
        <v>97</v>
      </c>
      <c r="C19" s="15" t="str">
        <f>HYPERLINK("02-项目级\P2-Qcubic to MySQL数据同步工具 V1.0\01-生存周期\03-项目策划\01-项目定义过程 (QCUBIC-SJTB-PLAN-PDP)V1.0-engl.xlsx", "engl")</f>
        <v>engl</v>
      </c>
      <c r="D19"/>
      <c r="E19"/>
      <c r="F19"/>
      <c r="G19"/>
      <c r="H19"/>
      <c r="I19"/>
      <c r="J19"/>
      <c r="K19"/>
      <c r="L19"/>
      <c r="M19"/>
      <c r="N19"/>
      <c r="O19" t="s">
        <v>101</v>
      </c>
      <c r="P19" t="s">
        <v>101</v>
      </c>
      <c r="Q19"/>
      <c r="R19"/>
      <c r="S19"/>
    </row>
    <row r="20" spans="1:19" ht="14.4">
      <c r="A20" t="s">
        <v>100</v>
      </c>
      <c r="B20" s="15" t="s">
        <v>97</v>
      </c>
      <c r="C20" s="15" t="str">
        <f>HYPERLINK("01-组织级\01-组织财富库\01-标准过程文件库\04-组织过程类\02-过程资产管理\裁剪指南 (QCUBIC-SPI-OPAL-Guid-Tailor)V1.2-engl.xlsx", "engl")</f>
        <v>engl</v>
      </c>
      <c r="D20"/>
      <c r="E20"/>
      <c r="F20"/>
      <c r="G20"/>
      <c r="H20"/>
      <c r="I20"/>
      <c r="J20"/>
      <c r="K20"/>
      <c r="L20"/>
      <c r="M20"/>
      <c r="N20"/>
      <c r="O20" t="s">
        <v>101</v>
      </c>
      <c r="P20"/>
      <c r="Q20"/>
      <c r="R20"/>
      <c r="S20"/>
    </row>
    <row r="21" spans="1:19" ht="14.4">
      <c r="A21" t="s">
        <v>100</v>
      </c>
      <c r="B21" s="15" t="s">
        <v>97</v>
      </c>
      <c r="C21" s="15" t="str">
        <f>HYPERLINK("02-项目级\P2-Qcubic to MySQL数据同步工具 V1.0\02-全程管理\03-度量分析\02-项目度量数据表(QCUBIC-SJTB-MPM-datasheet)V1.0-engl.xlsx", "engl")</f>
        <v>engl</v>
      </c>
      <c r="D21"/>
      <c r="E21"/>
      <c r="F21"/>
      <c r="G21"/>
      <c r="H21"/>
      <c r="I21"/>
      <c r="J21"/>
      <c r="K21"/>
      <c r="L21"/>
      <c r="M21"/>
      <c r="N21"/>
      <c r="O21"/>
      <c r="P21" t="s">
        <v>101</v>
      </c>
      <c r="Q21"/>
      <c r="R21"/>
      <c r="S21"/>
    </row>
    <row r="22" spans="1:19" ht="14.4">
      <c r="A22" t="s">
        <v>100</v>
      </c>
      <c r="B22" s="15" t="s">
        <v>97</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101</v>
      </c>
      <c r="R22"/>
      <c r="S22"/>
    </row>
  </sheetData>
  <mergeCells count="2">
    <mergeCell ref="E2:Q2"/>
    <mergeCell ref="E3:Q3"/>
  </mergeCells>
  <phoneticPr fontId="61"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N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53" customWidth="1"/>
    <col min="2" max="4" width="7.88671875" style="253" customWidth="1"/>
    <col min="5" max="6" width="20.6640625" style="239" customWidth="1"/>
    <col min="7" max="10" width="20.6640625" style="126" customWidth="1"/>
    <col min="11" max="11" width="50.6640625" style="126" customWidth="1"/>
    <col min="12" max="12" width="3.6640625" style="126" customWidth="1"/>
    <col min="13" max="13" width="24" style="126" bestFit="1" customWidth="1"/>
    <col min="14" max="14" width="108.44140625" style="124" customWidth="1"/>
    <col min="15" max="16384" width="8.6640625" style="239"/>
  </cols>
  <sheetData>
    <row r="1" spans="1:10" s="231" customFormat="1" ht="18">
      <c r="A1" s="229" t="s">
        <v>890</v>
      </c>
      <c r="B1" s="229"/>
      <c r="C1" s="229"/>
      <c r="D1" s="229"/>
      <c r="E1" s="230"/>
      <c r="F1" s="230"/>
      <c r="G1" s="230"/>
      <c r="H1" s="230"/>
      <c r="I1" s="230"/>
      <c r="J1" s="126"/>
    </row>
    <row r="2" spans="1:10" s="232" customFormat="1">
      <c r="A2" s="96" t="s">
        <v>891</v>
      </c>
      <c r="B2" s="96"/>
      <c r="C2" s="96"/>
      <c r="D2" s="96"/>
      <c r="E2" s="97" t="s">
        <v>892</v>
      </c>
      <c r="F2" s="97"/>
      <c r="G2" s="97"/>
      <c r="H2" s="97"/>
      <c r="I2" s="97"/>
      <c r="J2" s="126"/>
    </row>
    <row r="3" spans="1:10" s="233" customFormat="1">
      <c r="A3" s="96" t="s">
        <v>893</v>
      </c>
      <c r="B3" s="96"/>
      <c r="C3" s="96"/>
      <c r="D3" s="96"/>
      <c r="E3" s="97" t="s">
        <v>894</v>
      </c>
      <c r="F3" s="97"/>
      <c r="G3" s="97"/>
      <c r="H3" s="97"/>
      <c r="I3" s="97"/>
      <c r="J3" s="126"/>
    </row>
    <row r="4" spans="1:10">
      <c r="A4" s="234"/>
      <c r="B4" s="234"/>
      <c r="C4" s="234"/>
      <c r="D4" s="234"/>
      <c r="E4" s="235" t="s">
        <v>27</v>
      </c>
      <c r="F4" s="236" t="s">
        <v>28</v>
      </c>
      <c r="G4" s="237"/>
      <c r="H4" s="236"/>
      <c r="I4" s="238" t="s">
        <v>29</v>
      </c>
      <c r="J4" s="238"/>
    </row>
    <row r="5" spans="1:10">
      <c r="A5" s="239"/>
      <c r="B5" s="239"/>
      <c r="C5" s="239"/>
      <c r="D5" s="239"/>
      <c r="E5" s="240" t="s">
        <v>30</v>
      </c>
      <c r="F5" s="241" t="s">
        <v>31</v>
      </c>
      <c r="G5" s="237"/>
      <c r="H5" s="241"/>
      <c r="I5" s="238" t="s">
        <v>32</v>
      </c>
      <c r="J5" s="242"/>
    </row>
    <row r="6" spans="1:10" s="124" customFormat="1">
      <c r="A6" s="243"/>
      <c r="B6" s="243"/>
      <c r="C6" s="243"/>
      <c r="D6" s="243"/>
      <c r="E6" s="244" t="s">
        <v>895</v>
      </c>
      <c r="F6" s="245" t="s">
        <v>896</v>
      </c>
      <c r="G6" s="245" t="s">
        <v>897</v>
      </c>
      <c r="H6" s="245" t="s">
        <v>898</v>
      </c>
      <c r="I6" s="246" t="s">
        <v>899</v>
      </c>
      <c r="J6" s="246" t="s">
        <v>900</v>
      </c>
    </row>
    <row r="7" spans="1:10" s="124" customFormat="1" ht="82.8">
      <c r="A7" s="247" t="s">
        <v>174</v>
      </c>
      <c r="B7" s="247"/>
      <c r="C7" s="247"/>
      <c r="D7" s="247"/>
      <c r="E7" s="248" t="s">
        <v>901</v>
      </c>
      <c r="F7" s="248" t="s">
        <v>902</v>
      </c>
      <c r="G7" s="248" t="s">
        <v>903</v>
      </c>
      <c r="H7" s="248" t="s">
        <v>904</v>
      </c>
      <c r="I7" s="248" t="s">
        <v>905</v>
      </c>
      <c r="J7" s="248" t="s">
        <v>906</v>
      </c>
    </row>
    <row r="8" spans="1:10" s="124" customFormat="1" ht="48">
      <c r="A8" s="243" t="s">
        <v>54</v>
      </c>
      <c r="B8" s="243"/>
      <c r="C8" s="243"/>
      <c r="D8" s="243"/>
      <c r="E8" s="249" t="s">
        <v>907</v>
      </c>
      <c r="F8" s="249" t="s">
        <v>908</v>
      </c>
      <c r="G8" s="249" t="s">
        <v>909</v>
      </c>
      <c r="H8" s="249" t="s">
        <v>910</v>
      </c>
      <c r="I8" s="249" t="s">
        <v>911</v>
      </c>
      <c r="J8" s="249" t="s">
        <v>912</v>
      </c>
    </row>
    <row r="9" spans="1:10" s="124" customFormat="1" ht="87.6" customHeight="1">
      <c r="A9" s="243" t="s">
        <v>65</v>
      </c>
      <c r="B9" s="243"/>
      <c r="C9" s="243"/>
      <c r="D9" s="243"/>
      <c r="E9" s="249" t="s">
        <v>913</v>
      </c>
      <c r="F9" s="249" t="s">
        <v>914</v>
      </c>
      <c r="G9" s="249" t="s">
        <v>915</v>
      </c>
      <c r="H9" s="249" t="s">
        <v>916</v>
      </c>
      <c r="I9" s="249" t="s">
        <v>917</v>
      </c>
      <c r="J9" s="249" t="s">
        <v>918</v>
      </c>
    </row>
    <row r="10" spans="1:10" s="124" customFormat="1" ht="96">
      <c r="A10" s="118" t="s">
        <v>76</v>
      </c>
      <c r="B10" s="160"/>
      <c r="C10" s="160"/>
      <c r="D10" s="160"/>
      <c r="E10" s="250" t="s">
        <v>919</v>
      </c>
      <c r="F10" s="251" t="s">
        <v>920</v>
      </c>
      <c r="G10" s="251" t="s">
        <v>921</v>
      </c>
      <c r="H10" s="251" t="s">
        <v>922</v>
      </c>
      <c r="I10" s="251" t="s">
        <v>923</v>
      </c>
      <c r="J10" s="251" t="s">
        <v>924</v>
      </c>
    </row>
    <row r="11" spans="1:10" s="124" customFormat="1" ht="96">
      <c r="A11" s="252" t="s">
        <v>86</v>
      </c>
      <c r="B11" s="252"/>
      <c r="C11" s="252"/>
      <c r="D11" s="252"/>
      <c r="E11" s="250" t="s">
        <v>925</v>
      </c>
      <c r="F11" s="251" t="s">
        <v>926</v>
      </c>
      <c r="G11" s="251" t="s">
        <v>927</v>
      </c>
      <c r="H11" s="251" t="s">
        <v>928</v>
      </c>
      <c r="I11" s="251" t="s">
        <v>929</v>
      </c>
      <c r="J11" s="251" t="s">
        <v>930</v>
      </c>
    </row>
    <row r="12" spans="1:10" s="124" customFormat="1" ht="15" customHeight="1"/>
    <row r="13" spans="1:10" s="124" customFormat="1" ht="15" customHeight="1"/>
    <row r="14" spans="1:10" s="124" customFormat="1" ht="15" customHeight="1"/>
    <row r="15" spans="1:10" customFormat="1" ht="14.4">
      <c r="A15" t="s">
        <v>96</v>
      </c>
      <c r="B15" t="s">
        <v>97</v>
      </c>
      <c r="C15" t="s">
        <v>98</v>
      </c>
      <c r="D15" t="s">
        <v>99</v>
      </c>
      <c r="E15" t="s">
        <v>895</v>
      </c>
      <c r="F15" t="s">
        <v>896</v>
      </c>
      <c r="G15" t="s">
        <v>897</v>
      </c>
      <c r="H15" t="s">
        <v>898</v>
      </c>
      <c r="I15" t="s">
        <v>899</v>
      </c>
      <c r="J15" t="s">
        <v>900</v>
      </c>
    </row>
    <row r="16" spans="1:10" s="127" customFormat="1" ht="14.4">
      <c r="A16" t="s">
        <v>100</v>
      </c>
      <c r="B16" s="15" t="s">
        <v>97</v>
      </c>
      <c r="C16" s="15" t="str">
        <f>HYPERLINK("02-项目级\P2-Qcubic to MySQL数据同步工具 V1.0\01-生存周期\03-项目策划\02-估算工作书 (QCUBIC-SJTB-PLAN-Evaluate)V1.2-engl.xlsx", "engl")</f>
        <v>engl</v>
      </c>
      <c r="D16"/>
      <c r="E16" t="s">
        <v>101</v>
      </c>
      <c r="F16"/>
      <c r="G16" t="s">
        <v>101</v>
      </c>
      <c r="H16" t="s">
        <v>101</v>
      </c>
      <c r="I16"/>
      <c r="J16"/>
    </row>
    <row r="17" spans="1:10" s="127" customFormat="1" ht="14.4">
      <c r="A17" t="s">
        <v>100</v>
      </c>
      <c r="B17" s="15" t="s">
        <v>97</v>
      </c>
      <c r="C17" s="15" t="str">
        <f>HYPERLINK("02-项目级\P2-Qcubic to MySQL数据同步工具 V1.0\02-全程管理\03-度量分析\02-项目度量数据表(QCUBIC-SJTB-MPM-datasheet)V1.0-engl.xlsx", "engl")</f>
        <v>engl</v>
      </c>
      <c r="D17"/>
      <c r="E17"/>
      <c r="F17" t="s">
        <v>101</v>
      </c>
      <c r="G17"/>
      <c r="H17"/>
      <c r="I17"/>
      <c r="J17"/>
    </row>
    <row r="18" spans="1:10" s="127" customFormat="1" ht="14.4">
      <c r="A18" t="s">
        <v>100</v>
      </c>
      <c r="B18" s="15" t="s">
        <v>97</v>
      </c>
      <c r="C18" s="15" t="str">
        <f>HYPERLINK("02-项目级\P2-Qcubic to MySQL数据同步工具 V1.0\01-生存周期\03-项目策划\03-项目计划书 (QCUBIC-SJTB-PLAN-Plan)V1.0-engl.docx", "engl")</f>
        <v>engl</v>
      </c>
      <c r="D18"/>
      <c r="E18"/>
      <c r="F18" t="s">
        <v>101</v>
      </c>
      <c r="G18"/>
      <c r="H18"/>
      <c r="I18"/>
      <c r="J18"/>
    </row>
    <row r="19" spans="1:10" s="127" customFormat="1" ht="14.4">
      <c r="A19" t="s">
        <v>100</v>
      </c>
      <c r="B19" s="15" t="s">
        <v>97</v>
      </c>
      <c r="C19" s="15" t="str">
        <f>HYPERLINK("02-项目级\P2-Qcubic to MySQL数据同步工具 V1.0\02-全程管理\01-项目监控\03-周会议纪要\01-会议记录(QCUBIC-SJTB-meetingrcd-20220107)V1.0-engl.docx", "engl")</f>
        <v>engl</v>
      </c>
      <c r="D19"/>
      <c r="E19"/>
      <c r="F19"/>
      <c r="G19"/>
      <c r="H19" t="s">
        <v>101</v>
      </c>
      <c r="I19"/>
      <c r="J19"/>
    </row>
    <row r="20" spans="1:10" s="127" customFormat="1" ht="14.4">
      <c r="A20" t="s">
        <v>100</v>
      </c>
      <c r="B20" s="15" t="s">
        <v>97</v>
      </c>
      <c r="C20" s="15" t="str">
        <f>HYPERLINK("01-组织级\01-组织财富库\01-标准过程文件库\01-项目管理规范\03-项目估算\估算指南(QCUBIC-SPI-EST-Guid-Evaluate)V1.2-engl.docx", "engl")</f>
        <v>engl</v>
      </c>
      <c r="D20"/>
      <c r="E20"/>
      <c r="F20"/>
      <c r="G20"/>
      <c r="H20"/>
      <c r="I20" t="s">
        <v>101</v>
      </c>
      <c r="J20"/>
    </row>
    <row r="21" spans="1:10" s="127" customFormat="1" ht="14.4">
      <c r="A21" t="s">
        <v>100</v>
      </c>
      <c r="B21" s="15" t="s">
        <v>97</v>
      </c>
      <c r="C21" s="15" t="str">
        <f>HYPERLINK("01-组织级\02-组织工作库\06-度量\组织度量表(QCUBIC-SPI-MPM-Tem-datasheet)V1.3-engl.xlsx", "engl")</f>
        <v>engl</v>
      </c>
      <c r="D21"/>
      <c r="E21"/>
      <c r="F21"/>
      <c r="G21"/>
      <c r="H21"/>
      <c r="I21"/>
      <c r="J21" t="s">
        <v>101</v>
      </c>
    </row>
    <row r="22" spans="1:10" s="127" customFormat="1" ht="14.4">
      <c r="A22" t="s">
        <v>100</v>
      </c>
      <c r="B22" s="15" t="s">
        <v>97</v>
      </c>
      <c r="C22"/>
      <c r="D22"/>
      <c r="E22"/>
      <c r="F22"/>
      <c r="G22"/>
      <c r="H22"/>
      <c r="I22"/>
      <c r="J22" t="s">
        <v>101</v>
      </c>
    </row>
  </sheetData>
  <sheetProtection selectLockedCells="1" selectUnlockedCells="1"/>
  <phoneticPr fontId="61"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U1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3" customWidth="1"/>
    <col min="2" max="4" width="7.88671875" style="113" customWidth="1"/>
    <col min="5" max="10" width="15.6640625" style="113" customWidth="1"/>
    <col min="11" max="18" width="16.33203125" style="113" customWidth="1"/>
    <col min="19" max="19" width="16.33203125" style="102" customWidth="1"/>
    <col min="20" max="21" width="16.6640625" style="102" customWidth="1"/>
    <col min="22" max="16384" width="8.88671875" style="113"/>
  </cols>
  <sheetData>
    <row r="1" spans="1:15" s="158" customFormat="1" ht="18">
      <c r="A1" s="101" t="s">
        <v>931</v>
      </c>
      <c r="B1" s="101"/>
      <c r="C1" s="101"/>
      <c r="D1" s="101"/>
      <c r="E1" s="155"/>
      <c r="F1" s="155"/>
      <c r="G1" s="254"/>
    </row>
    <row r="2" spans="1:15">
      <c r="A2" s="106" t="s">
        <v>932</v>
      </c>
      <c r="B2" s="106"/>
      <c r="C2" s="106"/>
      <c r="D2" s="106"/>
      <c r="E2" s="103" t="s">
        <v>933</v>
      </c>
      <c r="F2" s="103"/>
      <c r="G2" s="130"/>
    </row>
    <row r="3" spans="1:15">
      <c r="A3" s="103" t="s">
        <v>934</v>
      </c>
      <c r="B3" s="103"/>
      <c r="C3" s="103"/>
      <c r="D3" s="103"/>
      <c r="E3" s="103" t="s">
        <v>935</v>
      </c>
      <c r="F3" s="103"/>
      <c r="G3" s="130"/>
    </row>
    <row r="4" spans="1:15">
      <c r="A4" s="107"/>
      <c r="B4" s="107"/>
      <c r="C4" s="107"/>
      <c r="D4" s="107"/>
      <c r="E4" s="108" t="s">
        <v>27</v>
      </c>
      <c r="F4" s="109" t="s">
        <v>28</v>
      </c>
      <c r="G4" s="109"/>
      <c r="H4" s="112" t="s">
        <v>29</v>
      </c>
      <c r="I4" s="112"/>
      <c r="J4" s="142"/>
      <c r="K4" s="142"/>
      <c r="L4" s="142"/>
      <c r="M4" s="162" t="s">
        <v>371</v>
      </c>
      <c r="N4" s="255"/>
      <c r="O4" s="183" t="s">
        <v>511</v>
      </c>
    </row>
    <row r="5" spans="1:15">
      <c r="A5" s="114"/>
      <c r="B5" s="114"/>
      <c r="C5" s="114"/>
      <c r="D5" s="114"/>
      <c r="E5" s="115" t="s">
        <v>30</v>
      </c>
      <c r="F5" s="116" t="s">
        <v>31</v>
      </c>
      <c r="G5" s="116"/>
      <c r="H5" s="112" t="s">
        <v>32</v>
      </c>
      <c r="I5" s="159"/>
      <c r="J5" s="142"/>
      <c r="K5" s="142"/>
      <c r="L5" s="142"/>
      <c r="M5" s="163" t="s">
        <v>372</v>
      </c>
      <c r="N5" s="256"/>
      <c r="O5" s="186" t="s">
        <v>512</v>
      </c>
    </row>
    <row r="6" spans="1:15">
      <c r="A6" s="118"/>
      <c r="B6" s="118"/>
      <c r="C6" s="118"/>
      <c r="D6" s="118"/>
      <c r="E6" s="3" t="s">
        <v>936</v>
      </c>
      <c r="F6" s="87" t="s">
        <v>937</v>
      </c>
      <c r="G6" s="87" t="s">
        <v>938</v>
      </c>
      <c r="H6" s="88" t="s">
        <v>939</v>
      </c>
      <c r="I6" s="88" t="s">
        <v>940</v>
      </c>
      <c r="J6" s="88" t="s">
        <v>941</v>
      </c>
      <c r="K6" s="88" t="s">
        <v>942</v>
      </c>
      <c r="L6" s="88" t="s">
        <v>943</v>
      </c>
      <c r="M6" s="165" t="s">
        <v>944</v>
      </c>
      <c r="N6" s="189" t="s">
        <v>945</v>
      </c>
      <c r="O6" s="257" t="s">
        <v>946</v>
      </c>
    </row>
    <row r="7" spans="1:15" ht="138">
      <c r="A7" s="120" t="s">
        <v>174</v>
      </c>
      <c r="B7" s="120"/>
      <c r="C7" s="120"/>
      <c r="D7" s="120"/>
      <c r="E7" s="93" t="s">
        <v>947</v>
      </c>
      <c r="F7" s="93" t="s">
        <v>948</v>
      </c>
      <c r="G7" s="93" t="s">
        <v>949</v>
      </c>
      <c r="H7" s="93" t="s">
        <v>950</v>
      </c>
      <c r="I7" s="93" t="s">
        <v>951</v>
      </c>
      <c r="J7" s="93" t="s">
        <v>952</v>
      </c>
      <c r="K7" s="93" t="s">
        <v>953</v>
      </c>
      <c r="L7" s="93" t="s">
        <v>954</v>
      </c>
      <c r="M7" s="192" t="s">
        <v>955</v>
      </c>
      <c r="N7" s="93" t="s">
        <v>956</v>
      </c>
      <c r="O7" s="258" t="s">
        <v>957</v>
      </c>
    </row>
    <row r="8" spans="1:15" ht="108">
      <c r="A8" s="118" t="s">
        <v>54</v>
      </c>
      <c r="B8" s="118"/>
      <c r="C8" s="118"/>
      <c r="D8" s="118"/>
      <c r="E8" s="94" t="s">
        <v>958</v>
      </c>
      <c r="F8" s="94" t="s">
        <v>959</v>
      </c>
      <c r="G8" s="94" t="s">
        <v>960</v>
      </c>
      <c r="H8" s="94" t="s">
        <v>961</v>
      </c>
      <c r="I8" s="94" t="s">
        <v>962</v>
      </c>
      <c r="J8" s="94" t="s">
        <v>963</v>
      </c>
      <c r="K8" s="94" t="s">
        <v>964</v>
      </c>
      <c r="L8" s="94" t="s">
        <v>965</v>
      </c>
      <c r="M8" s="195" t="s">
        <v>966</v>
      </c>
      <c r="N8" s="94" t="s">
        <v>967</v>
      </c>
      <c r="O8" s="196" t="s">
        <v>968</v>
      </c>
    </row>
    <row r="9" spans="1:15" ht="168">
      <c r="A9" s="118" t="s">
        <v>65</v>
      </c>
      <c r="B9" s="118"/>
      <c r="C9" s="118"/>
      <c r="D9" s="118"/>
      <c r="E9" s="121" t="s">
        <v>969</v>
      </c>
      <c r="F9" s="94" t="s">
        <v>970</v>
      </c>
      <c r="G9" s="94" t="s">
        <v>971</v>
      </c>
      <c r="H9" s="94" t="s">
        <v>972</v>
      </c>
      <c r="I9" s="94" t="s">
        <v>973</v>
      </c>
      <c r="J9" s="94" t="s">
        <v>974</v>
      </c>
      <c r="K9" s="94" t="s">
        <v>975</v>
      </c>
      <c r="L9" s="94" t="s">
        <v>976</v>
      </c>
      <c r="M9" s="195" t="s">
        <v>977</v>
      </c>
      <c r="N9" s="94" t="s">
        <v>978</v>
      </c>
      <c r="O9" s="196" t="s">
        <v>979</v>
      </c>
    </row>
    <row r="10" spans="1:15" ht="165.6">
      <c r="A10" s="118" t="s">
        <v>76</v>
      </c>
      <c r="B10" s="118"/>
      <c r="C10" s="118"/>
      <c r="D10" s="118"/>
      <c r="E10" s="98" t="s">
        <v>980</v>
      </c>
      <c r="F10" s="98" t="s">
        <v>981</v>
      </c>
      <c r="G10" s="98" t="s">
        <v>982</v>
      </c>
      <c r="H10" s="98" t="s">
        <v>983</v>
      </c>
      <c r="I10" s="98" t="s">
        <v>984</v>
      </c>
      <c r="J10" s="98" t="s">
        <v>985</v>
      </c>
      <c r="K10" s="98" t="s">
        <v>986</v>
      </c>
      <c r="L10" s="98" t="s">
        <v>987</v>
      </c>
      <c r="M10" s="197" t="s">
        <v>988</v>
      </c>
      <c r="N10" s="98" t="s">
        <v>989</v>
      </c>
      <c r="O10" s="259" t="s">
        <v>990</v>
      </c>
    </row>
    <row r="11" spans="1:15" ht="87.6" customHeight="1">
      <c r="A11" s="129" t="s">
        <v>86</v>
      </c>
      <c r="B11" s="129"/>
      <c r="C11" s="129"/>
      <c r="D11" s="129"/>
      <c r="E11" s="98" t="s">
        <v>991</v>
      </c>
      <c r="F11" s="98" t="s">
        <v>992</v>
      </c>
      <c r="G11" s="98" t="s">
        <v>993</v>
      </c>
      <c r="H11" s="98" t="s">
        <v>994</v>
      </c>
      <c r="I11" s="98" t="s">
        <v>995</v>
      </c>
      <c r="J11" s="98" t="s">
        <v>996</v>
      </c>
      <c r="K11" s="98" t="s">
        <v>997</v>
      </c>
      <c r="L11" s="98" t="s">
        <v>998</v>
      </c>
      <c r="M11" s="197" t="s">
        <v>988</v>
      </c>
      <c r="N11" s="98" t="s">
        <v>989</v>
      </c>
      <c r="O11" s="259" t="s">
        <v>990</v>
      </c>
    </row>
    <row r="13" spans="1:15">
      <c r="M13" s="260"/>
      <c r="N13" s="260"/>
      <c r="O13" s="260"/>
    </row>
    <row r="14" spans="1:15">
      <c r="M14" s="145"/>
      <c r="N14" s="145"/>
      <c r="O14" s="146"/>
    </row>
    <row r="15" spans="1:15" customFormat="1">
      <c r="A15" t="s">
        <v>96</v>
      </c>
      <c r="B15" t="s">
        <v>97</v>
      </c>
      <c r="C15" s="327" t="s">
        <v>98</v>
      </c>
      <c r="D15" s="327" t="s">
        <v>99</v>
      </c>
      <c r="E15" s="14" t="s">
        <v>936</v>
      </c>
      <c r="F15" s="14" t="s">
        <v>937</v>
      </c>
      <c r="G15" s="14" t="s">
        <v>938</v>
      </c>
      <c r="H15" s="14" t="s">
        <v>939</v>
      </c>
      <c r="I15" s="14" t="s">
        <v>940</v>
      </c>
      <c r="J15" s="14" t="s">
        <v>941</v>
      </c>
      <c r="K15" s="14" t="s">
        <v>942</v>
      </c>
      <c r="L15" s="14" t="s">
        <v>943</v>
      </c>
      <c r="M15" s="14" t="s">
        <v>944</v>
      </c>
      <c r="N15" s="14" t="s">
        <v>945</v>
      </c>
      <c r="O15" s="327" t="s">
        <v>946</v>
      </c>
    </row>
    <row r="16" spans="1:15">
      <c r="A16" t="s">
        <v>100</v>
      </c>
      <c r="B16" s="15" t="s">
        <v>97</v>
      </c>
      <c r="C16" s="15" t="str">
        <f>HYPERLINK("01-组织级\02-组织工作库\06-度量\原因分析和解决方案报告(QCUBIC-SPI-CAR_Data quality analysis)V1.0-engl.xlsx", "engl")</f>
        <v>engl</v>
      </c>
      <c r="D16"/>
      <c r="E16" t="s">
        <v>101</v>
      </c>
      <c r="F16" t="s">
        <v>101</v>
      </c>
      <c r="G16" t="s">
        <v>101</v>
      </c>
      <c r="H16" t="s">
        <v>101</v>
      </c>
      <c r="I16" t="s">
        <v>101</v>
      </c>
      <c r="J16" t="s">
        <v>101</v>
      </c>
      <c r="K16" t="s">
        <v>101</v>
      </c>
      <c r="L16" t="s">
        <v>101</v>
      </c>
      <c r="M16"/>
      <c r="N16"/>
      <c r="O16"/>
    </row>
    <row r="17" spans="1:15">
      <c r="A17" t="s">
        <v>100</v>
      </c>
      <c r="B17" s="15" t="s">
        <v>97</v>
      </c>
      <c r="C17" s="15" t="str">
        <f>HYPERLINK("01-组织级\01-组织财富库\01-标准过程文件库\03-支持类\07-原因分析和解决过程\原因分析和解决过程(QCUBIC-SPI-CAR_Pro)V1.2-engl.docx", "engl")</f>
        <v>engl</v>
      </c>
      <c r="D17"/>
      <c r="E17" t="s">
        <v>101</v>
      </c>
      <c r="F17" t="s">
        <v>101</v>
      </c>
      <c r="G17" t="s">
        <v>101</v>
      </c>
      <c r="H17" t="s">
        <v>101</v>
      </c>
      <c r="I17" t="s">
        <v>101</v>
      </c>
      <c r="J17" t="s">
        <v>101</v>
      </c>
      <c r="K17" t="s">
        <v>101</v>
      </c>
      <c r="L17" t="s">
        <v>101</v>
      </c>
      <c r="M17"/>
      <c r="N17"/>
      <c r="O17"/>
    </row>
  </sheetData>
  <phoneticPr fontId="61"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O1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4" customWidth="1"/>
    <col min="2" max="4" width="7.88671875" style="114" customWidth="1"/>
    <col min="5" max="6" width="15.6640625" style="114" customWidth="1"/>
    <col min="7" max="12" width="15.6640625" style="130" customWidth="1"/>
    <col min="13" max="13" width="81.6640625" style="130" bestFit="1" customWidth="1"/>
    <col min="14" max="14" width="3.6640625" style="130" customWidth="1"/>
    <col min="15" max="15" width="35.109375" style="130" bestFit="1" customWidth="1"/>
    <col min="16" max="16" width="78.44140625" style="114" customWidth="1"/>
    <col min="17" max="17" width="25.33203125" style="114" customWidth="1"/>
    <col min="18" max="16384" width="8.6640625" style="114"/>
  </cols>
  <sheetData>
    <row r="1" spans="1:12" s="131" customFormat="1" ht="18">
      <c r="A1" s="101" t="s">
        <v>999</v>
      </c>
      <c r="B1" s="101"/>
      <c r="C1" s="101"/>
      <c r="D1" s="101"/>
      <c r="E1" s="102"/>
      <c r="F1" s="103"/>
      <c r="G1" s="130"/>
      <c r="H1" s="130"/>
      <c r="I1" s="130"/>
      <c r="J1" s="130"/>
      <c r="K1" s="130"/>
      <c r="L1" s="130"/>
    </row>
    <row r="2" spans="1:12" s="132" customFormat="1">
      <c r="A2" s="106" t="s">
        <v>932</v>
      </c>
      <c r="B2" s="106"/>
      <c r="C2" s="106"/>
      <c r="D2" s="106"/>
      <c r="E2" s="103" t="s">
        <v>1000</v>
      </c>
      <c r="F2" s="103"/>
      <c r="G2" s="130"/>
      <c r="H2" s="130"/>
      <c r="I2" s="130"/>
      <c r="J2" s="130"/>
      <c r="K2" s="130"/>
      <c r="L2" s="130"/>
    </row>
    <row r="3" spans="1:12" s="133" customFormat="1">
      <c r="A3" s="103" t="s">
        <v>934</v>
      </c>
      <c r="B3" s="103"/>
      <c r="C3" s="103"/>
      <c r="D3" s="103"/>
      <c r="E3" s="103" t="s">
        <v>1001</v>
      </c>
      <c r="F3" s="103"/>
      <c r="G3" s="130"/>
      <c r="H3" s="130"/>
      <c r="I3" s="130"/>
      <c r="J3" s="130"/>
      <c r="K3" s="130"/>
      <c r="L3" s="130"/>
    </row>
    <row r="4" spans="1:12" s="132" customFormat="1">
      <c r="A4" s="107"/>
      <c r="B4" s="107"/>
      <c r="C4" s="107"/>
      <c r="D4" s="107"/>
      <c r="E4" s="108" t="s">
        <v>27</v>
      </c>
      <c r="F4" s="141"/>
      <c r="G4" s="109" t="s">
        <v>28</v>
      </c>
      <c r="H4" s="110"/>
      <c r="I4" s="109"/>
      <c r="J4" s="111"/>
      <c r="K4" s="111"/>
      <c r="L4" s="261" t="s">
        <v>29</v>
      </c>
    </row>
    <row r="5" spans="1:12" s="125" customFormat="1">
      <c r="A5" s="114"/>
      <c r="B5" s="114"/>
      <c r="C5" s="114"/>
      <c r="D5" s="114"/>
      <c r="E5" s="115" t="s">
        <v>30</v>
      </c>
      <c r="F5" s="141"/>
      <c r="G5" s="116" t="s">
        <v>31</v>
      </c>
      <c r="H5" s="110"/>
      <c r="I5" s="116"/>
      <c r="J5" s="111"/>
      <c r="K5" s="111"/>
      <c r="L5" s="261" t="s">
        <v>32</v>
      </c>
    </row>
    <row r="6" spans="1:12" s="125" customFormat="1">
      <c r="A6" s="118"/>
      <c r="B6" s="118"/>
      <c r="C6" s="118"/>
      <c r="D6" s="118"/>
      <c r="E6" s="3" t="s">
        <v>1002</v>
      </c>
      <c r="F6" s="3" t="s">
        <v>1003</v>
      </c>
      <c r="G6" s="87" t="s">
        <v>1004</v>
      </c>
      <c r="H6" s="87" t="s">
        <v>1005</v>
      </c>
      <c r="I6" s="87" t="s">
        <v>1006</v>
      </c>
      <c r="J6" s="87" t="s">
        <v>1007</v>
      </c>
      <c r="K6" s="87" t="s">
        <v>1008</v>
      </c>
      <c r="L6" s="88" t="s">
        <v>1009</v>
      </c>
    </row>
    <row r="7" spans="1:12" s="125" customFormat="1" ht="110.4">
      <c r="A7" s="120" t="s">
        <v>43</v>
      </c>
      <c r="B7" s="120"/>
      <c r="C7" s="120"/>
      <c r="D7" s="120"/>
      <c r="E7" s="93" t="s">
        <v>1010</v>
      </c>
      <c r="F7" s="93" t="s">
        <v>1011</v>
      </c>
      <c r="G7" s="93" t="s">
        <v>1012</v>
      </c>
      <c r="H7" s="93" t="s">
        <v>1013</v>
      </c>
      <c r="I7" s="93" t="s">
        <v>1014</v>
      </c>
      <c r="J7" s="93" t="s">
        <v>1015</v>
      </c>
      <c r="K7" s="93" t="s">
        <v>1016</v>
      </c>
      <c r="L7" s="93" t="s">
        <v>1017</v>
      </c>
    </row>
    <row r="8" spans="1:12" s="125" customFormat="1" ht="109.35" customHeight="1">
      <c r="A8" s="118" t="s">
        <v>54</v>
      </c>
      <c r="B8" s="118"/>
      <c r="C8" s="118"/>
      <c r="D8" s="118"/>
      <c r="E8" s="121" t="s">
        <v>1018</v>
      </c>
      <c r="F8" s="121" t="s">
        <v>1019</v>
      </c>
      <c r="G8" s="94" t="s">
        <v>1020</v>
      </c>
      <c r="H8" s="94" t="s">
        <v>1021</v>
      </c>
      <c r="I8" s="94" t="s">
        <v>1022</v>
      </c>
      <c r="J8" s="121" t="s">
        <v>1023</v>
      </c>
      <c r="K8" s="121" t="s">
        <v>1024</v>
      </c>
      <c r="L8" s="94" t="s">
        <v>1025</v>
      </c>
    </row>
    <row r="9" spans="1:12" s="125" customFormat="1" ht="152.4" customHeight="1">
      <c r="A9" s="118" t="s">
        <v>65</v>
      </c>
      <c r="B9" s="118"/>
      <c r="C9" s="118"/>
      <c r="D9" s="118"/>
      <c r="E9" s="94" t="s">
        <v>1026</v>
      </c>
      <c r="F9" s="121" t="s">
        <v>1027</v>
      </c>
      <c r="G9" s="94" t="s">
        <v>1028</v>
      </c>
      <c r="H9" s="121" t="s">
        <v>1029</v>
      </c>
      <c r="I9" s="94" t="s">
        <v>1030</v>
      </c>
      <c r="J9" s="94" t="s">
        <v>1031</v>
      </c>
      <c r="K9" s="94" t="s">
        <v>1032</v>
      </c>
      <c r="L9" s="121" t="s">
        <v>1033</v>
      </c>
    </row>
    <row r="10" spans="1:12" s="125" customFormat="1" ht="150" customHeight="1">
      <c r="A10" s="118" t="s">
        <v>76</v>
      </c>
      <c r="B10" s="118"/>
      <c r="C10" s="118"/>
      <c r="D10" s="118"/>
      <c r="E10" s="98" t="s">
        <v>1034</v>
      </c>
      <c r="F10" s="98" t="s">
        <v>1035</v>
      </c>
      <c r="G10" s="98" t="s">
        <v>1036</v>
      </c>
      <c r="H10" s="98" t="s">
        <v>1037</v>
      </c>
      <c r="I10" s="98" t="s">
        <v>1038</v>
      </c>
      <c r="J10" s="98" t="s">
        <v>1039</v>
      </c>
      <c r="K10" s="98" t="s">
        <v>1040</v>
      </c>
      <c r="L10" s="98" t="s">
        <v>1041</v>
      </c>
    </row>
    <row r="11" spans="1:12" s="125" customFormat="1" ht="74.400000000000006" customHeight="1">
      <c r="A11" s="129" t="s">
        <v>86</v>
      </c>
      <c r="B11" s="129"/>
      <c r="C11" s="129"/>
      <c r="D11" s="129"/>
      <c r="E11" s="98" t="s">
        <v>1042</v>
      </c>
      <c r="F11" s="98" t="s">
        <v>1043</v>
      </c>
      <c r="G11" s="98" t="s">
        <v>1044</v>
      </c>
      <c r="H11" s="98" t="s">
        <v>1045</v>
      </c>
      <c r="I11" s="98" t="s">
        <v>1046</v>
      </c>
      <c r="J11" s="98" t="s">
        <v>1047</v>
      </c>
      <c r="K11" s="98" t="s">
        <v>1048</v>
      </c>
      <c r="L11" s="98" t="s">
        <v>1049</v>
      </c>
    </row>
    <row r="12" spans="1:12" s="125" customFormat="1"/>
    <row r="13" spans="1:12" s="125" customFormat="1"/>
    <row r="14" spans="1:12" s="125" customFormat="1"/>
    <row r="15" spans="1:12" customFormat="1" ht="14.4">
      <c r="A15" t="s">
        <v>96</v>
      </c>
      <c r="B15" t="s">
        <v>97</v>
      </c>
      <c r="C15" t="s">
        <v>98</v>
      </c>
      <c r="D15" s="327" t="s">
        <v>99</v>
      </c>
      <c r="E15" s="14" t="s">
        <v>1002</v>
      </c>
      <c r="F15" s="14" t="s">
        <v>1003</v>
      </c>
      <c r="G15" s="14" t="s">
        <v>1004</v>
      </c>
      <c r="H15" s="14" t="s">
        <v>1005</v>
      </c>
      <c r="I15" s="14" t="s">
        <v>1006</v>
      </c>
      <c r="J15" s="14" t="s">
        <v>1007</v>
      </c>
      <c r="K15" s="14" t="s">
        <v>1008</v>
      </c>
      <c r="L15" s="14" t="s">
        <v>1009</v>
      </c>
    </row>
    <row r="16" spans="1:12" ht="14.4">
      <c r="A16" t="s">
        <v>100</v>
      </c>
      <c r="B16" s="15" t="s">
        <v>97</v>
      </c>
      <c r="C16" s="15" t="str">
        <f>HYPERLINK("01-组织级\02-组织工作库\02-EPG活动库\08-决策分析\01-决策分析报告（QCUBIC-SPI-dar-evaluaterpt)V1.0-engl.xlsx", "engl")</f>
        <v>engl</v>
      </c>
      <c r="D16"/>
      <c r="E16" t="s">
        <v>101</v>
      </c>
      <c r="F16" t="s">
        <v>101</v>
      </c>
      <c r="G16" t="s">
        <v>101</v>
      </c>
      <c r="H16" t="s">
        <v>101</v>
      </c>
      <c r="I16" t="s">
        <v>101</v>
      </c>
      <c r="J16" t="s">
        <v>101</v>
      </c>
      <c r="K16" t="s">
        <v>101</v>
      </c>
      <c r="L16" t="s">
        <v>101</v>
      </c>
    </row>
    <row r="17" spans="1:12" ht="14.4">
      <c r="A17" t="s">
        <v>100</v>
      </c>
      <c r="B17" s="15" t="s">
        <v>97</v>
      </c>
      <c r="C17" s="15" t="str">
        <f>HYPERLINK("01-组织级\01-组织财富库\01-标准过程文件库\03-支持类\04-决策分析\决策分析和解决方案(QCUBIC-SPI-OPAL-Tem-Proc)V1.2-engl.docx", "engl")</f>
        <v>engl</v>
      </c>
      <c r="D17"/>
      <c r="E17"/>
      <c r="F17"/>
      <c r="G17" t="s">
        <v>101</v>
      </c>
      <c r="H17" t="s">
        <v>101</v>
      </c>
      <c r="I17"/>
      <c r="J17"/>
      <c r="K17"/>
      <c r="L17" t="s">
        <v>101</v>
      </c>
    </row>
  </sheetData>
  <phoneticPr fontId="61"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K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5" customWidth="1"/>
    <col min="2" max="4" width="7.88671875" style="105" customWidth="1"/>
    <col min="5" max="11" width="20.6640625" style="105" customWidth="1"/>
    <col min="12" max="12" width="66.109375" style="105" customWidth="1"/>
    <col min="13" max="13" width="3.6640625" style="105" customWidth="1"/>
    <col min="14" max="14" width="54.44140625" style="105" bestFit="1" customWidth="1"/>
    <col min="15" max="15" width="57.33203125" style="105" customWidth="1"/>
    <col min="16" max="16384" width="8.88671875" style="105"/>
  </cols>
  <sheetData>
    <row r="1" spans="1:11" ht="18">
      <c r="A1" s="101" t="s">
        <v>1050</v>
      </c>
      <c r="B1" s="101"/>
      <c r="C1" s="101"/>
      <c r="D1" s="101"/>
      <c r="E1" s="102"/>
      <c r="F1" s="103"/>
      <c r="G1" s="104"/>
    </row>
    <row r="2" spans="1:11">
      <c r="A2" s="106" t="s">
        <v>23</v>
      </c>
      <c r="B2" s="106"/>
      <c r="C2" s="106"/>
      <c r="D2" s="106"/>
      <c r="E2" s="103" t="s">
        <v>1051</v>
      </c>
      <c r="F2" s="103"/>
      <c r="G2" s="104"/>
    </row>
    <row r="3" spans="1:11">
      <c r="A3" s="103" t="s">
        <v>25</v>
      </c>
      <c r="B3" s="103"/>
      <c r="C3" s="103"/>
      <c r="D3" s="103"/>
      <c r="E3" s="103" t="s">
        <v>1052</v>
      </c>
      <c r="F3" s="103"/>
      <c r="G3" s="104"/>
    </row>
    <row r="4" spans="1:11">
      <c r="A4" s="107"/>
      <c r="B4" s="107"/>
      <c r="C4" s="107"/>
      <c r="D4" s="107"/>
      <c r="E4" s="108" t="s">
        <v>27</v>
      </c>
      <c r="F4" s="109" t="s">
        <v>28</v>
      </c>
      <c r="G4" s="109"/>
      <c r="H4" s="110"/>
      <c r="I4" s="109"/>
      <c r="J4" s="111"/>
      <c r="K4" s="111"/>
    </row>
    <row r="5" spans="1:11">
      <c r="A5" s="114"/>
      <c r="B5" s="114"/>
      <c r="C5" s="114"/>
      <c r="D5" s="114"/>
      <c r="E5" s="115" t="s">
        <v>30</v>
      </c>
      <c r="F5" s="116" t="s">
        <v>31</v>
      </c>
      <c r="G5" s="116"/>
      <c r="H5" s="110"/>
      <c r="I5" s="116"/>
      <c r="J5" s="111"/>
      <c r="K5" s="111"/>
    </row>
    <row r="6" spans="1:11">
      <c r="A6" s="129"/>
      <c r="B6" s="129"/>
      <c r="C6" s="129"/>
      <c r="D6" s="129"/>
      <c r="E6" s="3" t="s">
        <v>1053</v>
      </c>
      <c r="F6" s="87" t="s">
        <v>1054</v>
      </c>
      <c r="G6" s="87" t="s">
        <v>1055</v>
      </c>
      <c r="H6" s="87" t="s">
        <v>1056</v>
      </c>
      <c r="I6" s="87" t="s">
        <v>1057</v>
      </c>
      <c r="J6" s="87" t="s">
        <v>1058</v>
      </c>
      <c r="K6" s="187" t="s">
        <v>1059</v>
      </c>
    </row>
    <row r="7" spans="1:11" ht="96.6">
      <c r="A7" s="120" t="s">
        <v>174</v>
      </c>
      <c r="B7" s="120"/>
      <c r="C7" s="120"/>
      <c r="D7" s="120"/>
      <c r="E7" s="93" t="s">
        <v>1060</v>
      </c>
      <c r="F7" s="93" t="s">
        <v>1061</v>
      </c>
      <c r="G7" s="93" t="s">
        <v>1062</v>
      </c>
      <c r="H7" s="93" t="s">
        <v>1063</v>
      </c>
      <c r="I7" s="93" t="s">
        <v>1064</v>
      </c>
      <c r="J7" s="93" t="s">
        <v>1065</v>
      </c>
      <c r="K7" s="93" t="s">
        <v>1066</v>
      </c>
    </row>
    <row r="8" spans="1:11" ht="108">
      <c r="A8" s="129" t="s">
        <v>54</v>
      </c>
      <c r="B8" s="129"/>
      <c r="C8" s="129"/>
      <c r="D8" s="129"/>
      <c r="E8" s="94" t="s">
        <v>1067</v>
      </c>
      <c r="F8" s="94" t="s">
        <v>1068</v>
      </c>
      <c r="G8" s="94" t="s">
        <v>1069</v>
      </c>
      <c r="H8" s="94" t="s">
        <v>1070</v>
      </c>
      <c r="I8" s="94" t="s">
        <v>1071</v>
      </c>
      <c r="J8" s="94" t="s">
        <v>1072</v>
      </c>
      <c r="K8" s="94" t="s">
        <v>1073</v>
      </c>
    </row>
    <row r="9" spans="1:11" ht="180">
      <c r="A9" s="129" t="s">
        <v>65</v>
      </c>
      <c r="B9" s="129"/>
      <c r="C9" s="129"/>
      <c r="D9" s="129"/>
      <c r="E9" s="94" t="s">
        <v>1074</v>
      </c>
      <c r="F9" s="94" t="s">
        <v>1075</v>
      </c>
      <c r="G9" s="94" t="s">
        <v>1076</v>
      </c>
      <c r="H9" s="94" t="s">
        <v>1077</v>
      </c>
      <c r="I9" s="94" t="s">
        <v>1078</v>
      </c>
      <c r="J9" s="94" t="s">
        <v>1079</v>
      </c>
      <c r="K9" s="94" t="s">
        <v>1080</v>
      </c>
    </row>
    <row r="10" spans="1:11" ht="156">
      <c r="A10" s="118" t="s">
        <v>76</v>
      </c>
      <c r="B10" s="118"/>
      <c r="C10" s="118"/>
      <c r="D10" s="118"/>
      <c r="E10" s="94" t="s">
        <v>1081</v>
      </c>
      <c r="F10" s="94" t="s">
        <v>1082</v>
      </c>
      <c r="G10" s="94" t="s">
        <v>1083</v>
      </c>
      <c r="H10" s="94" t="s">
        <v>1084</v>
      </c>
      <c r="I10" s="94" t="s">
        <v>1085</v>
      </c>
      <c r="J10" s="94" t="s">
        <v>1086</v>
      </c>
      <c r="K10" s="94" t="s">
        <v>1087</v>
      </c>
    </row>
    <row r="11" spans="1:11" ht="68.400000000000006">
      <c r="A11" s="151" t="s">
        <v>86</v>
      </c>
      <c r="B11" s="151"/>
      <c r="C11" s="151"/>
      <c r="D11" s="151"/>
      <c r="E11" s="94"/>
      <c r="F11" s="262" t="s">
        <v>1088</v>
      </c>
      <c r="G11" s="263" t="s">
        <v>1089</v>
      </c>
      <c r="H11" s="262" t="s">
        <v>1090</v>
      </c>
      <c r="I11" s="264" t="s">
        <v>1091</v>
      </c>
      <c r="J11" s="264" t="s">
        <v>1092</v>
      </c>
      <c r="K11" s="262" t="s">
        <v>1093</v>
      </c>
    </row>
    <row r="12" spans="1:11" s="113" customFormat="1">
      <c r="A12" s="105"/>
      <c r="B12" s="105"/>
      <c r="C12" s="105"/>
      <c r="D12" s="105"/>
      <c r="E12" s="105"/>
      <c r="F12" s="105"/>
      <c r="G12" s="105"/>
      <c r="H12" s="105"/>
      <c r="I12" s="105"/>
      <c r="J12" s="105"/>
      <c r="K12" s="105"/>
    </row>
    <row r="13" spans="1:11" s="113" customFormat="1" ht="14.4" customHeight="1">
      <c r="A13" s="105"/>
      <c r="B13" s="105"/>
      <c r="C13" s="105"/>
      <c r="D13" s="105"/>
      <c r="E13" s="105"/>
      <c r="F13" s="105"/>
      <c r="G13" s="105"/>
      <c r="H13" s="105"/>
      <c r="I13" s="105"/>
      <c r="J13" s="105"/>
      <c r="K13" s="105"/>
    </row>
    <row r="14" spans="1:11" s="113" customFormat="1" ht="14.4" customHeight="1">
      <c r="A14" s="105"/>
      <c r="B14" s="105"/>
      <c r="C14" s="105"/>
      <c r="D14" s="105"/>
      <c r="E14" s="105"/>
      <c r="F14" s="105"/>
      <c r="G14" s="105"/>
      <c r="H14" s="105"/>
      <c r="I14" s="105"/>
      <c r="J14" s="105"/>
      <c r="K14" s="105"/>
    </row>
    <row r="15" spans="1:11" customFormat="1">
      <c r="A15" t="s">
        <v>96</v>
      </c>
      <c r="B15" t="s">
        <v>97</v>
      </c>
      <c r="C15" t="s">
        <v>98</v>
      </c>
      <c r="D15" s="327" t="s">
        <v>99</v>
      </c>
      <c r="E15" t="s">
        <v>1053</v>
      </c>
      <c r="F15" t="s">
        <v>1054</v>
      </c>
      <c r="G15" t="s">
        <v>1055</v>
      </c>
      <c r="H15" t="s">
        <v>1056</v>
      </c>
      <c r="I15" t="s">
        <v>1057</v>
      </c>
      <c r="J15" t="s">
        <v>1058</v>
      </c>
      <c r="K15" t="s">
        <v>1059</v>
      </c>
    </row>
    <row r="16" spans="1:11" s="113" customFormat="1" ht="14.4" customHeight="1">
      <c r="A16" t="s">
        <v>100</v>
      </c>
      <c r="B16" s="15" t="s">
        <v>97</v>
      </c>
      <c r="C16" s="15" t="str">
        <f>HYPERLINK("01-组织级\02-组织工作库\04-CM活动库\组织级配置管理计划(QCUBIC-SPI-CM-OCMPlan)V1.2-engl.xlsx", "engl")</f>
        <v>engl</v>
      </c>
      <c r="D16"/>
      <c r="E16" t="s">
        <v>101</v>
      </c>
      <c r="F16" t="s">
        <v>101</v>
      </c>
      <c r="G16" t="s">
        <v>101</v>
      </c>
      <c r="H16"/>
      <c r="I16" t="s">
        <v>101</v>
      </c>
      <c r="J16" t="s">
        <v>101</v>
      </c>
      <c r="K16"/>
    </row>
    <row r="17" spans="1:11" s="113" customFormat="1" ht="14.4" customHeight="1">
      <c r="A17" t="s">
        <v>100</v>
      </c>
      <c r="B17" s="15" t="s">
        <v>97</v>
      </c>
      <c r="C17" s="15" t="str">
        <f>HYPERLINK("01-组织级\02-组织工作库\04-CM活动库\组织配置库内容列表(ORG_-CM-TEM-PALList)V1.2-engl.xlsx", "engl")</f>
        <v>engl</v>
      </c>
      <c r="D17"/>
      <c r="E17" t="s">
        <v>101</v>
      </c>
      <c r="F17"/>
      <c r="G17"/>
      <c r="H17"/>
      <c r="I17"/>
      <c r="J17" t="s">
        <v>101</v>
      </c>
      <c r="K17"/>
    </row>
    <row r="18" spans="1:11" s="113" customFormat="1" ht="14.4" customHeight="1">
      <c r="A18" t="s">
        <v>100</v>
      </c>
      <c r="B18" s="15" t="s">
        <v>97</v>
      </c>
      <c r="C18" s="15" t="str">
        <f>HYPERLINK("01-组织级\01-组织财富库\01-标准过程文件库\03-支持类\02-配置管理\配置管理过程文件(QCUBIC-SPI-CM-Proc-Doc)V1.2-engl.docx", "engl")</f>
        <v>engl</v>
      </c>
      <c r="D18"/>
      <c r="E18"/>
      <c r="F18"/>
      <c r="G18" t="s">
        <v>101</v>
      </c>
      <c r="H18"/>
      <c r="I18" t="s">
        <v>101</v>
      </c>
      <c r="J18"/>
      <c r="K18"/>
    </row>
    <row r="19" spans="1:11" s="113" customFormat="1" ht="14.4" customHeight="1">
      <c r="A19" t="s">
        <v>100</v>
      </c>
      <c r="B19" s="15" t="s">
        <v>97</v>
      </c>
      <c r="C19" s="15" t="str">
        <f>HYPERLINK("01-组织级\02-组织工作库\04-CM活动库\基线发布报告 (QCUBIC-spi-cm-release)V1.1-engl.xlsx", "engl")</f>
        <v>engl</v>
      </c>
      <c r="D19"/>
      <c r="E19"/>
      <c r="F19"/>
      <c r="G19"/>
      <c r="H19" t="s">
        <v>101</v>
      </c>
      <c r="I19"/>
      <c r="J19"/>
      <c r="K19"/>
    </row>
    <row r="20" spans="1:11">
      <c r="A20" t="s">
        <v>100</v>
      </c>
      <c r="B20" s="15" t="s">
        <v>97</v>
      </c>
      <c r="C20" s="15" t="str">
        <f>HYPERLINK("01-组织级\02-组织工作库\04-CM活动库\组织级配置审计报告(QCUBIC-SPI-CM-Organization-level configuration audit report)V1.3-engl.xlsx", "engl")</f>
        <v>engl</v>
      </c>
      <c r="D20"/>
      <c r="E20"/>
      <c r="F20"/>
      <c r="G20"/>
      <c r="H20"/>
      <c r="I20"/>
      <c r="J20"/>
      <c r="K20" t="s">
        <v>101</v>
      </c>
    </row>
  </sheetData>
  <phoneticPr fontId="61"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J24"/>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5" customWidth="1"/>
    <col min="2" max="4" width="7.88671875" style="105" customWidth="1"/>
    <col min="5" max="5" width="20.6640625" style="105" customWidth="1"/>
    <col min="6" max="6" width="20.6640625" style="267" customWidth="1"/>
    <col min="7" max="10" width="20.6640625" style="105" customWidth="1"/>
    <col min="11" max="11" width="50.6640625" style="105" customWidth="1"/>
    <col min="12" max="12" width="3.6640625" style="105" customWidth="1"/>
    <col min="13" max="13" width="32.33203125" style="105" bestFit="1" customWidth="1"/>
    <col min="14" max="14" width="60.88671875" style="105" customWidth="1"/>
    <col min="15" max="16384" width="8.88671875" style="105"/>
  </cols>
  <sheetData>
    <row r="1" spans="1:10" ht="18">
      <c r="A1" s="101" t="s">
        <v>1094</v>
      </c>
      <c r="B1" s="101"/>
      <c r="C1" s="101"/>
      <c r="D1" s="101"/>
      <c r="E1" s="102"/>
      <c r="F1" s="106"/>
      <c r="G1" s="104"/>
      <c r="H1" s="104"/>
      <c r="I1" s="104"/>
      <c r="J1" s="104"/>
    </row>
    <row r="2" spans="1:10">
      <c r="A2" s="106" t="s">
        <v>932</v>
      </c>
      <c r="B2" s="106"/>
      <c r="C2" s="106"/>
      <c r="D2" s="106"/>
      <c r="E2" s="103" t="s">
        <v>1095</v>
      </c>
      <c r="F2" s="106"/>
      <c r="G2" s="104"/>
      <c r="H2" s="104"/>
      <c r="I2" s="104"/>
      <c r="J2" s="104"/>
    </row>
    <row r="3" spans="1:10">
      <c r="A3" s="103" t="s">
        <v>934</v>
      </c>
      <c r="B3" s="103"/>
      <c r="C3" s="103"/>
      <c r="D3" s="103"/>
      <c r="E3" s="103" t="s">
        <v>1096</v>
      </c>
      <c r="F3" s="106"/>
      <c r="G3" s="104"/>
      <c r="H3" s="104"/>
      <c r="I3" s="104"/>
      <c r="J3" s="104"/>
    </row>
    <row r="4" spans="1:10">
      <c r="A4" s="107"/>
      <c r="B4" s="107"/>
      <c r="C4" s="107"/>
      <c r="D4" s="107"/>
      <c r="E4" s="108" t="s">
        <v>27</v>
      </c>
      <c r="F4" s="109" t="s">
        <v>28</v>
      </c>
      <c r="G4" s="109"/>
      <c r="H4" s="112" t="s">
        <v>29</v>
      </c>
      <c r="I4" s="112"/>
      <c r="J4" s="142"/>
    </row>
    <row r="5" spans="1:10">
      <c r="A5" s="114"/>
      <c r="B5" s="114"/>
      <c r="C5" s="114"/>
      <c r="D5" s="114"/>
      <c r="E5" s="115" t="s">
        <v>30</v>
      </c>
      <c r="F5" s="116" t="s">
        <v>31</v>
      </c>
      <c r="G5" s="116"/>
      <c r="H5" s="112" t="s">
        <v>32</v>
      </c>
      <c r="I5" s="159"/>
      <c r="J5" s="142"/>
    </row>
    <row r="6" spans="1:10">
      <c r="A6" s="265"/>
      <c r="B6" s="265"/>
      <c r="C6" s="265"/>
      <c r="D6" s="265"/>
      <c r="E6" s="3" t="s">
        <v>1097</v>
      </c>
      <c r="F6" s="87" t="s">
        <v>1098</v>
      </c>
      <c r="G6" s="87" t="s">
        <v>1099</v>
      </c>
      <c r="H6" s="88" t="s">
        <v>1100</v>
      </c>
      <c r="I6" s="88" t="s">
        <v>1101</v>
      </c>
      <c r="J6" s="89" t="s">
        <v>1102</v>
      </c>
    </row>
    <row r="7" spans="1:10" ht="69">
      <c r="A7" s="266" t="s">
        <v>174</v>
      </c>
      <c r="B7" s="266"/>
      <c r="C7" s="266"/>
      <c r="D7" s="266"/>
      <c r="E7" s="93" t="s">
        <v>1103</v>
      </c>
      <c r="F7" s="93" t="s">
        <v>1104</v>
      </c>
      <c r="G7" s="93" t="s">
        <v>1105</v>
      </c>
      <c r="H7" s="93" t="s">
        <v>1106</v>
      </c>
      <c r="I7" s="93" t="s">
        <v>1107</v>
      </c>
      <c r="J7" s="93" t="s">
        <v>1108</v>
      </c>
    </row>
    <row r="8" spans="1:10" ht="60">
      <c r="A8" s="265" t="s">
        <v>54</v>
      </c>
      <c r="B8" s="265"/>
      <c r="C8" s="265"/>
      <c r="D8" s="265"/>
      <c r="E8" s="121" t="s">
        <v>1109</v>
      </c>
      <c r="F8" s="94" t="s">
        <v>1110</v>
      </c>
      <c r="G8" s="94" t="s">
        <v>1111</v>
      </c>
      <c r="H8" s="94" t="s">
        <v>1112</v>
      </c>
      <c r="I8" s="94" t="s">
        <v>1113</v>
      </c>
      <c r="J8" s="94" t="s">
        <v>1114</v>
      </c>
    </row>
    <row r="9" spans="1:10" ht="132">
      <c r="A9" s="265" t="s">
        <v>65</v>
      </c>
      <c r="B9" s="265"/>
      <c r="C9" s="265"/>
      <c r="D9" s="265"/>
      <c r="E9" s="121" t="s">
        <v>1115</v>
      </c>
      <c r="F9" s="94" t="s">
        <v>1116</v>
      </c>
      <c r="G9" s="94" t="s">
        <v>1117</v>
      </c>
      <c r="H9" s="94" t="s">
        <v>1118</v>
      </c>
      <c r="I9" s="94" t="s">
        <v>1119</v>
      </c>
      <c r="J9" s="94" t="s">
        <v>1120</v>
      </c>
    </row>
    <row r="10" spans="1:10" ht="216">
      <c r="A10" s="118" t="s">
        <v>76</v>
      </c>
      <c r="B10" s="118"/>
      <c r="C10" s="118"/>
      <c r="D10" s="118"/>
      <c r="E10" s="94" t="s">
        <v>1121</v>
      </c>
      <c r="F10" s="94" t="s">
        <v>1122</v>
      </c>
      <c r="G10" s="94" t="s">
        <v>1123</v>
      </c>
      <c r="H10" s="94" t="s">
        <v>1124</v>
      </c>
      <c r="I10" s="94" t="s">
        <v>1125</v>
      </c>
      <c r="J10" s="94" t="s">
        <v>1126</v>
      </c>
    </row>
    <row r="11" spans="1:10" ht="120">
      <c r="A11" s="268" t="s">
        <v>86</v>
      </c>
      <c r="B11" s="268"/>
      <c r="C11" s="268"/>
      <c r="D11" s="268"/>
      <c r="E11" s="94"/>
      <c r="F11" s="94" t="s">
        <v>1127</v>
      </c>
      <c r="G11" s="94" t="s">
        <v>1128</v>
      </c>
      <c r="H11" s="94" t="s">
        <v>1129</v>
      </c>
      <c r="I11" s="94" t="s">
        <v>1130</v>
      </c>
      <c r="J11" s="94" t="s">
        <v>1131</v>
      </c>
    </row>
    <row r="12" spans="1:10" ht="36">
      <c r="F12" s="269" t="s">
        <v>1132</v>
      </c>
      <c r="G12" s="270"/>
      <c r="H12" s="269" t="s">
        <v>1133</v>
      </c>
      <c r="I12" s="270"/>
      <c r="J12" s="269" t="s">
        <v>1134</v>
      </c>
    </row>
    <row r="13" spans="1:10" ht="36">
      <c r="F13" s="269" t="s">
        <v>1135</v>
      </c>
      <c r="G13" s="270"/>
      <c r="H13" s="270"/>
      <c r="I13" s="270"/>
      <c r="J13" s="270"/>
    </row>
    <row r="15" spans="1:10" customFormat="1">
      <c r="A15" t="s">
        <v>96</v>
      </c>
      <c r="B15" t="s">
        <v>97</v>
      </c>
      <c r="C15" t="s">
        <v>98</v>
      </c>
      <c r="D15" s="327" t="s">
        <v>99</v>
      </c>
      <c r="E15" s="14" t="s">
        <v>1097</v>
      </c>
      <c r="F15" s="14" t="s">
        <v>1098</v>
      </c>
      <c r="G15" s="14" t="s">
        <v>1099</v>
      </c>
      <c r="H15" s="14" t="s">
        <v>1100</v>
      </c>
      <c r="I15" s="14" t="s">
        <v>1101</v>
      </c>
      <c r="J15" s="14" t="s">
        <v>1102</v>
      </c>
    </row>
    <row r="16" spans="1:10">
      <c r="A16" t="s">
        <v>100</v>
      </c>
      <c r="B16" s="15" t="s">
        <v>97</v>
      </c>
      <c r="C16"/>
      <c r="D16"/>
      <c r="E16" t="s">
        <v>101</v>
      </c>
      <c r="F16"/>
      <c r="G16" t="s">
        <v>101</v>
      </c>
      <c r="H16" t="s">
        <v>101</v>
      </c>
      <c r="I16"/>
      <c r="J16" t="s">
        <v>101</v>
      </c>
    </row>
    <row r="17" spans="1:10">
      <c r="A17" t="s">
        <v>100</v>
      </c>
      <c r="B17" s="15" t="s">
        <v>97</v>
      </c>
      <c r="C17" s="15" t="str">
        <f>HYPERLINK("02-项目级\P3-主从数据库复制及性能提升项目\01-生存周期\03-项目策划\03-项目计划书 (QCUBIC-XNTS-PLAN-Plan)V1.1-engl.docx", "engl")</f>
        <v>engl</v>
      </c>
      <c r="D17"/>
      <c r="E17" t="s">
        <v>101</v>
      </c>
      <c r="F17" t="s">
        <v>101</v>
      </c>
      <c r="G17"/>
      <c r="H17"/>
      <c r="I17"/>
      <c r="J17"/>
    </row>
    <row r="18" spans="1:10">
      <c r="A18" t="s">
        <v>100</v>
      </c>
      <c r="B18" s="15" t="s">
        <v>97</v>
      </c>
      <c r="C18" s="15" t="str">
        <f>HYPERLINK("02-项目级\P1-Qcubic数据库管理工具 V1.0\01-生存周期\03-项目策划\03-项目计划书 (QCUBIC-SJKGL-PLAN-Plan)V1.1-engl.docx", "engl")</f>
        <v>engl</v>
      </c>
      <c r="D18"/>
      <c r="E18" t="s">
        <v>101</v>
      </c>
      <c r="F18" t="s">
        <v>101</v>
      </c>
      <c r="G18"/>
      <c r="H18"/>
      <c r="I18"/>
      <c r="J18"/>
    </row>
    <row r="19" spans="1:10">
      <c r="A19" t="s">
        <v>100</v>
      </c>
      <c r="B19" s="15" t="s">
        <v>97</v>
      </c>
      <c r="C19" s="15" t="str">
        <f>HYPERLINK("02-项目级\P2-Qcubic to MySQL数据同步工具 V1.0\01-生存周期\03-项目策划\03-项目计划书 (QCUBIC-SJTB-PLAN-Plan)V1.0-engl.docx", "engl")</f>
        <v>engl</v>
      </c>
      <c r="D19"/>
      <c r="E19" t="s">
        <v>101</v>
      </c>
      <c r="F19" t="s">
        <v>101</v>
      </c>
      <c r="G19"/>
      <c r="H19"/>
      <c r="I19"/>
      <c r="J19"/>
    </row>
    <row r="20" spans="1:10">
      <c r="A20" t="s">
        <v>100</v>
      </c>
      <c r="B20" s="15" t="s">
        <v>97</v>
      </c>
      <c r="C20" s="15" t="str">
        <f>HYPERLINK("01-组织级\02-组织工作库\02-EPG活动库\03-过程改进计划\过程改进计划(QCUBIC-SPI-PIM-PIPlan)V1.2-engl.docx", "engl")</f>
        <v>engl</v>
      </c>
      <c r="D20"/>
      <c r="E20"/>
      <c r="F20" t="s">
        <v>101</v>
      </c>
      <c r="G20"/>
      <c r="H20"/>
      <c r="I20"/>
      <c r="J20"/>
    </row>
    <row r="21" spans="1:10">
      <c r="A21" t="s">
        <v>100</v>
      </c>
      <c r="B21" s="15" t="s">
        <v>97</v>
      </c>
      <c r="C21" s="15" t="str">
        <f>HYPERLINK("01-组织级\02-组织工作库\03-PQA活动库\组织级不符合项管理表(QCUBIC-SPI-PQA-NCList)V1.2-engl.xlsx", "engl")</f>
        <v>engl</v>
      </c>
      <c r="D21"/>
      <c r="E21"/>
      <c r="F21"/>
      <c r="G21" t="s">
        <v>101</v>
      </c>
      <c r="H21"/>
      <c r="I21" t="s">
        <v>101</v>
      </c>
      <c r="J21"/>
    </row>
    <row r="22" spans="1:10">
      <c r="A22" t="s">
        <v>100</v>
      </c>
      <c r="B22" s="15" t="s">
        <v>97</v>
      </c>
      <c r="C22" s="15" t="str">
        <f>HYPERLINK("01-组织级\02-组织工作库\06-度量\组织度量表(QCUBIC-SPI-MPM-Tem-datasheet)V1.3-engl.xlsx", "engl")</f>
        <v>engl</v>
      </c>
      <c r="D22"/>
      <c r="E22"/>
      <c r="F22"/>
      <c r="G22"/>
      <c r="H22"/>
      <c r="I22" t="s">
        <v>101</v>
      </c>
      <c r="J22"/>
    </row>
    <row r="23" spans="1:10">
      <c r="A23" t="s">
        <v>100</v>
      </c>
      <c r="B23" s="15" t="s">
        <v>97</v>
      </c>
      <c r="C23" s="15" t="str">
        <f>HYPERLINK("01-组织级\02-组织工作库\02-EPG活动库\过程改进总结报告-engl.pptx", "engl")</f>
        <v>engl</v>
      </c>
      <c r="D23"/>
      <c r="E23"/>
      <c r="F23"/>
      <c r="G23"/>
      <c r="H23"/>
      <c r="I23" t="s">
        <v>101</v>
      </c>
      <c r="J23"/>
    </row>
    <row r="24" spans="1:10">
      <c r="A24" t="s">
        <v>100</v>
      </c>
      <c r="B24" s="15" t="s">
        <v>97</v>
      </c>
      <c r="C24" s="15" t="str">
        <f>HYPERLINK("01-组织级\02-组织工作库\02-EPG活动库\07-EPG跟踪\05-过程改进建议表\过程改进建议表(QCUBIC-SPI-PIM-SPIAdvic)V1.2-engl.xlsx", "engl")</f>
        <v>engl</v>
      </c>
      <c r="D24"/>
      <c r="E24"/>
      <c r="F24"/>
      <c r="G24"/>
      <c r="H24"/>
      <c r="I24"/>
      <c r="J24" t="s">
        <v>101</v>
      </c>
    </row>
  </sheetData>
  <phoneticPr fontId="61"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P26"/>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19" customWidth="1"/>
    <col min="2" max="4" width="7.88671875" style="119" customWidth="1"/>
    <col min="5" max="6" width="27.6640625" style="119" customWidth="1"/>
    <col min="7" max="12" width="27.6640625" style="104" customWidth="1"/>
    <col min="13" max="13" width="17.44140625" style="104" customWidth="1"/>
    <col min="14" max="14" width="3.6640625" style="104" customWidth="1"/>
    <col min="15" max="15" width="34.88671875" style="104" bestFit="1" customWidth="1"/>
    <col min="16" max="16" width="98.109375" style="103" customWidth="1"/>
    <col min="17" max="17" width="18.6640625" style="119" customWidth="1"/>
    <col min="18" max="16384" width="8.6640625" style="119"/>
  </cols>
  <sheetData>
    <row r="1" spans="1:12" s="103" customFormat="1" ht="18">
      <c r="A1" s="101" t="s">
        <v>1136</v>
      </c>
      <c r="B1" s="101"/>
      <c r="C1" s="101"/>
      <c r="D1" s="101"/>
      <c r="E1" s="102"/>
      <c r="G1" s="104"/>
      <c r="H1" s="104"/>
      <c r="I1" s="104"/>
      <c r="J1" s="104"/>
      <c r="K1" s="104"/>
      <c r="L1" s="104"/>
    </row>
    <row r="2" spans="1:12" s="103" customFormat="1">
      <c r="A2" s="106" t="s">
        <v>1137</v>
      </c>
      <c r="B2" s="106"/>
      <c r="C2" s="106"/>
      <c r="D2" s="106"/>
      <c r="E2" s="103" t="s">
        <v>1138</v>
      </c>
      <c r="G2" s="104"/>
      <c r="H2" s="104"/>
      <c r="I2" s="104"/>
      <c r="J2" s="104"/>
      <c r="K2" s="104"/>
      <c r="L2" s="104"/>
    </row>
    <row r="3" spans="1:12" s="103" customFormat="1">
      <c r="A3" s="103" t="s">
        <v>1139</v>
      </c>
      <c r="E3" s="103" t="s">
        <v>1140</v>
      </c>
      <c r="G3" s="104"/>
      <c r="H3" s="104"/>
      <c r="I3" s="104"/>
      <c r="J3" s="104"/>
      <c r="K3" s="104"/>
      <c r="L3" s="104"/>
    </row>
    <row r="4" spans="1:12" s="103" customFormat="1" ht="14.4">
      <c r="A4" s="107"/>
      <c r="B4" s="107"/>
      <c r="C4" s="107"/>
      <c r="D4" s="107"/>
      <c r="E4" s="108" t="s">
        <v>27</v>
      </c>
      <c r="F4" s="109" t="s">
        <v>28</v>
      </c>
      <c r="G4" s="109"/>
      <c r="H4" s="110"/>
      <c r="I4" s="109"/>
      <c r="J4" s="112" t="s">
        <v>29</v>
      </c>
      <c r="K4" s="142"/>
      <c r="L4" s="162" t="s">
        <v>371</v>
      </c>
    </row>
    <row r="5" spans="1:12" s="103" customFormat="1">
      <c r="A5" s="114"/>
      <c r="B5" s="114"/>
      <c r="C5" s="114"/>
      <c r="D5" s="114"/>
      <c r="E5" s="115" t="s">
        <v>30</v>
      </c>
      <c r="F5" s="116" t="s">
        <v>31</v>
      </c>
      <c r="G5" s="116"/>
      <c r="H5" s="110"/>
      <c r="I5" s="116"/>
      <c r="J5" s="112" t="s">
        <v>32</v>
      </c>
      <c r="K5" s="142"/>
      <c r="L5" s="163" t="s">
        <v>372</v>
      </c>
    </row>
    <row r="6" spans="1:12" s="103" customFormat="1">
      <c r="A6" s="265"/>
      <c r="B6" s="265"/>
      <c r="C6" s="265"/>
      <c r="D6" s="265"/>
      <c r="E6" s="3" t="s">
        <v>1141</v>
      </c>
      <c r="F6" s="87" t="s">
        <v>1142</v>
      </c>
      <c r="G6" s="87" t="s">
        <v>1143</v>
      </c>
      <c r="H6" s="87" t="s">
        <v>1144</v>
      </c>
      <c r="I6" s="87" t="s">
        <v>1145</v>
      </c>
      <c r="J6" s="88" t="s">
        <v>1146</v>
      </c>
      <c r="K6" s="88" t="s">
        <v>1147</v>
      </c>
      <c r="L6" s="165" t="s">
        <v>1148</v>
      </c>
    </row>
    <row r="7" spans="1:12" s="103" customFormat="1" ht="118.35" customHeight="1">
      <c r="A7" s="266" t="s">
        <v>174</v>
      </c>
      <c r="B7" s="266"/>
      <c r="C7" s="266"/>
      <c r="D7" s="266"/>
      <c r="E7" s="93" t="s">
        <v>1149</v>
      </c>
      <c r="F7" s="93" t="s">
        <v>1150</v>
      </c>
      <c r="G7" s="93" t="s">
        <v>1151</v>
      </c>
      <c r="H7" s="93" t="s">
        <v>1152</v>
      </c>
      <c r="I7" s="93" t="s">
        <v>1153</v>
      </c>
      <c r="J7" s="93" t="s">
        <v>1154</v>
      </c>
      <c r="K7" s="93" t="s">
        <v>1155</v>
      </c>
      <c r="L7" s="93" t="s">
        <v>1156</v>
      </c>
    </row>
    <row r="8" spans="1:12" s="103" customFormat="1" ht="96.6">
      <c r="A8" s="265" t="s">
        <v>54</v>
      </c>
      <c r="B8" s="265"/>
      <c r="C8" s="265"/>
      <c r="D8" s="265"/>
      <c r="E8" s="98" t="s">
        <v>1157</v>
      </c>
      <c r="F8" s="98" t="s">
        <v>1158</v>
      </c>
      <c r="G8" s="98" t="s">
        <v>1159</v>
      </c>
      <c r="H8" s="98" t="s">
        <v>1160</v>
      </c>
      <c r="I8" s="98" t="s">
        <v>1161</v>
      </c>
      <c r="J8" s="98" t="s">
        <v>1162</v>
      </c>
      <c r="K8" s="99" t="s">
        <v>1163</v>
      </c>
      <c r="L8" s="121" t="s">
        <v>1164</v>
      </c>
    </row>
    <row r="9" spans="1:12" s="103" customFormat="1" ht="192">
      <c r="A9" s="265" t="s">
        <v>65</v>
      </c>
      <c r="B9" s="265"/>
      <c r="C9" s="265"/>
      <c r="D9" s="265"/>
      <c r="E9" s="94" t="s">
        <v>1165</v>
      </c>
      <c r="F9" s="94" t="s">
        <v>1166</v>
      </c>
      <c r="G9" s="94" t="s">
        <v>1167</v>
      </c>
      <c r="H9" s="94" t="s">
        <v>1168</v>
      </c>
      <c r="I9" s="94" t="s">
        <v>1169</v>
      </c>
      <c r="J9" s="94" t="s">
        <v>1170</v>
      </c>
      <c r="K9" s="94" t="s">
        <v>1171</v>
      </c>
      <c r="L9" s="94" t="s">
        <v>1172</v>
      </c>
    </row>
    <row r="10" spans="1:12" s="103" customFormat="1" ht="303.60000000000002">
      <c r="A10" s="118" t="s">
        <v>76</v>
      </c>
      <c r="B10" s="160"/>
      <c r="C10" s="160"/>
      <c r="D10" s="160"/>
      <c r="E10" s="271" t="s">
        <v>1173</v>
      </c>
      <c r="F10" s="271" t="s">
        <v>1174</v>
      </c>
      <c r="G10" s="271" t="s">
        <v>1175</v>
      </c>
      <c r="H10" s="272" t="s">
        <v>1176</v>
      </c>
      <c r="I10" s="271" t="s">
        <v>1177</v>
      </c>
      <c r="J10" s="272" t="s">
        <v>1178</v>
      </c>
      <c r="K10" s="272" t="s">
        <v>1179</v>
      </c>
      <c r="L10" s="273" t="s">
        <v>1180</v>
      </c>
    </row>
    <row r="11" spans="1:12" s="103" customFormat="1" ht="303.60000000000002">
      <c r="A11" s="268" t="s">
        <v>86</v>
      </c>
      <c r="B11" s="268"/>
      <c r="C11" s="268"/>
      <c r="D11" s="268"/>
      <c r="E11" s="98" t="s">
        <v>1181</v>
      </c>
      <c r="F11" s="273" t="s">
        <v>1182</v>
      </c>
      <c r="G11" s="273" t="s">
        <v>1183</v>
      </c>
      <c r="H11" s="273" t="s">
        <v>1184</v>
      </c>
      <c r="I11" s="273" t="s">
        <v>1185</v>
      </c>
      <c r="J11" s="273" t="s">
        <v>1186</v>
      </c>
      <c r="K11" s="273" t="s">
        <v>1187</v>
      </c>
      <c r="L11" s="273" t="s">
        <v>1188</v>
      </c>
    </row>
    <row r="12" spans="1:12" s="113" customFormat="1" ht="14.4">
      <c r="A12" s="119"/>
      <c r="B12" s="119"/>
      <c r="C12" s="119"/>
      <c r="D12" s="119"/>
      <c r="E12" s="119"/>
      <c r="F12" s="119"/>
      <c r="G12" s="104"/>
      <c r="H12" s="104"/>
      <c r="I12" s="104"/>
      <c r="J12" s="104"/>
      <c r="K12" s="104"/>
      <c r="L12" s="104"/>
    </row>
    <row r="13" spans="1:12" s="113" customFormat="1" ht="14.4">
      <c r="A13" s="119"/>
      <c r="B13" s="119"/>
      <c r="C13" s="119"/>
      <c r="D13" s="119"/>
      <c r="E13" s="119"/>
      <c r="F13" s="119"/>
      <c r="G13" s="104"/>
      <c r="H13" s="104"/>
      <c r="I13" s="104"/>
      <c r="J13" s="104"/>
      <c r="K13" s="104"/>
      <c r="L13" s="104"/>
    </row>
    <row r="14" spans="1:12" s="113" customFormat="1" ht="14.4">
      <c r="A14" s="119"/>
      <c r="B14" s="119"/>
      <c r="C14" s="119"/>
      <c r="D14" s="119"/>
      <c r="E14" s="119"/>
      <c r="F14" s="119"/>
      <c r="G14" s="104"/>
      <c r="H14" s="104"/>
      <c r="I14" s="104"/>
      <c r="J14" s="104"/>
      <c r="K14" s="104"/>
      <c r="L14" s="104"/>
    </row>
    <row r="15" spans="1:12" customFormat="1" ht="14.4">
      <c r="A15" t="s">
        <v>96</v>
      </c>
      <c r="B15" t="s">
        <v>97</v>
      </c>
      <c r="C15" t="s">
        <v>98</v>
      </c>
      <c r="D15" s="327" t="s">
        <v>99</v>
      </c>
      <c r="E15" s="14" t="s">
        <v>1141</v>
      </c>
      <c r="F15" s="14" t="s">
        <v>1142</v>
      </c>
      <c r="G15" s="14" t="s">
        <v>1143</v>
      </c>
      <c r="H15" s="14" t="s">
        <v>1144</v>
      </c>
      <c r="I15" s="14" t="s">
        <v>1145</v>
      </c>
      <c r="J15" s="14" t="s">
        <v>1146</v>
      </c>
      <c r="K15" s="14" t="s">
        <v>1147</v>
      </c>
      <c r="L15" s="14" t="s">
        <v>1148</v>
      </c>
    </row>
    <row r="16" spans="1:12" s="113" customFormat="1" ht="14.4">
      <c r="A16" t="s">
        <v>100</v>
      </c>
      <c r="B16" s="15" t="s">
        <v>97</v>
      </c>
      <c r="C16" s="15" t="str">
        <f>HYPERLINK("01-组织级\01-组织财富库\01-标准过程文件库\04-组织过程类\02-过程资产管理\组织方针 (QCUBIC-SPI-OPAL-Ply-Doc)V1.2-engl.docx", "engl")</f>
        <v>engl</v>
      </c>
      <c r="D16"/>
      <c r="E16" t="s">
        <v>101</v>
      </c>
      <c r="F16" t="s">
        <v>101</v>
      </c>
      <c r="G16"/>
      <c r="H16"/>
      <c r="I16"/>
      <c r="J16"/>
      <c r="K16"/>
      <c r="L16"/>
    </row>
    <row r="17" spans="1:12" s="113" customFormat="1" ht="14.4">
      <c r="A17" t="s">
        <v>100</v>
      </c>
      <c r="B17" s="15" t="s">
        <v>97</v>
      </c>
      <c r="C17" s="15" t="str">
        <f>HYPERLINK("01-组织级\02-组织工作库\02-EPG活动库\03-过程改进计划\过程改进计划(QCUBIC-SPI-PIM-PIPlan)V1.2-engl.docx", "engl")</f>
        <v>engl</v>
      </c>
      <c r="D17"/>
      <c r="E17"/>
      <c r="F17"/>
      <c r="G17" t="s">
        <v>101</v>
      </c>
      <c r="H17"/>
      <c r="I17"/>
      <c r="J17"/>
      <c r="K17"/>
      <c r="L17"/>
    </row>
    <row r="18" spans="1:12" s="113" customFormat="1" ht="14.4">
      <c r="A18" t="s">
        <v>100</v>
      </c>
      <c r="B18" s="15" t="s">
        <v>97</v>
      </c>
      <c r="C18" s="15" t="str">
        <f>HYPERLINK("01-组织级\02-组织工作库\05-OT培训库\01_公司级培训\03_2022年培训计划\02_年度培训计划\2022培训课程表(ORG_OT_TraininCNSchedule)V1.0-engl.xlsx", "engl")</f>
        <v>engl</v>
      </c>
      <c r="D18"/>
      <c r="E18"/>
      <c r="F18"/>
      <c r="G18" t="s">
        <v>101</v>
      </c>
      <c r="H18"/>
      <c r="I18"/>
      <c r="J18"/>
      <c r="K18"/>
      <c r="L18"/>
    </row>
    <row r="19" spans="1:12" s="113" customFormat="1" ht="14.4">
      <c r="A19" t="s">
        <v>100</v>
      </c>
      <c r="B19" s="15" t="s">
        <v>97</v>
      </c>
      <c r="C19"/>
      <c r="D19"/>
      <c r="E19"/>
      <c r="F19"/>
      <c r="G19" t="s">
        <v>101</v>
      </c>
      <c r="H19"/>
      <c r="I19"/>
      <c r="J19"/>
      <c r="K19"/>
      <c r="L19"/>
    </row>
    <row r="20" spans="1:12" s="113" customFormat="1" ht="14.4">
      <c r="A20" t="s">
        <v>100</v>
      </c>
      <c r="B20" s="15" t="s">
        <v>97</v>
      </c>
      <c r="C20"/>
      <c r="D20"/>
      <c r="E20"/>
      <c r="F20"/>
      <c r="G20" t="s">
        <v>101</v>
      </c>
      <c r="H20"/>
      <c r="I20"/>
      <c r="J20"/>
      <c r="K20"/>
      <c r="L20"/>
    </row>
    <row r="21" spans="1:12" s="113" customFormat="1" ht="14.4">
      <c r="A21" t="s">
        <v>100</v>
      </c>
      <c r="B21" s="15" t="s">
        <v>97</v>
      </c>
      <c r="C21"/>
      <c r="D21"/>
      <c r="E21"/>
      <c r="F21"/>
      <c r="G21"/>
      <c r="H21" t="s">
        <v>101</v>
      </c>
      <c r="I21" t="s">
        <v>101</v>
      </c>
      <c r="J21"/>
      <c r="K21"/>
      <c r="L21"/>
    </row>
    <row r="22" spans="1:12" s="113" customFormat="1" ht="14.4">
      <c r="A22" t="s">
        <v>100</v>
      </c>
      <c r="B22" s="15" t="s">
        <v>97</v>
      </c>
      <c r="C22" s="15" t="str">
        <f>HYPERLINK("01-组织级\02-组织工作库\02-EPG活动库\过程改进总结报告-engl.pptx", "engl")</f>
        <v>engl</v>
      </c>
      <c r="D22"/>
      <c r="E22"/>
      <c r="F22"/>
      <c r="G22"/>
      <c r="H22" t="s">
        <v>101</v>
      </c>
      <c r="I22" t="s">
        <v>101</v>
      </c>
      <c r="J22"/>
      <c r="K22" t="s">
        <v>101</v>
      </c>
      <c r="L22"/>
    </row>
    <row r="23" spans="1:12" s="113" customFormat="1" ht="14.4">
      <c r="A23" t="s">
        <v>100</v>
      </c>
      <c r="B23" s="15" t="s">
        <v>97</v>
      </c>
      <c r="C23" s="15" t="str">
        <f>HYPERLINK("01-组织级\02-组织工作库\02-EPG活动库\07-EPG跟踪\06-过程改进里程碑\过程改进里程碑报告(ORG_PCM_Milestone_20220628)V1.0-engl.docx", "engl")</f>
        <v>engl</v>
      </c>
      <c r="D23"/>
      <c r="E23"/>
      <c r="F23"/>
      <c r="G23"/>
      <c r="H23" t="s">
        <v>101</v>
      </c>
      <c r="I23" t="s">
        <v>101</v>
      </c>
      <c r="J23"/>
      <c r="K23"/>
      <c r="L23"/>
    </row>
    <row r="24" spans="1:12" s="113" customFormat="1" ht="14.4">
      <c r="A24" t="s">
        <v>100</v>
      </c>
      <c r="B24" s="15" t="s">
        <v>97</v>
      </c>
      <c r="C24" s="15" t="str">
        <f>HYPERLINK("01-组织级\02-组织工作库\06-度量\组织度量表(QCUBIC-SPI-MPM-Tem-datasheet)V1.3-engl.xlsx", "engl")</f>
        <v>engl</v>
      </c>
      <c r="D24"/>
      <c r="E24"/>
      <c r="F24"/>
      <c r="G24"/>
      <c r="H24" t="s">
        <v>101</v>
      </c>
      <c r="I24" t="s">
        <v>101</v>
      </c>
      <c r="J24" t="s">
        <v>101</v>
      </c>
      <c r="K24" t="s">
        <v>101</v>
      </c>
      <c r="L24"/>
    </row>
    <row r="25" spans="1:12" s="113" customFormat="1" ht="14.4">
      <c r="A25" t="s">
        <v>100</v>
      </c>
      <c r="B25" s="15" t="s">
        <v>97</v>
      </c>
      <c r="C25" s="15" t="str">
        <f>HYPERLINK("01-组织级\02-组织工作库\06-度量\组织度量计划(QCUBIC-SPI-MPM-Plan)V1.3-engl.xlsx", "engl")</f>
        <v>engl</v>
      </c>
      <c r="D25"/>
      <c r="E25"/>
      <c r="F25"/>
      <c r="G25"/>
      <c r="H25" t="s">
        <v>101</v>
      </c>
      <c r="I25" t="s">
        <v>101</v>
      </c>
      <c r="J25" t="s">
        <v>101</v>
      </c>
      <c r="K25" t="s">
        <v>101</v>
      </c>
      <c r="L25"/>
    </row>
    <row r="26" spans="1:12" s="113" customFormat="1" ht="14.4">
      <c r="A26" t="s">
        <v>100</v>
      </c>
      <c r="B26" s="15" t="s">
        <v>97</v>
      </c>
      <c r="C26" s="15" t="str">
        <f>HYPERLINK("01-组织级\02-组织工作库\03-PQA活动库\组织级的质量保证计划(QCUBIC-SPI-PQA-OQAPlan)V1.4-engl.xlsx", "engl")</f>
        <v>engl</v>
      </c>
      <c r="D26"/>
      <c r="E26"/>
      <c r="F26"/>
      <c r="G26"/>
      <c r="H26"/>
      <c r="I26" t="s">
        <v>101</v>
      </c>
      <c r="J26"/>
      <c r="K26"/>
      <c r="L26"/>
    </row>
  </sheetData>
  <phoneticPr fontId="61"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P38"/>
  <sheetViews>
    <sheetView topLeftCell="A11" zoomScaleNormal="100" workbookViewId="0">
      <selection activeCell="C16" sqref="C16"/>
    </sheetView>
  </sheetViews>
  <sheetFormatPr defaultColWidth="14.6640625" defaultRowHeight="14.4"/>
  <cols>
    <col min="1" max="1" width="5.6640625" style="68" customWidth="1"/>
    <col min="2" max="3" width="14.6640625" style="68"/>
    <col min="4" max="4" width="6.33203125" style="68" customWidth="1"/>
    <col min="5" max="5" width="6" style="68" customWidth="1"/>
    <col min="6" max="7" width="14.6640625" style="68"/>
    <col min="8" max="8" width="6.44140625" style="68" customWidth="1"/>
    <col min="9" max="9" width="5.6640625" style="68" customWidth="1"/>
    <col min="10" max="16384" width="14.6640625" style="68"/>
  </cols>
  <sheetData>
    <row r="2" spans="1:16">
      <c r="B2" s="68" t="s">
        <v>1189</v>
      </c>
      <c r="C2" s="68" t="s">
        <v>1190</v>
      </c>
      <c r="E2" s="68" t="s">
        <v>1191</v>
      </c>
    </row>
    <row r="3" spans="1:16">
      <c r="B3" s="68" t="s">
        <v>1192</v>
      </c>
      <c r="C3" s="68" t="s">
        <v>1193</v>
      </c>
      <c r="E3" s="68" t="s">
        <v>1194</v>
      </c>
    </row>
    <row r="4" spans="1:16">
      <c r="B4" s="68" t="s">
        <v>1195</v>
      </c>
      <c r="C4" s="68" t="s">
        <v>1196</v>
      </c>
      <c r="E4" s="68" t="s">
        <v>1197</v>
      </c>
    </row>
    <row r="5" spans="1:16">
      <c r="B5" s="68" t="s">
        <v>1198</v>
      </c>
      <c r="C5" s="68" t="s">
        <v>1199</v>
      </c>
      <c r="E5" s="68" t="s">
        <v>1200</v>
      </c>
    </row>
    <row r="6" spans="1:16">
      <c r="B6" s="68" t="s">
        <v>1201</v>
      </c>
      <c r="C6" s="68" t="s">
        <v>1202</v>
      </c>
      <c r="E6" s="68" t="s">
        <v>1203</v>
      </c>
    </row>
    <row r="9" spans="1:16">
      <c r="B9" s="68" t="s">
        <v>1204</v>
      </c>
      <c r="C9" s="68" t="s">
        <v>1205</v>
      </c>
    </row>
    <row r="10" spans="1:16">
      <c r="B10" s="68" t="s">
        <v>1206</v>
      </c>
      <c r="C10" s="68" t="s">
        <v>1207</v>
      </c>
    </row>
    <row r="11" spans="1:16">
      <c r="B11" s="68" t="s">
        <v>1208</v>
      </c>
    </row>
    <row r="13" spans="1:16">
      <c r="A13" s="328"/>
      <c r="B13" s="328"/>
    </row>
    <row r="16" spans="1:16">
      <c r="A16">
        <v>1</v>
      </c>
      <c r="B16" t="s">
        <v>1209</v>
      </c>
      <c r="C16"/>
      <c r="D16" t="str">
        <f t="shared" ref="D16:D37" si="0">_xlfn.CONCAT(A16, ". ", B16)</f>
        <v>1. None</v>
      </c>
      <c r="E16">
        <v>1</v>
      </c>
      <c r="F16" t="s">
        <v>1209</v>
      </c>
      <c r="G16"/>
      <c r="H16" t="str">
        <f t="shared" ref="H16:H25" si="1">_xlfn.CONCAT(E16, ". ", F16)</f>
        <v>1. None</v>
      </c>
      <c r="I16">
        <v>1</v>
      </c>
      <c r="J16" t="s">
        <v>1209</v>
      </c>
      <c r="K16"/>
      <c r="L16" t="str">
        <f t="shared" ref="L16:L25" si="2">_xlfn.CONCAT(I16, ". ", J16)</f>
        <v>1. None</v>
      </c>
      <c r="M16">
        <v>1</v>
      </c>
      <c r="N16" t="s">
        <v>1209</v>
      </c>
      <c r="O16"/>
      <c r="P16" t="str">
        <f>_xlfn.CONCAT(M16, ". ", N16)</f>
        <v>1. None</v>
      </c>
    </row>
    <row r="17" spans="1:16">
      <c r="A17">
        <v>2</v>
      </c>
      <c r="B17" t="s">
        <v>1210</v>
      </c>
      <c r="C17"/>
      <c r="D17" t="str">
        <f t="shared" si="0"/>
        <v>2. Pieter van Zyl</v>
      </c>
      <c r="E17">
        <v>2</v>
      </c>
      <c r="F17" t="s">
        <v>1211</v>
      </c>
      <c r="G17"/>
      <c r="H17" t="str">
        <f t="shared" si="1"/>
        <v>2. ATL</v>
      </c>
      <c r="I17">
        <v>2</v>
      </c>
      <c r="J17" t="s">
        <v>1212</v>
      </c>
      <c r="K17"/>
      <c r="L17" t="str">
        <f t="shared" si="2"/>
        <v>2. 30p</v>
      </c>
      <c r="M17">
        <v>2</v>
      </c>
      <c r="N17" t="s">
        <v>1213</v>
      </c>
      <c r="O17"/>
      <c r="P17" t="str">
        <f>_xlfn.CONCAT(M17, ". ", N17)</f>
        <v>2. Not started</v>
      </c>
    </row>
    <row r="18" spans="1:16">
      <c r="A18">
        <v>3</v>
      </c>
      <c r="B18" t="s">
        <v>1214</v>
      </c>
      <c r="C18"/>
      <c r="D18" t="str">
        <f t="shared" si="0"/>
        <v>3. Joan van Zyl</v>
      </c>
      <c r="E18">
        <v>3</v>
      </c>
      <c r="F18" t="s">
        <v>1215</v>
      </c>
      <c r="G18"/>
      <c r="H18" t="str">
        <f t="shared" si="1"/>
        <v>3. ATL Coordinator</v>
      </c>
      <c r="I18">
        <v>3</v>
      </c>
      <c r="J18" t="s">
        <v>1216</v>
      </c>
      <c r="K18"/>
      <c r="L18" t="str">
        <f t="shared" si="2"/>
        <v>3. 50p</v>
      </c>
      <c r="M18">
        <v>3</v>
      </c>
      <c r="N18" t="s">
        <v>1217</v>
      </c>
      <c r="O18"/>
      <c r="P18" t="str">
        <f>_xlfn.CONCAT(M18, ". ", N18)</f>
        <v>3. WIP</v>
      </c>
    </row>
    <row r="19" spans="1:16">
      <c r="A19">
        <v>4</v>
      </c>
      <c r="B19" t="s">
        <v>1218</v>
      </c>
      <c r="C19"/>
      <c r="D19" t="str">
        <f t="shared" si="0"/>
        <v>4. Jared Twigg</v>
      </c>
      <c r="E19">
        <v>4</v>
      </c>
      <c r="F19" t="s">
        <v>1219</v>
      </c>
      <c r="G19"/>
      <c r="H19" t="str">
        <f t="shared" si="1"/>
        <v>4. Sponsor</v>
      </c>
      <c r="I19">
        <v>4</v>
      </c>
      <c r="J19" t="s">
        <v>1220</v>
      </c>
      <c r="K19"/>
      <c r="L19" t="str">
        <f t="shared" si="2"/>
        <v>4. 90p</v>
      </c>
      <c r="M19">
        <v>4</v>
      </c>
      <c r="N19" t="s">
        <v>1221</v>
      </c>
      <c r="O19"/>
      <c r="P19" t="str">
        <f>_xlfn.CONCAT(M19, ". ", N19)</f>
        <v>4. Done</v>
      </c>
    </row>
    <row r="20" spans="1:16">
      <c r="A20">
        <v>5</v>
      </c>
      <c r="B20" t="s">
        <v>1222</v>
      </c>
      <c r="C20"/>
      <c r="D20" t="str">
        <f t="shared" si="0"/>
        <v>5. Marike Matthee</v>
      </c>
      <c r="E20">
        <v>5</v>
      </c>
      <c r="F20" t="s">
        <v>1223</v>
      </c>
      <c r="G20"/>
      <c r="H20" t="str">
        <f t="shared" si="1"/>
        <v>5. Scheduler</v>
      </c>
      <c r="I20">
        <v>5</v>
      </c>
      <c r="J20" t="s">
        <v>1224</v>
      </c>
      <c r="K20"/>
      <c r="L20" t="str">
        <f t="shared" si="2"/>
        <v>5. 100p</v>
      </c>
      <c r="M20"/>
      <c r="N20"/>
      <c r="O20"/>
      <c r="P20"/>
    </row>
    <row r="21" spans="1:16">
      <c r="A21">
        <v>6</v>
      </c>
      <c r="B21" t="s">
        <v>1225</v>
      </c>
      <c r="C21"/>
      <c r="D21" t="str">
        <f t="shared" si="0"/>
        <v>6. Melanie van Zyl</v>
      </c>
      <c r="E21">
        <v>6</v>
      </c>
      <c r="F21" t="s">
        <v>1226</v>
      </c>
      <c r="G21"/>
      <c r="H21" t="str">
        <f t="shared" si="1"/>
        <v>6. BPOC</v>
      </c>
      <c r="I21">
        <v>6</v>
      </c>
      <c r="J21" t="s">
        <v>1227</v>
      </c>
      <c r="K21"/>
      <c r="L21" t="str">
        <f t="shared" si="2"/>
        <v>6. 60d b4 p2</v>
      </c>
      <c r="M21"/>
      <c r="N21"/>
      <c r="O21"/>
      <c r="P21"/>
    </row>
    <row r="22" spans="1:16">
      <c r="A22">
        <v>7</v>
      </c>
      <c r="B22" t="s">
        <v>1228</v>
      </c>
      <c r="C22"/>
      <c r="D22" t="str">
        <f t="shared" si="0"/>
        <v>7. Bianca Coetzee</v>
      </c>
      <c r="E22">
        <v>7</v>
      </c>
      <c r="F22" t="s">
        <v>1229</v>
      </c>
      <c r="G22"/>
      <c r="H22" t="str">
        <f t="shared" si="1"/>
        <v>7. Translator</v>
      </c>
      <c r="I22">
        <v>7</v>
      </c>
      <c r="J22" t="s">
        <v>1230</v>
      </c>
      <c r="K22"/>
      <c r="L22" t="str">
        <f t="shared" si="2"/>
        <v>7. 40d b4 p2</v>
      </c>
      <c r="M22"/>
      <c r="N22"/>
      <c r="O22"/>
      <c r="P22"/>
    </row>
    <row r="23" spans="1:16">
      <c r="A23">
        <v>9</v>
      </c>
      <c r="B23" t="s">
        <v>1231</v>
      </c>
      <c r="C23"/>
      <c r="D23" t="str">
        <f t="shared" si="0"/>
        <v>9. Francois van Niekerk</v>
      </c>
      <c r="E23">
        <v>8</v>
      </c>
      <c r="F23" t="s">
        <v>1232</v>
      </c>
      <c r="G23"/>
      <c r="H23" t="str">
        <f t="shared" si="1"/>
        <v>8. ATM</v>
      </c>
      <c r="I23">
        <v>8</v>
      </c>
      <c r="J23" t="s">
        <v>1233</v>
      </c>
      <c r="K23"/>
      <c r="L23" t="str">
        <f t="shared" si="2"/>
        <v>8. Scope approval</v>
      </c>
      <c r="M23"/>
      <c r="N23"/>
      <c r="O23"/>
      <c r="P23"/>
    </row>
    <row r="24" spans="1:16">
      <c r="A24">
        <v>11</v>
      </c>
      <c r="B24" t="s">
        <v>1234</v>
      </c>
      <c r="C24"/>
      <c r="D24" t="str">
        <f t="shared" si="0"/>
        <v>11. Andries vd Walt</v>
      </c>
      <c r="E24">
        <v>9</v>
      </c>
      <c r="F24" t="s">
        <v>1235</v>
      </c>
      <c r="G24"/>
      <c r="H24" t="str">
        <f t="shared" si="1"/>
        <v>9. IPOC</v>
      </c>
      <c r="I24">
        <v>9</v>
      </c>
      <c r="J24" t="s">
        <v>1236</v>
      </c>
      <c r="K24"/>
      <c r="L24" t="str">
        <f t="shared" si="2"/>
        <v>9. Tech Test</v>
      </c>
      <c r="M24"/>
      <c r="N24"/>
      <c r="O24"/>
      <c r="P24"/>
    </row>
    <row r="25" spans="1:16">
      <c r="A25">
        <v>12</v>
      </c>
      <c r="B25" t="s">
        <v>1237</v>
      </c>
      <c r="C25"/>
      <c r="D25" t="str">
        <f t="shared" si="0"/>
        <v>12. Francina Botha</v>
      </c>
      <c r="E25">
        <v>10</v>
      </c>
      <c r="F25" t="s">
        <v>1238</v>
      </c>
      <c r="G25"/>
      <c r="H25" t="str">
        <f t="shared" si="1"/>
        <v>10. ATLC Leader</v>
      </c>
      <c r="I25">
        <v>10</v>
      </c>
      <c r="J25" t="s">
        <v>1239</v>
      </c>
      <c r="K25"/>
      <c r="L25" t="str">
        <f t="shared" si="2"/>
        <v>10. Final RR</v>
      </c>
      <c r="M25"/>
      <c r="N25"/>
      <c r="O25"/>
      <c r="P25"/>
    </row>
    <row r="26" spans="1:16">
      <c r="A26">
        <v>14</v>
      </c>
      <c r="B26" t="s">
        <v>1240</v>
      </c>
      <c r="C26"/>
      <c r="D26" t="str">
        <f t="shared" si="0"/>
        <v>14. Tony Gardiner</v>
      </c>
      <c r="E26"/>
      <c r="F26"/>
      <c r="G26"/>
      <c r="H26"/>
      <c r="I26"/>
      <c r="J26"/>
      <c r="K26"/>
      <c r="L26"/>
      <c r="M26"/>
      <c r="N26"/>
      <c r="O26"/>
      <c r="P26"/>
    </row>
    <row r="27" spans="1:16">
      <c r="A27">
        <v>15</v>
      </c>
      <c r="B27" t="s">
        <v>1241</v>
      </c>
      <c r="C27"/>
      <c r="D27" t="str">
        <f t="shared" si="0"/>
        <v>15. Elmo Scheffer</v>
      </c>
      <c r="E27"/>
      <c r="F27"/>
      <c r="G27"/>
      <c r="H27"/>
      <c r="I27"/>
      <c r="J27"/>
      <c r="K27"/>
      <c r="L27"/>
      <c r="M27"/>
      <c r="N27"/>
      <c r="O27"/>
      <c r="P27"/>
    </row>
    <row r="28" spans="1:16">
      <c r="A28">
        <v>16</v>
      </c>
      <c r="B28" t="s">
        <v>1242</v>
      </c>
      <c r="C28"/>
      <c r="D28" t="str">
        <f t="shared" si="0"/>
        <v>16. Pieter Roos</v>
      </c>
      <c r="E28"/>
      <c r="F28"/>
      <c r="G28"/>
      <c r="H28"/>
      <c r="I28"/>
      <c r="J28"/>
      <c r="K28"/>
      <c r="L28"/>
      <c r="M28"/>
      <c r="N28"/>
      <c r="O28"/>
      <c r="P28"/>
    </row>
    <row r="29" spans="1:16">
      <c r="A29">
        <v>17</v>
      </c>
      <c r="B29" t="s">
        <v>1243</v>
      </c>
      <c r="C29"/>
      <c r="D29" t="str">
        <f t="shared" si="0"/>
        <v>17. Barry Headland</v>
      </c>
      <c r="E29"/>
      <c r="F29"/>
      <c r="G29"/>
      <c r="H29"/>
      <c r="I29"/>
      <c r="J29"/>
      <c r="K29"/>
      <c r="L29"/>
      <c r="M29"/>
      <c r="N29"/>
      <c r="O29"/>
      <c r="P29"/>
    </row>
    <row r="30" spans="1:16">
      <c r="A30">
        <v>18</v>
      </c>
      <c r="B30" t="s">
        <v>1244</v>
      </c>
      <c r="C30"/>
      <c r="D30" t="str">
        <f t="shared" si="0"/>
        <v>18. Nigel Owen</v>
      </c>
      <c r="E30"/>
      <c r="F30"/>
      <c r="G30"/>
      <c r="H30"/>
      <c r="I30"/>
      <c r="J30"/>
      <c r="K30"/>
      <c r="L30"/>
      <c r="M30"/>
      <c r="N30"/>
      <c r="O30"/>
      <c r="P30"/>
    </row>
    <row r="31" spans="1:16">
      <c r="A31">
        <v>19</v>
      </c>
      <c r="B31" t="s">
        <v>1245</v>
      </c>
      <c r="C31"/>
      <c r="D31" t="str">
        <f t="shared" si="0"/>
        <v>19. Ria Fouche</v>
      </c>
      <c r="E31"/>
      <c r="F31"/>
      <c r="G31"/>
      <c r="H31"/>
      <c r="I31"/>
      <c r="J31"/>
      <c r="K31"/>
      <c r="L31"/>
      <c r="M31"/>
      <c r="N31"/>
      <c r="O31"/>
      <c r="P31"/>
    </row>
    <row r="32" spans="1:16">
      <c r="A32">
        <v>20</v>
      </c>
      <c r="B32" t="s">
        <v>1246</v>
      </c>
      <c r="C32"/>
      <c r="D32" t="str">
        <f t="shared" si="0"/>
        <v>20. Elsabie Koster</v>
      </c>
      <c r="E32"/>
      <c r="F32"/>
      <c r="G32"/>
      <c r="H32"/>
      <c r="I32"/>
      <c r="J32"/>
      <c r="K32"/>
      <c r="L32"/>
      <c r="M32"/>
      <c r="N32"/>
      <c r="O32"/>
      <c r="P32"/>
    </row>
    <row r="33" spans="1:4">
      <c r="A33">
        <v>21</v>
      </c>
      <c r="B33" t="s">
        <v>1247</v>
      </c>
      <c r="C33"/>
      <c r="D33" t="str">
        <f t="shared" si="0"/>
        <v>21. Lizwin Jacobs</v>
      </c>
    </row>
    <row r="34" spans="1:4">
      <c r="A34">
        <v>22</v>
      </c>
      <c r="B34" t="s">
        <v>1248</v>
      </c>
      <c r="C34"/>
      <c r="D34" t="str">
        <f t="shared" si="0"/>
        <v>22. Michael</v>
      </c>
    </row>
    <row r="35" spans="1:4">
      <c r="A35">
        <v>23</v>
      </c>
      <c r="B35" t="s">
        <v>1249</v>
      </c>
      <c r="C35"/>
      <c r="D35" t="str">
        <f t="shared" si="0"/>
        <v>23. Alice Erasmus</v>
      </c>
    </row>
    <row r="36" spans="1:4">
      <c r="A36">
        <v>24</v>
      </c>
      <c r="B36" t="s">
        <v>1250</v>
      </c>
      <c r="C36"/>
      <c r="D36" t="str">
        <f t="shared" si="0"/>
        <v>24. Sasha</v>
      </c>
    </row>
    <row r="37" spans="1:4">
      <c r="A37">
        <v>25</v>
      </c>
      <c r="B37" t="s">
        <v>1251</v>
      </c>
      <c r="C37"/>
      <c r="D37" t="str">
        <f t="shared" si="0"/>
        <v>25. Tembeka</v>
      </c>
    </row>
    <row r="38" spans="1:4">
      <c r="A38"/>
      <c r="B38"/>
      <c r="C38"/>
      <c r="D38"/>
    </row>
  </sheetData>
  <phoneticPr fontId="6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5:R11"/>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44140625" customWidth="1"/>
    <col min="9" max="9" width="13.44140625" style="284" customWidth="1"/>
    <col min="10" max="10" width="15.109375" style="284" customWidth="1"/>
    <col min="11" max="12" width="12" customWidth="1"/>
    <col min="13" max="18" width="9.21875" customWidth="1"/>
  </cols>
  <sheetData>
    <row r="5" spans="1:18" ht="15" thickBot="1">
      <c r="F5" t="s">
        <v>1252</v>
      </c>
      <c r="H5" s="286"/>
      <c r="I5" s="286"/>
      <c r="J5" s="286"/>
    </row>
    <row r="6" spans="1:18" ht="15" thickBot="1">
      <c r="B6" s="285"/>
      <c r="C6" s="285" t="s">
        <v>1253</v>
      </c>
      <c r="E6" s="285" t="s">
        <v>1254</v>
      </c>
      <c r="F6" s="285" t="s">
        <v>1255</v>
      </c>
      <c r="G6" s="285" t="s">
        <v>1256</v>
      </c>
      <c r="H6" s="286"/>
      <c r="I6" s="286"/>
      <c r="J6" s="286"/>
    </row>
    <row r="7" spans="1:18" s="283" customFormat="1" ht="28.8">
      <c r="A7" s="283" t="s">
        <v>1257</v>
      </c>
      <c r="B7" s="283" t="s">
        <v>1258</v>
      </c>
      <c r="C7" s="329" t="s">
        <v>1259</v>
      </c>
      <c r="D7" s="283" t="s">
        <v>1260</v>
      </c>
      <c r="E7" s="283" t="s">
        <v>1261</v>
      </c>
      <c r="F7" s="283" t="s">
        <v>1262</v>
      </c>
      <c r="G7" s="283" t="s">
        <v>1263</v>
      </c>
      <c r="H7" t="s">
        <v>1264</v>
      </c>
      <c r="I7" s="283" t="s">
        <v>1265</v>
      </c>
      <c r="J7" s="283" t="s">
        <v>1266</v>
      </c>
      <c r="K7" s="329" t="s">
        <v>1267</v>
      </c>
      <c r="M7" s="283" t="s">
        <v>1268</v>
      </c>
      <c r="N7" s="283" t="s">
        <v>1269</v>
      </c>
      <c r="O7" s="283" t="s">
        <v>1270</v>
      </c>
      <c r="P7" s="283" t="s">
        <v>1271</v>
      </c>
      <c r="Q7" s="283" t="s">
        <v>1272</v>
      </c>
      <c r="R7" s="283" t="s">
        <v>1273</v>
      </c>
    </row>
    <row r="8" spans="1:18">
      <c r="A8">
        <v>1</v>
      </c>
      <c r="B8" t="s">
        <v>1274</v>
      </c>
      <c r="C8" t="str">
        <f>VLOOKUP(N8,tbl_TaskCodeX,4,FALSE)</f>
        <v>3. 50p</v>
      </c>
      <c r="D8" t="s">
        <v>1275</v>
      </c>
      <c r="E8" t="str">
        <f>VLOOKUP(O8,tbl_TaskStatusX,4,FALSE)</f>
        <v>3. WIP</v>
      </c>
      <c r="F8" t="str">
        <f>VLOOKUP(P8,tbl_StaffX,4,FALSE)</f>
        <v>3. Joan van Zyl</v>
      </c>
      <c r="G8" t="str">
        <f>VLOOKUP(Q8,tbl_StaffRoleX,4,FALSE)</f>
        <v>2. ATL</v>
      </c>
      <c r="H8" s="287">
        <v>44768</v>
      </c>
      <c r="I8" s="287">
        <v>44782</v>
      </c>
      <c r="J8" s="287">
        <v>44796</v>
      </c>
      <c r="N8">
        <v>3</v>
      </c>
      <c r="O8">
        <v>3</v>
      </c>
      <c r="P8">
        <v>3</v>
      </c>
      <c r="Q8">
        <v>2</v>
      </c>
    </row>
    <row r="9" spans="1:18">
      <c r="A9">
        <v>2</v>
      </c>
      <c r="B9" t="s">
        <v>1276</v>
      </c>
      <c r="C9" t="str">
        <f>VLOOKUP(N9,tbl_TaskCodeX,4,FALSE)</f>
        <v>2. 30p</v>
      </c>
      <c r="D9" t="s">
        <v>1277</v>
      </c>
      <c r="E9" t="str">
        <f>VLOOKUP(O9,tbl_TaskStatusX,4,FALSE)</f>
        <v>3. WIP</v>
      </c>
      <c r="F9" t="str">
        <f>VLOOKUP(P9,tbl_StaffX,4,FALSE)</f>
        <v>2. Pieter van Zyl</v>
      </c>
      <c r="G9" t="str">
        <f>VLOOKUP(Q9,tbl_StaffRoleX,4,FALSE)</f>
        <v>1. None</v>
      </c>
      <c r="H9" s="287">
        <v>44775</v>
      </c>
      <c r="I9" s="287">
        <v>44775</v>
      </c>
      <c r="J9" s="287">
        <v>44775</v>
      </c>
      <c r="N9">
        <v>2</v>
      </c>
      <c r="O9">
        <v>3</v>
      </c>
      <c r="P9">
        <v>2</v>
      </c>
      <c r="Q9">
        <v>1</v>
      </c>
    </row>
    <row r="10" spans="1:18">
      <c r="A10">
        <v>3</v>
      </c>
      <c r="B10" t="s">
        <v>1276</v>
      </c>
      <c r="C10" t="str">
        <f>VLOOKUP(N10,tbl_TaskCodeX,4,FALSE)</f>
        <v>2. 30p</v>
      </c>
      <c r="D10" t="s">
        <v>1278</v>
      </c>
      <c r="E10" t="str">
        <f>VLOOKUP(O10,tbl_TaskStatusX,4,FALSE)</f>
        <v>3. WIP</v>
      </c>
      <c r="F10" t="str">
        <f>VLOOKUP(P10,tbl_StaffX,4,FALSE)</f>
        <v>2. Pieter van Zyl</v>
      </c>
      <c r="G10" t="str">
        <f>VLOOKUP(Q10,tbl_StaffRoleX,4,FALSE)</f>
        <v>1. None</v>
      </c>
      <c r="H10" s="287">
        <v>44775</v>
      </c>
      <c r="I10" s="287">
        <v>44775</v>
      </c>
      <c r="J10"/>
      <c r="N10">
        <v>2</v>
      </c>
      <c r="O10">
        <v>3</v>
      </c>
      <c r="P10">
        <v>2</v>
      </c>
      <c r="Q10">
        <v>1</v>
      </c>
    </row>
    <row r="11" spans="1:18">
      <c r="A11">
        <v>4</v>
      </c>
      <c r="B11" t="s">
        <v>1279</v>
      </c>
      <c r="C11" t="str">
        <f>VLOOKUP(N11,tbl_TaskCodeX,4,FALSE)</f>
        <v>2. 30p</v>
      </c>
      <c r="D11" t="s">
        <v>1280</v>
      </c>
      <c r="E11" t="str">
        <f>VLOOKUP(O11,tbl_TaskStatusX,4,FALSE)</f>
        <v>2. Not started</v>
      </c>
      <c r="F11" t="str">
        <f>VLOOKUP(P11,tbl_StaffX,4,FALSE)</f>
        <v>2. Pieter van Zyl</v>
      </c>
      <c r="G11" t="str">
        <f>VLOOKUP(Q11,tbl_StaffRoleX,4,FALSE)</f>
        <v>2. ATL</v>
      </c>
      <c r="H11" s="287">
        <v>44775</v>
      </c>
      <c r="I11" s="287">
        <v>44782</v>
      </c>
      <c r="J11"/>
      <c r="N11">
        <v>2</v>
      </c>
      <c r="O11">
        <v>2</v>
      </c>
      <c r="P11">
        <v>2</v>
      </c>
      <c r="Q11">
        <v>2</v>
      </c>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44140625" style="14" customWidth="1"/>
    <col min="8" max="16384" width="8.88671875" style="16"/>
  </cols>
  <sheetData>
    <row r="2" spans="1:7">
      <c r="D2" s="66" t="s">
        <v>1281</v>
      </c>
      <c r="E2" s="67"/>
    </row>
    <row r="4" spans="1:7">
      <c r="A4" s="14" t="s">
        <v>1282</v>
      </c>
      <c r="B4" s="14" t="s">
        <v>1283</v>
      </c>
      <c r="C4" s="14" t="s">
        <v>1284</v>
      </c>
      <c r="D4" s="14" t="s">
        <v>1285</v>
      </c>
      <c r="E4" s="14" t="s">
        <v>1286</v>
      </c>
      <c r="F4" s="14" t="s">
        <v>1287</v>
      </c>
      <c r="G4" s="14" t="s">
        <v>1288</v>
      </c>
    </row>
  </sheetData>
  <autoFilter ref="A4:G1675" xr:uid="{40A19692-D842-4C28-989E-F405CE04BE98}"/>
  <sortState xmlns:xlrd2="http://schemas.microsoft.com/office/spreadsheetml/2017/richdata2" ref="A5:H2010">
    <sortCondition ref="D5:D2010"/>
  </sortState>
  <phoneticPr fontId="6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44140625" style="14" customWidth="1"/>
    <col min="10" max="16384" width="8.88671875" style="16"/>
  </cols>
  <sheetData>
    <row r="2" spans="1:9">
      <c r="F2" s="66" t="s">
        <v>1281</v>
      </c>
      <c r="G2" s="67"/>
    </row>
    <row r="4" spans="1:9" ht="28.8">
      <c r="A4" s="14" t="s">
        <v>1282</v>
      </c>
      <c r="B4" s="14" t="s">
        <v>1283</v>
      </c>
      <c r="C4" s="14" t="s">
        <v>1289</v>
      </c>
      <c r="D4" s="14" t="s">
        <v>1290</v>
      </c>
      <c r="E4" s="14" t="s">
        <v>1291</v>
      </c>
      <c r="F4" s="14" t="s">
        <v>1292</v>
      </c>
      <c r="G4" s="14" t="s">
        <v>1293</v>
      </c>
      <c r="H4" s="14" t="s">
        <v>1287</v>
      </c>
      <c r="I4" s="14" t="s">
        <v>1288</v>
      </c>
    </row>
  </sheetData>
  <autoFilter ref="A4:I10" xr:uid="{47DA7E70-79D5-4AF1-BEE4-5F8747C66CC6}"/>
  <phoneticPr fontId="6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A1"/>
  <sheetViews>
    <sheetView workbookViewId="0"/>
  </sheetViews>
  <sheetFormatPr defaultRowHeight="14.4"/>
  <sheetData/>
  <sortState xmlns:xlrd2="http://schemas.microsoft.com/office/spreadsheetml/2017/richdata2" ref="C1:C19">
    <sortCondition ref="C1:C19"/>
  </sortState>
  <phoneticPr fontId="61"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640625" defaultRowHeight="15.6"/>
  <cols>
    <col min="1" max="16384" width="8.6640625" style="21"/>
  </cols>
  <sheetData>
    <row r="2" spans="2:3">
      <c r="B2" s="21" t="s">
        <v>1294</v>
      </c>
    </row>
    <row r="3" spans="2:3">
      <c r="C3" s="21" t="s">
        <v>1295</v>
      </c>
    </row>
    <row r="4" spans="2:3">
      <c r="C4" s="21" t="s">
        <v>1296</v>
      </c>
    </row>
    <row r="5" spans="2:3">
      <c r="C5" s="21" t="s">
        <v>1297</v>
      </c>
    </row>
    <row r="6" spans="2:3">
      <c r="C6" s="21" t="s">
        <v>1298</v>
      </c>
    </row>
    <row r="7" spans="2:3">
      <c r="C7" s="21" t="s">
        <v>1299</v>
      </c>
    </row>
    <row r="8" spans="2:3">
      <c r="C8" s="21" t="s">
        <v>1300</v>
      </c>
    </row>
    <row r="9" spans="2:3">
      <c r="C9" s="21" t="s">
        <v>1301</v>
      </c>
    </row>
    <row r="10" spans="2:3">
      <c r="C10" s="21" t="s">
        <v>1302</v>
      </c>
    </row>
    <row r="11" spans="2:3">
      <c r="C11" s="21" t="s">
        <v>1303</v>
      </c>
    </row>
    <row r="13" spans="2:3">
      <c r="B13" s="21" t="s">
        <v>1304</v>
      </c>
    </row>
    <row r="14" spans="2:3">
      <c r="C14" s="21" t="s">
        <v>1305</v>
      </c>
    </row>
    <row r="15" spans="2:3">
      <c r="C15" s="22" t="s">
        <v>1306</v>
      </c>
    </row>
    <row r="16" spans="2:3">
      <c r="C16" s="22" t="s">
        <v>1307</v>
      </c>
    </row>
    <row r="17" spans="2:3">
      <c r="C17" s="21" t="s">
        <v>1308</v>
      </c>
    </row>
    <row r="18" spans="2:3">
      <c r="C18" s="22" t="s">
        <v>1309</v>
      </c>
    </row>
    <row r="19" spans="2:3">
      <c r="C19" s="22" t="s">
        <v>1310</v>
      </c>
    </row>
    <row r="20" spans="2:3">
      <c r="C20" s="21" t="s">
        <v>1311</v>
      </c>
    </row>
    <row r="21" spans="2:3">
      <c r="C21" s="21" t="s">
        <v>1312</v>
      </c>
    </row>
    <row r="22" spans="2:3">
      <c r="C22" s="21" t="s">
        <v>1313</v>
      </c>
    </row>
    <row r="25" spans="2:3">
      <c r="B25" s="21" t="s">
        <v>1314</v>
      </c>
    </row>
    <row r="26" spans="2:3">
      <c r="C26" s="23" t="s">
        <v>20</v>
      </c>
    </row>
    <row r="27" spans="2:3">
      <c r="C27" s="15" t="s">
        <v>19</v>
      </c>
    </row>
  </sheetData>
  <phoneticPr fontId="61"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topLeftCell="A2" workbookViewId="0">
      <selection activeCell="M18" sqref="M18:M20"/>
    </sheetView>
  </sheetViews>
  <sheetFormatPr defaultColWidth="8.6640625" defaultRowHeight="14.4"/>
  <cols>
    <col min="1" max="21" width="8.6640625" style="27"/>
    <col min="22" max="22" width="8.6640625" style="27" hidden="1" customWidth="1"/>
    <col min="23" max="16384" width="8.6640625" style="27"/>
  </cols>
  <sheetData>
    <row r="2" spans="1:22" ht="93.6">
      <c r="A2" s="337" t="s">
        <v>1315</v>
      </c>
      <c r="B2" s="337" t="s">
        <v>1316</v>
      </c>
      <c r="C2" s="335" t="s">
        <v>1317</v>
      </c>
      <c r="D2" s="335"/>
      <c r="E2" s="336" t="s">
        <v>1318</v>
      </c>
      <c r="F2" s="336"/>
      <c r="G2" s="335" t="s">
        <v>1319</v>
      </c>
      <c r="H2" s="335"/>
      <c r="I2" s="335"/>
      <c r="J2" s="335"/>
      <c r="K2" s="336" t="s">
        <v>1320</v>
      </c>
      <c r="L2" s="336"/>
      <c r="M2" s="336"/>
      <c r="N2" s="24" t="s">
        <v>1321</v>
      </c>
      <c r="O2" s="25" t="s">
        <v>1322</v>
      </c>
      <c r="P2" s="335" t="s">
        <v>1323</v>
      </c>
      <c r="Q2" s="335"/>
      <c r="R2" s="335"/>
      <c r="S2" s="336" t="s">
        <v>1324</v>
      </c>
      <c r="T2" s="336"/>
      <c r="U2" s="336"/>
      <c r="V2" s="26" t="s">
        <v>1325</v>
      </c>
    </row>
    <row r="3" spans="1:22" ht="15.6">
      <c r="A3" s="337"/>
      <c r="B3" s="33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34" t="s">
        <v>1346</v>
      </c>
      <c r="B4" s="30" t="s">
        <v>27</v>
      </c>
      <c r="C4" s="31" t="s">
        <v>1347</v>
      </c>
      <c r="D4" s="31" t="s">
        <v>1347</v>
      </c>
      <c r="E4" s="31" t="s">
        <v>1347</v>
      </c>
      <c r="F4" s="31" t="s">
        <v>1347</v>
      </c>
      <c r="G4" s="31" t="s">
        <v>1347</v>
      </c>
      <c r="H4" s="31" t="s">
        <v>1347</v>
      </c>
      <c r="I4" s="31" t="s">
        <v>1347</v>
      </c>
      <c r="J4" s="31" t="s">
        <v>1347</v>
      </c>
      <c r="K4" s="31" t="s">
        <v>1347</v>
      </c>
      <c r="L4" s="31" t="s">
        <v>1347</v>
      </c>
      <c r="M4" s="31" t="s">
        <v>1347</v>
      </c>
      <c r="N4" s="31" t="s">
        <v>1347</v>
      </c>
      <c r="O4" s="31" t="s">
        <v>1347</v>
      </c>
      <c r="P4" s="31" t="s">
        <v>1347</v>
      </c>
      <c r="Q4" s="31" t="s">
        <v>1347</v>
      </c>
      <c r="R4" s="31" t="s">
        <v>1347</v>
      </c>
      <c r="S4" s="31" t="s">
        <v>1347</v>
      </c>
      <c r="T4" s="31" t="s">
        <v>1347</v>
      </c>
      <c r="U4" s="31" t="s">
        <v>1347</v>
      </c>
      <c r="V4" s="32" t="s">
        <v>1348</v>
      </c>
    </row>
    <row r="5" spans="1:22" ht="15.6">
      <c r="A5" s="334"/>
      <c r="B5" s="29">
        <v>1.1000000000000001</v>
      </c>
      <c r="C5" s="33" t="s">
        <v>1349</v>
      </c>
      <c r="D5" s="33" t="s">
        <v>1349</v>
      </c>
      <c r="E5" s="33" t="s">
        <v>1349</v>
      </c>
      <c r="F5" s="33" t="s">
        <v>1349</v>
      </c>
      <c r="G5" s="33" t="s">
        <v>1349</v>
      </c>
      <c r="H5" s="33" t="s">
        <v>1349</v>
      </c>
      <c r="I5" s="33" t="s">
        <v>1349</v>
      </c>
      <c r="J5" s="33" t="s">
        <v>1349</v>
      </c>
      <c r="K5" s="33" t="s">
        <v>1349</v>
      </c>
      <c r="L5" s="33" t="s">
        <v>1349</v>
      </c>
      <c r="M5" s="33" t="s">
        <v>1349</v>
      </c>
      <c r="N5" s="33" t="s">
        <v>1349</v>
      </c>
      <c r="O5" s="33" t="s">
        <v>1349</v>
      </c>
      <c r="P5" s="33" t="s">
        <v>1349</v>
      </c>
      <c r="Q5" s="33" t="s">
        <v>1349</v>
      </c>
      <c r="R5" s="33" t="s">
        <v>1349</v>
      </c>
      <c r="S5" s="33" t="s">
        <v>1349</v>
      </c>
      <c r="T5" s="33" t="s">
        <v>1349</v>
      </c>
      <c r="U5" s="33" t="s">
        <v>1349</v>
      </c>
      <c r="V5" s="32" t="s">
        <v>1198</v>
      </c>
    </row>
    <row r="6" spans="1:22" ht="15.6">
      <c r="A6" s="334"/>
      <c r="B6" s="29">
        <v>1.2</v>
      </c>
      <c r="C6" s="33"/>
      <c r="D6" s="33"/>
      <c r="E6" s="33"/>
      <c r="F6" s="33"/>
      <c r="G6" s="33"/>
      <c r="H6" s="33" t="s">
        <v>1349</v>
      </c>
      <c r="I6" s="33"/>
      <c r="J6" s="33"/>
      <c r="K6" s="33" t="s">
        <v>1349</v>
      </c>
      <c r="L6" s="33"/>
      <c r="M6" s="33" t="s">
        <v>1349</v>
      </c>
      <c r="N6" s="33"/>
      <c r="O6" s="33"/>
      <c r="P6" s="33" t="s">
        <v>1349</v>
      </c>
      <c r="Q6" s="33" t="s">
        <v>1349</v>
      </c>
      <c r="R6" s="33"/>
      <c r="S6" s="33"/>
      <c r="T6" s="33" t="s">
        <v>1349</v>
      </c>
      <c r="U6" s="33"/>
      <c r="V6" s="32" t="s">
        <v>1195</v>
      </c>
    </row>
    <row r="7" spans="1:22" ht="15.6">
      <c r="A7" s="334"/>
      <c r="B7" s="29">
        <v>1.3</v>
      </c>
      <c r="C7" s="33"/>
      <c r="D7" s="33"/>
      <c r="E7" s="33"/>
      <c r="F7" s="33"/>
      <c r="G7" s="33"/>
      <c r="H7" s="33"/>
      <c r="I7" s="33"/>
      <c r="J7" s="33"/>
      <c r="K7" s="33" t="s">
        <v>1349</v>
      </c>
      <c r="L7" s="33"/>
      <c r="M7" s="33"/>
      <c r="N7" s="33"/>
      <c r="O7" s="33"/>
      <c r="P7" s="33"/>
      <c r="Q7" s="33"/>
      <c r="R7" s="33"/>
      <c r="S7" s="33"/>
      <c r="T7" s="33"/>
      <c r="U7" s="33"/>
      <c r="V7" s="32" t="s">
        <v>1192</v>
      </c>
    </row>
    <row r="8" spans="1:22" ht="15.6">
      <c r="A8" s="334" t="s">
        <v>28</v>
      </c>
      <c r="B8" s="30" t="s">
        <v>28</v>
      </c>
      <c r="C8" s="31" t="s">
        <v>1347</v>
      </c>
      <c r="D8" s="31" t="s">
        <v>1347</v>
      </c>
      <c r="E8" s="31" t="s">
        <v>1347</v>
      </c>
      <c r="F8" s="31" t="s">
        <v>1347</v>
      </c>
      <c r="G8" s="31" t="s">
        <v>1347</v>
      </c>
      <c r="H8" s="31" t="s">
        <v>1347</v>
      </c>
      <c r="I8" s="31" t="s">
        <v>1347</v>
      </c>
      <c r="J8" s="31" t="s">
        <v>1347</v>
      </c>
      <c r="K8" s="31" t="s">
        <v>1347</v>
      </c>
      <c r="L8" s="31" t="s">
        <v>1347</v>
      </c>
      <c r="M8" s="31" t="s">
        <v>1347</v>
      </c>
      <c r="N8" s="31" t="s">
        <v>1347</v>
      </c>
      <c r="O8" s="31" t="s">
        <v>1347</v>
      </c>
      <c r="P8" s="31" t="s">
        <v>1347</v>
      </c>
      <c r="Q8" s="31" t="s">
        <v>1347</v>
      </c>
      <c r="R8" s="31" t="s">
        <v>1347</v>
      </c>
      <c r="S8" s="31" t="s">
        <v>1347</v>
      </c>
      <c r="T8" s="31" t="s">
        <v>1347</v>
      </c>
      <c r="U8" s="31" t="s">
        <v>1347</v>
      </c>
      <c r="V8" s="32"/>
    </row>
    <row r="9" spans="1:22" ht="15.6">
      <c r="A9" s="334"/>
      <c r="B9" s="29">
        <v>2.1</v>
      </c>
      <c r="C9" s="33" t="s">
        <v>1349</v>
      </c>
      <c r="D9" s="33" t="s">
        <v>1349</v>
      </c>
      <c r="E9" s="33" t="s">
        <v>1349</v>
      </c>
      <c r="F9" s="33" t="s">
        <v>1349</v>
      </c>
      <c r="G9" s="33" t="s">
        <v>1349</v>
      </c>
      <c r="H9" s="33" t="s">
        <v>1349</v>
      </c>
      <c r="I9" s="33" t="s">
        <v>1349</v>
      </c>
      <c r="J9" s="33" t="s">
        <v>1349</v>
      </c>
      <c r="K9" s="33" t="s">
        <v>1349</v>
      </c>
      <c r="L9" s="33" t="s">
        <v>1349</v>
      </c>
      <c r="M9" s="33" t="s">
        <v>1349</v>
      </c>
      <c r="N9" s="33" t="s">
        <v>1349</v>
      </c>
      <c r="O9" s="33" t="s">
        <v>1349</v>
      </c>
      <c r="P9" s="33" t="s">
        <v>1349</v>
      </c>
      <c r="Q9" s="33" t="s">
        <v>1349</v>
      </c>
      <c r="R9" s="33" t="s">
        <v>1349</v>
      </c>
      <c r="S9" s="33" t="s">
        <v>1349</v>
      </c>
      <c r="T9" s="33" t="s">
        <v>1349</v>
      </c>
      <c r="U9" s="33" t="s">
        <v>1349</v>
      </c>
      <c r="V9" s="32" t="s">
        <v>1198</v>
      </c>
    </row>
    <row r="10" spans="1:22" ht="15.6">
      <c r="A10" s="334"/>
      <c r="B10" s="29">
        <v>2.2000000000000002</v>
      </c>
      <c r="C10" s="33" t="s">
        <v>1349</v>
      </c>
      <c r="D10" s="33" t="s">
        <v>1349</v>
      </c>
      <c r="E10" s="33" t="s">
        <v>1349</v>
      </c>
      <c r="F10" s="33" t="s">
        <v>1349</v>
      </c>
      <c r="G10" s="33" t="s">
        <v>1349</v>
      </c>
      <c r="H10" s="33" t="s">
        <v>1349</v>
      </c>
      <c r="I10" s="33" t="s">
        <v>1349</v>
      </c>
      <c r="J10" s="33" t="s">
        <v>1349</v>
      </c>
      <c r="K10" s="33" t="s">
        <v>1349</v>
      </c>
      <c r="L10" s="33" t="s">
        <v>1349</v>
      </c>
      <c r="M10" s="33" t="s">
        <v>1349</v>
      </c>
      <c r="N10" s="33" t="s">
        <v>1349</v>
      </c>
      <c r="O10" s="33" t="s">
        <v>1349</v>
      </c>
      <c r="P10" s="33" t="s">
        <v>1349</v>
      </c>
      <c r="Q10" s="33" t="s">
        <v>1349</v>
      </c>
      <c r="R10" s="33" t="s">
        <v>1349</v>
      </c>
      <c r="S10" s="33" t="s">
        <v>1349</v>
      </c>
      <c r="T10" s="33" t="s">
        <v>1349</v>
      </c>
      <c r="U10" s="33" t="s">
        <v>1349</v>
      </c>
      <c r="V10" s="32" t="s">
        <v>1198</v>
      </c>
    </row>
    <row r="11" spans="1:22" ht="15.6">
      <c r="A11" s="334"/>
      <c r="B11" s="29">
        <v>2.2999999999999998</v>
      </c>
      <c r="C11" s="33" t="s">
        <v>1349</v>
      </c>
      <c r="D11" s="33"/>
      <c r="E11" s="33" t="s">
        <v>1349</v>
      </c>
      <c r="F11" s="33" t="s">
        <v>1349</v>
      </c>
      <c r="G11" s="33" t="s">
        <v>1349</v>
      </c>
      <c r="H11" s="33" t="s">
        <v>1349</v>
      </c>
      <c r="I11" s="33" t="s">
        <v>1349</v>
      </c>
      <c r="J11" s="33" t="s">
        <v>1349</v>
      </c>
      <c r="K11" s="33"/>
      <c r="L11" s="33" t="s">
        <v>1349</v>
      </c>
      <c r="M11" s="33" t="s">
        <v>1349</v>
      </c>
      <c r="N11" s="33"/>
      <c r="O11" s="33"/>
      <c r="P11" s="33" t="s">
        <v>1349</v>
      </c>
      <c r="Q11" s="33" t="s">
        <v>1349</v>
      </c>
      <c r="R11" s="33" t="s">
        <v>1349</v>
      </c>
      <c r="S11" s="33"/>
      <c r="T11" s="33" t="s">
        <v>1349</v>
      </c>
      <c r="U11" s="33" t="s">
        <v>1349</v>
      </c>
      <c r="V11" s="32" t="s">
        <v>1189</v>
      </c>
    </row>
    <row r="12" spans="1:22" ht="15.6">
      <c r="A12" s="334"/>
      <c r="B12" s="29">
        <v>2.4</v>
      </c>
      <c r="C12" s="33" t="s">
        <v>1349</v>
      </c>
      <c r="D12" s="33"/>
      <c r="E12" s="33"/>
      <c r="F12" s="33" t="s">
        <v>1349</v>
      </c>
      <c r="G12" s="33" t="s">
        <v>1349</v>
      </c>
      <c r="H12" s="33"/>
      <c r="I12" s="33" t="s">
        <v>1349</v>
      </c>
      <c r="J12" s="33" t="s">
        <v>1349</v>
      </c>
      <c r="K12" s="33"/>
      <c r="L12" s="33"/>
      <c r="M12" s="33" t="s">
        <v>1349</v>
      </c>
      <c r="N12" s="33"/>
      <c r="O12" s="33"/>
      <c r="P12" s="33" t="s">
        <v>1349</v>
      </c>
      <c r="Q12" s="33" t="s">
        <v>1349</v>
      </c>
      <c r="R12" s="33"/>
      <c r="S12" s="33"/>
      <c r="T12" s="33" t="s">
        <v>1349</v>
      </c>
      <c r="U12" s="33" t="s">
        <v>1349</v>
      </c>
      <c r="V12" s="32" t="s">
        <v>1192</v>
      </c>
    </row>
    <row r="13" spans="1:22" ht="15.6">
      <c r="A13" s="334"/>
      <c r="B13" s="29">
        <v>2.5</v>
      </c>
      <c r="C13" s="33"/>
      <c r="D13" s="33"/>
      <c r="E13" s="33"/>
      <c r="F13" s="33" t="s">
        <v>1349</v>
      </c>
      <c r="G13" s="33"/>
      <c r="H13" s="33"/>
      <c r="I13" s="33"/>
      <c r="J13" s="33" t="s">
        <v>1349</v>
      </c>
      <c r="K13" s="33"/>
      <c r="L13" s="33"/>
      <c r="M13" s="33" t="s">
        <v>1349</v>
      </c>
      <c r="N13" s="33"/>
      <c r="O13" s="33"/>
      <c r="P13" s="33"/>
      <c r="Q13" s="33" t="s">
        <v>1349</v>
      </c>
      <c r="R13" s="33"/>
      <c r="S13" s="33"/>
      <c r="T13" s="33" t="s">
        <v>1349</v>
      </c>
      <c r="U13" s="33" t="s">
        <v>1349</v>
      </c>
      <c r="V13" s="32"/>
    </row>
    <row r="14" spans="1:22" ht="15.6">
      <c r="A14" s="334"/>
      <c r="B14" s="29">
        <v>2.6</v>
      </c>
      <c r="C14" s="33"/>
      <c r="D14" s="33"/>
      <c r="E14" s="33"/>
      <c r="F14" s="33" t="s">
        <v>1349</v>
      </c>
      <c r="G14" s="33"/>
      <c r="H14" s="33"/>
      <c r="I14" s="33"/>
      <c r="J14" s="33"/>
      <c r="K14" s="33"/>
      <c r="L14" s="33"/>
      <c r="M14" s="33" t="s">
        <v>1349</v>
      </c>
      <c r="N14" s="33"/>
      <c r="O14" s="33"/>
      <c r="P14" s="33"/>
      <c r="Q14" s="33" t="s">
        <v>1349</v>
      </c>
      <c r="R14" s="33"/>
      <c r="S14" s="33"/>
      <c r="T14" s="33"/>
      <c r="U14" s="33" t="s">
        <v>1349</v>
      </c>
      <c r="V14" s="32"/>
    </row>
    <row r="15" spans="1:22" ht="15.6">
      <c r="A15" s="334"/>
      <c r="B15" s="29">
        <v>2.7</v>
      </c>
      <c r="C15" s="33"/>
      <c r="D15" s="33"/>
      <c r="E15" s="33"/>
      <c r="F15" s="33"/>
      <c r="G15" s="33"/>
      <c r="H15" s="33"/>
      <c r="I15" s="33"/>
      <c r="J15" s="33"/>
      <c r="K15" s="33"/>
      <c r="L15" s="33"/>
      <c r="M15" s="33"/>
      <c r="N15" s="33"/>
      <c r="O15" s="33"/>
      <c r="P15" s="33"/>
      <c r="Q15" s="33" t="s">
        <v>1349</v>
      </c>
      <c r="R15" s="33"/>
      <c r="S15" s="33"/>
      <c r="T15" s="33"/>
      <c r="U15" s="33"/>
      <c r="V15" s="32"/>
    </row>
    <row r="16" spans="1:22" ht="15.6">
      <c r="A16" s="334"/>
      <c r="B16" s="29">
        <v>2.8</v>
      </c>
      <c r="C16" s="33"/>
      <c r="D16" s="33"/>
      <c r="E16" s="33"/>
      <c r="F16" s="33"/>
      <c r="G16" s="33"/>
      <c r="H16" s="33"/>
      <c r="I16" s="33"/>
      <c r="J16" s="33"/>
      <c r="K16" s="33"/>
      <c r="L16" s="33"/>
      <c r="M16" s="33"/>
      <c r="N16" s="33"/>
      <c r="O16" s="33"/>
      <c r="P16" s="33"/>
      <c r="Q16" s="33" t="s">
        <v>1349</v>
      </c>
      <c r="R16" s="33"/>
      <c r="S16" s="33"/>
      <c r="T16" s="33"/>
      <c r="U16" s="33"/>
      <c r="V16" s="32"/>
    </row>
    <row r="17" spans="1:22" ht="15.6">
      <c r="A17" s="334" t="s">
        <v>29</v>
      </c>
      <c r="B17" s="30" t="s">
        <v>29</v>
      </c>
      <c r="C17" s="31" t="s">
        <v>1347</v>
      </c>
      <c r="D17" s="31" t="s">
        <v>1347</v>
      </c>
      <c r="E17" s="31" t="s">
        <v>1347</v>
      </c>
      <c r="F17" s="31" t="s">
        <v>1347</v>
      </c>
      <c r="G17" s="31" t="s">
        <v>1347</v>
      </c>
      <c r="H17" s="31" t="s">
        <v>1347</v>
      </c>
      <c r="I17" s="31" t="s">
        <v>1347</v>
      </c>
      <c r="J17" s="31" t="s">
        <v>1347</v>
      </c>
      <c r="K17" s="31" t="s">
        <v>1347</v>
      </c>
      <c r="L17" s="31" t="s">
        <v>1347</v>
      </c>
      <c r="M17" s="31" t="s">
        <v>1347</v>
      </c>
      <c r="N17" s="31" t="s">
        <v>1347</v>
      </c>
      <c r="O17" s="31" t="s">
        <v>1347</v>
      </c>
      <c r="P17" s="31" t="s">
        <v>1347</v>
      </c>
      <c r="Q17" s="31" t="s">
        <v>1347</v>
      </c>
      <c r="R17" s="31" t="s">
        <v>1347</v>
      </c>
      <c r="S17" s="31" t="s">
        <v>1347</v>
      </c>
      <c r="T17" s="31" t="s">
        <v>1347</v>
      </c>
      <c r="U17" s="33"/>
      <c r="V17" s="32"/>
    </row>
    <row r="18" spans="1:22" ht="15.6">
      <c r="A18" s="334"/>
      <c r="B18" s="29">
        <v>3.1</v>
      </c>
      <c r="C18" s="33" t="s">
        <v>1349</v>
      </c>
      <c r="D18" s="33" t="s">
        <v>1349</v>
      </c>
      <c r="E18" s="33" t="s">
        <v>1349</v>
      </c>
      <c r="F18" s="33" t="s">
        <v>1349</v>
      </c>
      <c r="G18" s="33" t="s">
        <v>1349</v>
      </c>
      <c r="H18" s="33" t="s">
        <v>1349</v>
      </c>
      <c r="I18" s="33" t="s">
        <v>1349</v>
      </c>
      <c r="J18" s="33" t="s">
        <v>1349</v>
      </c>
      <c r="K18" s="33" t="s">
        <v>1349</v>
      </c>
      <c r="L18" s="33" t="s">
        <v>1349</v>
      </c>
      <c r="M18" s="33" t="s">
        <v>1349</v>
      </c>
      <c r="N18" s="33" t="s">
        <v>1349</v>
      </c>
      <c r="O18" s="33" t="s">
        <v>1349</v>
      </c>
      <c r="P18" s="33" t="s">
        <v>1349</v>
      </c>
      <c r="Q18" s="33" t="s">
        <v>1349</v>
      </c>
      <c r="R18" s="33" t="s">
        <v>1349</v>
      </c>
      <c r="S18" s="33" t="s">
        <v>1349</v>
      </c>
      <c r="T18" s="33" t="s">
        <v>1349</v>
      </c>
      <c r="U18" s="33"/>
      <c r="V18" s="32" t="s">
        <v>1198</v>
      </c>
    </row>
    <row r="19" spans="1:22" ht="15.6">
      <c r="A19" s="334"/>
      <c r="B19" s="29">
        <v>3.2</v>
      </c>
      <c r="C19" s="33" t="s">
        <v>1349</v>
      </c>
      <c r="D19" s="33" t="s">
        <v>1349</v>
      </c>
      <c r="E19" s="33" t="s">
        <v>1349</v>
      </c>
      <c r="F19" s="33" t="s">
        <v>1349</v>
      </c>
      <c r="G19" s="33"/>
      <c r="H19" s="33" t="s">
        <v>1349</v>
      </c>
      <c r="I19" s="33"/>
      <c r="J19" s="33" t="s">
        <v>1349</v>
      </c>
      <c r="K19" s="33" t="s">
        <v>1349</v>
      </c>
      <c r="L19" s="33" t="s">
        <v>1349</v>
      </c>
      <c r="M19" s="33" t="s">
        <v>1349</v>
      </c>
      <c r="N19" s="33" t="s">
        <v>1349</v>
      </c>
      <c r="O19" s="33" t="s">
        <v>1349</v>
      </c>
      <c r="P19" s="33" t="s">
        <v>1349</v>
      </c>
      <c r="Q19" s="33" t="s">
        <v>1349</v>
      </c>
      <c r="R19" s="33" t="s">
        <v>1349</v>
      </c>
      <c r="S19" s="33" t="s">
        <v>1349</v>
      </c>
      <c r="T19" s="33"/>
      <c r="U19" s="33"/>
      <c r="V19" s="32" t="s">
        <v>1198</v>
      </c>
    </row>
    <row r="20" spans="1:22" ht="15.6">
      <c r="A20" s="334"/>
      <c r="B20" s="29">
        <v>3.3</v>
      </c>
      <c r="C20" s="33"/>
      <c r="D20" s="33" t="s">
        <v>1349</v>
      </c>
      <c r="E20" s="33" t="s">
        <v>1349</v>
      </c>
      <c r="F20" s="33" t="s">
        <v>1349</v>
      </c>
      <c r="G20" s="33"/>
      <c r="H20" s="33"/>
      <c r="I20" s="33"/>
      <c r="J20" s="33" t="s">
        <v>1349</v>
      </c>
      <c r="K20" s="33" t="s">
        <v>1349</v>
      </c>
      <c r="L20" s="33" t="s">
        <v>1349</v>
      </c>
      <c r="M20" s="33" t="s">
        <v>1349</v>
      </c>
      <c r="N20" s="33" t="s">
        <v>1349</v>
      </c>
      <c r="O20" s="33" t="s">
        <v>1349</v>
      </c>
      <c r="P20" s="33" t="s">
        <v>1349</v>
      </c>
      <c r="Q20" s="33" t="s">
        <v>1349</v>
      </c>
      <c r="R20" s="33"/>
      <c r="S20" s="33" t="s">
        <v>1349</v>
      </c>
      <c r="T20" s="33"/>
      <c r="U20" s="33"/>
      <c r="V20" s="32"/>
    </row>
    <row r="21" spans="1:22" ht="15.6">
      <c r="A21" s="334"/>
      <c r="B21" s="29">
        <v>3.4</v>
      </c>
      <c r="C21" s="33"/>
      <c r="D21" s="33"/>
      <c r="E21" s="33" t="s">
        <v>1349</v>
      </c>
      <c r="F21" s="33"/>
      <c r="G21" s="33"/>
      <c r="H21" s="33"/>
      <c r="I21" s="33"/>
      <c r="J21" s="33" t="s">
        <v>1349</v>
      </c>
      <c r="K21" s="33" t="s">
        <v>1349</v>
      </c>
      <c r="L21" s="33" t="s">
        <v>1349</v>
      </c>
      <c r="M21" s="33" t="s">
        <v>1349</v>
      </c>
      <c r="N21" s="33" t="s">
        <v>1349</v>
      </c>
      <c r="O21" s="33" t="s">
        <v>1349</v>
      </c>
      <c r="P21" s="33" t="s">
        <v>1349</v>
      </c>
      <c r="Q21" s="33" t="s">
        <v>1349</v>
      </c>
      <c r="R21" s="33"/>
      <c r="S21" s="33" t="s">
        <v>1349</v>
      </c>
      <c r="T21" s="33"/>
      <c r="U21" s="33"/>
      <c r="V21" s="32"/>
    </row>
    <row r="22" spans="1:22" ht="15.6">
      <c r="A22" s="334"/>
      <c r="B22" s="29">
        <v>3.5</v>
      </c>
      <c r="C22" s="33"/>
      <c r="D22" s="33"/>
      <c r="E22" s="33" t="s">
        <v>1349</v>
      </c>
      <c r="F22" s="33"/>
      <c r="G22" s="33"/>
      <c r="H22" s="33"/>
      <c r="I22" s="33"/>
      <c r="J22" s="33" t="s">
        <v>1349</v>
      </c>
      <c r="K22" s="33" t="s">
        <v>1349</v>
      </c>
      <c r="L22" s="33" t="s">
        <v>1349</v>
      </c>
      <c r="M22" s="33" t="s">
        <v>1349</v>
      </c>
      <c r="N22" s="33" t="s">
        <v>1349</v>
      </c>
      <c r="O22" s="33" t="s">
        <v>1349</v>
      </c>
      <c r="P22" s="33"/>
      <c r="Q22" s="33"/>
      <c r="R22" s="33"/>
      <c r="S22" s="33" t="s">
        <v>1349</v>
      </c>
      <c r="T22" s="33"/>
      <c r="U22" s="33"/>
      <c r="V22" s="32"/>
    </row>
    <row r="23" spans="1:22" ht="15.6">
      <c r="A23" s="334"/>
      <c r="B23" s="29">
        <v>3.6</v>
      </c>
      <c r="C23" s="33"/>
      <c r="D23" s="33"/>
      <c r="E23" s="33" t="s">
        <v>1349</v>
      </c>
      <c r="F23" s="33"/>
      <c r="G23" s="33"/>
      <c r="H23" s="33"/>
      <c r="I23" s="33"/>
      <c r="J23" s="33" t="s">
        <v>1349</v>
      </c>
      <c r="K23" s="33" t="s">
        <v>1349</v>
      </c>
      <c r="L23" s="33" t="s">
        <v>1349</v>
      </c>
      <c r="M23" s="33" t="s">
        <v>1349</v>
      </c>
      <c r="N23" s="33"/>
      <c r="O23" s="33" t="s">
        <v>1349</v>
      </c>
      <c r="P23" s="33"/>
      <c r="Q23" s="33"/>
      <c r="R23" s="33"/>
      <c r="S23" s="33"/>
      <c r="T23" s="33"/>
      <c r="U23" s="33"/>
      <c r="V23" s="32"/>
    </row>
    <row r="24" spans="1:22" ht="15.6">
      <c r="A24" s="334"/>
      <c r="B24" s="29">
        <v>3.7</v>
      </c>
      <c r="C24" s="33"/>
      <c r="D24" s="33"/>
      <c r="E24" s="33"/>
      <c r="F24" s="33"/>
      <c r="G24" s="33"/>
      <c r="H24" s="33"/>
      <c r="I24" s="33"/>
      <c r="J24" s="33" t="s">
        <v>1349</v>
      </c>
      <c r="K24" s="33"/>
      <c r="L24" s="33"/>
      <c r="M24" s="33"/>
      <c r="N24" s="33"/>
      <c r="O24" s="33"/>
      <c r="P24" s="33"/>
      <c r="Q24" s="33"/>
      <c r="R24" s="33"/>
      <c r="S24" s="33"/>
      <c r="T24" s="33"/>
      <c r="U24" s="33"/>
      <c r="V24" s="32"/>
    </row>
    <row r="25" spans="1:22" ht="15.6">
      <c r="A25" s="334" t="s">
        <v>1350</v>
      </c>
      <c r="B25" s="30" t="s">
        <v>371</v>
      </c>
      <c r="C25" s="31" t="s">
        <v>1347</v>
      </c>
      <c r="D25" s="31" t="s">
        <v>1347</v>
      </c>
      <c r="E25" s="33"/>
      <c r="F25" s="33"/>
      <c r="G25" s="33"/>
      <c r="H25" s="33"/>
      <c r="I25" s="33"/>
      <c r="J25" s="33"/>
      <c r="K25" s="31" t="s">
        <v>1347</v>
      </c>
      <c r="L25" s="33"/>
      <c r="M25" s="31" t="s">
        <v>1347</v>
      </c>
      <c r="N25" s="33"/>
      <c r="O25" s="33"/>
      <c r="P25" s="33"/>
      <c r="Q25" s="31" t="s">
        <v>1347</v>
      </c>
      <c r="R25" s="33"/>
      <c r="S25" s="31" t="s">
        <v>1347</v>
      </c>
      <c r="T25" s="33"/>
      <c r="U25" s="33"/>
      <c r="V25" s="32"/>
    </row>
    <row r="26" spans="1:22" ht="15.6">
      <c r="A26" s="334"/>
      <c r="B26" s="29">
        <v>4.0999999999999996</v>
      </c>
      <c r="C26" s="33" t="s">
        <v>1349</v>
      </c>
      <c r="D26" s="33" t="s">
        <v>1349</v>
      </c>
      <c r="E26" s="33"/>
      <c r="F26" s="33"/>
      <c r="G26" s="33"/>
      <c r="H26" s="33"/>
      <c r="I26" s="33"/>
      <c r="J26" s="33"/>
      <c r="K26" s="33" t="s">
        <v>1349</v>
      </c>
      <c r="L26" s="33"/>
      <c r="M26" s="33" t="s">
        <v>1349</v>
      </c>
      <c r="N26" s="33"/>
      <c r="O26" s="33"/>
      <c r="P26" s="33"/>
      <c r="Q26" s="33" t="s">
        <v>1349</v>
      </c>
      <c r="R26" s="33"/>
      <c r="S26" s="33" t="s">
        <v>1349</v>
      </c>
      <c r="T26" s="33"/>
      <c r="U26" s="33"/>
      <c r="V26" s="32" t="s">
        <v>1198</v>
      </c>
    </row>
    <row r="27" spans="1:22" ht="15.6">
      <c r="A27" s="334"/>
      <c r="B27" s="29">
        <v>4.2</v>
      </c>
      <c r="C27" s="33"/>
      <c r="D27" s="33"/>
      <c r="E27" s="33"/>
      <c r="F27" s="33"/>
      <c r="G27" s="33"/>
      <c r="H27" s="33"/>
      <c r="I27" s="33"/>
      <c r="J27" s="33"/>
      <c r="K27" s="33"/>
      <c r="L27" s="33"/>
      <c r="M27" s="33" t="s">
        <v>1349</v>
      </c>
      <c r="N27" s="33"/>
      <c r="O27" s="33"/>
      <c r="P27" s="33"/>
      <c r="Q27" s="33"/>
      <c r="R27" s="33"/>
      <c r="S27" s="33" t="s">
        <v>1349</v>
      </c>
      <c r="T27" s="33"/>
      <c r="U27" s="33"/>
      <c r="V27" s="32"/>
    </row>
    <row r="28" spans="1:22" ht="15.6">
      <c r="A28" s="334"/>
      <c r="B28" s="29">
        <v>4.3</v>
      </c>
      <c r="C28" s="33"/>
      <c r="D28" s="33"/>
      <c r="E28" s="33"/>
      <c r="F28" s="33"/>
      <c r="G28" s="33"/>
      <c r="H28" s="33"/>
      <c r="I28" s="33"/>
      <c r="J28" s="33"/>
      <c r="K28" s="33"/>
      <c r="L28" s="33"/>
      <c r="M28" s="33" t="s">
        <v>1349</v>
      </c>
      <c r="N28" s="33"/>
      <c r="O28" s="33"/>
      <c r="P28" s="33"/>
      <c r="Q28" s="33"/>
      <c r="R28" s="33"/>
      <c r="S28" s="33"/>
      <c r="T28" s="33"/>
      <c r="U28" s="33"/>
      <c r="V28" s="32"/>
    </row>
    <row r="29" spans="1:22" ht="15.6">
      <c r="A29" s="334"/>
      <c r="B29" s="29">
        <v>4.4000000000000004</v>
      </c>
      <c r="C29" s="33"/>
      <c r="D29" s="33"/>
      <c r="E29" s="33"/>
      <c r="F29" s="33"/>
      <c r="G29" s="33"/>
      <c r="H29" s="33"/>
      <c r="I29" s="33"/>
      <c r="J29" s="33"/>
      <c r="K29" s="33"/>
      <c r="L29" s="33"/>
      <c r="M29" s="33" t="s">
        <v>1349</v>
      </c>
      <c r="N29" s="33"/>
      <c r="O29" s="33"/>
      <c r="P29" s="33"/>
      <c r="Q29" s="33"/>
      <c r="R29" s="33"/>
      <c r="S29" s="33"/>
      <c r="T29" s="33"/>
      <c r="U29" s="33"/>
      <c r="V29" s="32"/>
    </row>
    <row r="30" spans="1:22" ht="15.6">
      <c r="A30" s="334"/>
      <c r="B30" s="29">
        <v>4.5</v>
      </c>
      <c r="C30" s="33"/>
      <c r="D30" s="33"/>
      <c r="E30" s="33"/>
      <c r="F30" s="33"/>
      <c r="G30" s="33"/>
      <c r="H30" s="33"/>
      <c r="I30" s="33"/>
      <c r="J30" s="33"/>
      <c r="K30" s="33"/>
      <c r="L30" s="33"/>
      <c r="M30" s="33" t="s">
        <v>1349</v>
      </c>
      <c r="N30" s="33"/>
      <c r="O30" s="33"/>
      <c r="P30" s="33"/>
      <c r="Q30" s="33"/>
      <c r="R30" s="33"/>
      <c r="S30" s="33"/>
      <c r="T30" s="33"/>
      <c r="U30" s="33"/>
      <c r="V30" s="32"/>
    </row>
    <row r="31" spans="1:22" ht="15.6">
      <c r="A31" s="334" t="s">
        <v>511</v>
      </c>
      <c r="B31" s="30" t="s">
        <v>511</v>
      </c>
      <c r="C31" s="33"/>
      <c r="D31" s="33"/>
      <c r="E31" s="33"/>
      <c r="F31" s="33"/>
      <c r="G31" s="33"/>
      <c r="H31" s="33"/>
      <c r="I31" s="33"/>
      <c r="J31" s="33"/>
      <c r="K31" s="33"/>
      <c r="L31" s="33"/>
      <c r="M31" s="31" t="s">
        <v>1347</v>
      </c>
      <c r="N31" s="33"/>
      <c r="O31" s="33"/>
      <c r="P31" s="33"/>
      <c r="Q31" s="33"/>
      <c r="R31" s="33"/>
      <c r="S31" s="31" t="s">
        <v>1347</v>
      </c>
      <c r="T31" s="33"/>
      <c r="U31" s="33"/>
      <c r="V31" s="32"/>
    </row>
    <row r="32" spans="1:22" ht="15.6">
      <c r="A32" s="334"/>
      <c r="B32" s="29">
        <v>5.0999999999999996</v>
      </c>
      <c r="C32" s="33"/>
      <c r="D32" s="33"/>
      <c r="E32" s="33"/>
      <c r="F32" s="33"/>
      <c r="G32" s="33"/>
      <c r="H32" s="33"/>
      <c r="I32" s="33"/>
      <c r="J32" s="33"/>
      <c r="K32" s="33"/>
      <c r="L32" s="33"/>
      <c r="M32" s="33" t="s">
        <v>1349</v>
      </c>
      <c r="N32" s="33"/>
      <c r="O32" s="33"/>
      <c r="P32" s="33"/>
      <c r="Q32" s="33"/>
      <c r="R32" s="33"/>
      <c r="S32" s="33" t="s">
        <v>1349</v>
      </c>
      <c r="T32" s="33"/>
      <c r="U32" s="33"/>
      <c r="V32" s="32"/>
    </row>
    <row r="33" spans="1:22" ht="15.6">
      <c r="A33" s="334"/>
      <c r="B33" s="29">
        <v>5.2</v>
      </c>
      <c r="C33" s="33"/>
      <c r="D33" s="33"/>
      <c r="E33" s="33"/>
      <c r="F33" s="33"/>
      <c r="G33" s="33"/>
      <c r="H33" s="33"/>
      <c r="I33" s="33"/>
      <c r="J33" s="33"/>
      <c r="K33" s="33"/>
      <c r="L33" s="33"/>
      <c r="M33" s="33" t="s">
        <v>1349</v>
      </c>
      <c r="N33" s="33"/>
      <c r="O33" s="33"/>
      <c r="P33" s="33"/>
      <c r="Q33" s="33"/>
      <c r="R33" s="33"/>
      <c r="S33" s="33"/>
      <c r="T33" s="33"/>
      <c r="U33" s="33"/>
      <c r="V33" s="32"/>
    </row>
    <row r="34" spans="1:22" ht="15.6">
      <c r="A34" s="334"/>
      <c r="B34" s="29">
        <v>5.3</v>
      </c>
      <c r="C34" s="33"/>
      <c r="D34" s="33"/>
      <c r="E34" s="33"/>
      <c r="F34" s="33"/>
      <c r="G34" s="33"/>
      <c r="H34" s="33"/>
      <c r="I34" s="33"/>
      <c r="J34" s="33"/>
      <c r="K34" s="33"/>
      <c r="L34" s="33"/>
      <c r="M34" s="33" t="s">
        <v>1349</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61" type="noConversion"/>
  <conditionalFormatting sqref="C4:V34">
    <cfRule type="cellIs" dxfId="289" priority="31" operator="equal">
      <formula>"S"</formula>
    </cfRule>
    <cfRule type="cellIs" dxfId="288" priority="32" stopIfTrue="1" operator="equal">
      <formula>"FM"</formula>
    </cfRule>
    <cfRule type="cellIs" dxfId="287" priority="33" stopIfTrue="1" operator="equal">
      <formula>"LM"</formula>
    </cfRule>
    <cfRule type="cellIs" dxfId="286" priority="34" stopIfTrue="1" operator="equal">
      <formula>"PM"</formula>
    </cfRule>
    <cfRule type="cellIs" dxfId="285" priority="35" stopIfTrue="1" operator="equal">
      <formula>"DM"</formula>
    </cfRule>
  </conditionalFormatting>
  <conditionalFormatting sqref="B4">
    <cfRule type="cellIs" dxfId="284" priority="26" operator="equal">
      <formula>"S"</formula>
    </cfRule>
    <cfRule type="cellIs" dxfId="283" priority="27" stopIfTrue="1" operator="equal">
      <formula>"FM"</formula>
    </cfRule>
    <cfRule type="cellIs" dxfId="282" priority="28" stopIfTrue="1" operator="equal">
      <formula>"LM"</formula>
    </cfRule>
    <cfRule type="cellIs" dxfId="281" priority="29" stopIfTrue="1" operator="equal">
      <formula>"PM"</formula>
    </cfRule>
    <cfRule type="cellIs" dxfId="280" priority="30" stopIfTrue="1" operator="equal">
      <formula>"DM"</formula>
    </cfRule>
  </conditionalFormatting>
  <conditionalFormatting sqref="B8">
    <cfRule type="cellIs" dxfId="279" priority="21" operator="equal">
      <formula>"S"</formula>
    </cfRule>
    <cfRule type="cellIs" dxfId="278" priority="22" stopIfTrue="1" operator="equal">
      <formula>"FM"</formula>
    </cfRule>
    <cfRule type="cellIs" dxfId="277" priority="23" stopIfTrue="1" operator="equal">
      <formula>"LM"</formula>
    </cfRule>
    <cfRule type="cellIs" dxfId="276" priority="24" stopIfTrue="1" operator="equal">
      <formula>"PM"</formula>
    </cfRule>
    <cfRule type="cellIs" dxfId="275" priority="25" stopIfTrue="1" operator="equal">
      <formula>"DM"</formula>
    </cfRule>
  </conditionalFormatting>
  <conditionalFormatting sqref="B17">
    <cfRule type="cellIs" dxfId="274" priority="16" operator="equal">
      <formula>"S"</formula>
    </cfRule>
    <cfRule type="cellIs" dxfId="273" priority="17" stopIfTrue="1" operator="equal">
      <formula>"FM"</formula>
    </cfRule>
    <cfRule type="cellIs" dxfId="272" priority="18" stopIfTrue="1" operator="equal">
      <formula>"LM"</formula>
    </cfRule>
    <cfRule type="cellIs" dxfId="271" priority="19" stopIfTrue="1" operator="equal">
      <formula>"PM"</formula>
    </cfRule>
    <cfRule type="cellIs" dxfId="270" priority="20" stopIfTrue="1" operator="equal">
      <formula>"DM"</formula>
    </cfRule>
  </conditionalFormatting>
  <conditionalFormatting sqref="B25">
    <cfRule type="cellIs" dxfId="269" priority="11" operator="equal">
      <formula>"S"</formula>
    </cfRule>
    <cfRule type="cellIs" dxfId="268" priority="12" stopIfTrue="1" operator="equal">
      <formula>"FM"</formula>
    </cfRule>
    <cfRule type="cellIs" dxfId="267" priority="13" stopIfTrue="1" operator="equal">
      <formula>"LM"</formula>
    </cfRule>
    <cfRule type="cellIs" dxfId="266" priority="14" stopIfTrue="1" operator="equal">
      <formula>"PM"</formula>
    </cfRule>
    <cfRule type="cellIs" dxfId="265" priority="15" stopIfTrue="1" operator="equal">
      <formula>"DM"</formula>
    </cfRule>
  </conditionalFormatting>
  <conditionalFormatting sqref="B31">
    <cfRule type="cellIs" dxfId="264" priority="6" operator="equal">
      <formula>"S"</formula>
    </cfRule>
    <cfRule type="cellIs" dxfId="263" priority="7" stopIfTrue="1" operator="equal">
      <formula>"FM"</formula>
    </cfRule>
    <cfRule type="cellIs" dxfId="262" priority="8" stopIfTrue="1" operator="equal">
      <formula>"LM"</formula>
    </cfRule>
    <cfRule type="cellIs" dxfId="261" priority="9" stopIfTrue="1" operator="equal">
      <formula>"PM"</formula>
    </cfRule>
    <cfRule type="cellIs" dxfId="260"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zoomScale="70" zoomScaleNormal="70" workbookViewId="0">
      <selection activeCell="E30" sqref="E30"/>
    </sheetView>
  </sheetViews>
  <sheetFormatPr defaultColWidth="8.6640625" defaultRowHeight="14.4"/>
  <cols>
    <col min="1" max="21" width="8.6640625" style="27"/>
    <col min="22" max="22" width="8.6640625" style="27" hidden="1" customWidth="1"/>
    <col min="23" max="16384" width="8.6640625" style="27"/>
  </cols>
  <sheetData>
    <row r="1" spans="1:22" s="34" customFormat="1" ht="18">
      <c r="A1" s="34" t="s">
        <v>1351</v>
      </c>
    </row>
    <row r="2" spans="1:22" ht="93.6">
      <c r="A2" s="337" t="s">
        <v>1315</v>
      </c>
      <c r="B2" s="337" t="s">
        <v>1316</v>
      </c>
      <c r="C2" s="335" t="s">
        <v>1317</v>
      </c>
      <c r="D2" s="335"/>
      <c r="E2" s="336" t="s">
        <v>1318</v>
      </c>
      <c r="F2" s="336"/>
      <c r="G2" s="335" t="s">
        <v>1319</v>
      </c>
      <c r="H2" s="335"/>
      <c r="I2" s="335"/>
      <c r="J2" s="335"/>
      <c r="K2" s="336" t="s">
        <v>1320</v>
      </c>
      <c r="L2" s="336"/>
      <c r="M2" s="336"/>
      <c r="N2" s="24" t="s">
        <v>1321</v>
      </c>
      <c r="O2" s="25" t="s">
        <v>1322</v>
      </c>
      <c r="P2" s="335" t="s">
        <v>1323</v>
      </c>
      <c r="Q2" s="335"/>
      <c r="R2" s="335"/>
      <c r="S2" s="336" t="s">
        <v>1324</v>
      </c>
      <c r="T2" s="336"/>
      <c r="U2" s="336"/>
      <c r="V2" s="26" t="s">
        <v>1325</v>
      </c>
    </row>
    <row r="3" spans="1:22" ht="15.6">
      <c r="A3" s="337"/>
      <c r="B3" s="33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34" t="s">
        <v>1346</v>
      </c>
      <c r="B4" s="30" t="s">
        <v>27</v>
      </c>
      <c r="C4" s="31" t="str">
        <f>'ou-gov&amp;ii'!C4</f>
        <v>S</v>
      </c>
      <c r="D4" s="31" t="str">
        <f>'ou-gov&amp;ii'!L4</f>
        <v>S</v>
      </c>
      <c r="E4" s="31"/>
      <c r="F4" s="31"/>
      <c r="G4" s="31"/>
      <c r="H4" s="31"/>
      <c r="I4" s="31"/>
      <c r="J4" s="31"/>
      <c r="K4" s="31"/>
      <c r="L4" s="31"/>
      <c r="M4" s="31"/>
      <c r="N4" s="31"/>
      <c r="O4" s="31"/>
      <c r="P4" s="31"/>
      <c r="Q4" s="31"/>
      <c r="R4" s="31"/>
      <c r="S4" s="31"/>
      <c r="T4" s="31"/>
      <c r="U4" s="31"/>
      <c r="V4" s="32" t="s">
        <v>1348</v>
      </c>
    </row>
    <row r="5" spans="1:22" ht="15.6">
      <c r="A5" s="334"/>
      <c r="B5" s="29">
        <v>1.1000000000000001</v>
      </c>
      <c r="C5" s="31" t="str">
        <f>'ou-gov&amp;ii'!C5</f>
        <v>FM</v>
      </c>
      <c r="D5" s="31" t="str">
        <f>'ou-gov&amp;ii'!L5</f>
        <v>FM</v>
      </c>
      <c r="E5" s="33"/>
      <c r="F5" s="33"/>
      <c r="G5" s="33"/>
      <c r="H5" s="33"/>
      <c r="I5" s="33"/>
      <c r="J5" s="33"/>
      <c r="K5" s="33"/>
      <c r="L5" s="33"/>
      <c r="M5" s="33"/>
      <c r="N5" s="33"/>
      <c r="O5" s="33"/>
      <c r="P5" s="33"/>
      <c r="Q5" s="33"/>
      <c r="R5" s="33"/>
      <c r="S5" s="33"/>
      <c r="T5" s="33"/>
      <c r="U5" s="33"/>
      <c r="V5" s="32" t="s">
        <v>1198</v>
      </c>
    </row>
    <row r="6" spans="1:22" ht="15.6">
      <c r="A6" s="334"/>
      <c r="B6" s="29">
        <v>1.2</v>
      </c>
      <c r="C6" s="31"/>
      <c r="D6" s="31"/>
      <c r="E6" s="33"/>
      <c r="F6" s="33"/>
      <c r="G6" s="33"/>
      <c r="H6" s="33"/>
      <c r="I6" s="33"/>
      <c r="J6" s="33"/>
      <c r="K6" s="33"/>
      <c r="L6" s="33"/>
      <c r="M6" s="33"/>
      <c r="N6" s="33"/>
      <c r="O6" s="33"/>
      <c r="P6" s="33"/>
      <c r="Q6" s="33"/>
      <c r="R6" s="33"/>
      <c r="S6" s="33"/>
      <c r="T6" s="33"/>
      <c r="U6" s="33"/>
      <c r="V6" s="32" t="s">
        <v>1195</v>
      </c>
    </row>
    <row r="7" spans="1:22" ht="15.6">
      <c r="A7" s="334"/>
      <c r="B7" s="29">
        <v>1.3</v>
      </c>
      <c r="C7" s="31"/>
      <c r="D7" s="31"/>
      <c r="E7" s="33"/>
      <c r="F7" s="33"/>
      <c r="G7" s="33"/>
      <c r="H7" s="33"/>
      <c r="I7" s="33"/>
      <c r="J7" s="33"/>
      <c r="K7" s="33"/>
      <c r="L7" s="33"/>
      <c r="M7" s="33"/>
      <c r="N7" s="33"/>
      <c r="O7" s="33"/>
      <c r="P7" s="33"/>
      <c r="Q7" s="33"/>
      <c r="R7" s="33"/>
      <c r="S7" s="33"/>
      <c r="T7" s="33"/>
      <c r="U7" s="33"/>
      <c r="V7" s="32" t="s">
        <v>1192</v>
      </c>
    </row>
    <row r="8" spans="1:22" ht="15.6">
      <c r="A8" s="334" t="s">
        <v>28</v>
      </c>
      <c r="B8" s="30" t="s">
        <v>28</v>
      </c>
      <c r="C8" s="31" t="str">
        <f>'ou-gov&amp;ii'!C8</f>
        <v>S</v>
      </c>
      <c r="D8" s="31" t="str">
        <f>'ou-gov&amp;ii'!L8</f>
        <v>S</v>
      </c>
      <c r="E8" s="31"/>
      <c r="F8" s="31"/>
      <c r="G8" s="31"/>
      <c r="H8" s="31"/>
      <c r="I8" s="31"/>
      <c r="J8" s="31"/>
      <c r="K8" s="31"/>
      <c r="L8" s="31"/>
      <c r="M8" s="31"/>
      <c r="N8" s="31"/>
      <c r="O8" s="31"/>
      <c r="P8" s="31"/>
      <c r="Q8" s="31"/>
      <c r="R8" s="31"/>
      <c r="S8" s="31"/>
      <c r="T8" s="31"/>
      <c r="U8" s="31"/>
      <c r="V8" s="32"/>
    </row>
    <row r="9" spans="1:22" ht="15.6">
      <c r="A9" s="334"/>
      <c r="B9" s="29">
        <v>2.1</v>
      </c>
      <c r="C9" s="31" t="str">
        <f>'ou-gov&amp;ii'!C9</f>
        <v>FM</v>
      </c>
      <c r="D9" s="31" t="str">
        <f>'ou-gov&amp;ii'!L9</f>
        <v>FM</v>
      </c>
      <c r="E9" s="33"/>
      <c r="F9" s="33"/>
      <c r="G9" s="33"/>
      <c r="H9" s="33"/>
      <c r="I9" s="33"/>
      <c r="J9" s="33"/>
      <c r="K9" s="33"/>
      <c r="L9" s="33"/>
      <c r="M9" s="33"/>
      <c r="N9" s="33"/>
      <c r="O9" s="33"/>
      <c r="P9" s="33"/>
      <c r="Q9" s="33"/>
      <c r="R9" s="33"/>
      <c r="S9" s="33"/>
      <c r="T9" s="33"/>
      <c r="U9" s="33"/>
      <c r="V9" s="32" t="s">
        <v>1198</v>
      </c>
    </row>
    <row r="10" spans="1:22" ht="15.6">
      <c r="A10" s="334"/>
      <c r="B10" s="29">
        <v>2.2000000000000002</v>
      </c>
      <c r="C10" s="31" t="str">
        <f>'ou-gov&amp;ii'!C10</f>
        <v>FM</v>
      </c>
      <c r="D10" s="31" t="str">
        <f>'ou-gov&amp;ii'!L10</f>
        <v>FM</v>
      </c>
      <c r="E10" s="33"/>
      <c r="F10" s="33"/>
      <c r="G10" s="33"/>
      <c r="H10" s="33"/>
      <c r="I10" s="33"/>
      <c r="J10" s="33"/>
      <c r="K10" s="33"/>
      <c r="L10" s="33"/>
      <c r="M10" s="33"/>
      <c r="N10" s="33"/>
      <c r="O10" s="33"/>
      <c r="P10" s="33"/>
      <c r="Q10" s="33"/>
      <c r="R10" s="33"/>
      <c r="S10" s="33"/>
      <c r="T10" s="33"/>
      <c r="U10" s="33"/>
      <c r="V10" s="32" t="s">
        <v>1198</v>
      </c>
    </row>
    <row r="11" spans="1:22" ht="15.6">
      <c r="A11" s="334"/>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1189</v>
      </c>
    </row>
    <row r="12" spans="1:22" ht="15.6">
      <c r="A12" s="334"/>
      <c r="B12" s="29">
        <v>2.4</v>
      </c>
      <c r="C12" s="31" t="str">
        <f>'ou-gov&amp;ii'!C12</f>
        <v>FM</v>
      </c>
      <c r="D12" s="31"/>
      <c r="E12" s="33"/>
      <c r="F12" s="33"/>
      <c r="G12" s="33"/>
      <c r="H12" s="33"/>
      <c r="I12" s="33"/>
      <c r="J12" s="33"/>
      <c r="K12" s="33"/>
      <c r="L12" s="33"/>
      <c r="M12" s="33"/>
      <c r="N12" s="33"/>
      <c r="O12" s="33"/>
      <c r="P12" s="33"/>
      <c r="Q12" s="33"/>
      <c r="R12" s="33"/>
      <c r="S12" s="33"/>
      <c r="T12" s="33"/>
      <c r="U12" s="33"/>
      <c r="V12" s="32" t="s">
        <v>1192</v>
      </c>
    </row>
    <row r="13" spans="1:22" ht="15.6">
      <c r="A13" s="334"/>
      <c r="B13" s="29">
        <v>2.5</v>
      </c>
      <c r="C13" s="31"/>
      <c r="D13" s="31"/>
      <c r="E13" s="33"/>
      <c r="F13" s="33"/>
      <c r="G13" s="33"/>
      <c r="H13" s="33"/>
      <c r="I13" s="33"/>
      <c r="J13" s="33"/>
      <c r="K13" s="33"/>
      <c r="L13" s="33"/>
      <c r="M13" s="33"/>
      <c r="N13" s="33"/>
      <c r="O13" s="33"/>
      <c r="P13" s="33"/>
      <c r="Q13" s="33"/>
      <c r="R13" s="33"/>
      <c r="S13" s="33"/>
      <c r="T13" s="33"/>
      <c r="U13" s="33"/>
      <c r="V13" s="32"/>
    </row>
    <row r="14" spans="1:22" ht="15.6">
      <c r="A14" s="334"/>
      <c r="B14" s="29">
        <v>2.6</v>
      </c>
      <c r="C14" s="31"/>
      <c r="D14" s="31"/>
      <c r="E14" s="33"/>
      <c r="F14" s="33"/>
      <c r="G14" s="33"/>
      <c r="H14" s="33"/>
      <c r="I14" s="33"/>
      <c r="J14" s="33"/>
      <c r="K14" s="33"/>
      <c r="L14" s="33"/>
      <c r="M14" s="33"/>
      <c r="N14" s="33"/>
      <c r="O14" s="33"/>
      <c r="P14" s="33"/>
      <c r="Q14" s="33"/>
      <c r="R14" s="33"/>
      <c r="S14" s="33"/>
      <c r="T14" s="33"/>
      <c r="U14" s="33"/>
      <c r="V14" s="32"/>
    </row>
    <row r="15" spans="1:22" ht="15.6">
      <c r="A15" s="334"/>
      <c r="B15" s="29">
        <v>2.7</v>
      </c>
      <c r="C15" s="31"/>
      <c r="D15" s="31"/>
      <c r="E15" s="33"/>
      <c r="F15" s="33"/>
      <c r="G15" s="33"/>
      <c r="H15" s="33"/>
      <c r="I15" s="33"/>
      <c r="J15" s="33"/>
      <c r="K15" s="33"/>
      <c r="L15" s="33"/>
      <c r="M15" s="33"/>
      <c r="N15" s="33"/>
      <c r="O15" s="33"/>
      <c r="P15" s="33"/>
      <c r="Q15" s="33"/>
      <c r="R15" s="33"/>
      <c r="S15" s="33"/>
      <c r="T15" s="33"/>
      <c r="U15" s="33"/>
      <c r="V15" s="32"/>
    </row>
    <row r="16" spans="1:22" ht="15.6">
      <c r="A16" s="334"/>
      <c r="B16" s="29">
        <v>2.8</v>
      </c>
      <c r="C16" s="31"/>
      <c r="D16" s="31"/>
      <c r="E16" s="33"/>
      <c r="F16" s="33"/>
      <c r="G16" s="33"/>
      <c r="H16" s="33"/>
      <c r="I16" s="33"/>
      <c r="J16" s="33"/>
      <c r="K16" s="33"/>
      <c r="L16" s="33"/>
      <c r="M16" s="33"/>
      <c r="N16" s="33"/>
      <c r="O16" s="33"/>
      <c r="P16" s="33"/>
      <c r="Q16" s="33"/>
      <c r="R16" s="33"/>
      <c r="S16" s="33"/>
      <c r="T16" s="33"/>
      <c r="U16" s="33"/>
      <c r="V16" s="32"/>
    </row>
    <row r="17" spans="1:22" ht="15.6">
      <c r="A17" s="334" t="s">
        <v>29</v>
      </c>
      <c r="B17" s="30" t="s">
        <v>29</v>
      </c>
      <c r="C17" s="31" t="str">
        <f>'ou-gov&amp;ii'!C17</f>
        <v>S</v>
      </c>
      <c r="D17" s="31" t="str">
        <f>'ou-gov&amp;ii'!L17</f>
        <v>S</v>
      </c>
      <c r="E17" s="31"/>
      <c r="F17" s="31"/>
      <c r="G17" s="31"/>
      <c r="H17" s="31"/>
      <c r="I17" s="31"/>
      <c r="J17" s="31"/>
      <c r="K17" s="31"/>
      <c r="L17" s="31"/>
      <c r="M17" s="31"/>
      <c r="N17" s="31"/>
      <c r="O17" s="31"/>
      <c r="P17" s="31"/>
      <c r="Q17" s="31"/>
      <c r="R17" s="31"/>
      <c r="S17" s="31"/>
      <c r="T17" s="31"/>
      <c r="U17" s="33"/>
      <c r="V17" s="32"/>
    </row>
    <row r="18" spans="1:22" ht="15.6">
      <c r="A18" s="334"/>
      <c r="B18" s="29">
        <v>3.1</v>
      </c>
      <c r="C18" s="31" t="str">
        <f>'ou-gov&amp;ii'!C18</f>
        <v>FM</v>
      </c>
      <c r="D18" s="31" t="str">
        <f>'ou-gov&amp;ii'!L18</f>
        <v>FM</v>
      </c>
      <c r="E18" s="33"/>
      <c r="F18" s="33"/>
      <c r="G18" s="33"/>
      <c r="H18" s="33"/>
      <c r="I18" s="33"/>
      <c r="J18" s="33"/>
      <c r="K18" s="33"/>
      <c r="L18" s="33"/>
      <c r="M18" s="33"/>
      <c r="N18" s="33"/>
      <c r="O18" s="33"/>
      <c r="P18" s="33"/>
      <c r="Q18" s="33"/>
      <c r="R18" s="33"/>
      <c r="S18" s="33"/>
      <c r="T18" s="33"/>
      <c r="U18" s="33"/>
      <c r="V18" s="32" t="s">
        <v>1198</v>
      </c>
    </row>
    <row r="19" spans="1:22" ht="15.6">
      <c r="A19" s="334"/>
      <c r="B19" s="29">
        <v>3.2</v>
      </c>
      <c r="C19" s="31" t="str">
        <f>'ou-gov&amp;ii'!C19</f>
        <v>FM</v>
      </c>
      <c r="D19" s="31" t="str">
        <f>'ou-gov&amp;ii'!L19</f>
        <v>FM</v>
      </c>
      <c r="E19" s="33"/>
      <c r="F19" s="33"/>
      <c r="G19" s="33"/>
      <c r="H19" s="33"/>
      <c r="I19" s="33"/>
      <c r="J19" s="33"/>
      <c r="K19" s="33"/>
      <c r="L19" s="33"/>
      <c r="M19" s="33"/>
      <c r="N19" s="33"/>
      <c r="O19" s="33"/>
      <c r="P19" s="33"/>
      <c r="Q19" s="33"/>
      <c r="R19" s="33"/>
      <c r="S19" s="33"/>
      <c r="T19" s="33"/>
      <c r="U19" s="33"/>
      <c r="V19" s="32" t="s">
        <v>1198</v>
      </c>
    </row>
    <row r="20" spans="1:22" ht="15.6">
      <c r="A20" s="334"/>
      <c r="B20" s="29">
        <v>3.3</v>
      </c>
      <c r="C20" s="31"/>
      <c r="D20" s="31" t="str">
        <f>'ou-gov&amp;ii'!L20</f>
        <v>FM</v>
      </c>
      <c r="E20" s="33"/>
      <c r="F20" s="33"/>
      <c r="G20" s="33"/>
      <c r="H20" s="33"/>
      <c r="I20" s="33"/>
      <c r="J20" s="33"/>
      <c r="K20" s="33"/>
      <c r="L20" s="33"/>
      <c r="M20" s="33"/>
      <c r="N20" s="33"/>
      <c r="O20" s="33"/>
      <c r="P20" s="33"/>
      <c r="Q20" s="33"/>
      <c r="R20" s="33"/>
      <c r="S20" s="33"/>
      <c r="T20" s="33"/>
      <c r="U20" s="33"/>
      <c r="V20" s="32"/>
    </row>
    <row r="21" spans="1:22" ht="15.6">
      <c r="A21" s="334"/>
      <c r="B21" s="29">
        <v>3.4</v>
      </c>
      <c r="C21" s="31"/>
      <c r="D21" s="31"/>
      <c r="E21" s="33"/>
      <c r="F21" s="33"/>
      <c r="G21" s="33"/>
      <c r="H21" s="33"/>
      <c r="I21" s="33"/>
      <c r="J21" s="33"/>
      <c r="K21" s="33"/>
      <c r="L21" s="33"/>
      <c r="M21" s="33"/>
      <c r="N21" s="33"/>
      <c r="O21" s="33"/>
      <c r="P21" s="33"/>
      <c r="Q21" s="33"/>
      <c r="R21" s="33"/>
      <c r="S21" s="33"/>
      <c r="T21" s="33"/>
      <c r="U21" s="33"/>
      <c r="V21" s="32"/>
    </row>
    <row r="22" spans="1:22" ht="15.6">
      <c r="A22" s="334"/>
      <c r="B22" s="29">
        <v>3.5</v>
      </c>
      <c r="C22" s="31"/>
      <c r="D22" s="31"/>
      <c r="E22" s="33"/>
      <c r="F22" s="33"/>
      <c r="G22" s="33"/>
      <c r="H22" s="33"/>
      <c r="I22" s="33"/>
      <c r="J22" s="33"/>
      <c r="K22" s="33"/>
      <c r="L22" s="33"/>
      <c r="M22" s="33"/>
      <c r="N22" s="33"/>
      <c r="O22" s="33"/>
      <c r="P22" s="33"/>
      <c r="Q22" s="33"/>
      <c r="R22" s="33"/>
      <c r="S22" s="33"/>
      <c r="T22" s="33"/>
      <c r="U22" s="33"/>
      <c r="V22" s="32"/>
    </row>
    <row r="23" spans="1:22" ht="15.6">
      <c r="A23" s="334"/>
      <c r="B23" s="29">
        <v>3.6</v>
      </c>
      <c r="C23" s="31"/>
      <c r="D23" s="31"/>
      <c r="E23" s="33"/>
      <c r="F23" s="33"/>
      <c r="G23" s="33"/>
      <c r="H23" s="33"/>
      <c r="I23" s="33"/>
      <c r="J23" s="33"/>
      <c r="K23" s="33"/>
      <c r="L23" s="33"/>
      <c r="M23" s="33"/>
      <c r="N23" s="33"/>
      <c r="O23" s="33"/>
      <c r="P23" s="33"/>
      <c r="Q23" s="33"/>
      <c r="R23" s="33"/>
      <c r="S23" s="33"/>
      <c r="T23" s="33"/>
      <c r="U23" s="33"/>
      <c r="V23" s="32"/>
    </row>
    <row r="24" spans="1:22" ht="15.6">
      <c r="A24" s="334"/>
      <c r="B24" s="29">
        <v>3.7</v>
      </c>
      <c r="C24" s="31"/>
      <c r="D24" s="31"/>
      <c r="E24" s="33"/>
      <c r="F24" s="33"/>
      <c r="G24" s="33"/>
      <c r="H24" s="33"/>
      <c r="I24" s="33"/>
      <c r="J24" s="33"/>
      <c r="K24" s="33"/>
      <c r="L24" s="33"/>
      <c r="M24" s="33"/>
      <c r="N24" s="33"/>
      <c r="O24" s="33"/>
      <c r="P24" s="33"/>
      <c r="Q24" s="33"/>
      <c r="R24" s="33"/>
      <c r="S24" s="33"/>
      <c r="T24" s="33"/>
      <c r="U24" s="33"/>
      <c r="V24" s="32"/>
    </row>
    <row r="25" spans="1:22" ht="15.6">
      <c r="A25" s="334" t="s">
        <v>1350</v>
      </c>
      <c r="B25" s="30" t="s">
        <v>371</v>
      </c>
      <c r="C25" s="31" t="str">
        <f>'ou-gov&amp;ii'!C25</f>
        <v>S</v>
      </c>
      <c r="D25" s="31" t="str">
        <f>'ou-gov&amp;ii'!L25</f>
        <v>S</v>
      </c>
      <c r="E25" s="33"/>
      <c r="F25" s="33"/>
      <c r="G25" s="33"/>
      <c r="H25" s="33"/>
      <c r="I25" s="33"/>
      <c r="J25" s="33"/>
      <c r="K25" s="31"/>
      <c r="L25" s="33"/>
      <c r="M25" s="31"/>
      <c r="N25" s="33"/>
      <c r="O25" s="33"/>
      <c r="P25" s="33"/>
      <c r="Q25" s="31"/>
      <c r="R25" s="33"/>
      <c r="S25" s="31"/>
      <c r="T25" s="33"/>
      <c r="U25" s="33"/>
      <c r="V25" s="32"/>
    </row>
    <row r="26" spans="1:22" ht="15.6">
      <c r="A26" s="334"/>
      <c r="B26" s="29">
        <v>4.0999999999999996</v>
      </c>
      <c r="C26" s="31" t="str">
        <f>'ou-gov&amp;ii'!C26</f>
        <v>FM</v>
      </c>
      <c r="D26" s="31" t="str">
        <f>'ou-gov&amp;ii'!L26</f>
        <v>FM</v>
      </c>
      <c r="E26" s="33"/>
      <c r="F26" s="33"/>
      <c r="G26" s="33"/>
      <c r="H26" s="33"/>
      <c r="I26" s="33"/>
      <c r="J26" s="33"/>
      <c r="K26" s="33"/>
      <c r="L26" s="33"/>
      <c r="M26" s="33"/>
      <c r="N26" s="33"/>
      <c r="O26" s="33"/>
      <c r="P26" s="33"/>
      <c r="Q26" s="33"/>
      <c r="R26" s="33"/>
      <c r="S26" s="33"/>
      <c r="T26" s="33"/>
      <c r="U26" s="33"/>
      <c r="V26" s="32" t="s">
        <v>1198</v>
      </c>
    </row>
    <row r="27" spans="1:22" ht="15.6">
      <c r="A27" s="334"/>
      <c r="B27" s="29">
        <v>4.2</v>
      </c>
      <c r="C27" s="31"/>
      <c r="D27" s="31"/>
      <c r="E27" s="33"/>
      <c r="F27" s="33"/>
      <c r="G27" s="33"/>
      <c r="H27" s="33"/>
      <c r="I27" s="33"/>
      <c r="J27" s="33"/>
      <c r="K27" s="33"/>
      <c r="L27" s="33"/>
      <c r="M27" s="33"/>
      <c r="N27" s="33"/>
      <c r="O27" s="33"/>
      <c r="P27" s="33"/>
      <c r="Q27" s="33"/>
      <c r="R27" s="33"/>
      <c r="S27" s="33"/>
      <c r="T27" s="33"/>
      <c r="U27" s="33"/>
      <c r="V27" s="32"/>
    </row>
    <row r="28" spans="1:22" ht="15.6">
      <c r="A28" s="334"/>
      <c r="B28" s="29">
        <v>4.3</v>
      </c>
      <c r="C28" s="31"/>
      <c r="D28" s="31"/>
      <c r="E28" s="33"/>
      <c r="F28" s="33"/>
      <c r="G28" s="33"/>
      <c r="H28" s="33"/>
      <c r="I28" s="33"/>
      <c r="J28" s="33"/>
      <c r="K28" s="33"/>
      <c r="L28" s="33"/>
      <c r="M28" s="33"/>
      <c r="N28" s="33"/>
      <c r="O28" s="33"/>
      <c r="P28" s="33"/>
      <c r="Q28" s="33"/>
      <c r="R28" s="33"/>
      <c r="S28" s="33"/>
      <c r="T28" s="33"/>
      <c r="U28" s="33"/>
      <c r="V28" s="32"/>
    </row>
    <row r="29" spans="1:22" ht="15.6">
      <c r="A29" s="334"/>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34"/>
      <c r="B30" s="29">
        <v>4.5</v>
      </c>
      <c r="C30" s="31"/>
      <c r="D30" s="31"/>
      <c r="E30" s="33"/>
      <c r="F30" s="33"/>
      <c r="G30" s="33"/>
      <c r="H30" s="33"/>
      <c r="I30" s="33"/>
      <c r="J30" s="33"/>
      <c r="K30" s="33"/>
      <c r="L30" s="33"/>
      <c r="M30" s="33"/>
      <c r="N30" s="33"/>
      <c r="O30" s="33"/>
      <c r="P30" s="33"/>
      <c r="Q30" s="33"/>
      <c r="R30" s="33"/>
      <c r="S30" s="33"/>
      <c r="T30" s="33"/>
      <c r="U30" s="33"/>
      <c r="V30" s="32"/>
    </row>
    <row r="31" spans="1:22" ht="15.6">
      <c r="A31" s="334" t="s">
        <v>511</v>
      </c>
      <c r="B31" s="30" t="s">
        <v>511</v>
      </c>
      <c r="C31" s="31"/>
      <c r="D31" s="31"/>
      <c r="E31" s="33"/>
      <c r="F31" s="33"/>
      <c r="G31" s="33"/>
      <c r="H31" s="33"/>
      <c r="I31" s="33"/>
      <c r="J31" s="33"/>
      <c r="K31" s="33"/>
      <c r="L31" s="33"/>
      <c r="M31" s="31"/>
      <c r="N31" s="33"/>
      <c r="O31" s="33"/>
      <c r="P31" s="33"/>
      <c r="Q31" s="33"/>
      <c r="R31" s="33"/>
      <c r="S31" s="31"/>
      <c r="T31" s="33"/>
      <c r="U31" s="33"/>
      <c r="V31" s="32"/>
    </row>
    <row r="32" spans="1:22" ht="15.6">
      <c r="A32" s="334"/>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34"/>
      <c r="B33" s="29">
        <v>5.2</v>
      </c>
      <c r="C33" s="31"/>
      <c r="D33" s="31"/>
      <c r="E33" s="33"/>
      <c r="F33" s="33"/>
      <c r="G33" s="33"/>
      <c r="H33" s="33"/>
      <c r="I33" s="33"/>
      <c r="J33" s="33"/>
      <c r="K33" s="33"/>
      <c r="L33" s="33"/>
      <c r="M33" s="33"/>
      <c r="N33" s="33"/>
      <c r="O33" s="33"/>
      <c r="P33" s="33"/>
      <c r="Q33" s="33"/>
      <c r="R33" s="33"/>
      <c r="S33" s="33"/>
      <c r="T33" s="33"/>
      <c r="U33" s="33"/>
      <c r="V33" s="32"/>
    </row>
    <row r="34" spans="1:22" ht="15.6">
      <c r="A34" s="334"/>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1326</v>
      </c>
      <c r="D36" s="36" t="s">
        <v>1327</v>
      </c>
      <c r="E36" s="37" t="s">
        <v>1328</v>
      </c>
      <c r="F36" s="37" t="s">
        <v>1329</v>
      </c>
      <c r="G36" s="36" t="s">
        <v>1330</v>
      </c>
      <c r="H36" s="36" t="s">
        <v>1331</v>
      </c>
      <c r="I36" s="36" t="s">
        <v>1332</v>
      </c>
      <c r="J36" s="36" t="s">
        <v>1333</v>
      </c>
      <c r="K36" s="37" t="s">
        <v>1334</v>
      </c>
      <c r="L36" s="37" t="s">
        <v>1335</v>
      </c>
      <c r="M36" s="37" t="s">
        <v>1336</v>
      </c>
      <c r="N36" s="36" t="s">
        <v>1337</v>
      </c>
      <c r="O36" s="37" t="s">
        <v>1338</v>
      </c>
      <c r="P36" s="36" t="s">
        <v>1339</v>
      </c>
      <c r="Q36" s="36" t="s">
        <v>1340</v>
      </c>
      <c r="R36" s="36" t="s">
        <v>1341</v>
      </c>
      <c r="S36" s="37" t="s">
        <v>1342</v>
      </c>
      <c r="T36" s="37" t="s">
        <v>1343</v>
      </c>
      <c r="U36" s="37" t="s">
        <v>1344</v>
      </c>
      <c r="V36" s="38" t="s">
        <v>1345</v>
      </c>
    </row>
    <row r="37" spans="1:22" s="39" customFormat="1" ht="23.4">
      <c r="A37" s="39" t="s">
        <v>1352</v>
      </c>
      <c r="C37" s="40">
        <v>4</v>
      </c>
      <c r="D37" s="40">
        <v>4</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1353</v>
      </c>
      <c r="C42" s="42"/>
      <c r="D42" s="42"/>
      <c r="E42" s="42"/>
      <c r="F42" s="42"/>
      <c r="G42" s="42"/>
      <c r="H42" s="42"/>
      <c r="I42" s="42"/>
      <c r="K42" s="42"/>
      <c r="L42" s="42"/>
      <c r="M42" s="42"/>
      <c r="N42" s="42"/>
      <c r="O42" s="42"/>
      <c r="P42" s="42"/>
      <c r="Q42" s="42"/>
      <c r="R42" s="42"/>
    </row>
    <row r="44" spans="1:22" ht="15.6">
      <c r="C44" s="43" t="s">
        <v>1342</v>
      </c>
      <c r="D44" s="43" t="s">
        <v>1344</v>
      </c>
      <c r="E44" s="44" t="s">
        <v>1343</v>
      </c>
      <c r="F44" s="44" t="s">
        <v>1341</v>
      </c>
      <c r="G44" s="43" t="s">
        <v>1326</v>
      </c>
      <c r="H44" s="43" t="s">
        <v>1327</v>
      </c>
      <c r="I44" s="43" t="s">
        <v>1339</v>
      </c>
      <c r="J44" s="43" t="s">
        <v>1336</v>
      </c>
      <c r="K44" s="44" t="s">
        <v>1338</v>
      </c>
      <c r="L44" s="44" t="s">
        <v>1335</v>
      </c>
      <c r="M44" s="44" t="s">
        <v>1334</v>
      </c>
      <c r="N44" s="43" t="s">
        <v>1329</v>
      </c>
      <c r="O44" s="44" t="s">
        <v>1340</v>
      </c>
      <c r="P44" s="43" t="s">
        <v>1332</v>
      </c>
      <c r="Q44" s="43" t="s">
        <v>1330</v>
      </c>
      <c r="R44" s="43" t="s">
        <v>1333</v>
      </c>
      <c r="S44" s="44" t="s">
        <v>1337</v>
      </c>
      <c r="T44" s="44" t="s">
        <v>1328</v>
      </c>
      <c r="U44" s="44" t="s">
        <v>1331</v>
      </c>
      <c r="V44" s="26" t="s">
        <v>1345</v>
      </c>
    </row>
    <row r="45" spans="1:22">
      <c r="A45" s="334" t="s">
        <v>1346</v>
      </c>
      <c r="B45" s="30" t="s">
        <v>27</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34"/>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34"/>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34"/>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34" t="s">
        <v>28</v>
      </c>
      <c r="B49" s="30" t="s">
        <v>28</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4"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34"/>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34"/>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34"/>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34"/>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34"/>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34"/>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34"/>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34"/>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34" t="s">
        <v>29</v>
      </c>
      <c r="B58" s="30" t="s">
        <v>29</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34"/>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34"/>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34"/>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34"/>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34"/>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34"/>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34"/>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34" t="s">
        <v>1350</v>
      </c>
      <c r="B66" s="30" t="s">
        <v>371</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34"/>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34"/>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34"/>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34"/>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34"/>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34" t="s">
        <v>511</v>
      </c>
      <c r="B72" s="30" t="s">
        <v>511</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34"/>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34"/>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34"/>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31:A34"/>
    <mergeCell ref="A25:A30"/>
    <mergeCell ref="A2:A3"/>
    <mergeCell ref="B2:B3"/>
    <mergeCell ref="C2:D2"/>
    <mergeCell ref="A17:A24"/>
    <mergeCell ref="E2:F2"/>
    <mergeCell ref="P2:R2"/>
    <mergeCell ref="S2:U2"/>
    <mergeCell ref="A4:A7"/>
    <mergeCell ref="A8:A16"/>
    <mergeCell ref="G2:J2"/>
    <mergeCell ref="K2:M2"/>
    <mergeCell ref="A45:A48"/>
    <mergeCell ref="A49:A57"/>
    <mergeCell ref="A58:A65"/>
    <mergeCell ref="A66:A71"/>
    <mergeCell ref="A72:A75"/>
  </mergeCells>
  <phoneticPr fontId="61" type="noConversion"/>
  <conditionalFormatting sqref="C4:V34">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8">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7">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5">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1">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5:C75">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5">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49">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8">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6">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2">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5:D75">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5:E75">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5:F75">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5:G75">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5:H75">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5:I75">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5:J75">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5:K75">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5:L75">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5:M75">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5:N75">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5:O75">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5:P7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5:Q75">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5:R75">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5:S75">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5:T75">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5:U75">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5:V7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S39"/>
  <sheetViews>
    <sheetView tabSelected="1" workbookViewId="0">
      <selection activeCell="G2" sqref="G2"/>
    </sheetView>
  </sheetViews>
  <sheetFormatPr defaultColWidth="8.6640625" defaultRowHeight="14.4"/>
  <cols>
    <col min="1" max="2" width="8.6640625" style="27"/>
    <col min="3" max="10" width="7.6640625" style="42" customWidth="1"/>
    <col min="11" max="11" width="3.44140625" style="27" customWidth="1"/>
    <col min="12" max="19" width="7.6640625" style="42" customWidth="1"/>
    <col min="20" max="16384" width="8.6640625" style="27"/>
  </cols>
  <sheetData>
    <row r="1" spans="1:19" s="45" customFormat="1" ht="18">
      <c r="A1" s="45" t="s">
        <v>1354</v>
      </c>
      <c r="C1" s="46"/>
      <c r="D1" s="46"/>
      <c r="E1" s="46"/>
      <c r="F1" s="46"/>
      <c r="G1" s="46"/>
      <c r="H1" s="46"/>
      <c r="I1" s="46"/>
      <c r="J1" s="46"/>
      <c r="L1" s="46"/>
      <c r="M1" s="46"/>
      <c r="N1" s="46"/>
      <c r="O1" s="46"/>
      <c r="P1" s="46"/>
      <c r="Q1" s="46"/>
      <c r="R1" s="46"/>
      <c r="S1" s="46"/>
    </row>
    <row r="2" spans="1:19" ht="68.099999999999994" customHeight="1">
      <c r="A2" s="337" t="s">
        <v>1315</v>
      </c>
      <c r="B2" s="337" t="s">
        <v>1316</v>
      </c>
      <c r="C2" s="28" t="s">
        <v>1355</v>
      </c>
      <c r="D2" s="47" t="s">
        <v>1356</v>
      </c>
      <c r="E2" s="47" t="s">
        <v>1357</v>
      </c>
      <c r="F2" s="47" t="s">
        <v>1358</v>
      </c>
      <c r="G2" s="47" t="s">
        <v>1359</v>
      </c>
      <c r="H2" s="47" t="s">
        <v>1362</v>
      </c>
      <c r="I2" s="47" t="s">
        <v>1360</v>
      </c>
      <c r="J2" s="47" t="s">
        <v>1361</v>
      </c>
      <c r="K2" s="29"/>
      <c r="L2" s="28" t="s">
        <v>1355</v>
      </c>
      <c r="M2" s="47" t="s">
        <v>1356</v>
      </c>
      <c r="N2" s="47" t="s">
        <v>1357</v>
      </c>
      <c r="O2" s="47" t="s">
        <v>1358</v>
      </c>
      <c r="P2" s="47" t="s">
        <v>1359</v>
      </c>
      <c r="Q2" s="47" t="s">
        <v>1362</v>
      </c>
      <c r="R2" s="47" t="s">
        <v>1360</v>
      </c>
      <c r="S2" s="47" t="s">
        <v>1361</v>
      </c>
    </row>
    <row r="3" spans="1:19">
      <c r="A3" s="337"/>
      <c r="B3" s="337"/>
      <c r="C3" s="28" t="s">
        <v>1326</v>
      </c>
      <c r="D3" s="28" t="s">
        <v>1326</v>
      </c>
      <c r="E3" s="28" t="s">
        <v>1326</v>
      </c>
      <c r="F3" s="28" t="s">
        <v>1326</v>
      </c>
      <c r="G3" s="28" t="s">
        <v>1326</v>
      </c>
      <c r="H3" s="28" t="s">
        <v>1326</v>
      </c>
      <c r="I3" s="28" t="s">
        <v>1326</v>
      </c>
      <c r="J3" s="28" t="s">
        <v>1326</v>
      </c>
      <c r="K3" s="29"/>
      <c r="L3" s="28" t="s">
        <v>1327</v>
      </c>
      <c r="M3" s="28" t="s">
        <v>1327</v>
      </c>
      <c r="N3" s="28" t="s">
        <v>1327</v>
      </c>
      <c r="O3" s="28" t="s">
        <v>1327</v>
      </c>
      <c r="P3" s="28" t="s">
        <v>1327</v>
      </c>
      <c r="Q3" s="28" t="s">
        <v>1327</v>
      </c>
      <c r="R3" s="28" t="s">
        <v>1327</v>
      </c>
      <c r="S3" s="28" t="s">
        <v>1327</v>
      </c>
    </row>
    <row r="4" spans="1:19">
      <c r="A4" s="334" t="s">
        <v>1346</v>
      </c>
      <c r="B4" s="30" t="s">
        <v>27</v>
      </c>
      <c r="C4" s="48" t="s">
        <v>1363</v>
      </c>
      <c r="D4" s="48"/>
      <c r="E4" s="48"/>
      <c r="F4" s="48"/>
      <c r="G4" s="48"/>
      <c r="H4" s="48"/>
      <c r="I4" s="48"/>
      <c r="J4" s="48"/>
      <c r="K4" s="29"/>
      <c r="L4" s="48" t="s">
        <v>1363</v>
      </c>
      <c r="M4" s="48"/>
      <c r="N4" s="48"/>
      <c r="O4" s="48"/>
      <c r="P4" s="48"/>
      <c r="Q4" s="48"/>
      <c r="R4" s="48"/>
      <c r="S4" s="48"/>
    </row>
    <row r="5" spans="1:19">
      <c r="A5" s="334"/>
      <c r="B5" s="29">
        <v>1.1000000000000001</v>
      </c>
      <c r="C5" s="48" t="s">
        <v>1189</v>
      </c>
      <c r="D5" s="48" t="s">
        <v>1189</v>
      </c>
      <c r="E5" s="48" t="s">
        <v>1189</v>
      </c>
      <c r="F5" s="48" t="s">
        <v>1189</v>
      </c>
      <c r="G5" s="48" t="s">
        <v>1189</v>
      </c>
      <c r="H5" s="48" t="s">
        <v>1189</v>
      </c>
      <c r="I5" s="48" t="s">
        <v>1189</v>
      </c>
      <c r="J5" s="48" t="s">
        <v>1189</v>
      </c>
      <c r="K5" s="29"/>
      <c r="L5" s="48" t="s">
        <v>1189</v>
      </c>
      <c r="M5" s="48" t="s">
        <v>1189</v>
      </c>
      <c r="N5" s="48" t="s">
        <v>1189</v>
      </c>
      <c r="O5" s="48" t="s">
        <v>1189</v>
      </c>
      <c r="P5" s="48" t="s">
        <v>1189</v>
      </c>
      <c r="Q5" s="48" t="s">
        <v>1189</v>
      </c>
      <c r="R5" s="48" t="s">
        <v>1189</v>
      </c>
      <c r="S5" s="48" t="s">
        <v>1189</v>
      </c>
    </row>
    <row r="6" spans="1:19">
      <c r="A6" s="334"/>
      <c r="B6" s="29">
        <v>1.2</v>
      </c>
      <c r="C6" s="30"/>
      <c r="D6" s="30"/>
      <c r="E6" s="30"/>
      <c r="F6" s="30"/>
      <c r="G6" s="30"/>
      <c r="H6" s="30"/>
      <c r="I6" s="30"/>
      <c r="J6" s="30"/>
      <c r="K6" s="29"/>
      <c r="L6" s="30"/>
      <c r="M6" s="30"/>
      <c r="N6" s="30"/>
      <c r="O6" s="30"/>
      <c r="P6" s="30"/>
      <c r="Q6" s="30"/>
      <c r="R6" s="30"/>
      <c r="S6" s="30"/>
    </row>
    <row r="7" spans="1:19">
      <c r="A7" s="334"/>
      <c r="B7" s="29">
        <v>1.3</v>
      </c>
      <c r="C7" s="30"/>
      <c r="D7" s="30"/>
      <c r="E7" s="30"/>
      <c r="F7" s="30"/>
      <c r="G7" s="30"/>
      <c r="H7" s="30"/>
      <c r="I7" s="30"/>
      <c r="J7" s="30"/>
      <c r="K7" s="29"/>
      <c r="L7" s="30"/>
      <c r="M7" s="30"/>
      <c r="N7" s="30"/>
      <c r="O7" s="30"/>
      <c r="P7" s="30"/>
      <c r="Q7" s="30"/>
      <c r="R7" s="30"/>
      <c r="S7" s="30"/>
    </row>
    <row r="8" spans="1:19">
      <c r="A8" s="334" t="s">
        <v>28</v>
      </c>
      <c r="B8" s="30" t="s">
        <v>28</v>
      </c>
      <c r="C8" s="48" t="s">
        <v>1363</v>
      </c>
      <c r="D8" s="48"/>
      <c r="E8" s="48"/>
      <c r="F8" s="48"/>
      <c r="G8" s="48"/>
      <c r="H8" s="48"/>
      <c r="I8" s="48"/>
      <c r="J8" s="48"/>
      <c r="K8" s="29"/>
      <c r="L8" s="48" t="s">
        <v>1363</v>
      </c>
      <c r="M8" s="48"/>
      <c r="N8" s="48"/>
      <c r="O8" s="48"/>
      <c r="P8" s="48"/>
      <c r="Q8" s="48"/>
      <c r="R8" s="48"/>
      <c r="S8" s="48"/>
    </row>
    <row r="9" spans="1:19">
      <c r="A9" s="334"/>
      <c r="B9" s="29">
        <v>2.1</v>
      </c>
      <c r="C9" s="48" t="s">
        <v>1189</v>
      </c>
      <c r="D9" s="48" t="s">
        <v>1189</v>
      </c>
      <c r="E9" s="48" t="s">
        <v>1189</v>
      </c>
      <c r="F9" s="48" t="s">
        <v>1189</v>
      </c>
      <c r="G9" s="48" t="s">
        <v>1189</v>
      </c>
      <c r="H9" s="48" t="s">
        <v>1189</v>
      </c>
      <c r="I9" s="48" t="s">
        <v>1189</v>
      </c>
      <c r="J9" s="48" t="s">
        <v>1189</v>
      </c>
      <c r="K9" s="29"/>
      <c r="L9" s="48" t="s">
        <v>1189</v>
      </c>
      <c r="M9" s="48" t="s">
        <v>1189</v>
      </c>
      <c r="N9" s="48" t="s">
        <v>1189</v>
      </c>
      <c r="O9" s="48" t="s">
        <v>1189</v>
      </c>
      <c r="P9" s="48" t="s">
        <v>1189</v>
      </c>
      <c r="Q9" s="48" t="s">
        <v>1189</v>
      </c>
      <c r="R9" s="48" t="s">
        <v>1189</v>
      </c>
      <c r="S9" s="48" t="s">
        <v>1189</v>
      </c>
    </row>
    <row r="10" spans="1:19">
      <c r="A10" s="334"/>
      <c r="B10" s="29">
        <v>2.2000000000000002</v>
      </c>
      <c r="C10" s="48" t="s">
        <v>1189</v>
      </c>
      <c r="D10" s="48" t="s">
        <v>1189</v>
      </c>
      <c r="E10" s="48" t="s">
        <v>1189</v>
      </c>
      <c r="F10" s="48" t="s">
        <v>1189</v>
      </c>
      <c r="G10" s="48" t="s">
        <v>1189</v>
      </c>
      <c r="H10" s="48" t="s">
        <v>1189</v>
      </c>
      <c r="I10" s="48" t="s">
        <v>1189</v>
      </c>
      <c r="J10" s="48" t="s">
        <v>1189</v>
      </c>
      <c r="K10" s="29"/>
      <c r="L10" s="48" t="s">
        <v>1189</v>
      </c>
      <c r="M10" s="48" t="s">
        <v>1189</v>
      </c>
      <c r="N10" s="48" t="s">
        <v>1189</v>
      </c>
      <c r="O10" s="48" t="s">
        <v>1189</v>
      </c>
      <c r="P10" s="48" t="s">
        <v>1189</v>
      </c>
      <c r="Q10" s="48" t="s">
        <v>1189</v>
      </c>
      <c r="R10" s="48" t="s">
        <v>1189</v>
      </c>
      <c r="S10" s="48" t="s">
        <v>1189</v>
      </c>
    </row>
    <row r="11" spans="1:19">
      <c r="A11" s="334"/>
      <c r="B11" s="29">
        <v>2.2999999999999998</v>
      </c>
      <c r="C11" s="48" t="s">
        <v>1189</v>
      </c>
      <c r="D11" s="48" t="s">
        <v>1189</v>
      </c>
      <c r="E11" s="48" t="s">
        <v>1189</v>
      </c>
      <c r="F11" s="48" t="s">
        <v>1189</v>
      </c>
      <c r="G11" s="48" t="s">
        <v>1189</v>
      </c>
      <c r="H11" s="48" t="s">
        <v>1189</v>
      </c>
      <c r="I11" s="48" t="s">
        <v>1189</v>
      </c>
      <c r="J11" s="48" t="s">
        <v>1189</v>
      </c>
      <c r="K11" s="29"/>
      <c r="L11" s="30"/>
      <c r="M11" s="30"/>
      <c r="N11" s="30"/>
      <c r="O11" s="30"/>
      <c r="P11" s="30"/>
      <c r="Q11" s="30"/>
      <c r="R11" s="30"/>
      <c r="S11" s="30"/>
    </row>
    <row r="12" spans="1:19">
      <c r="A12" s="334"/>
      <c r="B12" s="29">
        <v>2.4</v>
      </c>
      <c r="C12" s="48" t="s">
        <v>1189</v>
      </c>
      <c r="D12" s="48" t="s">
        <v>1189</v>
      </c>
      <c r="E12" s="48" t="s">
        <v>1189</v>
      </c>
      <c r="F12" s="48" t="s">
        <v>1189</v>
      </c>
      <c r="G12" s="48" t="s">
        <v>1189</v>
      </c>
      <c r="H12" s="48" t="s">
        <v>1189</v>
      </c>
      <c r="I12" s="48" t="s">
        <v>1189</v>
      </c>
      <c r="J12" s="48" t="s">
        <v>1189</v>
      </c>
      <c r="K12" s="29"/>
      <c r="L12" s="30"/>
      <c r="M12" s="30"/>
      <c r="N12" s="30"/>
      <c r="O12" s="30"/>
      <c r="P12" s="30"/>
      <c r="Q12" s="30"/>
      <c r="R12" s="30"/>
      <c r="S12" s="30"/>
    </row>
    <row r="13" spans="1:19">
      <c r="A13" s="334"/>
      <c r="B13" s="29">
        <v>2.5</v>
      </c>
      <c r="C13" s="30"/>
      <c r="D13" s="30"/>
      <c r="E13" s="30"/>
      <c r="F13" s="30"/>
      <c r="G13" s="30"/>
      <c r="H13" s="30"/>
      <c r="I13" s="30"/>
      <c r="J13" s="30"/>
      <c r="K13" s="29"/>
      <c r="L13" s="30"/>
      <c r="M13" s="30"/>
      <c r="N13" s="30"/>
      <c r="O13" s="30"/>
      <c r="P13" s="30"/>
      <c r="Q13" s="30"/>
      <c r="R13" s="30"/>
      <c r="S13" s="30"/>
    </row>
    <row r="14" spans="1:19">
      <c r="A14" s="334"/>
      <c r="B14" s="29">
        <v>2.6</v>
      </c>
      <c r="C14" s="30"/>
      <c r="D14" s="30"/>
      <c r="E14" s="30"/>
      <c r="F14" s="30"/>
      <c r="G14" s="30"/>
      <c r="H14" s="30"/>
      <c r="I14" s="30"/>
      <c r="J14" s="30"/>
      <c r="K14" s="29"/>
      <c r="L14" s="30"/>
      <c r="M14" s="30"/>
      <c r="N14" s="30"/>
      <c r="O14" s="30"/>
      <c r="P14" s="30"/>
      <c r="Q14" s="30"/>
      <c r="R14" s="30"/>
      <c r="S14" s="30"/>
    </row>
    <row r="15" spans="1:19">
      <c r="A15" s="334"/>
      <c r="B15" s="29">
        <v>2.7</v>
      </c>
      <c r="C15" s="30"/>
      <c r="D15" s="30"/>
      <c r="E15" s="30"/>
      <c r="F15" s="30"/>
      <c r="G15" s="30"/>
      <c r="H15" s="30"/>
      <c r="I15" s="30"/>
      <c r="J15" s="30"/>
      <c r="K15" s="29"/>
      <c r="L15" s="30"/>
      <c r="M15" s="30"/>
      <c r="N15" s="30"/>
      <c r="O15" s="30"/>
      <c r="P15" s="30"/>
      <c r="Q15" s="30"/>
      <c r="R15" s="30"/>
      <c r="S15" s="30"/>
    </row>
    <row r="16" spans="1:19">
      <c r="A16" s="334"/>
      <c r="B16" s="29">
        <v>2.8</v>
      </c>
      <c r="C16" s="30"/>
      <c r="D16" s="30"/>
      <c r="E16" s="30"/>
      <c r="F16" s="30"/>
      <c r="G16" s="30"/>
      <c r="H16" s="30"/>
      <c r="I16" s="30"/>
      <c r="J16" s="30"/>
      <c r="K16" s="29"/>
      <c r="L16" s="30"/>
      <c r="M16" s="30"/>
      <c r="N16" s="30"/>
      <c r="O16" s="30"/>
      <c r="P16" s="30"/>
      <c r="Q16" s="30"/>
      <c r="R16" s="30"/>
      <c r="S16" s="30"/>
    </row>
    <row r="17" spans="1:19">
      <c r="A17" s="334" t="s">
        <v>29</v>
      </c>
      <c r="B17" s="30" t="s">
        <v>29</v>
      </c>
      <c r="C17" s="48" t="s">
        <v>1363</v>
      </c>
      <c r="D17" s="48"/>
      <c r="E17" s="48"/>
      <c r="F17" s="48"/>
      <c r="G17" s="48"/>
      <c r="H17" s="48"/>
      <c r="I17" s="48"/>
      <c r="J17" s="48"/>
      <c r="K17" s="29"/>
      <c r="L17" s="48" t="s">
        <v>1363</v>
      </c>
      <c r="M17" s="48"/>
      <c r="N17" s="48"/>
      <c r="O17" s="48"/>
      <c r="P17" s="48"/>
      <c r="Q17" s="48"/>
      <c r="R17" s="48"/>
      <c r="S17" s="48"/>
    </row>
    <row r="18" spans="1:19">
      <c r="A18" s="334"/>
      <c r="B18" s="29">
        <v>3.1</v>
      </c>
      <c r="C18" s="48" t="s">
        <v>1189</v>
      </c>
      <c r="D18" s="48" t="s">
        <v>1189</v>
      </c>
      <c r="E18" s="48" t="s">
        <v>1189</v>
      </c>
      <c r="F18" s="48" t="s">
        <v>1189</v>
      </c>
      <c r="G18" s="48" t="s">
        <v>1189</v>
      </c>
      <c r="H18" s="48" t="s">
        <v>1189</v>
      </c>
      <c r="I18" s="48" t="s">
        <v>1189</v>
      </c>
      <c r="J18" s="48" t="s">
        <v>1189</v>
      </c>
      <c r="K18" s="29"/>
      <c r="L18" s="48" t="s">
        <v>1189</v>
      </c>
      <c r="M18" s="48" t="s">
        <v>1189</v>
      </c>
      <c r="N18" s="48" t="s">
        <v>1189</v>
      </c>
      <c r="O18" s="48" t="s">
        <v>1189</v>
      </c>
      <c r="P18" s="48" t="s">
        <v>1189</v>
      </c>
      <c r="Q18" s="48" t="s">
        <v>1189</v>
      </c>
      <c r="R18" s="48" t="s">
        <v>1189</v>
      </c>
      <c r="S18" s="48" t="s">
        <v>1189</v>
      </c>
    </row>
    <row r="19" spans="1:19">
      <c r="A19" s="334"/>
      <c r="B19" s="29">
        <v>3.2</v>
      </c>
      <c r="C19" s="48" t="s">
        <v>1189</v>
      </c>
      <c r="D19" s="48" t="s">
        <v>1189</v>
      </c>
      <c r="E19" s="48" t="s">
        <v>1189</v>
      </c>
      <c r="F19" s="48" t="s">
        <v>1189</v>
      </c>
      <c r="G19" s="48" t="s">
        <v>1189</v>
      </c>
      <c r="H19" s="48" t="s">
        <v>1189</v>
      </c>
      <c r="I19" s="48" t="s">
        <v>1189</v>
      </c>
      <c r="J19" s="48" t="s">
        <v>1189</v>
      </c>
      <c r="K19" s="29"/>
      <c r="L19" s="48" t="s">
        <v>1189</v>
      </c>
      <c r="M19" s="48" t="s">
        <v>1189</v>
      </c>
      <c r="N19" s="48" t="s">
        <v>1189</v>
      </c>
      <c r="O19" s="48" t="s">
        <v>1189</v>
      </c>
      <c r="P19" s="48" t="s">
        <v>1189</v>
      </c>
      <c r="Q19" s="48" t="s">
        <v>1189</v>
      </c>
      <c r="R19" s="48" t="s">
        <v>1189</v>
      </c>
      <c r="S19" s="48" t="s">
        <v>1189</v>
      </c>
    </row>
    <row r="20" spans="1:19">
      <c r="A20" s="334"/>
      <c r="B20" s="29">
        <v>3.3</v>
      </c>
      <c r="C20" s="30"/>
      <c r="D20" s="30"/>
      <c r="E20" s="30"/>
      <c r="F20" s="30"/>
      <c r="G20" s="30"/>
      <c r="H20" s="30"/>
      <c r="I20" s="30"/>
      <c r="J20" s="30"/>
      <c r="K20" s="29"/>
      <c r="L20" s="48" t="s">
        <v>1189</v>
      </c>
      <c r="M20" s="48" t="s">
        <v>1189</v>
      </c>
      <c r="N20" s="48" t="s">
        <v>1189</v>
      </c>
      <c r="O20" s="48" t="s">
        <v>1189</v>
      </c>
      <c r="P20" s="48" t="s">
        <v>1189</v>
      </c>
      <c r="Q20" s="48" t="s">
        <v>1189</v>
      </c>
      <c r="R20" s="48" t="s">
        <v>1189</v>
      </c>
      <c r="S20" s="48" t="s">
        <v>1189</v>
      </c>
    </row>
    <row r="21" spans="1:19">
      <c r="A21" s="334"/>
      <c r="B21" s="29">
        <v>3.4</v>
      </c>
      <c r="C21" s="30"/>
      <c r="D21" s="30"/>
      <c r="E21" s="30"/>
      <c r="F21" s="30"/>
      <c r="G21" s="30"/>
      <c r="H21" s="30"/>
      <c r="I21" s="30"/>
      <c r="J21" s="30"/>
      <c r="K21" s="29"/>
      <c r="L21" s="30"/>
      <c r="M21" s="30"/>
      <c r="N21" s="30"/>
      <c r="O21" s="30"/>
      <c r="P21" s="30"/>
      <c r="Q21" s="30"/>
      <c r="R21" s="30"/>
      <c r="S21" s="30"/>
    </row>
    <row r="22" spans="1:19">
      <c r="A22" s="334"/>
      <c r="B22" s="29">
        <v>3.5</v>
      </c>
      <c r="C22" s="30"/>
      <c r="D22" s="30"/>
      <c r="E22" s="30"/>
      <c r="F22" s="30"/>
      <c r="G22" s="30"/>
      <c r="H22" s="30"/>
      <c r="I22" s="30"/>
      <c r="J22" s="30"/>
      <c r="K22" s="29"/>
      <c r="L22" s="30"/>
      <c r="M22" s="30"/>
      <c r="N22" s="30"/>
      <c r="O22" s="30"/>
      <c r="P22" s="30"/>
      <c r="Q22" s="30"/>
      <c r="R22" s="30"/>
      <c r="S22" s="30"/>
    </row>
    <row r="23" spans="1:19">
      <c r="A23" s="334"/>
      <c r="B23" s="29">
        <v>3.6</v>
      </c>
      <c r="C23" s="30"/>
      <c r="D23" s="30"/>
      <c r="E23" s="30"/>
      <c r="F23" s="30"/>
      <c r="G23" s="30"/>
      <c r="H23" s="30"/>
      <c r="I23" s="30"/>
      <c r="J23" s="30"/>
      <c r="K23" s="29"/>
      <c r="L23" s="30"/>
      <c r="M23" s="30"/>
      <c r="N23" s="30"/>
      <c r="O23" s="30"/>
      <c r="P23" s="30"/>
      <c r="Q23" s="30"/>
      <c r="R23" s="30"/>
      <c r="S23" s="30"/>
    </row>
    <row r="24" spans="1:19">
      <c r="A24" s="334"/>
      <c r="B24" s="29">
        <v>3.7</v>
      </c>
      <c r="C24" s="30"/>
      <c r="D24" s="30"/>
      <c r="E24" s="30"/>
      <c r="F24" s="30"/>
      <c r="G24" s="30"/>
      <c r="H24" s="30"/>
      <c r="I24" s="30"/>
      <c r="J24" s="30"/>
      <c r="K24" s="29"/>
      <c r="L24" s="30"/>
      <c r="M24" s="30"/>
      <c r="N24" s="30"/>
      <c r="O24" s="30"/>
      <c r="P24" s="30"/>
      <c r="Q24" s="30"/>
      <c r="R24" s="30"/>
      <c r="S24" s="30"/>
    </row>
    <row r="25" spans="1:19">
      <c r="A25" s="334" t="s">
        <v>1350</v>
      </c>
      <c r="B25" s="30" t="s">
        <v>371</v>
      </c>
      <c r="C25" s="48" t="s">
        <v>1363</v>
      </c>
      <c r="D25" s="48"/>
      <c r="E25" s="48"/>
      <c r="F25" s="48"/>
      <c r="G25" s="48"/>
      <c r="H25" s="48"/>
      <c r="I25" s="48"/>
      <c r="J25" s="48"/>
      <c r="K25" s="29"/>
      <c r="L25" s="48" t="s">
        <v>1363</v>
      </c>
      <c r="M25" s="48"/>
      <c r="N25" s="48"/>
      <c r="O25" s="48"/>
      <c r="P25" s="48"/>
      <c r="Q25" s="48"/>
      <c r="R25" s="48"/>
      <c r="S25" s="48"/>
    </row>
    <row r="26" spans="1:19">
      <c r="A26" s="334"/>
      <c r="B26" s="29">
        <v>4.0999999999999996</v>
      </c>
      <c r="C26" s="48" t="s">
        <v>1189</v>
      </c>
      <c r="D26" s="48" t="s">
        <v>1189</v>
      </c>
      <c r="E26" s="48" t="s">
        <v>1189</v>
      </c>
      <c r="F26" s="48" t="s">
        <v>1189</v>
      </c>
      <c r="G26" s="48" t="s">
        <v>1189</v>
      </c>
      <c r="H26" s="48" t="s">
        <v>1189</v>
      </c>
      <c r="I26" s="48" t="s">
        <v>1189</v>
      </c>
      <c r="J26" s="48" t="s">
        <v>1189</v>
      </c>
      <c r="K26" s="29"/>
      <c r="L26" s="30" t="s">
        <v>1189</v>
      </c>
      <c r="M26" s="30" t="s">
        <v>1189</v>
      </c>
      <c r="N26" s="30" t="s">
        <v>1189</v>
      </c>
      <c r="O26" s="30" t="s">
        <v>1189</v>
      </c>
      <c r="P26" s="30" t="s">
        <v>1189</v>
      </c>
      <c r="Q26" s="30" t="s">
        <v>1189</v>
      </c>
      <c r="R26" s="30" t="s">
        <v>1189</v>
      </c>
      <c r="S26" s="30" t="s">
        <v>1189</v>
      </c>
    </row>
    <row r="27" spans="1:19">
      <c r="A27" s="334"/>
      <c r="B27" s="29">
        <v>4.2</v>
      </c>
      <c r="C27" s="30"/>
      <c r="D27" s="30"/>
      <c r="E27" s="30"/>
      <c r="F27" s="30"/>
      <c r="G27" s="30"/>
      <c r="H27" s="30"/>
      <c r="I27" s="30"/>
      <c r="J27" s="30"/>
      <c r="K27" s="29"/>
      <c r="L27" s="30"/>
      <c r="M27" s="30"/>
      <c r="N27" s="30"/>
      <c r="O27" s="30"/>
      <c r="P27" s="30"/>
      <c r="Q27" s="30"/>
      <c r="R27" s="30"/>
      <c r="S27" s="30"/>
    </row>
    <row r="28" spans="1:19">
      <c r="A28" s="334"/>
      <c r="B28" s="29">
        <v>4.3</v>
      </c>
      <c r="C28" s="30"/>
      <c r="D28" s="30"/>
      <c r="E28" s="30"/>
      <c r="F28" s="30"/>
      <c r="G28" s="30"/>
      <c r="H28" s="30"/>
      <c r="I28" s="30"/>
      <c r="J28" s="30"/>
      <c r="K28" s="29"/>
      <c r="L28" s="30"/>
      <c r="M28" s="30"/>
      <c r="N28" s="30"/>
      <c r="O28" s="30"/>
      <c r="P28" s="30"/>
      <c r="Q28" s="30"/>
      <c r="R28" s="30"/>
      <c r="S28" s="30"/>
    </row>
    <row r="29" spans="1:19">
      <c r="A29" s="334"/>
      <c r="B29" s="29">
        <v>4.4000000000000004</v>
      </c>
      <c r="C29" s="30"/>
      <c r="D29" s="30"/>
      <c r="E29" s="30"/>
      <c r="F29" s="30"/>
      <c r="G29" s="30"/>
      <c r="H29" s="30"/>
      <c r="I29" s="30"/>
      <c r="J29" s="30"/>
      <c r="K29" s="29"/>
      <c r="L29" s="30"/>
      <c r="M29" s="30"/>
      <c r="N29" s="30"/>
      <c r="O29" s="30"/>
      <c r="P29" s="30"/>
      <c r="Q29" s="30"/>
      <c r="R29" s="30"/>
      <c r="S29" s="30"/>
    </row>
    <row r="30" spans="1:19">
      <c r="A30" s="334"/>
      <c r="B30" s="29">
        <v>4.5</v>
      </c>
      <c r="C30" s="30"/>
      <c r="D30" s="30"/>
      <c r="E30" s="30"/>
      <c r="F30" s="30"/>
      <c r="G30" s="30"/>
      <c r="H30" s="30"/>
      <c r="I30" s="30"/>
      <c r="J30" s="30"/>
      <c r="K30" s="29"/>
      <c r="L30" s="30"/>
      <c r="M30" s="30"/>
      <c r="N30" s="30"/>
      <c r="O30" s="30"/>
      <c r="P30" s="30"/>
      <c r="Q30" s="30"/>
      <c r="R30" s="30"/>
      <c r="S30" s="30"/>
    </row>
    <row r="31" spans="1:19">
      <c r="A31" s="334" t="s">
        <v>511</v>
      </c>
      <c r="B31" s="30" t="s">
        <v>511</v>
      </c>
      <c r="C31" s="30"/>
      <c r="D31" s="30"/>
      <c r="E31" s="30"/>
      <c r="F31" s="30"/>
      <c r="G31" s="30"/>
      <c r="H31" s="30"/>
      <c r="I31" s="30"/>
      <c r="J31" s="30"/>
      <c r="K31" s="29"/>
      <c r="L31" s="30"/>
      <c r="M31" s="30"/>
      <c r="N31" s="30"/>
      <c r="O31" s="30"/>
      <c r="P31" s="30"/>
      <c r="Q31" s="30"/>
      <c r="R31" s="30"/>
      <c r="S31" s="30"/>
    </row>
    <row r="32" spans="1:19">
      <c r="A32" s="334"/>
      <c r="B32" s="29">
        <v>5.0999999999999996</v>
      </c>
      <c r="C32" s="30"/>
      <c r="D32" s="30"/>
      <c r="E32" s="30"/>
      <c r="F32" s="30"/>
      <c r="G32" s="30"/>
      <c r="H32" s="30"/>
      <c r="I32" s="30"/>
      <c r="J32" s="30"/>
      <c r="K32" s="29"/>
      <c r="L32" s="30"/>
      <c r="M32" s="30"/>
      <c r="N32" s="30"/>
      <c r="O32" s="30"/>
      <c r="P32" s="30"/>
      <c r="Q32" s="30"/>
      <c r="R32" s="30"/>
      <c r="S32" s="30"/>
    </row>
    <row r="33" spans="1:19">
      <c r="A33" s="334"/>
      <c r="B33" s="29">
        <v>5.2</v>
      </c>
      <c r="C33" s="30"/>
      <c r="D33" s="30"/>
      <c r="E33" s="30"/>
      <c r="F33" s="30"/>
      <c r="G33" s="30"/>
      <c r="H33" s="30"/>
      <c r="I33" s="30"/>
      <c r="J33" s="30"/>
      <c r="K33" s="29"/>
      <c r="L33" s="30"/>
      <c r="M33" s="30"/>
      <c r="N33" s="30"/>
      <c r="O33" s="30"/>
      <c r="P33" s="30"/>
      <c r="Q33" s="30"/>
      <c r="R33" s="30"/>
      <c r="S33" s="30"/>
    </row>
    <row r="34" spans="1:19">
      <c r="A34" s="334"/>
      <c r="B34" s="29">
        <v>5.3</v>
      </c>
      <c r="C34" s="30"/>
      <c r="D34" s="30"/>
      <c r="E34" s="30"/>
      <c r="F34" s="30"/>
      <c r="G34" s="30"/>
      <c r="H34" s="30"/>
      <c r="I34" s="30"/>
      <c r="J34" s="30"/>
      <c r="K34" s="29"/>
      <c r="L34" s="30"/>
      <c r="M34" s="30"/>
      <c r="N34" s="30"/>
      <c r="O34" s="30"/>
      <c r="P34" s="30"/>
      <c r="Q34" s="30"/>
      <c r="R34" s="30"/>
      <c r="S34" s="30"/>
    </row>
    <row r="38" spans="1:19" ht="15.6">
      <c r="A38" s="49" t="s">
        <v>1364</v>
      </c>
    </row>
    <row r="39" spans="1:19" ht="15.6">
      <c r="A39" s="49" t="s">
        <v>1365</v>
      </c>
    </row>
  </sheetData>
  <mergeCells count="7">
    <mergeCell ref="A31:A34"/>
    <mergeCell ref="A2:A3"/>
    <mergeCell ref="B2:B3"/>
    <mergeCell ref="A4:A7"/>
    <mergeCell ref="A8:A16"/>
    <mergeCell ref="A17:A24"/>
    <mergeCell ref="A25:A30"/>
  </mergeCells>
  <phoneticPr fontId="61" type="noConversion"/>
  <conditionalFormatting sqref="C4:D4 C27:D34 C20:D25 L6:S8 C13:J17 C26:J26 C5:J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J4 E20:J25 E27:J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L4:M4 L11:M17 L21:M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N4:P4 N11:P17 N21:P34 R21:S34 R11:S17 R4:S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J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J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L5:P5 R5:S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R9:S9 L9:P9 L10:S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L18:P20 R18:S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Q4 Q11:Q17 Q21:Q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Q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Q9">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Q18:Q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1"/>
  <sheetViews>
    <sheetView workbookViewId="0">
      <selection activeCell="B11" sqref="B11"/>
    </sheetView>
  </sheetViews>
  <sheetFormatPr defaultColWidth="8.6640625" defaultRowHeight="14.4"/>
  <cols>
    <col min="2" max="2" width="16" customWidth="1"/>
    <col min="3" max="3" width="131.6640625" customWidth="1"/>
    <col min="4" max="16384" width="8.6640625" style="50"/>
  </cols>
  <sheetData>
    <row r="1" spans="1:3">
      <c r="A1" t="s">
        <v>1366</v>
      </c>
      <c r="B1" t="s">
        <v>1367</v>
      </c>
      <c r="C1" t="s">
        <v>1368</v>
      </c>
    </row>
  </sheetData>
  <phoneticPr fontId="61"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7" customWidth="1"/>
    <col min="2" max="2" width="16.44140625" style="27" customWidth="1"/>
    <col min="3" max="3" width="28.33203125" style="27" customWidth="1"/>
    <col min="4" max="7" width="8.6640625" style="27"/>
    <col min="8" max="8" width="23.6640625" style="27" customWidth="1"/>
    <col min="9" max="10" width="19.88671875" style="27" customWidth="1"/>
    <col min="11" max="11" width="22.33203125" style="27" customWidth="1"/>
    <col min="12" max="14" width="18.44140625" style="27" customWidth="1"/>
    <col min="15" max="15" width="7.33203125" style="42" customWidth="1"/>
    <col min="16" max="16" width="24.6640625" style="27" customWidth="1"/>
    <col min="17" max="17" width="7.33203125" style="27" customWidth="1"/>
    <col min="18" max="16384" width="8.6640625" style="27"/>
  </cols>
  <sheetData>
    <row r="2" spans="1:17" ht="55.2">
      <c r="A2" s="1" t="s">
        <v>1369</v>
      </c>
      <c r="B2" s="51" t="s">
        <v>1370</v>
      </c>
      <c r="C2" s="51" t="s">
        <v>1371</v>
      </c>
      <c r="D2" s="52" t="s">
        <v>1372</v>
      </c>
      <c r="E2" s="52" t="s">
        <v>1373</v>
      </c>
      <c r="F2" s="52" t="s">
        <v>1374</v>
      </c>
      <c r="G2" s="52" t="s">
        <v>1375</v>
      </c>
      <c r="H2" s="2" t="s">
        <v>1376</v>
      </c>
      <c r="I2" s="51" t="s">
        <v>1377</v>
      </c>
      <c r="J2" s="51" t="s">
        <v>1378</v>
      </c>
      <c r="K2" s="2" t="s">
        <v>86</v>
      </c>
      <c r="L2" s="51" t="s">
        <v>1379</v>
      </c>
      <c r="M2" s="51" t="s">
        <v>1380</v>
      </c>
      <c r="N2" s="2" t="s">
        <v>1381</v>
      </c>
      <c r="O2" s="53" t="s">
        <v>1382</v>
      </c>
      <c r="P2" s="2" t="s">
        <v>1383</v>
      </c>
      <c r="Q2" s="13" t="s">
        <v>1384</v>
      </c>
    </row>
    <row r="3" spans="1:17" s="55" customFormat="1" ht="13.8">
      <c r="A3" s="54" t="s">
        <v>1385</v>
      </c>
      <c r="B3" s="17" t="s">
        <v>27</v>
      </c>
      <c r="C3" s="18"/>
      <c r="D3" s="18"/>
      <c r="E3" s="18"/>
      <c r="F3" s="18"/>
      <c r="G3" s="18"/>
      <c r="H3" s="18"/>
      <c r="I3" s="18"/>
      <c r="J3" s="18"/>
      <c r="K3" s="18"/>
      <c r="L3" s="8"/>
      <c r="M3" s="8"/>
      <c r="N3" s="8"/>
      <c r="O3" s="9"/>
      <c r="P3" s="10"/>
      <c r="Q3" s="9"/>
    </row>
    <row r="4" spans="1:17" s="57" customFormat="1" ht="51.6" customHeight="1">
      <c r="A4" s="56" t="s">
        <v>1386</v>
      </c>
      <c r="B4" s="3" t="s">
        <v>1141</v>
      </c>
      <c r="C4" s="338" t="s">
        <v>1387</v>
      </c>
      <c r="D4" s="338"/>
      <c r="E4" s="338"/>
      <c r="F4" s="338"/>
      <c r="G4" s="338"/>
      <c r="H4" s="338"/>
      <c r="I4" s="20" t="s">
        <v>1388</v>
      </c>
      <c r="J4" s="20" t="s">
        <v>65</v>
      </c>
      <c r="K4" s="11" t="s">
        <v>86</v>
      </c>
      <c r="L4" s="11"/>
      <c r="M4" s="11"/>
      <c r="N4" s="11"/>
      <c r="O4" s="9"/>
      <c r="P4" s="10"/>
      <c r="Q4" s="9"/>
    </row>
    <row r="5" spans="1:17" s="58" customFormat="1" ht="13.8">
      <c r="A5" s="54" t="s">
        <v>1389</v>
      </c>
      <c r="B5" s="20" t="s">
        <v>1141</v>
      </c>
      <c r="C5" s="339" t="s">
        <v>1390</v>
      </c>
      <c r="D5" s="340"/>
      <c r="E5" s="340"/>
      <c r="F5" s="340"/>
      <c r="G5" s="340"/>
      <c r="H5" s="340"/>
      <c r="I5" s="340"/>
      <c r="J5" s="340"/>
      <c r="K5" s="341"/>
      <c r="L5" s="9"/>
      <c r="M5" s="9"/>
      <c r="N5" s="9"/>
      <c r="O5" s="9"/>
      <c r="P5" s="9"/>
      <c r="Q5" s="9"/>
    </row>
    <row r="6" spans="1:17" s="58" customFormat="1" ht="13.8">
      <c r="A6" s="54" t="s">
        <v>1391</v>
      </c>
      <c r="B6" s="19" t="s">
        <v>1141</v>
      </c>
      <c r="C6" s="342" t="s">
        <v>1392</v>
      </c>
      <c r="D6" s="343"/>
      <c r="E6" s="343"/>
      <c r="F6" s="343"/>
      <c r="G6" s="344"/>
      <c r="H6" s="4" t="s">
        <v>1393</v>
      </c>
      <c r="I6" s="9"/>
      <c r="J6" s="9"/>
      <c r="K6" s="9"/>
      <c r="L6" s="9"/>
      <c r="M6" s="9"/>
      <c r="N6" s="9"/>
      <c r="O6" s="9"/>
      <c r="P6" s="9"/>
      <c r="Q6" s="9"/>
    </row>
    <row r="7" spans="1:17" s="58" customFormat="1" ht="13.8">
      <c r="A7" s="5" t="s">
        <v>1394</v>
      </c>
      <c r="B7" s="5" t="s">
        <v>1392</v>
      </c>
      <c r="C7" s="59" t="s">
        <v>1395</v>
      </c>
      <c r="D7" s="6" t="s">
        <v>97</v>
      </c>
      <c r="E7" s="6" t="s">
        <v>98</v>
      </c>
      <c r="F7" s="6" t="s">
        <v>1396</v>
      </c>
      <c r="G7" s="6" t="s">
        <v>1397</v>
      </c>
      <c r="H7" s="7"/>
      <c r="I7" s="9"/>
      <c r="J7" s="7"/>
      <c r="K7" s="12"/>
      <c r="L7" s="6"/>
      <c r="M7" s="6"/>
      <c r="N7" s="12"/>
      <c r="O7" s="7"/>
      <c r="P7" s="9"/>
      <c r="Q7" s="9"/>
    </row>
    <row r="19" spans="1:17" ht="54.6" customHeight="1">
      <c r="A19" s="56" t="s">
        <v>1398</v>
      </c>
      <c r="B19" s="3" t="s">
        <v>1141</v>
      </c>
      <c r="C19" s="338" t="s">
        <v>1387</v>
      </c>
      <c r="D19" s="338"/>
      <c r="E19" s="338"/>
      <c r="F19" s="338"/>
      <c r="G19" s="338"/>
      <c r="H19" s="338"/>
      <c r="I19" s="20" t="s">
        <v>1388</v>
      </c>
      <c r="J19" s="20" t="s">
        <v>65</v>
      </c>
      <c r="K19" s="11" t="s">
        <v>86</v>
      </c>
      <c r="L19" s="11"/>
      <c r="M19" s="11"/>
      <c r="N19" s="11"/>
      <c r="O19" s="345"/>
      <c r="P19" s="346"/>
      <c r="Q19" s="347"/>
    </row>
  </sheetData>
  <mergeCells count="5">
    <mergeCell ref="C4:H4"/>
    <mergeCell ref="C5:K5"/>
    <mergeCell ref="C6:G6"/>
    <mergeCell ref="C19:H19"/>
    <mergeCell ref="O19:Q19"/>
  </mergeCells>
  <phoneticPr fontId="61"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24"/>
  <sheetViews>
    <sheetView zoomScale="70" zoomScaleNormal="70" workbookViewId="0">
      <selection activeCell="B10" sqref="B10"/>
    </sheetView>
  </sheetViews>
  <sheetFormatPr defaultColWidth="8.77734375" defaultRowHeight="13.8"/>
  <cols>
    <col min="1" max="1" width="10.21875" style="295" customWidth="1"/>
    <col min="2" max="2" width="67.21875" style="295" customWidth="1"/>
    <col min="3" max="4" width="21.44140625" style="295" customWidth="1"/>
    <col min="5" max="6" width="80.44140625" style="295" customWidth="1"/>
    <col min="7" max="7" width="21.44140625" style="291" customWidth="1"/>
    <col min="8" max="16384" width="8.77734375" style="295"/>
  </cols>
  <sheetData>
    <row r="1" spans="1:7" s="289" customFormat="1" ht="25.8">
      <c r="A1" s="288" t="s">
        <v>1399</v>
      </c>
      <c r="C1" s="290"/>
      <c r="G1" s="291"/>
    </row>
    <row r="2" spans="1:7" s="289" customFormat="1" ht="25.8">
      <c r="A2" s="288" t="s">
        <v>1400</v>
      </c>
      <c r="C2" s="290"/>
      <c r="G2" s="291"/>
    </row>
    <row r="3" spans="1:7" s="289" customFormat="1">
      <c r="A3" s="292" t="s">
        <v>1401</v>
      </c>
      <c r="B3" s="289" t="s">
        <v>1402</v>
      </c>
      <c r="G3" s="291"/>
    </row>
    <row r="4" spans="1:7" s="289" customFormat="1">
      <c r="A4" s="292" t="s">
        <v>1403</v>
      </c>
      <c r="B4" s="289" t="s">
        <v>1404</v>
      </c>
      <c r="G4" s="291"/>
    </row>
    <row r="5" spans="1:7" s="289" customFormat="1">
      <c r="A5" s="289" t="s">
        <v>1405</v>
      </c>
      <c r="B5" s="289" t="s">
        <v>1406</v>
      </c>
      <c r="G5" s="291"/>
    </row>
    <row r="6" spans="1:7" s="289" customFormat="1">
      <c r="A6" s="289" t="s">
        <v>1407</v>
      </c>
      <c r="B6" s="289" t="s">
        <v>1408</v>
      </c>
      <c r="G6" s="291"/>
    </row>
    <row r="8" spans="1:7" s="289" customFormat="1">
      <c r="A8" s="312"/>
      <c r="B8" s="312"/>
      <c r="C8" s="312" t="s">
        <v>65</v>
      </c>
      <c r="D8" s="312" t="s">
        <v>54</v>
      </c>
      <c r="E8" s="312" t="s">
        <v>86</v>
      </c>
      <c r="F8" s="312"/>
      <c r="G8" s="312" t="s">
        <v>1409</v>
      </c>
    </row>
    <row r="9" spans="1:7" s="292" customFormat="1">
      <c r="A9" s="296" t="s">
        <v>27</v>
      </c>
      <c r="B9" s="296"/>
      <c r="C9" s="297"/>
      <c r="D9" s="297"/>
      <c r="E9" s="297"/>
      <c r="F9" s="297"/>
      <c r="G9" s="297"/>
    </row>
    <row r="10" spans="1:7" s="292" customFormat="1" ht="82.8">
      <c r="A10" s="3" t="s">
        <v>936</v>
      </c>
      <c r="B10" s="3" t="s">
        <v>2149</v>
      </c>
      <c r="C10" s="300" t="s">
        <v>1410</v>
      </c>
      <c r="D10" s="300" t="s">
        <v>1411</v>
      </c>
      <c r="E10" s="300" t="s">
        <v>1412</v>
      </c>
      <c r="F10" s="300"/>
      <c r="G10" s="3"/>
    </row>
    <row r="11" spans="1:7" s="140" customFormat="1">
      <c r="A11" s="296" t="s">
        <v>28</v>
      </c>
      <c r="B11" s="296"/>
      <c r="C11" s="297"/>
      <c r="D11" s="297"/>
      <c r="E11" s="297"/>
      <c r="F11" s="297"/>
      <c r="G11" s="297"/>
    </row>
    <row r="12" spans="1:7" s="140" customFormat="1" ht="82.8">
      <c r="A12" s="3" t="s">
        <v>937</v>
      </c>
      <c r="B12" s="3" t="s">
        <v>2150</v>
      </c>
      <c r="C12" s="300" t="s">
        <v>1413</v>
      </c>
      <c r="D12" s="300" t="s">
        <v>1414</v>
      </c>
      <c r="E12" s="300" t="s">
        <v>1415</v>
      </c>
      <c r="F12" s="300"/>
      <c r="G12" s="3"/>
    </row>
    <row r="13" spans="1:7" s="140" customFormat="1" ht="82.8">
      <c r="A13" s="3" t="s">
        <v>938</v>
      </c>
      <c r="B13" s="3" t="s">
        <v>2151</v>
      </c>
      <c r="C13" s="300" t="s">
        <v>1416</v>
      </c>
      <c r="D13" s="300" t="s">
        <v>1417</v>
      </c>
      <c r="E13" s="300" t="s">
        <v>1418</v>
      </c>
      <c r="F13" s="300"/>
      <c r="G13" s="3"/>
    </row>
    <row r="14" spans="1:7" s="292" customFormat="1">
      <c r="A14" s="296" t="s">
        <v>29</v>
      </c>
      <c r="B14" s="296"/>
      <c r="C14" s="297"/>
      <c r="D14" s="297"/>
      <c r="E14" s="297"/>
      <c r="F14" s="297"/>
      <c r="G14" s="297"/>
    </row>
    <row r="15" spans="1:7" s="140" customFormat="1" ht="82.8">
      <c r="A15" s="3" t="s">
        <v>939</v>
      </c>
      <c r="B15" s="3" t="s">
        <v>2152</v>
      </c>
      <c r="C15" s="300" t="s">
        <v>1419</v>
      </c>
      <c r="D15" s="300" t="s">
        <v>1420</v>
      </c>
      <c r="E15" s="300" t="s">
        <v>1421</v>
      </c>
      <c r="F15" s="300"/>
      <c r="G15" s="3"/>
    </row>
    <row r="16" spans="1:7" s="140" customFormat="1" ht="82.8">
      <c r="A16" s="3" t="s">
        <v>940</v>
      </c>
      <c r="B16" s="3" t="s">
        <v>2153</v>
      </c>
      <c r="C16" s="300" t="s">
        <v>1422</v>
      </c>
      <c r="D16" s="300" t="s">
        <v>1423</v>
      </c>
      <c r="E16" s="300" t="s">
        <v>1424</v>
      </c>
      <c r="F16" s="300"/>
      <c r="G16" s="3"/>
    </row>
    <row r="17" spans="1:7" s="140" customFormat="1" ht="69">
      <c r="A17" s="3" t="s">
        <v>941</v>
      </c>
      <c r="B17" s="3" t="s">
        <v>2154</v>
      </c>
      <c r="C17" s="300" t="s">
        <v>1425</v>
      </c>
      <c r="D17" s="300" t="s">
        <v>1426</v>
      </c>
      <c r="E17" s="300" t="s">
        <v>1427</v>
      </c>
      <c r="F17" s="300"/>
      <c r="G17" s="3"/>
    </row>
    <row r="18" spans="1:7" s="140" customFormat="1" ht="82.8">
      <c r="A18" s="3" t="s">
        <v>942</v>
      </c>
      <c r="B18" s="3" t="s">
        <v>2155</v>
      </c>
      <c r="C18" s="300" t="s">
        <v>1428</v>
      </c>
      <c r="D18" s="300" t="s">
        <v>1429</v>
      </c>
      <c r="E18" s="300" t="s">
        <v>1430</v>
      </c>
      <c r="F18" s="300"/>
      <c r="G18" s="3"/>
    </row>
    <row r="19" spans="1:7" s="140" customFormat="1" ht="96.6">
      <c r="A19" s="3" t="s">
        <v>943</v>
      </c>
      <c r="B19" s="3" t="s">
        <v>2156</v>
      </c>
      <c r="C19" s="300" t="s">
        <v>1431</v>
      </c>
      <c r="D19" s="300" t="s">
        <v>1432</v>
      </c>
      <c r="E19" s="300" t="s">
        <v>1433</v>
      </c>
      <c r="F19" s="300"/>
      <c r="G19" s="3"/>
    </row>
    <row r="20" spans="1:7" s="140" customFormat="1">
      <c r="A20" s="296" t="s">
        <v>371</v>
      </c>
      <c r="B20" s="296"/>
      <c r="C20" s="297"/>
      <c r="D20" s="297"/>
      <c r="E20" s="297"/>
      <c r="F20" s="297"/>
      <c r="G20" s="297"/>
    </row>
    <row r="21" spans="1:7" s="140" customFormat="1" ht="82.8">
      <c r="A21" s="3" t="s">
        <v>944</v>
      </c>
      <c r="B21" s="3" t="s">
        <v>2157</v>
      </c>
      <c r="C21" s="300" t="s">
        <v>2087</v>
      </c>
      <c r="D21" s="300" t="s">
        <v>1434</v>
      </c>
      <c r="E21" s="300" t="s">
        <v>1435</v>
      </c>
      <c r="F21" s="300"/>
      <c r="G21" s="3"/>
    </row>
    <row r="22" spans="1:7" s="292" customFormat="1" ht="82.8">
      <c r="A22" s="316" t="s">
        <v>945</v>
      </c>
      <c r="B22" s="317" t="s">
        <v>2158</v>
      </c>
      <c r="C22" s="318" t="s">
        <v>1436</v>
      </c>
      <c r="D22" s="318" t="s">
        <v>1437</v>
      </c>
      <c r="E22" s="318" t="s">
        <v>1438</v>
      </c>
      <c r="F22" s="300"/>
      <c r="G22" s="3"/>
    </row>
    <row r="23" spans="1:7" s="292" customFormat="1">
      <c r="A23" s="296" t="s">
        <v>511</v>
      </c>
      <c r="B23" s="296"/>
      <c r="C23" s="297"/>
      <c r="D23" s="297"/>
      <c r="E23" s="297"/>
      <c r="F23" s="297"/>
      <c r="G23" s="297"/>
    </row>
    <row r="24" spans="1:7" s="140" customFormat="1" ht="82.8">
      <c r="A24" s="3" t="s">
        <v>946</v>
      </c>
      <c r="B24" s="3" t="s">
        <v>2159</v>
      </c>
      <c r="C24" s="300" t="s">
        <v>2088</v>
      </c>
      <c r="D24" s="300" t="s">
        <v>2089</v>
      </c>
      <c r="E24" s="300" t="s">
        <v>1439</v>
      </c>
      <c r="F24" s="300"/>
      <c r="G24" s="3"/>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17"/>
  <sheetViews>
    <sheetView topLeftCell="A14" zoomScale="85" zoomScaleNormal="85" workbookViewId="0">
      <selection activeCell="A17" sqref="A17"/>
    </sheetView>
  </sheetViews>
  <sheetFormatPr defaultColWidth="8.77734375" defaultRowHeight="13.8"/>
  <cols>
    <col min="1" max="1" width="10.21875" style="295" customWidth="1"/>
    <col min="2" max="2" width="87.21875" style="295" customWidth="1"/>
    <col min="3" max="4" width="22" style="295" customWidth="1"/>
    <col min="5" max="6" width="82.77734375" style="295" customWidth="1"/>
    <col min="7" max="7" width="24.21875" style="291" customWidth="1"/>
    <col min="8" max="8" width="8.77734375" style="291"/>
    <col min="9" max="9" width="8.77734375" style="289"/>
    <col min="10" max="22" width="8.77734375" style="291"/>
    <col min="23" max="16384" width="8.77734375" style="295"/>
  </cols>
  <sheetData>
    <row r="1" spans="1:7" s="289" customFormat="1" ht="25.8">
      <c r="A1" s="288" t="s">
        <v>1440</v>
      </c>
      <c r="C1" s="290"/>
      <c r="G1" s="291"/>
    </row>
    <row r="2" spans="1:7" s="289" customFormat="1" ht="25.8">
      <c r="A2" s="288" t="s">
        <v>1441</v>
      </c>
      <c r="C2" s="290"/>
      <c r="G2" s="291"/>
    </row>
    <row r="3" spans="1:7" s="289" customFormat="1">
      <c r="A3" s="292" t="s">
        <v>1401</v>
      </c>
      <c r="B3" s="289" t="s">
        <v>1442</v>
      </c>
      <c r="G3" s="291"/>
    </row>
    <row r="4" spans="1:7" s="289" customFormat="1">
      <c r="A4" s="292" t="s">
        <v>1403</v>
      </c>
      <c r="B4" s="289" t="s">
        <v>1443</v>
      </c>
      <c r="G4" s="291"/>
    </row>
    <row r="5" spans="1:7" s="289" customFormat="1">
      <c r="A5" s="289" t="s">
        <v>1405</v>
      </c>
      <c r="B5" s="289" t="s">
        <v>1444</v>
      </c>
      <c r="G5" s="291"/>
    </row>
    <row r="6" spans="1:7" s="289" customFormat="1">
      <c r="A6" s="289" t="s">
        <v>1407</v>
      </c>
      <c r="B6" s="289" t="s">
        <v>1445</v>
      </c>
      <c r="G6" s="291"/>
    </row>
    <row r="8" spans="1:7" s="289" customFormat="1">
      <c r="A8" s="312"/>
      <c r="B8" s="312"/>
      <c r="C8" s="312" t="s">
        <v>65</v>
      </c>
      <c r="D8" s="312" t="s">
        <v>54</v>
      </c>
      <c r="E8" s="312" t="s">
        <v>86</v>
      </c>
      <c r="F8" s="312"/>
      <c r="G8" s="312" t="s">
        <v>1409</v>
      </c>
    </row>
    <row r="9" spans="1:7" s="292" customFormat="1">
      <c r="A9" s="313" t="s">
        <v>27</v>
      </c>
      <c r="B9" s="314"/>
      <c r="C9" s="315"/>
      <c r="D9" s="315"/>
      <c r="E9" s="315"/>
      <c r="F9" s="315"/>
      <c r="G9" s="315"/>
    </row>
    <row r="10" spans="1:7" s="292" customFormat="1" ht="124.2">
      <c r="A10" s="3" t="s">
        <v>1053</v>
      </c>
      <c r="B10" s="3" t="s">
        <v>2160</v>
      </c>
      <c r="C10" s="300" t="s">
        <v>1446</v>
      </c>
      <c r="D10" s="300" t="s">
        <v>2090</v>
      </c>
      <c r="E10" s="300" t="s">
        <v>1447</v>
      </c>
      <c r="F10" s="300"/>
      <c r="G10" s="3"/>
    </row>
    <row r="11" spans="1:7" s="140" customFormat="1">
      <c r="A11" s="296" t="s">
        <v>28</v>
      </c>
      <c r="B11" s="296"/>
      <c r="C11" s="297"/>
      <c r="D11" s="297"/>
      <c r="E11" s="297"/>
      <c r="F11" s="297"/>
      <c r="G11" s="297"/>
    </row>
    <row r="12" spans="1:7" s="140" customFormat="1" ht="151.80000000000001">
      <c r="A12" s="3" t="s">
        <v>1054</v>
      </c>
      <c r="B12" s="3" t="s">
        <v>2161</v>
      </c>
      <c r="C12" s="300" t="s">
        <v>1448</v>
      </c>
      <c r="D12" s="300" t="s">
        <v>1449</v>
      </c>
      <c r="E12" s="300" t="s">
        <v>1450</v>
      </c>
      <c r="F12" s="300"/>
      <c r="G12" s="3"/>
    </row>
    <row r="13" spans="1:7" s="90" customFormat="1" ht="207">
      <c r="A13" s="3" t="s">
        <v>1055</v>
      </c>
      <c r="B13" s="3" t="s">
        <v>2162</v>
      </c>
      <c r="C13" s="300" t="s">
        <v>1451</v>
      </c>
      <c r="D13" s="300" t="s">
        <v>1452</v>
      </c>
      <c r="E13" s="300" t="s">
        <v>2091</v>
      </c>
      <c r="F13" s="300"/>
      <c r="G13" s="3"/>
    </row>
    <row r="14" spans="1:7" s="292" customFormat="1" ht="110.4">
      <c r="A14" s="316" t="s">
        <v>1056</v>
      </c>
      <c r="B14" s="317" t="s">
        <v>2163</v>
      </c>
      <c r="C14" s="300" t="s">
        <v>1453</v>
      </c>
      <c r="D14" s="300" t="s">
        <v>1454</v>
      </c>
      <c r="E14" s="300" t="s">
        <v>1455</v>
      </c>
      <c r="F14" s="300" t="s">
        <v>1456</v>
      </c>
      <c r="G14" s="3"/>
    </row>
    <row r="15" spans="1:7" s="292" customFormat="1" ht="124.2">
      <c r="A15" s="3" t="s">
        <v>1057</v>
      </c>
      <c r="B15" s="3" t="s">
        <v>2164</v>
      </c>
      <c r="C15" s="300" t="s">
        <v>1457</v>
      </c>
      <c r="D15" s="300" t="s">
        <v>1458</v>
      </c>
      <c r="E15" s="300" t="s">
        <v>1459</v>
      </c>
      <c r="F15" s="300"/>
      <c r="G15" s="3"/>
    </row>
    <row r="16" spans="1:7" s="140" customFormat="1" ht="151.80000000000001">
      <c r="A16" s="3" t="s">
        <v>1058</v>
      </c>
      <c r="B16" s="3" t="s">
        <v>2165</v>
      </c>
      <c r="C16" s="300" t="s">
        <v>1460</v>
      </c>
      <c r="D16" s="300" t="s">
        <v>1461</v>
      </c>
      <c r="E16" s="300" t="s">
        <v>1462</v>
      </c>
      <c r="F16" s="300"/>
      <c r="G16" s="3"/>
    </row>
    <row r="17" spans="1:7" s="140" customFormat="1" ht="138">
      <c r="A17" s="3" t="s">
        <v>1059</v>
      </c>
      <c r="B17" s="3" t="s">
        <v>2166</v>
      </c>
      <c r="C17" s="300" t="s">
        <v>1463</v>
      </c>
      <c r="D17" s="300" t="s">
        <v>1464</v>
      </c>
      <c r="E17" s="300" t="s">
        <v>1465</v>
      </c>
      <c r="F17" s="300"/>
      <c r="G17" s="3"/>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19"/>
  <sheetViews>
    <sheetView topLeftCell="A16" workbookViewId="0">
      <selection activeCell="B20" sqref="B20"/>
    </sheetView>
  </sheetViews>
  <sheetFormatPr defaultColWidth="8.77734375" defaultRowHeight="13.8"/>
  <cols>
    <col min="1" max="1" width="10.21875" style="295" customWidth="1"/>
    <col min="2" max="2" width="57.44140625" style="295" customWidth="1"/>
    <col min="3" max="4" width="21.44140625" style="295" customWidth="1"/>
    <col min="5" max="5" width="60.21875" style="295" customWidth="1"/>
    <col min="6" max="6" width="41.77734375" style="295" customWidth="1"/>
    <col min="7" max="7" width="21.44140625" style="291" customWidth="1"/>
    <col min="8" max="10" width="8.77734375" style="289"/>
    <col min="11" max="18" width="8.77734375" style="291"/>
    <col min="19" max="16384" width="8.77734375" style="295"/>
  </cols>
  <sheetData>
    <row r="1" spans="1:7" s="131" customFormat="1" ht="25.8">
      <c r="A1" s="288" t="s">
        <v>1466</v>
      </c>
      <c r="B1" s="289"/>
      <c r="C1" s="290"/>
      <c r="D1" s="289"/>
      <c r="E1" s="289"/>
      <c r="F1" s="289"/>
      <c r="G1" s="291"/>
    </row>
    <row r="2" spans="1:7" s="308" customFormat="1" ht="25.8">
      <c r="A2" s="288" t="s">
        <v>1467</v>
      </c>
      <c r="B2" s="289"/>
      <c r="C2" s="290"/>
      <c r="D2" s="289"/>
      <c r="E2" s="289"/>
      <c r="F2" s="289"/>
      <c r="G2" s="291"/>
    </row>
    <row r="3" spans="1:7" s="308" customFormat="1">
      <c r="A3" s="292" t="s">
        <v>1401</v>
      </c>
      <c r="B3" s="289" t="s">
        <v>1468</v>
      </c>
      <c r="C3" s="289"/>
      <c r="D3" s="289"/>
      <c r="E3" s="289"/>
      <c r="F3" s="289"/>
      <c r="G3" s="291"/>
    </row>
    <row r="4" spans="1:7" s="133" customFormat="1">
      <c r="A4" s="292" t="s">
        <v>1403</v>
      </c>
      <c r="B4" s="289" t="s">
        <v>1469</v>
      </c>
      <c r="C4" s="289"/>
      <c r="D4" s="289"/>
      <c r="E4" s="289"/>
      <c r="F4" s="289"/>
      <c r="G4" s="291"/>
    </row>
    <row r="5" spans="1:7" s="133" customFormat="1">
      <c r="A5" s="289" t="s">
        <v>1405</v>
      </c>
      <c r="B5" s="289" t="s">
        <v>1470</v>
      </c>
      <c r="C5" s="289"/>
      <c r="D5" s="289"/>
      <c r="E5" s="289"/>
      <c r="F5" s="289"/>
      <c r="G5" s="291"/>
    </row>
    <row r="6" spans="1:7" s="131" customFormat="1">
      <c r="A6" s="289" t="s">
        <v>1407</v>
      </c>
      <c r="B6" s="289" t="s">
        <v>1471</v>
      </c>
      <c r="C6" s="289"/>
      <c r="D6" s="289"/>
      <c r="E6" s="289"/>
      <c r="F6" s="289"/>
      <c r="G6" s="291"/>
    </row>
    <row r="7" spans="1:7" s="308" customFormat="1">
      <c r="A7" s="295"/>
      <c r="B7" s="295"/>
      <c r="C7" s="295"/>
      <c r="D7" s="295"/>
      <c r="E7" s="289"/>
      <c r="F7" s="289"/>
      <c r="G7" s="320"/>
    </row>
    <row r="8" spans="1:7" s="140" customFormat="1">
      <c r="A8" s="312"/>
      <c r="B8" s="312"/>
      <c r="C8" s="312" t="s">
        <v>65</v>
      </c>
      <c r="D8" s="312" t="s">
        <v>54</v>
      </c>
      <c r="E8" s="312" t="s">
        <v>86</v>
      </c>
      <c r="F8" s="312" t="s">
        <v>1472</v>
      </c>
      <c r="G8" s="312" t="s">
        <v>1409</v>
      </c>
    </row>
    <row r="9" spans="1:7" s="140" customFormat="1">
      <c r="A9" s="296" t="s">
        <v>27</v>
      </c>
      <c r="B9" s="296"/>
      <c r="C9" s="297"/>
      <c r="D9" s="297"/>
      <c r="E9" s="297"/>
      <c r="F9" s="297"/>
      <c r="G9" s="297"/>
    </row>
    <row r="10" spans="1:7" s="90" customFormat="1" ht="138">
      <c r="A10" s="3" t="s">
        <v>1002</v>
      </c>
      <c r="B10" s="3" t="s">
        <v>2167</v>
      </c>
      <c r="C10" s="300" t="s">
        <v>1473</v>
      </c>
      <c r="D10" s="300" t="s">
        <v>1474</v>
      </c>
      <c r="E10" s="300" t="s">
        <v>1475</v>
      </c>
      <c r="F10" s="300"/>
      <c r="G10" s="3"/>
    </row>
    <row r="11" spans="1:7" s="292" customFormat="1" ht="124.2">
      <c r="A11" s="3" t="s">
        <v>1003</v>
      </c>
      <c r="B11" s="3" t="s">
        <v>2168</v>
      </c>
      <c r="C11" s="300" t="s">
        <v>2092</v>
      </c>
      <c r="D11" s="300" t="s">
        <v>2093</v>
      </c>
      <c r="E11" s="300" t="s">
        <v>1476</v>
      </c>
      <c r="F11" s="300"/>
      <c r="G11" s="3"/>
    </row>
    <row r="12" spans="1:7" s="140" customFormat="1">
      <c r="A12" s="296" t="s">
        <v>28</v>
      </c>
      <c r="B12" s="296"/>
      <c r="C12" s="297"/>
      <c r="D12" s="297"/>
      <c r="E12" s="297" t="s">
        <v>1477</v>
      </c>
      <c r="F12" s="297"/>
      <c r="G12" s="297"/>
    </row>
    <row r="13" spans="1:7" s="140" customFormat="1" ht="165.6">
      <c r="A13" s="3" t="s">
        <v>1004</v>
      </c>
      <c r="B13" s="3" t="s">
        <v>2169</v>
      </c>
      <c r="C13" s="300" t="s">
        <v>2094</v>
      </c>
      <c r="D13" s="300" t="s">
        <v>2095</v>
      </c>
      <c r="E13" s="300" t="s">
        <v>2096</v>
      </c>
      <c r="F13" s="300"/>
      <c r="G13" s="3"/>
    </row>
    <row r="14" spans="1:7" s="90" customFormat="1" ht="138">
      <c r="A14" s="3" t="s">
        <v>1005</v>
      </c>
      <c r="B14" s="3" t="s">
        <v>2170</v>
      </c>
      <c r="C14" s="300" t="s">
        <v>1478</v>
      </c>
      <c r="D14" s="300" t="s">
        <v>1479</v>
      </c>
      <c r="E14" s="300" t="s">
        <v>2097</v>
      </c>
      <c r="F14" s="300"/>
      <c r="G14" s="3"/>
    </row>
    <row r="15" spans="1:7" s="292" customFormat="1" ht="138">
      <c r="A15" s="3" t="s">
        <v>1006</v>
      </c>
      <c r="B15" s="3" t="s">
        <v>2171</v>
      </c>
      <c r="C15" s="300" t="s">
        <v>1480</v>
      </c>
      <c r="D15" s="300" t="s">
        <v>1481</v>
      </c>
      <c r="E15" s="300" t="s">
        <v>1482</v>
      </c>
      <c r="F15" s="300"/>
      <c r="G15" s="3"/>
    </row>
    <row r="16" spans="1:7" s="292" customFormat="1" ht="220.8">
      <c r="A16" s="3" t="s">
        <v>1007</v>
      </c>
      <c r="B16" s="3" t="s">
        <v>2172</v>
      </c>
      <c r="C16" s="300" t="s">
        <v>1483</v>
      </c>
      <c r="D16" s="300" t="s">
        <v>1484</v>
      </c>
      <c r="E16" s="300" t="s">
        <v>2098</v>
      </c>
      <c r="F16" s="300"/>
      <c r="G16" s="3"/>
    </row>
    <row r="17" spans="1:7" s="140" customFormat="1" ht="220.8">
      <c r="A17" s="3" t="s">
        <v>1008</v>
      </c>
      <c r="B17" s="3" t="s">
        <v>2173</v>
      </c>
      <c r="C17" s="300" t="s">
        <v>2099</v>
      </c>
      <c r="D17" s="300" t="s">
        <v>1485</v>
      </c>
      <c r="E17" s="300" t="s">
        <v>2100</v>
      </c>
      <c r="F17" s="300"/>
      <c r="G17" s="3"/>
    </row>
    <row r="18" spans="1:7" s="140" customFormat="1">
      <c r="A18" s="296" t="s">
        <v>29</v>
      </c>
      <c r="B18" s="296"/>
      <c r="C18" s="297"/>
      <c r="D18" s="297"/>
      <c r="E18" s="297"/>
      <c r="F18" s="297"/>
      <c r="G18" s="297"/>
    </row>
    <row r="19" spans="1:7" s="90" customFormat="1" ht="165.6">
      <c r="A19" s="3" t="s">
        <v>1009</v>
      </c>
      <c r="B19" s="3" t="s">
        <v>2174</v>
      </c>
      <c r="C19" s="300" t="s">
        <v>2101</v>
      </c>
      <c r="D19" s="300" t="s">
        <v>2102</v>
      </c>
      <c r="E19" s="300" t="s">
        <v>2103</v>
      </c>
      <c r="F19" s="300"/>
      <c r="G19" s="3"/>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70C0"/>
  </sheetPr>
  <dimension ref="A1:R17"/>
  <sheetViews>
    <sheetView topLeftCell="A11" workbookViewId="0">
      <selection activeCell="B12" sqref="B12"/>
    </sheetView>
  </sheetViews>
  <sheetFormatPr defaultColWidth="8.77734375" defaultRowHeight="13.8"/>
  <cols>
    <col min="1" max="1" width="10.21875" style="295" customWidth="1"/>
    <col min="2" max="2" width="59.88671875" style="295" customWidth="1"/>
    <col min="3" max="4" width="21.44140625" style="295" customWidth="1"/>
    <col min="5" max="5" width="56.33203125" style="295" customWidth="1"/>
    <col min="6" max="6" width="56.44140625" style="295" customWidth="1"/>
    <col min="7" max="7" width="21.44140625" style="291" customWidth="1"/>
    <col min="8" max="9" width="8.77734375" style="289" customWidth="1"/>
    <col min="10" max="10" width="8.77734375" style="291" customWidth="1"/>
    <col min="11" max="11" width="8.77734375" style="291"/>
    <col min="12" max="12" width="8.77734375" style="289"/>
    <col min="13" max="18" width="8.77734375" style="291"/>
    <col min="19" max="16384" width="8.77734375" style="295"/>
  </cols>
  <sheetData>
    <row r="1" spans="1:7" s="131" customFormat="1" ht="25.8">
      <c r="A1" s="288" t="s">
        <v>1486</v>
      </c>
      <c r="B1" s="289"/>
      <c r="C1" s="290"/>
      <c r="D1" s="289"/>
      <c r="E1" s="289"/>
      <c r="F1" s="289"/>
      <c r="G1" s="291"/>
    </row>
    <row r="2" spans="1:7" s="308" customFormat="1" ht="25.8">
      <c r="A2" s="288" t="s">
        <v>1487</v>
      </c>
      <c r="B2" s="289"/>
      <c r="C2" s="290"/>
      <c r="D2" s="289"/>
      <c r="E2" s="289"/>
      <c r="F2" s="289"/>
      <c r="G2" s="291"/>
    </row>
    <row r="3" spans="1:7" s="308" customFormat="1">
      <c r="A3" s="292" t="s">
        <v>1488</v>
      </c>
      <c r="B3" s="289" t="s">
        <v>1489</v>
      </c>
      <c r="C3" s="289"/>
      <c r="D3" s="289"/>
      <c r="E3" s="289"/>
      <c r="F3" s="289"/>
      <c r="G3" s="291"/>
    </row>
    <row r="4" spans="1:7" s="133" customFormat="1">
      <c r="A4" s="292" t="s">
        <v>1403</v>
      </c>
      <c r="B4" s="289" t="s">
        <v>1490</v>
      </c>
      <c r="C4" s="289"/>
      <c r="D4" s="289"/>
      <c r="E4" s="289"/>
      <c r="F4" s="289"/>
      <c r="G4" s="291"/>
    </row>
    <row r="5" spans="1:7" s="133" customFormat="1">
      <c r="A5" s="289" t="s">
        <v>1491</v>
      </c>
      <c r="B5" s="289" t="s">
        <v>1492</v>
      </c>
      <c r="C5" s="289"/>
      <c r="D5" s="289"/>
      <c r="E5" s="289"/>
      <c r="F5" s="289"/>
      <c r="G5" s="291"/>
    </row>
    <row r="6" spans="1:7" s="131" customFormat="1">
      <c r="A6" s="289" t="s">
        <v>1407</v>
      </c>
      <c r="B6" s="289" t="s">
        <v>1493</v>
      </c>
      <c r="C6" s="289"/>
      <c r="D6" s="289"/>
      <c r="E6" s="289"/>
      <c r="F6" s="289"/>
      <c r="G6" s="291"/>
    </row>
    <row r="7" spans="1:7" s="308" customFormat="1">
      <c r="A7" s="295"/>
      <c r="B7" s="295"/>
      <c r="C7" s="295"/>
      <c r="D7" s="295"/>
      <c r="E7" s="289"/>
      <c r="F7" s="289"/>
      <c r="G7" s="320"/>
    </row>
    <row r="8" spans="1:7" s="133" customFormat="1">
      <c r="A8" s="312"/>
      <c r="B8" s="312"/>
      <c r="C8" s="312" t="s">
        <v>65</v>
      </c>
      <c r="D8" s="312" t="s">
        <v>54</v>
      </c>
      <c r="E8" s="312" t="s">
        <v>86</v>
      </c>
      <c r="F8" s="312"/>
      <c r="G8" s="312" t="s">
        <v>1409</v>
      </c>
    </row>
    <row r="9" spans="1:7" s="133" customFormat="1">
      <c r="A9" s="305" t="s">
        <v>27</v>
      </c>
      <c r="B9" s="305"/>
      <c r="C9" s="306"/>
      <c r="D9" s="306"/>
      <c r="E9" s="306"/>
      <c r="F9" s="306"/>
      <c r="G9" s="307"/>
    </row>
    <row r="10" spans="1:7" s="131" customFormat="1" ht="234.6">
      <c r="A10" s="20" t="s">
        <v>895</v>
      </c>
      <c r="B10" s="20" t="s">
        <v>2175</v>
      </c>
      <c r="C10" s="309" t="s">
        <v>2104</v>
      </c>
      <c r="D10" s="309" t="s">
        <v>2105</v>
      </c>
      <c r="E10" s="309" t="s">
        <v>2106</v>
      </c>
      <c r="F10" s="309"/>
      <c r="G10" s="310"/>
    </row>
    <row r="11" spans="1:7" s="308" customFormat="1">
      <c r="A11" s="305" t="s">
        <v>28</v>
      </c>
      <c r="B11" s="305"/>
      <c r="C11" s="306"/>
      <c r="D11" s="306"/>
      <c r="E11" s="306" t="s">
        <v>1477</v>
      </c>
      <c r="F11" s="306"/>
      <c r="G11" s="307"/>
    </row>
    <row r="12" spans="1:7" s="133" customFormat="1" ht="193.2">
      <c r="A12" s="20" t="s">
        <v>896</v>
      </c>
      <c r="B12" s="20" t="s">
        <v>2176</v>
      </c>
      <c r="C12" s="309" t="s">
        <v>1494</v>
      </c>
      <c r="D12" s="309" t="s">
        <v>1495</v>
      </c>
      <c r="E12" s="309" t="s">
        <v>1496</v>
      </c>
      <c r="F12" s="309"/>
      <c r="G12" s="310"/>
    </row>
    <row r="13" spans="1:7" s="131" customFormat="1" ht="234.6">
      <c r="A13" s="20" t="s">
        <v>897</v>
      </c>
      <c r="B13" s="20" t="s">
        <v>2177</v>
      </c>
      <c r="C13" s="309" t="s">
        <v>1497</v>
      </c>
      <c r="D13" s="309" t="s">
        <v>1498</v>
      </c>
      <c r="E13" s="309" t="s">
        <v>1499</v>
      </c>
      <c r="F13" s="309"/>
      <c r="G13" s="310"/>
    </row>
    <row r="14" spans="1:7" s="308" customFormat="1" ht="248.4">
      <c r="A14" s="20" t="s">
        <v>898</v>
      </c>
      <c r="B14" s="20" t="s">
        <v>2178</v>
      </c>
      <c r="C14" s="309" t="s">
        <v>1500</v>
      </c>
      <c r="D14" s="309" t="s">
        <v>1501</v>
      </c>
      <c r="E14" s="309" t="s">
        <v>1502</v>
      </c>
      <c r="F14" s="309"/>
      <c r="G14" s="310"/>
    </row>
    <row r="15" spans="1:7" s="133" customFormat="1">
      <c r="A15" s="305" t="s">
        <v>29</v>
      </c>
      <c r="B15" s="305"/>
      <c r="C15" s="306"/>
      <c r="D15" s="306"/>
      <c r="E15" s="306" t="s">
        <v>1477</v>
      </c>
      <c r="F15" s="306"/>
      <c r="G15" s="307"/>
    </row>
    <row r="16" spans="1:7" s="133" customFormat="1" ht="220.8">
      <c r="A16" s="20" t="s">
        <v>899</v>
      </c>
      <c r="B16" s="20" t="s">
        <v>2180</v>
      </c>
      <c r="C16" s="309" t="s">
        <v>1503</v>
      </c>
      <c r="D16" s="309" t="s">
        <v>2107</v>
      </c>
      <c r="E16" s="309" t="s">
        <v>1504</v>
      </c>
      <c r="F16" s="309"/>
      <c r="G16" s="310"/>
    </row>
    <row r="17" spans="1:5" s="131" customFormat="1" ht="248.4">
      <c r="A17" s="20" t="s">
        <v>900</v>
      </c>
      <c r="B17" s="20" t="s">
        <v>2179</v>
      </c>
      <c r="C17" s="309" t="s">
        <v>1505</v>
      </c>
      <c r="D17" s="309" t="s">
        <v>1506</v>
      </c>
      <c r="E17" s="309" t="s">
        <v>1507</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0070C0"/>
  </sheetPr>
  <dimension ref="A1:R20"/>
  <sheetViews>
    <sheetView topLeftCell="A15" zoomScale="85" zoomScaleNormal="85" workbookViewId="0">
      <selection activeCell="B21" sqref="B21"/>
    </sheetView>
  </sheetViews>
  <sheetFormatPr defaultColWidth="8.77734375" defaultRowHeight="13.8"/>
  <cols>
    <col min="1" max="1" width="10.21875" style="295" customWidth="1"/>
    <col min="2" max="2" width="88.77734375" style="295" customWidth="1"/>
    <col min="3" max="4" width="22" style="295" customWidth="1"/>
    <col min="5" max="5" width="84.21875" style="295" bestFit="1" customWidth="1"/>
    <col min="6" max="6" width="84.21875" style="295" customWidth="1"/>
    <col min="7" max="7" width="20.77734375" style="291" customWidth="1"/>
    <col min="8" max="11" width="8.77734375" style="291" customWidth="1"/>
    <col min="12" max="12" width="8.77734375" style="291"/>
    <col min="13" max="13" width="38.77734375" style="291" customWidth="1"/>
    <col min="14" max="18" width="8.77734375" style="291"/>
    <col min="19" max="16384" width="8.77734375" style="295"/>
  </cols>
  <sheetData>
    <row r="1" spans="1:6" s="289" customFormat="1" ht="25.8">
      <c r="A1" s="288" t="s">
        <v>1508</v>
      </c>
      <c r="C1" s="290"/>
    </row>
    <row r="2" spans="1:6" s="289" customFormat="1" ht="25.8">
      <c r="A2" s="288" t="s">
        <v>1509</v>
      </c>
      <c r="C2" s="290"/>
    </row>
    <row r="3" spans="1:6" s="289" customFormat="1">
      <c r="A3" s="292" t="s">
        <v>1488</v>
      </c>
      <c r="B3" s="289" t="s">
        <v>1510</v>
      </c>
    </row>
    <row r="4" spans="1:6" s="289" customFormat="1">
      <c r="A4" s="292" t="s">
        <v>1403</v>
      </c>
      <c r="B4" s="289" t="s">
        <v>1511</v>
      </c>
    </row>
    <row r="5" spans="1:6" s="289" customFormat="1">
      <c r="A5" s="289" t="s">
        <v>1491</v>
      </c>
      <c r="B5" s="289" t="s">
        <v>1512</v>
      </c>
    </row>
    <row r="6" spans="1:6" s="289" customFormat="1">
      <c r="A6" s="289" t="s">
        <v>1407</v>
      </c>
      <c r="B6" s="289" t="s">
        <v>1513</v>
      </c>
    </row>
    <row r="7" spans="1:6" s="289" customFormat="1"/>
    <row r="8" spans="1:6">
      <c r="A8" s="293"/>
      <c r="B8" s="293"/>
      <c r="C8" s="293" t="s">
        <v>65</v>
      </c>
      <c r="D8" s="293" t="s">
        <v>54</v>
      </c>
      <c r="E8" s="293" t="s">
        <v>86</v>
      </c>
      <c r="F8" s="294" t="s">
        <v>1472</v>
      </c>
    </row>
    <row r="9" spans="1:6" s="299" customFormat="1">
      <c r="A9" s="296" t="s">
        <v>27</v>
      </c>
      <c r="B9" s="296"/>
      <c r="C9" s="297"/>
      <c r="D9" s="297"/>
      <c r="E9" s="297"/>
      <c r="F9" s="298"/>
    </row>
    <row r="10" spans="1:6" s="292" customFormat="1" ht="138">
      <c r="A10" s="3" t="s">
        <v>1141</v>
      </c>
      <c r="B10" s="3" t="s">
        <v>2181</v>
      </c>
      <c r="C10" s="300" t="s">
        <v>1514</v>
      </c>
      <c r="D10" s="300" t="s">
        <v>1515</v>
      </c>
      <c r="E10" s="300" t="s">
        <v>1516</v>
      </c>
      <c r="F10" s="301" t="s">
        <v>1517</v>
      </c>
    </row>
    <row r="11" spans="1:6" s="292" customFormat="1">
      <c r="A11" s="296" t="s">
        <v>28</v>
      </c>
      <c r="B11" s="296"/>
      <c r="C11" s="297"/>
      <c r="D11" s="297"/>
      <c r="E11" s="297"/>
      <c r="F11" s="298"/>
    </row>
    <row r="12" spans="1:6" s="292" customFormat="1" ht="165.6">
      <c r="A12" s="3" t="s">
        <v>1142</v>
      </c>
      <c r="B12" s="3" t="s">
        <v>2182</v>
      </c>
      <c r="C12" s="300" t="s">
        <v>1518</v>
      </c>
      <c r="D12" s="300" t="s">
        <v>1519</v>
      </c>
      <c r="E12" s="300" t="s">
        <v>1520</v>
      </c>
      <c r="F12" s="301" t="s">
        <v>1521</v>
      </c>
    </row>
    <row r="13" spans="1:6" s="292" customFormat="1" ht="124.2">
      <c r="A13" s="3" t="s">
        <v>1143</v>
      </c>
      <c r="B13" s="3" t="s">
        <v>2183</v>
      </c>
      <c r="C13" s="300" t="s">
        <v>1522</v>
      </c>
      <c r="D13" s="300" t="s">
        <v>1523</v>
      </c>
      <c r="E13" s="300" t="s">
        <v>1524</v>
      </c>
      <c r="F13" s="301" t="s">
        <v>1525</v>
      </c>
    </row>
    <row r="14" spans="1:6" s="140" customFormat="1" ht="138">
      <c r="A14" s="3" t="s">
        <v>1144</v>
      </c>
      <c r="B14" s="3" t="s">
        <v>2184</v>
      </c>
      <c r="C14" s="300" t="s">
        <v>2108</v>
      </c>
      <c r="D14" s="300" t="s">
        <v>1526</v>
      </c>
      <c r="E14" s="300" t="s">
        <v>1527</v>
      </c>
      <c r="F14" s="301" t="s">
        <v>1528</v>
      </c>
    </row>
    <row r="15" spans="1:6" s="140" customFormat="1" ht="124.2">
      <c r="A15" s="3" t="s">
        <v>1145</v>
      </c>
      <c r="B15" s="3" t="s">
        <v>2185</v>
      </c>
      <c r="C15" s="300" t="s">
        <v>2109</v>
      </c>
      <c r="D15" s="300" t="s">
        <v>2110</v>
      </c>
      <c r="E15" s="300" t="s">
        <v>1529</v>
      </c>
      <c r="F15" s="301" t="s">
        <v>1528</v>
      </c>
    </row>
    <row r="16" spans="1:6" s="90" customFormat="1">
      <c r="A16" s="296" t="s">
        <v>29</v>
      </c>
      <c r="B16" s="296"/>
      <c r="C16" s="302"/>
      <c r="D16" s="297"/>
      <c r="E16" s="297"/>
      <c r="F16" s="298"/>
    </row>
    <row r="17" spans="1:6" s="292" customFormat="1" ht="124.2">
      <c r="A17" s="3" t="s">
        <v>1146</v>
      </c>
      <c r="B17" s="3" t="s">
        <v>2186</v>
      </c>
      <c r="C17" s="300" t="s">
        <v>1530</v>
      </c>
      <c r="D17" s="300" t="s">
        <v>1531</v>
      </c>
      <c r="E17" s="300" t="s">
        <v>2111</v>
      </c>
      <c r="F17" s="301" t="s">
        <v>1532</v>
      </c>
    </row>
    <row r="18" spans="1:6" s="140" customFormat="1" ht="138">
      <c r="A18" s="3" t="s">
        <v>1147</v>
      </c>
      <c r="B18" s="3" t="s">
        <v>2187</v>
      </c>
      <c r="C18" s="300" t="s">
        <v>1533</v>
      </c>
      <c r="D18" s="300" t="s">
        <v>1534</v>
      </c>
      <c r="E18" s="300" t="s">
        <v>1535</v>
      </c>
      <c r="F18" s="301" t="s">
        <v>1536</v>
      </c>
    </row>
    <row r="19" spans="1:6" s="140" customFormat="1">
      <c r="A19" s="296" t="s">
        <v>371</v>
      </c>
      <c r="B19" s="296"/>
      <c r="C19" s="297"/>
      <c r="D19" s="297"/>
      <c r="E19" s="297"/>
      <c r="F19" s="298"/>
    </row>
    <row r="20" spans="1:6" s="90" customFormat="1" ht="110.4">
      <c r="A20" s="3" t="s">
        <v>1148</v>
      </c>
      <c r="B20" s="3" t="s">
        <v>2188</v>
      </c>
      <c r="C20" s="300" t="s">
        <v>2112</v>
      </c>
      <c r="D20" s="300" t="s">
        <v>2112</v>
      </c>
      <c r="E20" s="300" t="s">
        <v>2113</v>
      </c>
      <c r="F20" s="301" t="s">
        <v>1537</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0070C0"/>
  </sheetPr>
  <dimension ref="A1:W19"/>
  <sheetViews>
    <sheetView topLeftCell="A11" zoomScale="70" zoomScaleNormal="70" workbookViewId="0">
      <selection activeCell="B19" sqref="B19"/>
    </sheetView>
  </sheetViews>
  <sheetFormatPr defaultColWidth="8.77734375" defaultRowHeight="13.8"/>
  <cols>
    <col min="1" max="1" width="10.21875" style="295" customWidth="1"/>
    <col min="2" max="2" width="67.21875" style="295" customWidth="1"/>
    <col min="3" max="4" width="29.6640625" style="295" customWidth="1"/>
    <col min="5" max="5" width="83.44140625" style="295" customWidth="1"/>
    <col min="6" max="6" width="31.21875" style="295" customWidth="1"/>
    <col min="7" max="7" width="24.77734375" style="291" customWidth="1"/>
    <col min="8" max="11" width="8.77734375" style="289"/>
    <col min="12" max="23" width="8.77734375" style="291"/>
    <col min="24" max="16384" width="8.77734375" style="295"/>
  </cols>
  <sheetData>
    <row r="1" spans="1:7" s="289" customFormat="1" ht="25.8">
      <c r="A1" s="288" t="s">
        <v>1538</v>
      </c>
      <c r="C1" s="290"/>
      <c r="G1" s="291"/>
    </row>
    <row r="2" spans="1:7" s="289" customFormat="1" ht="25.8">
      <c r="A2" s="288" t="s">
        <v>1539</v>
      </c>
      <c r="C2" s="290"/>
      <c r="G2" s="291"/>
    </row>
    <row r="3" spans="1:7" s="289" customFormat="1">
      <c r="A3" s="292" t="s">
        <v>1401</v>
      </c>
      <c r="B3" s="289" t="s">
        <v>1540</v>
      </c>
      <c r="G3" s="291"/>
    </row>
    <row r="4" spans="1:7" s="289" customFormat="1">
      <c r="A4" s="292" t="s">
        <v>1403</v>
      </c>
      <c r="B4" s="289" t="s">
        <v>1541</v>
      </c>
      <c r="G4" s="291"/>
    </row>
    <row r="5" spans="1:7" s="289" customFormat="1">
      <c r="A5" s="289" t="s">
        <v>1405</v>
      </c>
      <c r="B5" s="289" t="s">
        <v>1542</v>
      </c>
      <c r="G5" s="291"/>
    </row>
    <row r="6" spans="1:7" s="289" customFormat="1">
      <c r="A6" s="289" t="s">
        <v>1407</v>
      </c>
      <c r="B6" s="289" t="s">
        <v>1543</v>
      </c>
      <c r="G6" s="291"/>
    </row>
    <row r="8" spans="1:7">
      <c r="A8" s="293"/>
      <c r="B8" s="293"/>
      <c r="C8" s="293" t="s">
        <v>65</v>
      </c>
      <c r="D8" s="293" t="s">
        <v>54</v>
      </c>
      <c r="E8" s="293" t="s">
        <v>86</v>
      </c>
      <c r="F8" s="293" t="s">
        <v>1472</v>
      </c>
      <c r="G8" s="304" t="s">
        <v>1409</v>
      </c>
    </row>
    <row r="9" spans="1:7" s="308" customFormat="1">
      <c r="A9" s="305" t="s">
        <v>27</v>
      </c>
      <c r="B9" s="305"/>
      <c r="C9" s="306"/>
      <c r="D9" s="306"/>
      <c r="E9" s="306"/>
      <c r="F9" s="306"/>
      <c r="G9" s="307"/>
    </row>
    <row r="10" spans="1:7" s="308" customFormat="1" ht="82.8">
      <c r="A10" s="20" t="s">
        <v>1097</v>
      </c>
      <c r="B10" s="20" t="s">
        <v>2189</v>
      </c>
      <c r="C10" s="309" t="s">
        <v>1544</v>
      </c>
      <c r="D10" s="309" t="s">
        <v>1545</v>
      </c>
      <c r="E10" s="309" t="s">
        <v>1546</v>
      </c>
      <c r="F10" s="309"/>
      <c r="G10" s="310"/>
    </row>
    <row r="11" spans="1:7" s="133" customFormat="1">
      <c r="A11" s="305" t="s">
        <v>28</v>
      </c>
      <c r="B11" s="305"/>
      <c r="C11" s="306"/>
      <c r="D11" s="306"/>
      <c r="E11" s="306"/>
      <c r="F11" s="306"/>
      <c r="G11" s="307"/>
    </row>
    <row r="12" spans="1:7" s="133" customFormat="1" ht="96.6">
      <c r="A12" s="20" t="s">
        <v>1098</v>
      </c>
      <c r="B12" s="20" t="s">
        <v>2190</v>
      </c>
      <c r="C12" s="309" t="s">
        <v>1547</v>
      </c>
      <c r="D12" s="309" t="s">
        <v>1548</v>
      </c>
      <c r="E12" s="309" t="s">
        <v>1549</v>
      </c>
      <c r="F12" s="20"/>
      <c r="G12" s="310" t="s">
        <v>1550</v>
      </c>
    </row>
    <row r="13" spans="1:7" s="131" customFormat="1" ht="82.8">
      <c r="A13" s="20" t="s">
        <v>1099</v>
      </c>
      <c r="B13" s="20" t="s">
        <v>2191</v>
      </c>
      <c r="C13" s="309" t="s">
        <v>1551</v>
      </c>
      <c r="D13" s="309" t="s">
        <v>1552</v>
      </c>
      <c r="E13" s="309" t="s">
        <v>1553</v>
      </c>
      <c r="F13" s="309"/>
      <c r="G13" s="310"/>
    </row>
    <row r="14" spans="1:7" s="308" customFormat="1">
      <c r="A14" s="305" t="s">
        <v>29</v>
      </c>
      <c r="B14" s="305"/>
      <c r="C14" s="306"/>
      <c r="D14" s="306"/>
      <c r="E14" s="306"/>
      <c r="F14" s="306"/>
      <c r="G14" s="307"/>
    </row>
    <row r="15" spans="1:7" s="308" customFormat="1" ht="110.4">
      <c r="A15" s="20" t="s">
        <v>1100</v>
      </c>
      <c r="B15" s="20" t="s">
        <v>2192</v>
      </c>
      <c r="C15" s="309" t="s">
        <v>1554</v>
      </c>
      <c r="D15" s="309" t="s">
        <v>1555</v>
      </c>
      <c r="E15" s="309" t="s">
        <v>1556</v>
      </c>
      <c r="F15" s="309" t="s">
        <v>1557</v>
      </c>
      <c r="G15" s="311" t="s">
        <v>1558</v>
      </c>
    </row>
    <row r="16" spans="1:7" s="133" customFormat="1" ht="110.4">
      <c r="A16" s="20" t="s">
        <v>1101</v>
      </c>
      <c r="B16" s="20" t="s">
        <v>2193</v>
      </c>
      <c r="C16" s="309" t="s">
        <v>1559</v>
      </c>
      <c r="D16" s="309" t="s">
        <v>1560</v>
      </c>
      <c r="E16" s="309" t="s">
        <v>1561</v>
      </c>
      <c r="F16" s="309"/>
      <c r="G16" s="311" t="s">
        <v>1562</v>
      </c>
    </row>
    <row r="17" spans="1:7" s="133" customFormat="1" ht="110.4">
      <c r="A17" s="20" t="s">
        <v>1102</v>
      </c>
      <c r="B17" s="20" t="s">
        <v>2194</v>
      </c>
      <c r="C17" s="309" t="s">
        <v>1563</v>
      </c>
      <c r="D17" s="309" t="s">
        <v>1564</v>
      </c>
      <c r="E17" s="309" t="s">
        <v>2114</v>
      </c>
      <c r="F17" s="309"/>
      <c r="G17" s="310"/>
    </row>
    <row r="18" spans="1:7" s="308" customFormat="1">
      <c r="A18" s="305" t="s">
        <v>371</v>
      </c>
      <c r="B18" s="305"/>
      <c r="C18" s="306"/>
      <c r="D18" s="306"/>
      <c r="E18" s="306"/>
      <c r="F18" s="306"/>
      <c r="G18" s="307"/>
    </row>
    <row r="19" spans="1:7" s="308" customFormat="1" ht="110.4">
      <c r="A19" s="20" t="s">
        <v>1565</v>
      </c>
      <c r="B19" s="20" t="s">
        <v>2195</v>
      </c>
      <c r="C19" s="309" t="s">
        <v>2115</v>
      </c>
      <c r="D19" s="309" t="s">
        <v>2116</v>
      </c>
      <c r="E19" s="309" t="s">
        <v>1566</v>
      </c>
      <c r="F19" s="309" t="s">
        <v>1557</v>
      </c>
      <c r="G19" s="311" t="s">
        <v>1558</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0070C0"/>
  </sheetPr>
  <dimension ref="A1:V35"/>
  <sheetViews>
    <sheetView topLeftCell="A19" zoomScale="70" zoomScaleNormal="70" workbookViewId="0">
      <selection activeCell="B24" sqref="B24"/>
    </sheetView>
  </sheetViews>
  <sheetFormatPr defaultColWidth="8.77734375" defaultRowHeight="13.8"/>
  <cols>
    <col min="1" max="1" width="10.21875" style="295" customWidth="1"/>
    <col min="2" max="2" width="88.77734375" style="295" customWidth="1"/>
    <col min="3" max="4" width="21.44140625" style="295" customWidth="1"/>
    <col min="5" max="6" width="81.21875" style="295" customWidth="1"/>
    <col min="7" max="7" width="23.77734375" style="291" customWidth="1"/>
    <col min="8" max="22" width="8.77734375" style="291"/>
    <col min="23" max="16384" width="8.77734375" style="295"/>
  </cols>
  <sheetData>
    <row r="1" spans="1:7" s="289" customFormat="1" ht="25.8">
      <c r="A1" s="288" t="s">
        <v>508</v>
      </c>
      <c r="C1" s="290"/>
      <c r="G1" s="291"/>
    </row>
    <row r="2" spans="1:7" s="289" customFormat="1" ht="25.8">
      <c r="A2" s="288" t="s">
        <v>1567</v>
      </c>
      <c r="C2" s="290"/>
      <c r="G2" s="291"/>
    </row>
    <row r="3" spans="1:7" s="289" customFormat="1">
      <c r="A3" s="292" t="s">
        <v>23</v>
      </c>
      <c r="B3" s="289" t="s">
        <v>1568</v>
      </c>
      <c r="G3" s="291"/>
    </row>
    <row r="4" spans="1:7" s="289" customFormat="1">
      <c r="A4" s="292" t="s">
        <v>1569</v>
      </c>
      <c r="B4" s="289" t="s">
        <v>1570</v>
      </c>
      <c r="G4" s="291"/>
    </row>
    <row r="5" spans="1:7" s="289" customFormat="1">
      <c r="A5" s="289" t="s">
        <v>25</v>
      </c>
      <c r="B5" s="289" t="s">
        <v>510</v>
      </c>
      <c r="G5" s="291"/>
    </row>
    <row r="6" spans="1:7" s="289" customFormat="1">
      <c r="A6" s="289" t="s">
        <v>1571</v>
      </c>
      <c r="B6" s="289" t="s">
        <v>1572</v>
      </c>
      <c r="G6" s="291"/>
    </row>
    <row r="8" spans="1:7" s="289" customFormat="1">
      <c r="A8" s="312"/>
      <c r="B8" s="312"/>
      <c r="C8" s="312" t="s">
        <v>65</v>
      </c>
      <c r="D8" s="312" t="s">
        <v>54</v>
      </c>
      <c r="E8" s="312" t="s">
        <v>86</v>
      </c>
      <c r="F8" s="312" t="s">
        <v>1472</v>
      </c>
      <c r="G8" s="312" t="s">
        <v>1409</v>
      </c>
    </row>
    <row r="9" spans="1:7" s="292" customFormat="1">
      <c r="A9" s="313" t="s">
        <v>27</v>
      </c>
      <c r="B9" s="314"/>
      <c r="C9" s="315"/>
      <c r="D9" s="315"/>
      <c r="E9" s="315"/>
      <c r="F9" s="315"/>
      <c r="G9" s="315"/>
    </row>
    <row r="10" spans="1:7" s="292" customFormat="1" ht="96.6">
      <c r="A10" s="3" t="s">
        <v>513</v>
      </c>
      <c r="B10" s="3" t="s">
        <v>2196</v>
      </c>
      <c r="C10" s="300" t="s">
        <v>1573</v>
      </c>
      <c r="D10" s="300" t="s">
        <v>1574</v>
      </c>
      <c r="E10" s="300" t="s">
        <v>1575</v>
      </c>
      <c r="F10" s="300"/>
      <c r="G10" s="3"/>
    </row>
    <row r="11" spans="1:7" s="140" customFormat="1" ht="96.6">
      <c r="A11" s="3" t="s">
        <v>514</v>
      </c>
      <c r="B11" s="3" t="s">
        <v>2197</v>
      </c>
      <c r="C11" s="300" t="s">
        <v>1576</v>
      </c>
      <c r="D11" s="300" t="s">
        <v>1577</v>
      </c>
      <c r="E11" s="300" t="s">
        <v>1578</v>
      </c>
      <c r="F11" s="300"/>
      <c r="G11" s="3"/>
    </row>
    <row r="12" spans="1:7" s="140" customFormat="1">
      <c r="A12" s="296" t="s">
        <v>28</v>
      </c>
      <c r="B12" s="296"/>
      <c r="C12" s="297"/>
      <c r="D12" s="297"/>
      <c r="E12" s="297"/>
      <c r="F12" s="297"/>
      <c r="G12" s="297"/>
    </row>
    <row r="13" spans="1:7" s="292" customFormat="1" ht="82.8">
      <c r="A13" s="3" t="s">
        <v>515</v>
      </c>
      <c r="B13" s="3" t="s">
        <v>2198</v>
      </c>
      <c r="C13" s="300" t="s">
        <v>1579</v>
      </c>
      <c r="D13" s="300" t="s">
        <v>1580</v>
      </c>
      <c r="E13" s="300" t="s">
        <v>1581</v>
      </c>
      <c r="F13" s="300"/>
      <c r="G13" s="3"/>
    </row>
    <row r="14" spans="1:7" s="292" customFormat="1" ht="82.8">
      <c r="A14" s="3" t="s">
        <v>516</v>
      </c>
      <c r="B14" s="3" t="s">
        <v>2199</v>
      </c>
      <c r="C14" s="300" t="s">
        <v>1582</v>
      </c>
      <c r="D14" s="300" t="s">
        <v>1583</v>
      </c>
      <c r="E14" s="300" t="s">
        <v>1584</v>
      </c>
      <c r="F14" s="300"/>
      <c r="G14" s="3"/>
    </row>
    <row r="15" spans="1:7" s="140" customFormat="1" ht="82.8">
      <c r="A15" s="3" t="s">
        <v>517</v>
      </c>
      <c r="B15" s="3" t="s">
        <v>2200</v>
      </c>
      <c r="C15" s="300" t="s">
        <v>1585</v>
      </c>
      <c r="D15" s="300" t="s">
        <v>1586</v>
      </c>
      <c r="E15" s="300" t="s">
        <v>1587</v>
      </c>
      <c r="F15" s="300"/>
      <c r="G15" s="3"/>
    </row>
    <row r="16" spans="1:7" s="140" customFormat="1" ht="151.80000000000001">
      <c r="A16" s="3" t="s">
        <v>518</v>
      </c>
      <c r="B16" s="3" t="s">
        <v>2201</v>
      </c>
      <c r="C16" s="300" t="s">
        <v>1588</v>
      </c>
      <c r="D16" s="300" t="s">
        <v>1589</v>
      </c>
      <c r="E16" s="300" t="s">
        <v>1590</v>
      </c>
      <c r="F16" s="300"/>
      <c r="G16" s="3"/>
    </row>
    <row r="17" spans="1:7" s="292" customFormat="1" ht="165.6">
      <c r="A17" s="3" t="s">
        <v>519</v>
      </c>
      <c r="B17" s="3" t="s">
        <v>2202</v>
      </c>
      <c r="C17" s="300" t="s">
        <v>1591</v>
      </c>
      <c r="D17" s="300" t="s">
        <v>1592</v>
      </c>
      <c r="E17" s="300" t="s">
        <v>1593</v>
      </c>
      <c r="F17" s="300"/>
      <c r="G17" s="3"/>
    </row>
    <row r="18" spans="1:7" s="292" customFormat="1" ht="151.80000000000001">
      <c r="A18" s="316" t="s">
        <v>520</v>
      </c>
      <c r="B18" s="317" t="s">
        <v>2203</v>
      </c>
      <c r="C18" s="318" t="s">
        <v>1594</v>
      </c>
      <c r="D18" s="318" t="s">
        <v>1595</v>
      </c>
      <c r="E18" s="318" t="s">
        <v>1596</v>
      </c>
      <c r="F18" s="316"/>
      <c r="G18" s="316"/>
    </row>
    <row r="19" spans="1:7" s="292" customFormat="1">
      <c r="A19" s="296" t="s">
        <v>29</v>
      </c>
      <c r="B19" s="296"/>
      <c r="C19" s="297"/>
      <c r="D19" s="297"/>
      <c r="E19" s="297"/>
      <c r="F19" s="297"/>
      <c r="G19" s="297"/>
    </row>
    <row r="20" spans="1:7" s="140" customFormat="1" ht="110.4">
      <c r="A20" s="3" t="s">
        <v>521</v>
      </c>
      <c r="B20" s="3" t="s">
        <v>2204</v>
      </c>
      <c r="C20" s="300" t="s">
        <v>1597</v>
      </c>
      <c r="D20" s="300" t="s">
        <v>1598</v>
      </c>
      <c r="E20" s="300" t="s">
        <v>1599</v>
      </c>
      <c r="F20" s="3"/>
      <c r="G20" s="3"/>
    </row>
    <row r="21" spans="1:7" s="140" customFormat="1" ht="110.4">
      <c r="A21" s="3" t="s">
        <v>522</v>
      </c>
      <c r="B21" s="3" t="s">
        <v>2205</v>
      </c>
      <c r="C21" s="300" t="s">
        <v>1600</v>
      </c>
      <c r="D21" s="300" t="s">
        <v>1601</v>
      </c>
      <c r="E21" s="300" t="s">
        <v>1602</v>
      </c>
      <c r="F21" s="3"/>
      <c r="G21" s="3"/>
    </row>
    <row r="22" spans="1:7" s="292" customFormat="1" ht="82.8">
      <c r="A22" s="3" t="s">
        <v>523</v>
      </c>
      <c r="B22" s="3" t="s">
        <v>2206</v>
      </c>
      <c r="C22" s="300" t="s">
        <v>1603</v>
      </c>
      <c r="D22" s="300" t="s">
        <v>1604</v>
      </c>
      <c r="E22" s="300" t="s">
        <v>1605</v>
      </c>
      <c r="F22" s="3"/>
      <c r="G22" s="3"/>
    </row>
    <row r="23" spans="1:7" s="292" customFormat="1" ht="165.6">
      <c r="A23" s="3" t="s">
        <v>524</v>
      </c>
      <c r="B23" s="3" t="s">
        <v>2217</v>
      </c>
      <c r="C23" s="300" t="s">
        <v>1606</v>
      </c>
      <c r="D23" s="300" t="s">
        <v>1607</v>
      </c>
      <c r="E23" s="300" t="s">
        <v>2117</v>
      </c>
      <c r="F23" s="3"/>
      <c r="G23" s="3"/>
    </row>
    <row r="24" spans="1:7" s="140" customFormat="1" ht="151.80000000000001">
      <c r="A24" s="3" t="s">
        <v>525</v>
      </c>
      <c r="B24" s="3" t="s">
        <v>2207</v>
      </c>
      <c r="C24" s="300" t="s">
        <v>2118</v>
      </c>
      <c r="D24" s="300" t="s">
        <v>1608</v>
      </c>
      <c r="E24" s="300" t="s">
        <v>1609</v>
      </c>
      <c r="F24" s="3"/>
      <c r="G24" s="3"/>
    </row>
    <row r="25" spans="1:7" s="140" customFormat="1" ht="151.80000000000001">
      <c r="A25" s="3" t="s">
        <v>526</v>
      </c>
      <c r="B25" s="3" t="s">
        <v>2208</v>
      </c>
      <c r="C25" s="300" t="s">
        <v>1610</v>
      </c>
      <c r="D25" s="300" t="s">
        <v>1611</v>
      </c>
      <c r="E25" s="300" t="s">
        <v>1612</v>
      </c>
      <c r="F25" s="3"/>
      <c r="G25" s="3"/>
    </row>
    <row r="26" spans="1:7" s="292" customFormat="1">
      <c r="A26" s="296" t="s">
        <v>371</v>
      </c>
      <c r="B26" s="296"/>
      <c r="C26" s="297"/>
      <c r="D26" s="297"/>
      <c r="E26" s="297"/>
      <c r="F26" s="297"/>
      <c r="G26" s="297"/>
    </row>
    <row r="27" spans="1:7" s="292" customFormat="1" ht="82.8">
      <c r="A27" s="3" t="s">
        <v>527</v>
      </c>
      <c r="B27" s="3" t="s">
        <v>2209</v>
      </c>
      <c r="C27" s="300" t="s">
        <v>1613</v>
      </c>
      <c r="D27" s="300" t="s">
        <v>1614</v>
      </c>
      <c r="E27" s="300" t="s">
        <v>1615</v>
      </c>
      <c r="F27" s="3"/>
      <c r="G27" s="3"/>
    </row>
    <row r="28" spans="1:7" s="140" customFormat="1" ht="96.6">
      <c r="A28" s="3" t="s">
        <v>528</v>
      </c>
      <c r="B28" s="3" t="s">
        <v>2210</v>
      </c>
      <c r="C28" s="300" t="s">
        <v>1616</v>
      </c>
      <c r="D28" s="300" t="s">
        <v>1617</v>
      </c>
      <c r="E28" s="300" t="s">
        <v>1618</v>
      </c>
      <c r="F28" s="3"/>
      <c r="G28" s="3"/>
    </row>
    <row r="29" spans="1:7" s="140" customFormat="1" ht="82.8">
      <c r="A29" s="3" t="s">
        <v>529</v>
      </c>
      <c r="B29" s="3" t="s">
        <v>2211</v>
      </c>
      <c r="C29" s="300" t="s">
        <v>1619</v>
      </c>
      <c r="D29" s="300" t="s">
        <v>1620</v>
      </c>
      <c r="E29" s="300" t="s">
        <v>1621</v>
      </c>
      <c r="F29" s="3"/>
      <c r="G29" s="3"/>
    </row>
    <row r="30" spans="1:7" s="140" customFormat="1" ht="193.2">
      <c r="A30" s="3" t="s">
        <v>530</v>
      </c>
      <c r="B30" s="3" t="s">
        <v>2212</v>
      </c>
      <c r="C30" s="300" t="s">
        <v>1622</v>
      </c>
      <c r="D30" s="300" t="s">
        <v>1623</v>
      </c>
      <c r="E30" s="300" t="s">
        <v>1624</v>
      </c>
      <c r="F30" s="3"/>
      <c r="G30" s="3"/>
    </row>
    <row r="31" spans="1:7" s="292" customFormat="1" ht="179.4">
      <c r="A31" s="3" t="s">
        <v>531</v>
      </c>
      <c r="B31" s="3" t="s">
        <v>2213</v>
      </c>
      <c r="C31" s="300" t="s">
        <v>1625</v>
      </c>
      <c r="D31" s="300" t="s">
        <v>1626</v>
      </c>
      <c r="E31" s="300" t="s">
        <v>1627</v>
      </c>
      <c r="F31" s="3"/>
      <c r="G31" s="3"/>
    </row>
    <row r="32" spans="1:7" s="140" customFormat="1">
      <c r="A32" s="296" t="s">
        <v>511</v>
      </c>
      <c r="B32" s="296"/>
      <c r="C32" s="297"/>
      <c r="D32" s="297"/>
      <c r="E32" s="297"/>
      <c r="F32" s="297"/>
      <c r="G32" s="297"/>
    </row>
    <row r="33" spans="1:7" s="140" customFormat="1" ht="82.8">
      <c r="A33" s="3" t="s">
        <v>532</v>
      </c>
      <c r="B33" s="3" t="s">
        <v>2216</v>
      </c>
      <c r="C33" s="300" t="s">
        <v>2119</v>
      </c>
      <c r="D33" s="300" t="s">
        <v>1628</v>
      </c>
      <c r="E33" s="300" t="s">
        <v>1629</v>
      </c>
      <c r="F33" s="3"/>
      <c r="G33" s="3"/>
    </row>
    <row r="34" spans="1:7" s="140" customFormat="1" ht="96.6">
      <c r="A34" s="3" t="s">
        <v>533</v>
      </c>
      <c r="B34" s="3" t="s">
        <v>2215</v>
      </c>
      <c r="C34" s="300" t="s">
        <v>1630</v>
      </c>
      <c r="D34" s="300" t="s">
        <v>1631</v>
      </c>
      <c r="E34" s="300" t="s">
        <v>1632</v>
      </c>
      <c r="F34" s="3"/>
      <c r="G34" s="3"/>
    </row>
    <row r="35" spans="1:7" s="292" customFormat="1" ht="110.4">
      <c r="A35" s="3" t="s">
        <v>534</v>
      </c>
      <c r="B35" s="3" t="s">
        <v>2214</v>
      </c>
      <c r="C35" s="300" t="s">
        <v>1633</v>
      </c>
      <c r="D35" s="300" t="s">
        <v>1634</v>
      </c>
      <c r="E35" s="300" t="s">
        <v>2120</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70C0"/>
  </sheetPr>
  <dimension ref="A1:R21"/>
  <sheetViews>
    <sheetView topLeftCell="A17" zoomScale="85" zoomScaleNormal="85" workbookViewId="0">
      <selection activeCell="B22" sqref="B22"/>
    </sheetView>
  </sheetViews>
  <sheetFormatPr defaultColWidth="8.77734375" defaultRowHeight="13.8"/>
  <cols>
    <col min="1" max="1" width="10.21875" style="295" customWidth="1"/>
    <col min="2" max="2" width="65.21875" style="322" customWidth="1"/>
    <col min="3" max="3" width="30.33203125" style="295" customWidth="1"/>
    <col min="4" max="4" width="28.21875" style="295" customWidth="1"/>
    <col min="5" max="5" width="48.77734375" style="295" customWidth="1"/>
    <col min="6" max="6" width="34.77734375" style="295" customWidth="1"/>
    <col min="7" max="7" width="21.44140625" style="291" customWidth="1"/>
    <col min="8" max="9" width="17.77734375" style="303" customWidth="1"/>
    <col min="10" max="18" width="8.77734375" style="291"/>
    <col min="19" max="16384" width="8.77734375" style="295"/>
  </cols>
  <sheetData>
    <row r="1" spans="1:7" s="133" customFormat="1" ht="25.8">
      <c r="A1" s="288" t="s">
        <v>1635</v>
      </c>
      <c r="B1" s="292"/>
      <c r="C1" s="290"/>
      <c r="D1" s="289"/>
      <c r="E1" s="289"/>
      <c r="F1" s="289"/>
      <c r="G1" s="291"/>
    </row>
    <row r="2" spans="1:7" s="131" customFormat="1" ht="25.8">
      <c r="A2" s="288" t="s">
        <v>1636</v>
      </c>
      <c r="B2" s="292"/>
      <c r="C2" s="290"/>
      <c r="D2" s="289"/>
      <c r="E2" s="289"/>
      <c r="F2" s="289"/>
      <c r="G2" s="291"/>
    </row>
    <row r="3" spans="1:7" s="308" customFormat="1" ht="27.6">
      <c r="A3" s="292" t="s">
        <v>23</v>
      </c>
      <c r="B3" s="292" t="s">
        <v>1637</v>
      </c>
      <c r="C3" s="289"/>
      <c r="D3" s="289"/>
      <c r="E3" s="289"/>
      <c r="F3" s="289"/>
      <c r="G3" s="291"/>
    </row>
    <row r="4" spans="1:7" s="133" customFormat="1">
      <c r="A4" s="292" t="s">
        <v>1569</v>
      </c>
      <c r="B4" s="292" t="s">
        <v>1638</v>
      </c>
      <c r="C4" s="289"/>
      <c r="D4" s="289"/>
      <c r="E4" s="289"/>
      <c r="F4" s="289"/>
      <c r="G4" s="291"/>
    </row>
    <row r="5" spans="1:7" s="133" customFormat="1" ht="27.6">
      <c r="A5" s="289" t="s">
        <v>25</v>
      </c>
      <c r="B5" s="292" t="s">
        <v>744</v>
      </c>
      <c r="C5" s="289"/>
      <c r="D5" s="289"/>
      <c r="E5" s="289"/>
      <c r="F5" s="289"/>
      <c r="G5" s="291"/>
    </row>
    <row r="6" spans="1:7" s="131" customFormat="1">
      <c r="A6" s="289" t="s">
        <v>1571</v>
      </c>
      <c r="B6" s="292" t="s">
        <v>1639</v>
      </c>
      <c r="C6" s="289"/>
      <c r="D6" s="289"/>
      <c r="E6" s="289"/>
      <c r="F6" s="289"/>
      <c r="G6" s="291"/>
    </row>
    <row r="7" spans="1:7" s="308" customFormat="1">
      <c r="A7" s="295"/>
      <c r="B7" s="322"/>
      <c r="C7" s="295"/>
      <c r="D7" s="295"/>
      <c r="E7" s="289"/>
      <c r="F7" s="289"/>
      <c r="G7" s="320"/>
    </row>
    <row r="8" spans="1:7" s="133" customFormat="1">
      <c r="A8" s="312"/>
      <c r="B8" s="323"/>
      <c r="C8" s="312" t="s">
        <v>65</v>
      </c>
      <c r="D8" s="312" t="s">
        <v>54</v>
      </c>
      <c r="E8" s="312" t="s">
        <v>86</v>
      </c>
      <c r="F8" s="312" t="s">
        <v>1472</v>
      </c>
      <c r="G8" s="312" t="s">
        <v>1409</v>
      </c>
    </row>
    <row r="9" spans="1:7" s="133" customFormat="1">
      <c r="A9" s="305" t="s">
        <v>27</v>
      </c>
      <c r="B9" s="305"/>
      <c r="C9" s="306"/>
      <c r="D9" s="306"/>
      <c r="E9" s="306"/>
      <c r="F9" s="306"/>
      <c r="G9" s="307"/>
    </row>
    <row r="10" spans="1:7" s="131" customFormat="1" ht="82.8">
      <c r="A10" s="20" t="s">
        <v>745</v>
      </c>
      <c r="B10" s="20" t="s">
        <v>2218</v>
      </c>
      <c r="C10" s="309" t="s">
        <v>1640</v>
      </c>
      <c r="D10" s="309" t="s">
        <v>1641</v>
      </c>
      <c r="E10" s="309" t="s">
        <v>1642</v>
      </c>
      <c r="F10" s="309"/>
      <c r="G10" s="310"/>
    </row>
    <row r="11" spans="1:7" s="308" customFormat="1" ht="98.25" customHeight="1">
      <c r="A11" s="20" t="s">
        <v>746</v>
      </c>
      <c r="B11" s="20" t="s">
        <v>2219</v>
      </c>
      <c r="C11" s="309" t="s">
        <v>2121</v>
      </c>
      <c r="D11" s="309" t="s">
        <v>1643</v>
      </c>
      <c r="E11" s="309" t="s">
        <v>1644</v>
      </c>
      <c r="F11" s="309"/>
      <c r="G11" s="310"/>
    </row>
    <row r="12" spans="1:7" s="133" customFormat="1">
      <c r="A12" s="305" t="s">
        <v>28</v>
      </c>
      <c r="B12" s="305"/>
      <c r="C12" s="306"/>
      <c r="D12" s="306"/>
      <c r="E12" s="306" t="s">
        <v>1477</v>
      </c>
      <c r="F12" s="306"/>
      <c r="G12" s="307"/>
    </row>
    <row r="13" spans="1:7" s="133" customFormat="1" ht="138">
      <c r="A13" s="20" t="s">
        <v>747</v>
      </c>
      <c r="B13" s="20" t="s">
        <v>2220</v>
      </c>
      <c r="C13" s="309" t="s">
        <v>1645</v>
      </c>
      <c r="D13" s="309" t="s">
        <v>1646</v>
      </c>
      <c r="E13" s="309" t="s">
        <v>1647</v>
      </c>
      <c r="F13" s="309"/>
      <c r="G13" s="310"/>
    </row>
    <row r="14" spans="1:7" s="131" customFormat="1" ht="138">
      <c r="A14" s="20" t="s">
        <v>748</v>
      </c>
      <c r="B14" s="20" t="s">
        <v>2221</v>
      </c>
      <c r="C14" s="309" t="s">
        <v>1648</v>
      </c>
      <c r="D14" s="309" t="s">
        <v>1649</v>
      </c>
      <c r="E14" s="309" t="s">
        <v>1650</v>
      </c>
      <c r="F14" s="309"/>
      <c r="G14" s="310"/>
    </row>
    <row r="15" spans="1:7" s="308" customFormat="1" ht="110.4">
      <c r="A15" s="20" t="s">
        <v>749</v>
      </c>
      <c r="B15" s="20" t="s">
        <v>2222</v>
      </c>
      <c r="C15" s="309" t="s">
        <v>1651</v>
      </c>
      <c r="D15" s="309" t="s">
        <v>1652</v>
      </c>
      <c r="E15" s="309" t="s">
        <v>1653</v>
      </c>
      <c r="F15" s="309"/>
      <c r="G15" s="310"/>
    </row>
    <row r="16" spans="1:7" s="133" customFormat="1" ht="131.25" customHeight="1">
      <c r="A16" s="20" t="s">
        <v>750</v>
      </c>
      <c r="B16" s="20" t="s">
        <v>2223</v>
      </c>
      <c r="C16" s="309" t="s">
        <v>1654</v>
      </c>
      <c r="D16" s="309" t="s">
        <v>1655</v>
      </c>
      <c r="E16" s="309" t="s">
        <v>1656</v>
      </c>
      <c r="F16" s="309"/>
      <c r="G16" s="310"/>
    </row>
    <row r="17" spans="1:7" s="131" customFormat="1">
      <c r="A17" s="305" t="s">
        <v>29</v>
      </c>
      <c r="B17" s="305"/>
      <c r="C17" s="306"/>
      <c r="D17" s="306"/>
      <c r="E17" s="306" t="s">
        <v>1477</v>
      </c>
      <c r="F17" s="306"/>
      <c r="G17" s="307"/>
    </row>
    <row r="18" spans="1:7" s="308" customFormat="1" ht="132" customHeight="1">
      <c r="A18" s="20" t="s">
        <v>751</v>
      </c>
      <c r="B18" s="20" t="s">
        <v>2224</v>
      </c>
      <c r="C18" s="309" t="s">
        <v>1657</v>
      </c>
      <c r="D18" s="309" t="s">
        <v>2122</v>
      </c>
      <c r="E18" s="309" t="s">
        <v>1658</v>
      </c>
      <c r="F18" s="309"/>
      <c r="G18" s="310"/>
    </row>
    <row r="19" spans="1:7" s="133" customFormat="1" ht="138">
      <c r="A19" s="20" t="s">
        <v>752</v>
      </c>
      <c r="B19" s="20" t="s">
        <v>2225</v>
      </c>
      <c r="C19" s="309" t="s">
        <v>1659</v>
      </c>
      <c r="D19" s="309" t="s">
        <v>1660</v>
      </c>
      <c r="E19" s="309" t="s">
        <v>1661</v>
      </c>
      <c r="F19" s="309"/>
      <c r="G19" s="310"/>
    </row>
    <row r="20" spans="1:7" s="133" customFormat="1" ht="142.5" customHeight="1">
      <c r="A20" s="20" t="s">
        <v>753</v>
      </c>
      <c r="B20" s="20" t="s">
        <v>2226</v>
      </c>
      <c r="C20" s="309" t="s">
        <v>1662</v>
      </c>
      <c r="D20" s="309" t="s">
        <v>1663</v>
      </c>
      <c r="E20" s="309" t="s">
        <v>1664</v>
      </c>
      <c r="F20" s="309"/>
      <c r="G20" s="310"/>
    </row>
    <row r="21" spans="1:7" s="131" customFormat="1" ht="151.80000000000001">
      <c r="A21" s="20" t="s">
        <v>754</v>
      </c>
      <c r="B21" s="20" t="s">
        <v>2227</v>
      </c>
      <c r="C21" s="309" t="s">
        <v>1665</v>
      </c>
      <c r="D21" s="309" t="s">
        <v>1666</v>
      </c>
      <c r="E21" s="309" t="s">
        <v>1667</v>
      </c>
      <c r="F21" s="309"/>
      <c r="G21" s="310"/>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0070C0"/>
  </sheetPr>
  <dimension ref="A1:I20"/>
  <sheetViews>
    <sheetView topLeftCell="A19" workbookViewId="0">
      <selection activeCell="B21" sqref="B21"/>
    </sheetView>
  </sheetViews>
  <sheetFormatPr defaultColWidth="8.77734375" defaultRowHeight="13.8"/>
  <cols>
    <col min="1" max="1" width="10.21875" style="295" customWidth="1"/>
    <col min="2" max="2" width="88.77734375" style="295" customWidth="1"/>
    <col min="3" max="3" width="24.6640625" style="295" customWidth="1"/>
    <col min="4" max="4" width="21.44140625" style="295" customWidth="1"/>
    <col min="5" max="5" width="57.21875" style="322" customWidth="1"/>
    <col min="6" max="6" width="80.44140625" style="295" customWidth="1"/>
    <col min="7" max="7" width="21.44140625" style="291" customWidth="1"/>
    <col min="8" max="9" width="8.77734375" style="291"/>
    <col min="10" max="16384" width="8.77734375" style="295"/>
  </cols>
  <sheetData>
    <row r="1" spans="1:7" s="308" customFormat="1" ht="25.8">
      <c r="A1" s="288" t="s">
        <v>1668</v>
      </c>
      <c r="B1" s="289"/>
      <c r="C1" s="290"/>
      <c r="D1" s="289"/>
      <c r="E1" s="292"/>
      <c r="F1" s="289"/>
      <c r="G1" s="291"/>
    </row>
    <row r="2" spans="1:7" s="133" customFormat="1" ht="25.8">
      <c r="A2" s="288" t="s">
        <v>1669</v>
      </c>
      <c r="B2" s="289"/>
      <c r="C2" s="290"/>
      <c r="D2" s="289"/>
      <c r="E2" s="292"/>
      <c r="F2" s="289"/>
      <c r="G2" s="291"/>
    </row>
    <row r="3" spans="1:7" s="133" customFormat="1">
      <c r="A3" s="292" t="s">
        <v>23</v>
      </c>
      <c r="B3" s="289" t="s">
        <v>1670</v>
      </c>
      <c r="C3" s="289"/>
      <c r="D3" s="289"/>
      <c r="E3" s="292"/>
      <c r="F3" s="289"/>
      <c r="G3" s="291"/>
    </row>
    <row r="4" spans="1:7" s="131" customFormat="1">
      <c r="A4" s="292" t="s">
        <v>1569</v>
      </c>
      <c r="B4" s="289" t="s">
        <v>1671</v>
      </c>
      <c r="C4" s="289"/>
      <c r="D4" s="289"/>
      <c r="E4" s="292"/>
      <c r="F4" s="289"/>
      <c r="G4" s="291"/>
    </row>
    <row r="5" spans="1:7" s="308" customFormat="1">
      <c r="A5" s="289" t="s">
        <v>25</v>
      </c>
      <c r="B5" s="289" t="s">
        <v>689</v>
      </c>
      <c r="C5" s="289"/>
      <c r="D5" s="289"/>
      <c r="E5" s="292"/>
      <c r="F5" s="289"/>
      <c r="G5" s="291"/>
    </row>
    <row r="6" spans="1:7" s="308" customFormat="1">
      <c r="A6" s="289" t="s">
        <v>1571</v>
      </c>
      <c r="B6" s="289" t="s">
        <v>1672</v>
      </c>
      <c r="C6" s="289"/>
      <c r="D6" s="289"/>
      <c r="E6" s="292"/>
      <c r="F6" s="289"/>
      <c r="G6" s="291"/>
    </row>
    <row r="7" spans="1:7" s="133" customFormat="1">
      <c r="A7" s="295"/>
      <c r="B7" s="295"/>
      <c r="C7" s="295"/>
      <c r="D7" s="295"/>
      <c r="E7" s="322"/>
      <c r="F7" s="295"/>
      <c r="G7" s="291"/>
    </row>
    <row r="8" spans="1:7" s="133" customFormat="1">
      <c r="A8" s="312"/>
      <c r="B8" s="312"/>
      <c r="C8" s="312" t="s">
        <v>65</v>
      </c>
      <c r="D8" s="312" t="s">
        <v>54</v>
      </c>
      <c r="E8" s="323" t="s">
        <v>86</v>
      </c>
      <c r="F8" s="312" t="s">
        <v>1472</v>
      </c>
      <c r="G8" s="312" t="s">
        <v>1409</v>
      </c>
    </row>
    <row r="9" spans="1:7" s="131" customFormat="1">
      <c r="A9" s="305" t="s">
        <v>27</v>
      </c>
      <c r="B9" s="305"/>
      <c r="C9" s="306"/>
      <c r="D9" s="306"/>
      <c r="E9" s="306"/>
      <c r="F9" s="306"/>
      <c r="G9" s="307"/>
    </row>
    <row r="10" spans="1:7" s="308" customFormat="1" ht="173.25" customHeight="1">
      <c r="A10" s="20" t="s">
        <v>690</v>
      </c>
      <c r="B10" s="20" t="s">
        <v>2228</v>
      </c>
      <c r="C10" s="309" t="s">
        <v>1673</v>
      </c>
      <c r="D10" s="309" t="s">
        <v>1674</v>
      </c>
      <c r="E10" s="309" t="s">
        <v>1675</v>
      </c>
      <c r="F10" s="309"/>
      <c r="G10" s="310"/>
    </row>
    <row r="11" spans="1:7" s="133" customFormat="1">
      <c r="A11" s="305" t="s">
        <v>28</v>
      </c>
      <c r="B11" s="305"/>
      <c r="C11" s="306"/>
      <c r="D11" s="306"/>
      <c r="E11" s="306"/>
      <c r="F11" s="306"/>
      <c r="G11" s="307"/>
    </row>
    <row r="12" spans="1:7" s="133" customFormat="1" ht="193.2">
      <c r="A12" s="20" t="s">
        <v>691</v>
      </c>
      <c r="B12" s="20" t="s">
        <v>2229</v>
      </c>
      <c r="C12" s="309" t="s">
        <v>1676</v>
      </c>
      <c r="D12" s="309" t="s">
        <v>1677</v>
      </c>
      <c r="E12" s="309" t="s">
        <v>1678</v>
      </c>
      <c r="F12" s="309"/>
      <c r="G12" s="310"/>
    </row>
    <row r="13" spans="1:7" s="131" customFormat="1" ht="165.6">
      <c r="A13" s="20" t="s">
        <v>692</v>
      </c>
      <c r="B13" s="20" t="s">
        <v>2230</v>
      </c>
      <c r="C13" s="309" t="s">
        <v>1679</v>
      </c>
      <c r="D13" s="309" t="s">
        <v>1680</v>
      </c>
      <c r="E13" s="309" t="s">
        <v>1681</v>
      </c>
      <c r="F13" s="309"/>
      <c r="G13" s="310"/>
    </row>
    <row r="14" spans="1:7" s="308" customFormat="1">
      <c r="A14" s="305" t="s">
        <v>29</v>
      </c>
      <c r="B14" s="305"/>
      <c r="C14" s="306"/>
      <c r="D14" s="306"/>
      <c r="E14" s="306" t="s">
        <v>1477</v>
      </c>
      <c r="F14" s="306"/>
      <c r="G14" s="307"/>
    </row>
    <row r="15" spans="1:7" s="133" customFormat="1" ht="179.4">
      <c r="A15" s="20" t="s">
        <v>693</v>
      </c>
      <c r="B15" s="20" t="s">
        <v>2231</v>
      </c>
      <c r="C15" s="309" t="s">
        <v>1682</v>
      </c>
      <c r="D15" s="309" t="s">
        <v>2123</v>
      </c>
      <c r="E15" s="309" t="s">
        <v>1683</v>
      </c>
      <c r="F15" s="309"/>
      <c r="G15" s="310"/>
    </row>
    <row r="16" spans="1:7" s="131" customFormat="1" ht="179.4">
      <c r="A16" s="20" t="s">
        <v>694</v>
      </c>
      <c r="B16" s="20" t="s">
        <v>2232</v>
      </c>
      <c r="C16" s="309" t="s">
        <v>2124</v>
      </c>
      <c r="D16" s="309" t="s">
        <v>2125</v>
      </c>
      <c r="E16" s="309" t="s">
        <v>1684</v>
      </c>
      <c r="F16" s="309"/>
      <c r="G16" s="310"/>
    </row>
    <row r="17" spans="1:7" s="308" customFormat="1" ht="179.4">
      <c r="A17" s="20" t="s">
        <v>695</v>
      </c>
      <c r="B17" s="20" t="s">
        <v>2233</v>
      </c>
      <c r="C17" s="309" t="s">
        <v>2126</v>
      </c>
      <c r="D17" s="309" t="s">
        <v>2127</v>
      </c>
      <c r="E17" s="309" t="s">
        <v>1685</v>
      </c>
      <c r="F17" s="309"/>
      <c r="G17" s="310"/>
    </row>
    <row r="18" spans="1:7" s="133" customFormat="1" ht="165.6">
      <c r="A18" s="20" t="s">
        <v>696</v>
      </c>
      <c r="B18" s="20" t="s">
        <v>2234</v>
      </c>
      <c r="C18" s="309" t="s">
        <v>1686</v>
      </c>
      <c r="D18" s="309" t="s">
        <v>1687</v>
      </c>
      <c r="E18" s="309" t="s">
        <v>1688</v>
      </c>
      <c r="F18" s="309"/>
      <c r="G18" s="310"/>
    </row>
    <row r="19" spans="1:7" s="133" customFormat="1" ht="193.2">
      <c r="A19" s="20" t="s">
        <v>697</v>
      </c>
      <c r="B19" s="20" t="s">
        <v>2235</v>
      </c>
      <c r="C19" s="309" t="s">
        <v>1689</v>
      </c>
      <c r="D19" s="309" t="s">
        <v>1690</v>
      </c>
      <c r="E19" s="309" t="s">
        <v>1691</v>
      </c>
      <c r="F19" s="309"/>
      <c r="G19" s="310"/>
    </row>
    <row r="20" spans="1:7" s="131" customFormat="1" ht="220.8">
      <c r="A20" s="20" t="s">
        <v>698</v>
      </c>
      <c r="B20" s="20" t="s">
        <v>2236</v>
      </c>
      <c r="C20" s="309" t="s">
        <v>1692</v>
      </c>
      <c r="D20" s="309" t="s">
        <v>1693</v>
      </c>
      <c r="E20" s="309" t="s">
        <v>1694</v>
      </c>
      <c r="F20" s="309"/>
      <c r="G20" s="310"/>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0070C0"/>
  </sheetPr>
  <dimension ref="A1:R17"/>
  <sheetViews>
    <sheetView topLeftCell="A14" workbookViewId="0">
      <selection activeCell="B18" sqref="B18"/>
    </sheetView>
  </sheetViews>
  <sheetFormatPr defaultColWidth="8.77734375" defaultRowHeight="13.8"/>
  <cols>
    <col min="1" max="1" width="10.21875" style="295" customWidth="1"/>
    <col min="2" max="2" width="58.21875" style="295" customWidth="1"/>
    <col min="3" max="4" width="21.44140625" style="295" customWidth="1"/>
    <col min="5" max="6" width="37.44140625" style="295" customWidth="1"/>
    <col min="7" max="7" width="21.44140625" style="291" customWidth="1"/>
    <col min="8" max="18" width="8.77734375" style="291"/>
    <col min="19" max="16384" width="8.77734375" style="295"/>
  </cols>
  <sheetData>
    <row r="1" spans="1:7" s="131" customFormat="1" ht="25.8">
      <c r="A1" s="288" t="s">
        <v>1695</v>
      </c>
      <c r="B1" s="289"/>
      <c r="C1" s="290"/>
      <c r="D1" s="289"/>
      <c r="E1" s="289"/>
      <c r="F1" s="289"/>
      <c r="G1" s="291"/>
    </row>
    <row r="2" spans="1:7" s="308" customFormat="1" ht="25.8">
      <c r="A2" s="288" t="s">
        <v>1696</v>
      </c>
      <c r="B2" s="289"/>
      <c r="C2" s="290"/>
      <c r="D2" s="289"/>
      <c r="E2" s="289"/>
      <c r="F2" s="289"/>
      <c r="G2" s="291"/>
    </row>
    <row r="3" spans="1:7" s="308" customFormat="1">
      <c r="A3" s="292" t="s">
        <v>23</v>
      </c>
      <c r="B3" s="289" t="s">
        <v>1697</v>
      </c>
      <c r="C3" s="289"/>
      <c r="D3" s="289"/>
      <c r="E3" s="289"/>
      <c r="F3" s="289"/>
      <c r="G3" s="291"/>
    </row>
    <row r="4" spans="1:7" s="133" customFormat="1">
      <c r="A4" s="292" t="s">
        <v>1569</v>
      </c>
      <c r="B4" s="289" t="s">
        <v>1698</v>
      </c>
      <c r="C4" s="289"/>
      <c r="D4" s="289"/>
      <c r="E4" s="289"/>
      <c r="F4" s="289"/>
      <c r="G4" s="291"/>
    </row>
    <row r="5" spans="1:7" s="308" customFormat="1">
      <c r="A5" s="289" t="s">
        <v>25</v>
      </c>
      <c r="B5" s="289" t="s">
        <v>1699</v>
      </c>
      <c r="C5" s="289"/>
      <c r="D5" s="289"/>
      <c r="E5" s="289"/>
      <c r="F5" s="289"/>
      <c r="G5" s="291"/>
    </row>
    <row r="6" spans="1:7" s="133" customFormat="1">
      <c r="A6" s="289" t="s">
        <v>1571</v>
      </c>
      <c r="B6" s="289" t="s">
        <v>1700</v>
      </c>
      <c r="C6" s="289"/>
      <c r="D6" s="289"/>
      <c r="E6" s="289"/>
      <c r="F6" s="289"/>
      <c r="G6" s="291"/>
    </row>
    <row r="7" spans="1:7" s="133" customFormat="1">
      <c r="A7" s="295"/>
      <c r="B7" s="295"/>
      <c r="C7" s="295"/>
      <c r="D7" s="295"/>
      <c r="E7" s="289"/>
      <c r="F7" s="289"/>
      <c r="G7" s="320"/>
    </row>
    <row r="8" spans="1:7" s="90" customFormat="1">
      <c r="A8" s="312"/>
      <c r="B8" s="312"/>
      <c r="C8" s="312" t="s">
        <v>65</v>
      </c>
      <c r="D8" s="312" t="s">
        <v>54</v>
      </c>
      <c r="E8" s="312" t="s">
        <v>86</v>
      </c>
      <c r="F8" s="312" t="s">
        <v>1472</v>
      </c>
      <c r="G8" s="312" t="s">
        <v>1409</v>
      </c>
    </row>
    <row r="9" spans="1:7" s="292" customFormat="1">
      <c r="A9" s="296" t="s">
        <v>27</v>
      </c>
      <c r="B9" s="296"/>
      <c r="C9" s="297"/>
      <c r="D9" s="297"/>
      <c r="E9" s="297"/>
      <c r="F9" s="297"/>
      <c r="G9" s="297"/>
    </row>
    <row r="10" spans="1:7" s="140" customFormat="1" ht="132" customHeight="1">
      <c r="A10" s="3" t="s">
        <v>168</v>
      </c>
      <c r="B10" s="3" t="s">
        <v>2237</v>
      </c>
      <c r="C10" s="300" t="s">
        <v>1701</v>
      </c>
      <c r="D10" s="300" t="s">
        <v>1702</v>
      </c>
      <c r="E10" s="300" t="s">
        <v>1703</v>
      </c>
      <c r="F10" s="300"/>
      <c r="G10" s="3"/>
    </row>
    <row r="11" spans="1:7" s="140" customFormat="1">
      <c r="A11" s="296" t="s">
        <v>28</v>
      </c>
      <c r="B11" s="296"/>
      <c r="C11" s="297"/>
      <c r="D11" s="297"/>
      <c r="E11" s="297"/>
      <c r="F11" s="297"/>
      <c r="G11" s="297"/>
    </row>
    <row r="12" spans="1:7" s="90" customFormat="1" ht="165" customHeight="1">
      <c r="A12" s="3" t="s">
        <v>169</v>
      </c>
      <c r="B12" s="3" t="s">
        <v>2238</v>
      </c>
      <c r="C12" s="300" t="s">
        <v>1704</v>
      </c>
      <c r="D12" s="300" t="s">
        <v>2128</v>
      </c>
      <c r="E12" s="300" t="s">
        <v>1705</v>
      </c>
      <c r="F12" s="300"/>
      <c r="G12" s="3"/>
    </row>
    <row r="13" spans="1:7" s="292" customFormat="1" ht="193.2">
      <c r="A13" s="3" t="s">
        <v>170</v>
      </c>
      <c r="B13" s="3" t="s">
        <v>2239</v>
      </c>
      <c r="C13" s="300" t="s">
        <v>1706</v>
      </c>
      <c r="D13" s="300" t="s">
        <v>1707</v>
      </c>
      <c r="E13" s="300" t="s">
        <v>1708</v>
      </c>
      <c r="F13" s="300"/>
      <c r="G13" s="3"/>
    </row>
    <row r="14" spans="1:7" s="292" customFormat="1" ht="207">
      <c r="A14" s="3" t="s">
        <v>171</v>
      </c>
      <c r="B14" s="3" t="s">
        <v>2240</v>
      </c>
      <c r="C14" s="300" t="s">
        <v>1709</v>
      </c>
      <c r="D14" s="300" t="s">
        <v>1710</v>
      </c>
      <c r="E14" s="300" t="s">
        <v>1711</v>
      </c>
      <c r="F14" s="300"/>
      <c r="G14" s="3"/>
    </row>
    <row r="15" spans="1:7" s="140" customFormat="1" ht="179.4">
      <c r="A15" s="3" t="s">
        <v>172</v>
      </c>
      <c r="B15" s="3" t="s">
        <v>2241</v>
      </c>
      <c r="C15" s="300" t="s">
        <v>1712</v>
      </c>
      <c r="D15" s="300" t="s">
        <v>1713</v>
      </c>
      <c r="E15" s="300" t="s">
        <v>1714</v>
      </c>
      <c r="F15" s="300"/>
      <c r="G15" s="3"/>
    </row>
    <row r="16" spans="1:7" s="140" customFormat="1">
      <c r="A16" s="296" t="s">
        <v>29</v>
      </c>
      <c r="B16" s="296"/>
      <c r="C16" s="297"/>
      <c r="D16" s="297"/>
      <c r="E16" s="297"/>
      <c r="F16" s="297"/>
      <c r="G16" s="297"/>
    </row>
    <row r="17" spans="1:7" s="90" customFormat="1" ht="101.25" customHeight="1">
      <c r="A17" s="3" t="s">
        <v>173</v>
      </c>
      <c r="B17" s="3" t="s">
        <v>2242</v>
      </c>
      <c r="C17" s="300" t="s">
        <v>1715</v>
      </c>
      <c r="D17" s="300" t="s">
        <v>1716</v>
      </c>
      <c r="E17" s="300" t="s">
        <v>1717</v>
      </c>
      <c r="F17" s="300"/>
      <c r="G17" s="3"/>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70C0"/>
  </sheetPr>
  <dimension ref="A1:R27"/>
  <sheetViews>
    <sheetView topLeftCell="A24" workbookViewId="0">
      <selection activeCell="B28" sqref="B28"/>
    </sheetView>
  </sheetViews>
  <sheetFormatPr defaultColWidth="8.77734375" defaultRowHeight="13.8"/>
  <cols>
    <col min="1" max="1" width="10.21875" style="289" customWidth="1"/>
    <col min="2" max="2" width="61" style="289" customWidth="1"/>
    <col min="3" max="3" width="27.88671875" style="289" customWidth="1"/>
    <col min="4" max="4" width="31.33203125" style="289" customWidth="1"/>
    <col min="5" max="6" width="35.44140625" style="289" customWidth="1"/>
    <col min="7" max="7" width="21.44140625" style="291" customWidth="1"/>
    <col min="8" max="10" width="8.77734375" style="289" customWidth="1"/>
    <col min="11" max="11" width="8.77734375" style="291"/>
    <col min="12" max="12" width="8.77734375" style="289"/>
    <col min="13" max="18" width="8.77734375" style="291"/>
    <col min="19" max="16384" width="8.77734375" style="289"/>
  </cols>
  <sheetData>
    <row r="1" spans="1:7" s="308" customFormat="1" ht="25.8">
      <c r="A1" s="288" t="s">
        <v>1718</v>
      </c>
      <c r="B1" s="289"/>
      <c r="C1" s="290"/>
      <c r="D1" s="289"/>
      <c r="E1" s="289"/>
      <c r="F1" s="289"/>
      <c r="G1" s="291"/>
    </row>
    <row r="2" spans="1:7" s="133" customFormat="1" ht="25.8">
      <c r="A2" s="288" t="s">
        <v>1719</v>
      </c>
      <c r="B2" s="289"/>
      <c r="C2" s="290"/>
      <c r="D2" s="289"/>
      <c r="E2" s="289"/>
      <c r="F2" s="289"/>
      <c r="G2" s="291"/>
    </row>
    <row r="3" spans="1:7" s="324" customFormat="1">
      <c r="A3" s="289" t="s">
        <v>23</v>
      </c>
      <c r="B3" s="289" t="s">
        <v>1720</v>
      </c>
      <c r="C3" s="289"/>
      <c r="D3" s="289"/>
      <c r="E3" s="289"/>
      <c r="F3" s="289"/>
      <c r="G3" s="289"/>
    </row>
    <row r="4" spans="1:7" s="299" customFormat="1">
      <c r="A4" s="289" t="s">
        <v>1569</v>
      </c>
      <c r="B4" s="289" t="s">
        <v>1721</v>
      </c>
      <c r="C4" s="289"/>
      <c r="D4" s="289"/>
      <c r="E4" s="289"/>
      <c r="F4" s="289"/>
      <c r="G4" s="289"/>
    </row>
    <row r="5" spans="1:7" s="308" customFormat="1">
      <c r="A5" s="289" t="s">
        <v>25</v>
      </c>
      <c r="B5" s="289" t="s">
        <v>805</v>
      </c>
      <c r="C5" s="289"/>
      <c r="D5" s="289"/>
      <c r="E5" s="289"/>
      <c r="F5" s="289"/>
      <c r="G5" s="291"/>
    </row>
    <row r="6" spans="1:7" s="308" customFormat="1">
      <c r="A6" s="289" t="s">
        <v>1571</v>
      </c>
      <c r="B6" s="289" t="s">
        <v>1722</v>
      </c>
      <c r="C6" s="289"/>
      <c r="D6" s="289"/>
      <c r="E6" s="289"/>
      <c r="F6" s="289"/>
      <c r="G6" s="291"/>
    </row>
    <row r="7" spans="1:7" s="308" customFormat="1">
      <c r="A7" s="289"/>
      <c r="B7" s="289"/>
      <c r="C7" s="289"/>
      <c r="D7" s="289"/>
      <c r="E7" s="289"/>
      <c r="F7" s="289"/>
      <c r="G7" s="320"/>
    </row>
    <row r="8" spans="1:7" s="133" customFormat="1">
      <c r="A8" s="312"/>
      <c r="B8" s="312"/>
      <c r="C8" s="312" t="s">
        <v>65</v>
      </c>
      <c r="D8" s="312" t="s">
        <v>54</v>
      </c>
      <c r="E8" s="312" t="s">
        <v>86</v>
      </c>
      <c r="F8" s="312" t="s">
        <v>1472</v>
      </c>
      <c r="G8" s="312" t="s">
        <v>1409</v>
      </c>
    </row>
    <row r="9" spans="1:7" s="133" customFormat="1">
      <c r="A9" s="305" t="s">
        <v>27</v>
      </c>
      <c r="B9" s="305"/>
      <c r="C9" s="306"/>
      <c r="D9" s="306"/>
      <c r="E9" s="306"/>
      <c r="F9" s="306"/>
      <c r="G9" s="307"/>
    </row>
    <row r="10" spans="1:7" s="131" customFormat="1" ht="110.4">
      <c r="A10" s="20" t="s">
        <v>806</v>
      </c>
      <c r="B10" s="20" t="s">
        <v>2243</v>
      </c>
      <c r="C10" s="309" t="s">
        <v>1723</v>
      </c>
      <c r="D10" s="309" t="s">
        <v>1724</v>
      </c>
      <c r="E10" s="309" t="s">
        <v>1725</v>
      </c>
      <c r="F10" s="309"/>
      <c r="G10" s="310"/>
    </row>
    <row r="11" spans="1:7" s="308" customFormat="1" ht="124.2">
      <c r="A11" s="20" t="s">
        <v>807</v>
      </c>
      <c r="B11" s="20" t="s">
        <v>2244</v>
      </c>
      <c r="C11" s="309" t="s">
        <v>1726</v>
      </c>
      <c r="D11" s="309" t="s">
        <v>1727</v>
      </c>
      <c r="E11" s="309" t="s">
        <v>1728</v>
      </c>
      <c r="F11" s="309"/>
      <c r="G11" s="310"/>
    </row>
    <row r="12" spans="1:7" s="133" customFormat="1">
      <c r="A12" s="305" t="s">
        <v>28</v>
      </c>
      <c r="B12" s="305"/>
      <c r="C12" s="306"/>
      <c r="D12" s="306"/>
      <c r="E12" s="306" t="s">
        <v>1477</v>
      </c>
      <c r="F12" s="306"/>
      <c r="G12" s="307"/>
    </row>
    <row r="13" spans="1:7" s="133" customFormat="1" ht="144" customHeight="1">
      <c r="A13" s="20" t="s">
        <v>808</v>
      </c>
      <c r="B13" s="20" t="s">
        <v>2245</v>
      </c>
      <c r="C13" s="309" t="s">
        <v>1729</v>
      </c>
      <c r="D13" s="309" t="s">
        <v>1730</v>
      </c>
      <c r="E13" s="309" t="s">
        <v>1731</v>
      </c>
      <c r="F13" s="309"/>
      <c r="G13" s="310"/>
    </row>
    <row r="14" spans="1:7" s="131" customFormat="1" ht="110.4">
      <c r="A14" s="20" t="s">
        <v>809</v>
      </c>
      <c r="B14" s="20" t="s">
        <v>2246</v>
      </c>
      <c r="C14" s="309" t="s">
        <v>1732</v>
      </c>
      <c r="D14" s="309" t="s">
        <v>1733</v>
      </c>
      <c r="E14" s="309" t="s">
        <v>1734</v>
      </c>
      <c r="F14" s="309"/>
      <c r="G14" s="310"/>
    </row>
    <row r="15" spans="1:7" s="308" customFormat="1" ht="124.2">
      <c r="A15" s="20" t="s">
        <v>810</v>
      </c>
      <c r="B15" s="20" t="s">
        <v>2247</v>
      </c>
      <c r="C15" s="309" t="s">
        <v>1735</v>
      </c>
      <c r="D15" s="309" t="s">
        <v>1736</v>
      </c>
      <c r="E15" s="309" t="s">
        <v>1737</v>
      </c>
      <c r="F15" s="309"/>
      <c r="G15" s="310"/>
    </row>
    <row r="16" spans="1:7" s="133" customFormat="1" ht="151.80000000000001">
      <c r="A16" s="20" t="s">
        <v>811</v>
      </c>
      <c r="B16" s="20" t="s">
        <v>2248</v>
      </c>
      <c r="C16" s="309" t="s">
        <v>1738</v>
      </c>
      <c r="D16" s="309" t="s">
        <v>1739</v>
      </c>
      <c r="E16" s="309" t="s">
        <v>1740</v>
      </c>
      <c r="F16" s="309"/>
      <c r="G16" s="310"/>
    </row>
    <row r="17" spans="1:7" s="133" customFormat="1" ht="153" customHeight="1">
      <c r="A17" s="20" t="s">
        <v>812</v>
      </c>
      <c r="B17" s="20" t="s">
        <v>2249</v>
      </c>
      <c r="C17" s="309" t="s">
        <v>1741</v>
      </c>
      <c r="D17" s="309" t="s">
        <v>1742</v>
      </c>
      <c r="E17" s="309" t="s">
        <v>1743</v>
      </c>
      <c r="F17" s="309"/>
      <c r="G17" s="310"/>
    </row>
    <row r="18" spans="1:7" s="131" customFormat="1" ht="138">
      <c r="A18" s="20" t="s">
        <v>813</v>
      </c>
      <c r="B18" s="20" t="s">
        <v>2250</v>
      </c>
      <c r="C18" s="309" t="s">
        <v>1744</v>
      </c>
      <c r="D18" s="309" t="s">
        <v>1745</v>
      </c>
      <c r="E18" s="309" t="s">
        <v>1746</v>
      </c>
      <c r="F18" s="309"/>
      <c r="G18" s="310"/>
    </row>
    <row r="19" spans="1:7" s="308" customFormat="1" ht="124.2">
      <c r="A19" s="20" t="s">
        <v>814</v>
      </c>
      <c r="B19" s="20" t="s">
        <v>2251</v>
      </c>
      <c r="C19" s="309" t="s">
        <v>1747</v>
      </c>
      <c r="D19" s="309" t="s">
        <v>1748</v>
      </c>
      <c r="E19" s="309" t="s">
        <v>1749</v>
      </c>
      <c r="F19" s="309"/>
      <c r="G19" s="310"/>
    </row>
    <row r="20" spans="1:7" s="133" customFormat="1" ht="138">
      <c r="A20" s="20" t="s">
        <v>815</v>
      </c>
      <c r="B20" s="20" t="s">
        <v>2252</v>
      </c>
      <c r="C20" s="309" t="s">
        <v>2129</v>
      </c>
      <c r="D20" s="309" t="s">
        <v>1750</v>
      </c>
      <c r="E20" s="309" t="s">
        <v>1751</v>
      </c>
      <c r="F20" s="309"/>
      <c r="G20" s="310"/>
    </row>
    <row r="21" spans="1:7" s="133" customFormat="1">
      <c r="A21" s="305" t="s">
        <v>29</v>
      </c>
      <c r="B21" s="305"/>
      <c r="C21" s="306"/>
      <c r="D21" s="306"/>
      <c r="E21" s="306" t="s">
        <v>1477</v>
      </c>
      <c r="F21" s="306"/>
      <c r="G21" s="307"/>
    </row>
    <row r="22" spans="1:7" s="131" customFormat="1" ht="120.75" customHeight="1">
      <c r="A22" s="20" t="s">
        <v>816</v>
      </c>
      <c r="B22" s="20" t="s">
        <v>2253</v>
      </c>
      <c r="C22" s="309" t="s">
        <v>1752</v>
      </c>
      <c r="D22" s="309" t="s">
        <v>1753</v>
      </c>
      <c r="E22" s="309" t="s">
        <v>1754</v>
      </c>
      <c r="F22" s="309"/>
      <c r="G22" s="310"/>
    </row>
    <row r="23" spans="1:7" s="308" customFormat="1" ht="120" customHeight="1">
      <c r="A23" s="20" t="s">
        <v>817</v>
      </c>
      <c r="B23" s="20" t="s">
        <v>2254</v>
      </c>
      <c r="C23" s="309" t="s">
        <v>1755</v>
      </c>
      <c r="D23" s="309" t="s">
        <v>1756</v>
      </c>
      <c r="E23" s="309" t="s">
        <v>1757</v>
      </c>
      <c r="F23" s="309"/>
      <c r="G23" s="310"/>
    </row>
    <row r="24" spans="1:7" s="308" customFormat="1" ht="110.4">
      <c r="A24" s="20" t="s">
        <v>818</v>
      </c>
      <c r="B24" s="20" t="s">
        <v>2255</v>
      </c>
      <c r="C24" s="309" t="s">
        <v>1758</v>
      </c>
      <c r="D24" s="309" t="s">
        <v>1759</v>
      </c>
      <c r="E24" s="309" t="s">
        <v>1760</v>
      </c>
      <c r="F24" s="309"/>
      <c r="G24" s="310"/>
    </row>
    <row r="25" spans="1:7" s="133" customFormat="1" ht="138">
      <c r="A25" s="20" t="s">
        <v>819</v>
      </c>
      <c r="B25" s="20" t="s">
        <v>2256</v>
      </c>
      <c r="C25" s="309" t="s">
        <v>1761</v>
      </c>
      <c r="D25" s="309" t="s">
        <v>1762</v>
      </c>
      <c r="E25" s="309" t="s">
        <v>1763</v>
      </c>
      <c r="F25" s="309"/>
      <c r="G25" s="310"/>
    </row>
    <row r="26" spans="1:7" s="133" customFormat="1">
      <c r="A26" s="305" t="s">
        <v>371</v>
      </c>
      <c r="B26" s="305"/>
      <c r="C26" s="306"/>
      <c r="D26" s="306"/>
      <c r="E26" s="306" t="s">
        <v>1477</v>
      </c>
      <c r="F26" s="306"/>
      <c r="G26" s="307"/>
    </row>
    <row r="27" spans="1:7" s="131" customFormat="1" ht="124.2">
      <c r="A27" s="20" t="s">
        <v>820</v>
      </c>
      <c r="B27" s="20" t="s">
        <v>2257</v>
      </c>
      <c r="C27" s="309" t="s">
        <v>2130</v>
      </c>
      <c r="D27" s="309" t="s">
        <v>1764</v>
      </c>
      <c r="E27" s="309" t="s">
        <v>1765</v>
      </c>
      <c r="F27" s="309"/>
      <c r="G27" s="310"/>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0070C0"/>
  </sheetPr>
  <dimension ref="A1:W17"/>
  <sheetViews>
    <sheetView topLeftCell="A14" zoomScale="85" zoomScaleNormal="85" workbookViewId="0">
      <selection activeCell="B18" sqref="B18"/>
    </sheetView>
  </sheetViews>
  <sheetFormatPr defaultColWidth="8.77734375" defaultRowHeight="13.8"/>
  <cols>
    <col min="1" max="1" width="10.21875" style="295" customWidth="1"/>
    <col min="2" max="2" width="88.77734375" style="295" customWidth="1"/>
    <col min="3" max="4" width="22.44140625" style="295" customWidth="1"/>
    <col min="5" max="6" width="81.77734375" style="295" customWidth="1"/>
    <col min="7" max="7" width="23.21875" style="291" customWidth="1"/>
    <col min="8" max="23" width="8.77734375" style="291"/>
    <col min="24" max="16384" width="8.77734375" style="295"/>
  </cols>
  <sheetData>
    <row r="1" spans="1:7" s="289" customFormat="1" ht="25.8">
      <c r="A1" s="288" t="s">
        <v>1766</v>
      </c>
      <c r="C1" s="290"/>
      <c r="G1" s="291"/>
    </row>
    <row r="2" spans="1:7" s="289" customFormat="1" ht="25.8">
      <c r="A2" s="288" t="s">
        <v>1767</v>
      </c>
      <c r="C2" s="290"/>
      <c r="G2" s="291"/>
    </row>
    <row r="3" spans="1:7" s="289" customFormat="1">
      <c r="A3" s="292" t="s">
        <v>23</v>
      </c>
      <c r="B3" s="289" t="s">
        <v>1768</v>
      </c>
      <c r="G3" s="291"/>
    </row>
    <row r="4" spans="1:7" s="289" customFormat="1">
      <c r="A4" s="292" t="s">
        <v>1569</v>
      </c>
      <c r="B4" s="289" t="s">
        <v>1769</v>
      </c>
      <c r="G4" s="291"/>
    </row>
    <row r="5" spans="1:7" s="289" customFormat="1">
      <c r="A5" s="289" t="s">
        <v>25</v>
      </c>
      <c r="B5" s="289" t="s">
        <v>246</v>
      </c>
      <c r="G5" s="291"/>
    </row>
    <row r="6" spans="1:7" s="289" customFormat="1">
      <c r="A6" s="289" t="s">
        <v>1571</v>
      </c>
      <c r="B6" s="289" t="s">
        <v>1770</v>
      </c>
      <c r="G6" s="291"/>
    </row>
    <row r="8" spans="1:7" s="289" customFormat="1">
      <c r="A8" s="312"/>
      <c r="B8" s="312"/>
      <c r="C8" s="312" t="s">
        <v>65</v>
      </c>
      <c r="D8" s="312" t="s">
        <v>54</v>
      </c>
      <c r="E8" s="312" t="s">
        <v>86</v>
      </c>
      <c r="F8" s="312" t="s">
        <v>1472</v>
      </c>
      <c r="G8" s="312" t="s">
        <v>1409</v>
      </c>
    </row>
    <row r="9" spans="1:7" s="292" customFormat="1">
      <c r="A9" s="296" t="s">
        <v>27</v>
      </c>
      <c r="B9" s="296"/>
      <c r="C9" s="297"/>
      <c r="D9" s="297"/>
      <c r="E9" s="297"/>
      <c r="F9" s="297"/>
      <c r="G9" s="297"/>
    </row>
    <row r="10" spans="1:7" s="292" customFormat="1" ht="50.25" customHeight="1">
      <c r="A10" s="3" t="s">
        <v>247</v>
      </c>
      <c r="B10" s="3" t="s">
        <v>2258</v>
      </c>
      <c r="C10" s="300" t="s">
        <v>1771</v>
      </c>
      <c r="D10" s="300" t="s">
        <v>1772</v>
      </c>
      <c r="E10" s="300" t="s">
        <v>1773</v>
      </c>
      <c r="F10" s="300"/>
      <c r="G10" s="3"/>
    </row>
    <row r="11" spans="1:7" s="140" customFormat="1">
      <c r="A11" s="296" t="s">
        <v>28</v>
      </c>
      <c r="B11" s="296"/>
      <c r="C11" s="297"/>
      <c r="D11" s="297"/>
      <c r="E11" s="297"/>
      <c r="F11" s="297"/>
      <c r="G11" s="297"/>
    </row>
    <row r="12" spans="1:7" s="140" customFormat="1" ht="110.4">
      <c r="A12" s="3" t="s">
        <v>248</v>
      </c>
      <c r="B12" s="3" t="s">
        <v>2259</v>
      </c>
      <c r="C12" s="300" t="s">
        <v>1774</v>
      </c>
      <c r="D12" s="300" t="s">
        <v>1775</v>
      </c>
      <c r="E12" s="300" t="s">
        <v>1776</v>
      </c>
      <c r="F12" s="300"/>
      <c r="G12" s="3"/>
    </row>
    <row r="13" spans="1:7" s="90" customFormat="1" ht="82.8">
      <c r="A13" s="3" t="s">
        <v>249</v>
      </c>
      <c r="B13" s="3" t="s">
        <v>2260</v>
      </c>
      <c r="C13" s="300" t="s">
        <v>1777</v>
      </c>
      <c r="D13" s="300" t="s">
        <v>1778</v>
      </c>
      <c r="E13" s="300" t="s">
        <v>1779</v>
      </c>
      <c r="F13" s="300"/>
      <c r="G13" s="3"/>
    </row>
    <row r="14" spans="1:7" s="292" customFormat="1" ht="138">
      <c r="A14" s="3" t="s">
        <v>250</v>
      </c>
      <c r="B14" s="3" t="s">
        <v>2261</v>
      </c>
      <c r="C14" s="300" t="s">
        <v>1780</v>
      </c>
      <c r="D14" s="300" t="s">
        <v>1781</v>
      </c>
      <c r="E14" s="300" t="s">
        <v>1782</v>
      </c>
      <c r="F14" s="300"/>
      <c r="G14" s="3"/>
    </row>
    <row r="15" spans="1:7" s="292" customFormat="1" ht="165.6">
      <c r="A15" s="3" t="s">
        <v>251</v>
      </c>
      <c r="B15" s="3" t="s">
        <v>2262</v>
      </c>
      <c r="C15" s="300" t="s">
        <v>1783</v>
      </c>
      <c r="D15" s="300" t="s">
        <v>1784</v>
      </c>
      <c r="E15" s="300" t="s">
        <v>1785</v>
      </c>
      <c r="F15" s="300"/>
      <c r="G15" s="3"/>
    </row>
    <row r="16" spans="1:7" s="140" customFormat="1">
      <c r="A16" s="296" t="s">
        <v>29</v>
      </c>
      <c r="B16" s="296"/>
      <c r="C16" s="297"/>
      <c r="D16" s="297"/>
      <c r="E16" s="297"/>
      <c r="F16" s="297"/>
      <c r="G16" s="297"/>
    </row>
    <row r="17" spans="1:7" s="140" customFormat="1" ht="179.4">
      <c r="A17" s="3" t="s">
        <v>252</v>
      </c>
      <c r="B17" s="3" t="s">
        <v>2263</v>
      </c>
      <c r="C17" s="300" t="s">
        <v>1786</v>
      </c>
      <c r="D17" s="300" t="s">
        <v>1787</v>
      </c>
      <c r="E17" s="300" t="s">
        <v>1788</v>
      </c>
      <c r="F17" s="300"/>
      <c r="G17" s="3"/>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0070C0"/>
  </sheetPr>
  <dimension ref="A1:G21"/>
  <sheetViews>
    <sheetView topLeftCell="A19" zoomScale="80" zoomScaleNormal="80" workbookViewId="0">
      <selection activeCell="B22" sqref="B22"/>
    </sheetView>
  </sheetViews>
  <sheetFormatPr defaultColWidth="8.77734375" defaultRowHeight="13.8"/>
  <cols>
    <col min="1" max="1" width="10.21875" style="295" customWidth="1"/>
    <col min="2" max="2" width="88.77734375" style="295" customWidth="1"/>
    <col min="3" max="4" width="25.77734375" style="289" customWidth="1"/>
    <col min="5" max="5" width="67.77734375" style="289" customWidth="1"/>
    <col min="6" max="6" width="38.21875" style="295" customWidth="1"/>
    <col min="7" max="7" width="21.44140625" style="291" customWidth="1"/>
    <col min="8" max="16384" width="8.77734375" style="295"/>
  </cols>
  <sheetData>
    <row r="1" spans="1:7" s="308" customFormat="1" ht="25.8">
      <c r="A1" s="288" t="s">
        <v>1789</v>
      </c>
      <c r="B1" s="289"/>
      <c r="C1" s="290"/>
      <c r="D1" s="289"/>
      <c r="E1" s="289"/>
      <c r="F1" s="289"/>
      <c r="G1" s="291"/>
    </row>
    <row r="2" spans="1:7" s="133" customFormat="1" ht="25.8">
      <c r="A2" s="288" t="s">
        <v>1790</v>
      </c>
      <c r="B2" s="289"/>
      <c r="C2" s="290"/>
      <c r="D2" s="289"/>
      <c r="E2" s="289"/>
      <c r="F2" s="289"/>
      <c r="G2" s="291"/>
    </row>
    <row r="3" spans="1:7" s="133" customFormat="1">
      <c r="A3" s="292" t="s">
        <v>23</v>
      </c>
      <c r="B3" s="289" t="s">
        <v>1791</v>
      </c>
      <c r="C3" s="289"/>
      <c r="D3" s="289"/>
      <c r="E3" s="289"/>
      <c r="F3" s="289"/>
      <c r="G3" s="291"/>
    </row>
    <row r="4" spans="1:7" s="131" customFormat="1">
      <c r="A4" s="292" t="s">
        <v>1569</v>
      </c>
      <c r="B4" s="289" t="s">
        <v>1792</v>
      </c>
      <c r="C4" s="289"/>
      <c r="D4" s="289"/>
      <c r="E4" s="289"/>
      <c r="F4" s="289"/>
      <c r="G4" s="291"/>
    </row>
    <row r="5" spans="1:7" s="308" customFormat="1">
      <c r="A5" s="289" t="s">
        <v>25</v>
      </c>
      <c r="B5" s="289" t="s">
        <v>445</v>
      </c>
      <c r="C5" s="289"/>
      <c r="D5" s="289"/>
      <c r="E5" s="289"/>
      <c r="F5" s="289"/>
      <c r="G5" s="291"/>
    </row>
    <row r="6" spans="1:7" s="308" customFormat="1">
      <c r="A6" s="289" t="s">
        <v>1571</v>
      </c>
      <c r="B6" s="289" t="s">
        <v>1793</v>
      </c>
      <c r="C6" s="289"/>
      <c r="D6" s="289"/>
      <c r="E6" s="289"/>
      <c r="F6" s="289"/>
      <c r="G6" s="291"/>
    </row>
    <row r="7" spans="1:7" s="133" customFormat="1">
      <c r="A7" s="295"/>
      <c r="B7" s="295"/>
      <c r="C7" s="289"/>
      <c r="D7" s="289"/>
      <c r="E7" s="289"/>
      <c r="F7" s="295"/>
      <c r="G7" s="291"/>
    </row>
    <row r="8" spans="1:7" s="133" customFormat="1">
      <c r="A8" s="312"/>
      <c r="B8" s="312"/>
      <c r="C8" s="312" t="s">
        <v>65</v>
      </c>
      <c r="D8" s="312" t="s">
        <v>54</v>
      </c>
      <c r="E8" s="312" t="s">
        <v>86</v>
      </c>
      <c r="F8" s="312" t="s">
        <v>1472</v>
      </c>
      <c r="G8" s="312" t="s">
        <v>1409</v>
      </c>
    </row>
    <row r="9" spans="1:7" s="131" customFormat="1">
      <c r="A9" s="319" t="s">
        <v>27</v>
      </c>
      <c r="B9" s="305"/>
      <c r="C9" s="297"/>
      <c r="D9" s="297"/>
      <c r="E9" s="297"/>
      <c r="F9" s="306"/>
      <c r="G9" s="307"/>
    </row>
    <row r="10" spans="1:7" s="308" customFormat="1" ht="138">
      <c r="A10" s="310" t="s">
        <v>446</v>
      </c>
      <c r="B10" s="20" t="s">
        <v>2264</v>
      </c>
      <c r="C10" s="300" t="s">
        <v>1794</v>
      </c>
      <c r="D10" s="300" t="s">
        <v>2131</v>
      </c>
      <c r="E10" s="300" t="s">
        <v>1795</v>
      </c>
      <c r="F10" s="309"/>
      <c r="G10" s="310"/>
    </row>
    <row r="11" spans="1:7" s="133" customFormat="1">
      <c r="A11" s="319" t="s">
        <v>28</v>
      </c>
      <c r="B11" s="305"/>
      <c r="C11" s="297"/>
      <c r="D11" s="297"/>
      <c r="E11" s="297"/>
      <c r="F11" s="306"/>
      <c r="G11" s="307"/>
    </row>
    <row r="12" spans="1:7" s="133" customFormat="1" ht="151.80000000000001">
      <c r="A12" s="310" t="s">
        <v>447</v>
      </c>
      <c r="B12" s="20" t="s">
        <v>2265</v>
      </c>
      <c r="C12" s="300" t="s">
        <v>1796</v>
      </c>
      <c r="D12" s="300" t="s">
        <v>1797</v>
      </c>
      <c r="E12" s="300" t="s">
        <v>1798</v>
      </c>
      <c r="F12" s="309"/>
      <c r="G12" s="310"/>
    </row>
    <row r="13" spans="1:7" s="131" customFormat="1" ht="138">
      <c r="A13" s="310" t="s">
        <v>448</v>
      </c>
      <c r="B13" s="20" t="s">
        <v>2266</v>
      </c>
      <c r="C13" s="300" t="s">
        <v>1799</v>
      </c>
      <c r="D13" s="300" t="s">
        <v>2132</v>
      </c>
      <c r="E13" s="300" t="s">
        <v>1800</v>
      </c>
      <c r="F13" s="309"/>
      <c r="G13" s="310"/>
    </row>
    <row r="14" spans="1:7" s="308" customFormat="1" ht="133.5" customHeight="1">
      <c r="A14" s="310" t="s">
        <v>449</v>
      </c>
      <c r="B14" s="20" t="s">
        <v>2267</v>
      </c>
      <c r="C14" s="300" t="s">
        <v>1801</v>
      </c>
      <c r="D14" s="300" t="s">
        <v>1802</v>
      </c>
      <c r="E14" s="300" t="s">
        <v>1803</v>
      </c>
      <c r="F14" s="309"/>
      <c r="G14" s="310"/>
    </row>
    <row r="15" spans="1:7" s="133" customFormat="1">
      <c r="A15" s="319" t="s">
        <v>29</v>
      </c>
      <c r="B15" s="305"/>
      <c r="C15" s="297"/>
      <c r="D15" s="297"/>
      <c r="E15" s="297"/>
      <c r="F15" s="306"/>
      <c r="G15" s="307"/>
    </row>
    <row r="16" spans="1:7" s="133" customFormat="1" ht="138.75" customHeight="1">
      <c r="A16" s="310" t="s">
        <v>450</v>
      </c>
      <c r="B16" s="20" t="s">
        <v>2268</v>
      </c>
      <c r="C16" s="300" t="s">
        <v>1804</v>
      </c>
      <c r="D16" s="300" t="s">
        <v>1805</v>
      </c>
      <c r="E16" s="300" t="s">
        <v>1806</v>
      </c>
      <c r="F16" s="309"/>
      <c r="G16" s="310"/>
    </row>
    <row r="17" spans="1:7" s="133" customFormat="1" ht="147.75" customHeight="1">
      <c r="A17" s="310" t="s">
        <v>451</v>
      </c>
      <c r="B17" s="20" t="s">
        <v>2269</v>
      </c>
      <c r="C17" s="300" t="s">
        <v>1807</v>
      </c>
      <c r="D17" s="300" t="s">
        <v>1808</v>
      </c>
      <c r="E17" s="300" t="s">
        <v>1809</v>
      </c>
      <c r="F17" s="309"/>
      <c r="G17" s="310"/>
    </row>
    <row r="18" spans="1:7" s="131" customFormat="1" ht="165.6">
      <c r="A18" s="325" t="s">
        <v>452</v>
      </c>
      <c r="B18" s="20" t="s">
        <v>2270</v>
      </c>
      <c r="C18" s="300" t="s">
        <v>1810</v>
      </c>
      <c r="D18" s="300" t="s">
        <v>1811</v>
      </c>
      <c r="E18" s="300" t="s">
        <v>1812</v>
      </c>
      <c r="F18" s="309"/>
      <c r="G18" s="310"/>
    </row>
    <row r="19" spans="1:7" s="308" customFormat="1" ht="151.80000000000001">
      <c r="A19" s="325" t="s">
        <v>453</v>
      </c>
      <c r="B19" s="20" t="s">
        <v>2271</v>
      </c>
      <c r="C19" s="300" t="s">
        <v>1813</v>
      </c>
      <c r="D19" s="300" t="s">
        <v>2133</v>
      </c>
      <c r="E19" s="300" t="s">
        <v>1814</v>
      </c>
      <c r="F19" s="309"/>
      <c r="G19" s="310"/>
    </row>
    <row r="20" spans="1:7" s="133" customFormat="1" ht="129.75" customHeight="1">
      <c r="A20" s="325" t="s">
        <v>454</v>
      </c>
      <c r="B20" s="20" t="s">
        <v>2272</v>
      </c>
      <c r="C20" s="300" t="s">
        <v>1815</v>
      </c>
      <c r="D20" s="300" t="s">
        <v>1816</v>
      </c>
      <c r="E20" s="300" t="s">
        <v>1812</v>
      </c>
      <c r="F20" s="309"/>
      <c r="G20" s="310"/>
    </row>
    <row r="21" spans="1:7" s="133" customFormat="1" ht="151.80000000000001">
      <c r="A21" s="310" t="s">
        <v>455</v>
      </c>
      <c r="B21" s="20" t="s">
        <v>2273</v>
      </c>
      <c r="C21" s="300" t="s">
        <v>1817</v>
      </c>
      <c r="D21" s="300" t="s">
        <v>1818</v>
      </c>
      <c r="E21" s="300" t="s">
        <v>1819</v>
      </c>
      <c r="F21" s="309"/>
      <c r="G21" s="310"/>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0070C0"/>
  </sheetPr>
  <dimension ref="A1:I24"/>
  <sheetViews>
    <sheetView topLeftCell="A21" zoomScale="85" zoomScaleNormal="85" workbookViewId="0">
      <selection activeCell="B25" sqref="B25"/>
    </sheetView>
  </sheetViews>
  <sheetFormatPr defaultColWidth="8.77734375" defaultRowHeight="13.8"/>
  <cols>
    <col min="1" max="1" width="10.21875" style="295" customWidth="1"/>
    <col min="2" max="2" width="88.77734375" style="295" customWidth="1"/>
    <col min="3" max="4" width="21.44140625" style="295" customWidth="1"/>
    <col min="5" max="5" width="54.44140625" style="295" customWidth="1"/>
    <col min="6" max="6" width="47.77734375" style="295" customWidth="1"/>
    <col min="7" max="7" width="21.44140625" style="291" customWidth="1"/>
    <col min="8" max="9" width="8.77734375" style="291"/>
    <col min="10" max="16384" width="8.77734375" style="295"/>
  </cols>
  <sheetData>
    <row r="1" spans="1:7" s="289" customFormat="1" ht="25.8">
      <c r="A1" s="288" t="s">
        <v>1820</v>
      </c>
      <c r="C1" s="290"/>
      <c r="G1" s="291"/>
    </row>
    <row r="2" spans="1:7" s="289" customFormat="1" ht="25.8">
      <c r="A2" s="288" t="s">
        <v>1821</v>
      </c>
      <c r="C2" s="290"/>
      <c r="G2" s="291"/>
    </row>
    <row r="3" spans="1:7" s="289" customFormat="1" ht="41.4">
      <c r="A3" s="292" t="s">
        <v>23</v>
      </c>
      <c r="B3" s="292" t="s">
        <v>1822</v>
      </c>
      <c r="G3" s="291"/>
    </row>
    <row r="4" spans="1:7" s="289" customFormat="1" ht="27.6">
      <c r="A4" s="292" t="s">
        <v>1569</v>
      </c>
      <c r="B4" s="292" t="s">
        <v>1823</v>
      </c>
      <c r="G4" s="291"/>
    </row>
    <row r="5" spans="1:7" s="289" customFormat="1">
      <c r="A5" s="289" t="s">
        <v>25</v>
      </c>
      <c r="B5" s="289" t="s">
        <v>370</v>
      </c>
      <c r="G5" s="291"/>
    </row>
    <row r="6" spans="1:7" s="289" customFormat="1">
      <c r="A6" s="289" t="s">
        <v>1571</v>
      </c>
      <c r="B6" s="289" t="s">
        <v>1824</v>
      </c>
      <c r="G6" s="291"/>
    </row>
    <row r="8" spans="1:7" s="90" customFormat="1">
      <c r="A8" s="312"/>
      <c r="B8" s="312"/>
      <c r="C8" s="312" t="s">
        <v>65</v>
      </c>
      <c r="D8" s="312" t="s">
        <v>54</v>
      </c>
      <c r="E8" s="312" t="s">
        <v>86</v>
      </c>
      <c r="F8" s="312" t="s">
        <v>1472</v>
      </c>
      <c r="G8" s="312" t="s">
        <v>1409</v>
      </c>
    </row>
    <row r="9" spans="1:7" s="292" customFormat="1">
      <c r="A9" s="296" t="s">
        <v>27</v>
      </c>
      <c r="B9" s="296"/>
      <c r="C9" s="297"/>
      <c r="D9" s="297"/>
      <c r="E9" s="297"/>
      <c r="F9" s="297"/>
      <c r="G9" s="297"/>
    </row>
    <row r="10" spans="1:7" s="292" customFormat="1" ht="207">
      <c r="A10" s="3" t="s">
        <v>373</v>
      </c>
      <c r="B10" s="3" t="s">
        <v>2274</v>
      </c>
      <c r="C10" s="300" t="s">
        <v>1825</v>
      </c>
      <c r="D10" s="300" t="s">
        <v>1826</v>
      </c>
      <c r="E10" s="300" t="s">
        <v>1827</v>
      </c>
      <c r="F10" s="3"/>
      <c r="G10" s="3"/>
    </row>
    <row r="11" spans="1:7" s="140" customFormat="1" ht="54.75" customHeight="1">
      <c r="A11" s="3" t="s">
        <v>374</v>
      </c>
      <c r="B11" s="3" t="s">
        <v>2275</v>
      </c>
      <c r="C11" s="300" t="s">
        <v>1828</v>
      </c>
      <c r="D11" s="300" t="s">
        <v>1829</v>
      </c>
      <c r="E11" s="300" t="s">
        <v>1830</v>
      </c>
      <c r="F11" s="321"/>
      <c r="G11" s="3"/>
    </row>
    <row r="12" spans="1:7" s="140" customFormat="1" ht="179.4">
      <c r="A12" s="3" t="s">
        <v>375</v>
      </c>
      <c r="B12" s="3" t="s">
        <v>2276</v>
      </c>
      <c r="C12" s="300" t="s">
        <v>1831</v>
      </c>
      <c r="D12" s="300" t="s">
        <v>1832</v>
      </c>
      <c r="E12" s="300" t="s">
        <v>1833</v>
      </c>
      <c r="F12" s="321"/>
      <c r="G12" s="3"/>
    </row>
    <row r="13" spans="1:7" s="90" customFormat="1">
      <c r="A13" s="296" t="s">
        <v>28</v>
      </c>
      <c r="B13" s="296"/>
      <c r="C13" s="297"/>
      <c r="D13" s="297"/>
      <c r="E13" s="297" t="s">
        <v>1477</v>
      </c>
      <c r="F13" s="297"/>
      <c r="G13" s="297"/>
    </row>
    <row r="14" spans="1:7" s="292" customFormat="1" ht="69">
      <c r="A14" s="3" t="s">
        <v>376</v>
      </c>
      <c r="B14" s="3" t="s">
        <v>2277</v>
      </c>
      <c r="C14" s="300" t="s">
        <v>1834</v>
      </c>
      <c r="D14" s="300" t="s">
        <v>1835</v>
      </c>
      <c r="E14" s="300" t="s">
        <v>1836</v>
      </c>
      <c r="F14" s="321"/>
      <c r="G14" s="3"/>
    </row>
    <row r="15" spans="1:7" s="140" customFormat="1" ht="69">
      <c r="A15" s="3" t="s">
        <v>377</v>
      </c>
      <c r="B15" s="3" t="s">
        <v>2278</v>
      </c>
      <c r="C15" s="300" t="s">
        <v>1837</v>
      </c>
      <c r="D15" s="300" t="s">
        <v>1838</v>
      </c>
      <c r="E15" s="300" t="s">
        <v>1839</v>
      </c>
      <c r="F15" s="3"/>
      <c r="G15" s="3"/>
    </row>
    <row r="16" spans="1:7" s="140" customFormat="1">
      <c r="A16" s="296" t="s">
        <v>29</v>
      </c>
      <c r="B16" s="296"/>
      <c r="C16" s="297"/>
      <c r="D16" s="297"/>
      <c r="E16" s="297" t="s">
        <v>1477</v>
      </c>
      <c r="F16" s="297"/>
      <c r="G16" s="297"/>
    </row>
    <row r="17" spans="1:7" s="90" customFormat="1" ht="69">
      <c r="A17" s="3" t="s">
        <v>378</v>
      </c>
      <c r="B17" s="3" t="s">
        <v>2279</v>
      </c>
      <c r="C17" s="300" t="s">
        <v>1840</v>
      </c>
      <c r="D17" s="300" t="s">
        <v>1841</v>
      </c>
      <c r="E17" s="300" t="s">
        <v>1842</v>
      </c>
      <c r="F17" s="321"/>
      <c r="G17" s="3"/>
    </row>
    <row r="18" spans="1:7" s="292" customFormat="1" ht="55.2">
      <c r="A18" s="3" t="s">
        <v>379</v>
      </c>
      <c r="B18" s="3" t="s">
        <v>2280</v>
      </c>
      <c r="C18" s="300" t="s">
        <v>1843</v>
      </c>
      <c r="D18" s="300" t="s">
        <v>1844</v>
      </c>
      <c r="E18" s="300" t="s">
        <v>1845</v>
      </c>
      <c r="F18" s="3"/>
      <c r="G18" s="3"/>
    </row>
    <row r="19" spans="1:7" s="140" customFormat="1" ht="220.8">
      <c r="A19" s="3" t="s">
        <v>380</v>
      </c>
      <c r="B19" s="3" t="s">
        <v>2281</v>
      </c>
      <c r="C19" s="300" t="s">
        <v>1846</v>
      </c>
      <c r="D19" s="300" t="s">
        <v>1847</v>
      </c>
      <c r="E19" s="300" t="s">
        <v>1848</v>
      </c>
      <c r="F19" s="3"/>
      <c r="G19" s="3"/>
    </row>
    <row r="20" spans="1:7" s="140" customFormat="1" ht="69">
      <c r="A20" s="3" t="s">
        <v>381</v>
      </c>
      <c r="B20" s="3" t="s">
        <v>2282</v>
      </c>
      <c r="C20" s="300" t="s">
        <v>1849</v>
      </c>
      <c r="D20" s="300" t="s">
        <v>1850</v>
      </c>
      <c r="E20" s="300" t="s">
        <v>1851</v>
      </c>
      <c r="F20" s="3"/>
      <c r="G20" s="3"/>
    </row>
    <row r="21" spans="1:7" s="90" customFormat="1" ht="193.2">
      <c r="A21" s="3" t="s">
        <v>382</v>
      </c>
      <c r="B21" s="3" t="s">
        <v>2283</v>
      </c>
      <c r="C21" s="300" t="s">
        <v>1852</v>
      </c>
      <c r="D21" s="300" t="s">
        <v>2134</v>
      </c>
      <c r="E21" s="300" t="s">
        <v>1853</v>
      </c>
      <c r="F21" s="3"/>
      <c r="G21" s="3"/>
    </row>
    <row r="22" spans="1:7" s="90" customFormat="1" ht="207">
      <c r="A22" s="3" t="s">
        <v>383</v>
      </c>
      <c r="B22" s="3" t="s">
        <v>2284</v>
      </c>
      <c r="C22" s="300" t="s">
        <v>1854</v>
      </c>
      <c r="D22" s="300" t="s">
        <v>2135</v>
      </c>
      <c r="E22" s="300" t="s">
        <v>1855</v>
      </c>
      <c r="F22" s="3"/>
      <c r="G22" s="3"/>
    </row>
    <row r="23" spans="1:7" s="140" customFormat="1">
      <c r="A23" s="296" t="s">
        <v>371</v>
      </c>
      <c r="B23" s="296"/>
      <c r="C23" s="297"/>
      <c r="D23" s="297"/>
      <c r="E23" s="297" t="s">
        <v>1477</v>
      </c>
      <c r="F23" s="297"/>
      <c r="G23" s="297"/>
    </row>
    <row r="24" spans="1:7" s="90" customFormat="1" ht="165.6">
      <c r="A24" s="3" t="s">
        <v>384</v>
      </c>
      <c r="B24" s="3" t="s">
        <v>2285</v>
      </c>
      <c r="C24" s="300" t="s">
        <v>1856</v>
      </c>
      <c r="D24" s="300" t="s">
        <v>1857</v>
      </c>
      <c r="E24" s="300" t="s">
        <v>1858</v>
      </c>
      <c r="F24" s="3"/>
      <c r="G24" s="3"/>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70C0"/>
  </sheetPr>
  <dimension ref="A1:R19"/>
  <sheetViews>
    <sheetView topLeftCell="A18" workbookViewId="0">
      <selection activeCell="B20" sqref="B20"/>
    </sheetView>
  </sheetViews>
  <sheetFormatPr defaultColWidth="8.77734375" defaultRowHeight="13.8"/>
  <cols>
    <col min="1" max="1" width="10.21875" style="295" customWidth="1"/>
    <col min="2" max="2" width="59.21875" style="322" customWidth="1"/>
    <col min="3" max="3" width="24.77734375" style="295" customWidth="1"/>
    <col min="4" max="4" width="29.6640625" style="295" customWidth="1"/>
    <col min="5" max="5" width="41.77734375" style="292" customWidth="1"/>
    <col min="6" max="6" width="28.44140625" style="292" customWidth="1"/>
    <col min="7" max="7" width="21.44140625" style="292" customWidth="1"/>
    <col min="8" max="9" width="22.21875" style="289" customWidth="1"/>
    <col min="10" max="10" width="8.77734375" style="289"/>
    <col min="11" max="18" width="8.77734375" style="291"/>
    <col min="19" max="16384" width="8.77734375" style="295"/>
  </cols>
  <sheetData>
    <row r="1" spans="1:7" s="133" customFormat="1" ht="25.8">
      <c r="A1" s="288" t="s">
        <v>1859</v>
      </c>
      <c r="B1" s="292"/>
      <c r="C1" s="290"/>
      <c r="D1" s="289"/>
      <c r="E1" s="292"/>
      <c r="F1" s="292"/>
      <c r="G1" s="292"/>
    </row>
    <row r="2" spans="1:7" s="131" customFormat="1" ht="25.8">
      <c r="A2" s="288" t="s">
        <v>1860</v>
      </c>
      <c r="B2" s="292"/>
      <c r="C2" s="290"/>
      <c r="D2" s="289"/>
      <c r="E2" s="292"/>
      <c r="F2" s="292"/>
      <c r="G2" s="292"/>
    </row>
    <row r="3" spans="1:7" s="308" customFormat="1" ht="27.6">
      <c r="A3" s="292" t="s">
        <v>23</v>
      </c>
      <c r="B3" s="292" t="s">
        <v>1861</v>
      </c>
      <c r="C3" s="289"/>
      <c r="D3" s="289"/>
      <c r="E3" s="292"/>
      <c r="F3" s="292"/>
      <c r="G3" s="292"/>
    </row>
    <row r="4" spans="1:7" s="133" customFormat="1">
      <c r="A4" s="292" t="s">
        <v>1569</v>
      </c>
      <c r="B4" s="292" t="s">
        <v>1862</v>
      </c>
      <c r="C4" s="289"/>
      <c r="D4" s="289"/>
      <c r="E4" s="292"/>
      <c r="F4" s="292"/>
      <c r="G4" s="292"/>
    </row>
    <row r="5" spans="1:7" s="133" customFormat="1" ht="27.6">
      <c r="A5" s="289" t="s">
        <v>25</v>
      </c>
      <c r="B5" s="292" t="s">
        <v>1863</v>
      </c>
      <c r="C5" s="289"/>
      <c r="D5" s="289"/>
      <c r="E5" s="292"/>
      <c r="F5" s="292"/>
      <c r="G5" s="292"/>
    </row>
    <row r="6" spans="1:7" s="133" customFormat="1">
      <c r="A6" s="289" t="s">
        <v>1571</v>
      </c>
      <c r="B6" s="292" t="s">
        <v>1864</v>
      </c>
      <c r="C6" s="289"/>
      <c r="D6" s="289"/>
      <c r="E6" s="292"/>
      <c r="F6" s="292"/>
      <c r="G6" s="292"/>
    </row>
    <row r="7" spans="1:7" s="131" customFormat="1">
      <c r="A7" s="295"/>
      <c r="B7" s="322"/>
      <c r="C7" s="295"/>
      <c r="D7" s="295"/>
      <c r="E7" s="292"/>
      <c r="F7" s="292"/>
      <c r="G7" s="292"/>
    </row>
    <row r="8" spans="1:7" s="308" customFormat="1">
      <c r="A8" s="323"/>
      <c r="B8" s="323"/>
      <c r="C8" s="323" t="s">
        <v>65</v>
      </c>
      <c r="D8" s="323" t="s">
        <v>54</v>
      </c>
      <c r="E8" s="323" t="s">
        <v>86</v>
      </c>
      <c r="F8" s="323" t="s">
        <v>1472</v>
      </c>
      <c r="G8" s="323" t="s">
        <v>1409</v>
      </c>
    </row>
    <row r="9" spans="1:7" s="133" customFormat="1">
      <c r="A9" s="305" t="s">
        <v>27</v>
      </c>
      <c r="B9" s="305"/>
      <c r="C9" s="306"/>
      <c r="D9" s="306"/>
      <c r="E9" s="297"/>
      <c r="F9" s="297"/>
      <c r="G9" s="297"/>
    </row>
    <row r="10" spans="1:7" s="133" customFormat="1" ht="88.5" customHeight="1">
      <c r="A10" s="20" t="s">
        <v>639</v>
      </c>
      <c r="B10" s="20" t="s">
        <v>2286</v>
      </c>
      <c r="C10" s="309" t="s">
        <v>1865</v>
      </c>
      <c r="D10" s="309" t="s">
        <v>1866</v>
      </c>
      <c r="E10" s="300" t="s">
        <v>1867</v>
      </c>
      <c r="F10" s="300"/>
      <c r="G10" s="3"/>
    </row>
    <row r="11" spans="1:7" s="131" customFormat="1">
      <c r="A11" s="305" t="s">
        <v>28</v>
      </c>
      <c r="B11" s="305"/>
      <c r="C11" s="306"/>
      <c r="D11" s="306"/>
      <c r="E11" s="297" t="s">
        <v>1477</v>
      </c>
      <c r="F11" s="297"/>
      <c r="G11" s="297"/>
    </row>
    <row r="12" spans="1:7" s="308" customFormat="1" ht="65.25" customHeight="1">
      <c r="A12" s="20" t="s">
        <v>640</v>
      </c>
      <c r="B12" s="20" t="s">
        <v>2287</v>
      </c>
      <c r="C12" s="309" t="s">
        <v>1868</v>
      </c>
      <c r="D12" s="309" t="s">
        <v>1869</v>
      </c>
      <c r="E12" s="300" t="s">
        <v>1870</v>
      </c>
      <c r="F12" s="300"/>
      <c r="G12" s="3"/>
    </row>
    <row r="13" spans="1:7" s="133" customFormat="1" ht="74.25" customHeight="1">
      <c r="A13" s="20" t="s">
        <v>641</v>
      </c>
      <c r="B13" s="20" t="s">
        <v>2288</v>
      </c>
      <c r="C13" s="309" t="s">
        <v>1871</v>
      </c>
      <c r="D13" s="309" t="s">
        <v>1872</v>
      </c>
      <c r="E13" s="300" t="s">
        <v>1873</v>
      </c>
      <c r="F13" s="300"/>
      <c r="G13" s="3"/>
    </row>
    <row r="14" spans="1:7" s="133" customFormat="1">
      <c r="A14" s="305" t="s">
        <v>29</v>
      </c>
      <c r="B14" s="305"/>
      <c r="C14" s="306"/>
      <c r="D14" s="306"/>
      <c r="E14" s="297" t="s">
        <v>1477</v>
      </c>
      <c r="F14" s="297"/>
      <c r="G14" s="297"/>
    </row>
    <row r="15" spans="1:7" s="131" customFormat="1" ht="165.6">
      <c r="A15" s="20" t="s">
        <v>642</v>
      </c>
      <c r="B15" s="20" t="s">
        <v>2289</v>
      </c>
      <c r="C15" s="309" t="s">
        <v>1874</v>
      </c>
      <c r="D15" s="309" t="s">
        <v>1875</v>
      </c>
      <c r="E15" s="300" t="s">
        <v>1876</v>
      </c>
      <c r="F15" s="300"/>
      <c r="G15" s="3"/>
    </row>
    <row r="16" spans="1:7" s="308" customFormat="1" ht="165.6">
      <c r="A16" s="20" t="s">
        <v>643</v>
      </c>
      <c r="B16" s="20" t="s">
        <v>2290</v>
      </c>
      <c r="C16" s="309" t="s">
        <v>1877</v>
      </c>
      <c r="D16" s="309" t="s">
        <v>1878</v>
      </c>
      <c r="E16" s="300" t="s">
        <v>1879</v>
      </c>
      <c r="F16" s="300"/>
      <c r="G16" s="3"/>
    </row>
    <row r="17" spans="1:7" s="133" customFormat="1" ht="186" customHeight="1">
      <c r="A17" s="20" t="s">
        <v>644</v>
      </c>
      <c r="B17" s="20" t="s">
        <v>2291</v>
      </c>
      <c r="C17" s="309" t="s">
        <v>1880</v>
      </c>
      <c r="D17" s="309" t="s">
        <v>1881</v>
      </c>
      <c r="E17" s="300" t="s">
        <v>1882</v>
      </c>
      <c r="F17" s="300"/>
      <c r="G17" s="3"/>
    </row>
    <row r="18" spans="1:7" s="133" customFormat="1" ht="165.6">
      <c r="A18" s="20" t="s">
        <v>645</v>
      </c>
      <c r="B18" s="20" t="s">
        <v>2292</v>
      </c>
      <c r="C18" s="309" t="s">
        <v>1883</v>
      </c>
      <c r="D18" s="309" t="s">
        <v>1884</v>
      </c>
      <c r="E18" s="300" t="s">
        <v>1885</v>
      </c>
      <c r="F18" s="300"/>
      <c r="G18" s="3"/>
    </row>
    <row r="19" spans="1:7" s="131" customFormat="1" ht="165.6">
      <c r="A19" s="20" t="s">
        <v>646</v>
      </c>
      <c r="B19" s="20" t="s">
        <v>2293</v>
      </c>
      <c r="C19" s="309" t="s">
        <v>1886</v>
      </c>
      <c r="D19" s="309" t="s">
        <v>1887</v>
      </c>
      <c r="E19" s="300" t="s">
        <v>1888</v>
      </c>
      <c r="F19" s="300"/>
      <c r="G19" s="3"/>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0070C0"/>
  </sheetPr>
  <dimension ref="A1:R24"/>
  <sheetViews>
    <sheetView topLeftCell="A21" zoomScale="85" zoomScaleNormal="85" workbookViewId="0">
      <selection activeCell="B25" sqref="B25"/>
    </sheetView>
  </sheetViews>
  <sheetFormatPr defaultColWidth="8.77734375" defaultRowHeight="13.8"/>
  <cols>
    <col min="1" max="1" width="10.21875" style="295" customWidth="1"/>
    <col min="2" max="2" width="63.77734375" style="295" customWidth="1"/>
    <col min="3" max="4" width="21.44140625" style="295" customWidth="1"/>
    <col min="5" max="5" width="48.44140625" style="295" customWidth="1"/>
    <col min="6" max="6" width="30.21875" style="295" customWidth="1"/>
    <col min="7" max="7" width="21.44140625" style="291" customWidth="1"/>
    <col min="8" max="9" width="8.77734375" style="289"/>
    <col min="10" max="18" width="8.77734375" style="291"/>
    <col min="19" max="16384" width="8.77734375" style="295"/>
  </cols>
  <sheetData>
    <row r="1" spans="1:7" s="133" customFormat="1" ht="25.8">
      <c r="A1" s="288" t="s">
        <v>1889</v>
      </c>
      <c r="B1" s="289"/>
      <c r="C1" s="290"/>
      <c r="D1" s="289"/>
      <c r="E1" s="289"/>
      <c r="F1" s="289"/>
      <c r="G1" s="291"/>
    </row>
    <row r="2" spans="1:7" s="131" customFormat="1" ht="25.8">
      <c r="A2" s="288" t="s">
        <v>1890</v>
      </c>
      <c r="B2" s="289"/>
      <c r="C2" s="290"/>
      <c r="D2" s="289"/>
      <c r="E2" s="289"/>
      <c r="F2" s="289"/>
      <c r="G2" s="291"/>
    </row>
    <row r="3" spans="1:7" s="308" customFormat="1">
      <c r="A3" s="292" t="s">
        <v>23</v>
      </c>
      <c r="B3" s="289" t="s">
        <v>1891</v>
      </c>
      <c r="C3" s="289"/>
      <c r="D3" s="289"/>
      <c r="E3" s="289"/>
      <c r="F3" s="289"/>
      <c r="G3" s="291"/>
    </row>
    <row r="4" spans="1:7" s="133" customFormat="1">
      <c r="A4" s="292" t="s">
        <v>1569</v>
      </c>
      <c r="B4" s="289" t="s">
        <v>1892</v>
      </c>
      <c r="C4" s="289"/>
      <c r="D4" s="289"/>
      <c r="E4" s="289"/>
      <c r="F4" s="289"/>
      <c r="G4" s="291"/>
    </row>
    <row r="5" spans="1:7" s="131" customFormat="1">
      <c r="A5" s="289" t="s">
        <v>25</v>
      </c>
      <c r="B5" s="289" t="s">
        <v>1893</v>
      </c>
      <c r="C5" s="289"/>
      <c r="D5" s="289"/>
      <c r="E5" s="289"/>
      <c r="F5" s="289"/>
      <c r="G5" s="291"/>
    </row>
    <row r="6" spans="1:7" s="308" customFormat="1">
      <c r="A6" s="289" t="s">
        <v>1571</v>
      </c>
      <c r="B6" s="289" t="s">
        <v>1894</v>
      </c>
      <c r="C6" s="289"/>
      <c r="D6" s="289"/>
      <c r="E6" s="289"/>
      <c r="F6" s="289"/>
      <c r="G6" s="291"/>
    </row>
    <row r="7" spans="1:7" s="133" customFormat="1">
      <c r="A7" s="295"/>
      <c r="B7" s="295"/>
      <c r="C7" s="295"/>
      <c r="D7" s="295"/>
      <c r="E7" s="289"/>
      <c r="F7" s="289"/>
      <c r="G7" s="320"/>
    </row>
    <row r="8" spans="1:7" s="133" customFormat="1">
      <c r="A8" s="312"/>
      <c r="B8" s="312"/>
      <c r="C8" s="312" t="s">
        <v>65</v>
      </c>
      <c r="D8" s="312" t="s">
        <v>54</v>
      </c>
      <c r="E8" s="312" t="s">
        <v>86</v>
      </c>
      <c r="F8" s="312" t="s">
        <v>1472</v>
      </c>
      <c r="G8" s="312" t="s">
        <v>1409</v>
      </c>
    </row>
    <row r="9" spans="1:7" s="131" customFormat="1">
      <c r="A9" s="305" t="s">
        <v>27</v>
      </c>
      <c r="B9" s="305"/>
      <c r="C9" s="306"/>
      <c r="D9" s="306"/>
      <c r="E9" s="306"/>
      <c r="F9" s="306"/>
      <c r="G9" s="307"/>
    </row>
    <row r="10" spans="1:7" s="308" customFormat="1" ht="138">
      <c r="A10" s="20" t="s">
        <v>285</v>
      </c>
      <c r="B10" s="20" t="s">
        <v>2294</v>
      </c>
      <c r="C10" s="309" t="s">
        <v>1895</v>
      </c>
      <c r="D10" s="309" t="s">
        <v>1896</v>
      </c>
      <c r="E10" s="309" t="s">
        <v>1897</v>
      </c>
      <c r="F10" s="309"/>
      <c r="G10" s="310"/>
    </row>
    <row r="11" spans="1:7" s="133" customFormat="1">
      <c r="A11" s="305" t="s">
        <v>28</v>
      </c>
      <c r="B11" s="305"/>
      <c r="C11" s="306"/>
      <c r="D11" s="306"/>
      <c r="E11" s="306" t="s">
        <v>1477</v>
      </c>
      <c r="F11" s="306"/>
      <c r="G11" s="307"/>
    </row>
    <row r="12" spans="1:7" s="133" customFormat="1" ht="138">
      <c r="A12" s="20" t="s">
        <v>286</v>
      </c>
      <c r="B12" s="20" t="s">
        <v>2295</v>
      </c>
      <c r="C12" s="309" t="s">
        <v>1898</v>
      </c>
      <c r="D12" s="309" t="s">
        <v>1899</v>
      </c>
      <c r="E12" s="309" t="s">
        <v>1900</v>
      </c>
      <c r="F12" s="309"/>
      <c r="G12" s="310"/>
    </row>
    <row r="13" spans="1:7" s="131" customFormat="1" ht="138">
      <c r="A13" s="20" t="s">
        <v>287</v>
      </c>
      <c r="B13" s="20" t="s">
        <v>2296</v>
      </c>
      <c r="C13" s="309" t="s">
        <v>1901</v>
      </c>
      <c r="D13" s="309" t="s">
        <v>1902</v>
      </c>
      <c r="E13" s="309" t="s">
        <v>1903</v>
      </c>
      <c r="F13" s="309"/>
      <c r="G13" s="310"/>
    </row>
    <row r="14" spans="1:7" s="308" customFormat="1" ht="151.80000000000001">
      <c r="A14" s="20" t="s">
        <v>288</v>
      </c>
      <c r="B14" s="20" t="s">
        <v>2297</v>
      </c>
      <c r="C14" s="309" t="s">
        <v>2136</v>
      </c>
      <c r="D14" s="309" t="s">
        <v>1904</v>
      </c>
      <c r="E14" s="309" t="s">
        <v>1905</v>
      </c>
      <c r="F14" s="309"/>
      <c r="G14" s="310"/>
    </row>
    <row r="15" spans="1:7" s="133" customFormat="1" ht="165.6">
      <c r="A15" s="20" t="s">
        <v>289</v>
      </c>
      <c r="B15" s="20" t="s">
        <v>2298</v>
      </c>
      <c r="C15" s="309" t="s">
        <v>1906</v>
      </c>
      <c r="D15" s="309" t="s">
        <v>1907</v>
      </c>
      <c r="E15" s="309" t="s">
        <v>1908</v>
      </c>
      <c r="F15" s="309"/>
      <c r="G15" s="310"/>
    </row>
    <row r="16" spans="1:7" s="133" customFormat="1" ht="151.80000000000001">
      <c r="A16" s="20" t="s">
        <v>290</v>
      </c>
      <c r="B16" s="20" t="s">
        <v>2299</v>
      </c>
      <c r="C16" s="309" t="s">
        <v>1909</v>
      </c>
      <c r="D16" s="309" t="s">
        <v>2137</v>
      </c>
      <c r="E16" s="309" t="s">
        <v>1910</v>
      </c>
      <c r="F16" s="20"/>
      <c r="G16" s="310"/>
    </row>
    <row r="17" spans="1:7" s="308" customFormat="1">
      <c r="A17" s="305" t="s">
        <v>29</v>
      </c>
      <c r="B17" s="305"/>
      <c r="C17" s="306"/>
      <c r="D17" s="306"/>
      <c r="E17" s="306" t="s">
        <v>1477</v>
      </c>
      <c r="F17" s="306"/>
      <c r="G17" s="307"/>
    </row>
    <row r="18" spans="1:7" s="133" customFormat="1" ht="165.6">
      <c r="A18" s="20" t="s">
        <v>292</v>
      </c>
      <c r="B18" s="20" t="s">
        <v>2300</v>
      </c>
      <c r="C18" s="309" t="s">
        <v>1911</v>
      </c>
      <c r="D18" s="309" t="s">
        <v>1912</v>
      </c>
      <c r="E18" s="309" t="s">
        <v>1913</v>
      </c>
      <c r="F18" s="20"/>
      <c r="G18" s="310"/>
    </row>
    <row r="19" spans="1:7" s="133" customFormat="1" ht="165.6">
      <c r="A19" s="20" t="s">
        <v>293</v>
      </c>
      <c r="B19" s="20" t="s">
        <v>2301</v>
      </c>
      <c r="C19" s="309" t="s">
        <v>1914</v>
      </c>
      <c r="D19" s="309" t="s">
        <v>1915</v>
      </c>
      <c r="E19" s="309" t="s">
        <v>1916</v>
      </c>
      <c r="F19" s="309"/>
      <c r="G19" s="310"/>
    </row>
    <row r="20" spans="1:7" s="131" customFormat="1" ht="165.6">
      <c r="A20" s="20" t="s">
        <v>294</v>
      </c>
      <c r="B20" s="20" t="s">
        <v>2302</v>
      </c>
      <c r="C20" s="309" t="s">
        <v>1917</v>
      </c>
      <c r="D20" s="309" t="s">
        <v>1918</v>
      </c>
      <c r="E20" s="309" t="s">
        <v>1919</v>
      </c>
      <c r="F20" s="309"/>
      <c r="G20" s="310"/>
    </row>
    <row r="21" spans="1:7" s="308" customFormat="1" ht="82.8">
      <c r="A21" s="20" t="s">
        <v>295</v>
      </c>
      <c r="B21" s="20" t="s">
        <v>2303</v>
      </c>
      <c r="C21" s="309" t="s">
        <v>1920</v>
      </c>
      <c r="D21" s="309" t="s">
        <v>1921</v>
      </c>
      <c r="E21" s="309" t="s">
        <v>1922</v>
      </c>
      <c r="F21" s="309"/>
      <c r="G21" s="310"/>
    </row>
    <row r="22" spans="1:7" s="133" customFormat="1" ht="82.8">
      <c r="A22" s="20" t="s">
        <v>296</v>
      </c>
      <c r="B22" s="20" t="s">
        <v>2304</v>
      </c>
      <c r="C22" s="309" t="s">
        <v>1923</v>
      </c>
      <c r="D22" s="309" t="s">
        <v>1924</v>
      </c>
      <c r="E22" s="309" t="s">
        <v>1925</v>
      </c>
      <c r="F22" s="309"/>
      <c r="G22" s="310"/>
    </row>
    <row r="23" spans="1:7" s="133" customFormat="1" ht="96.6">
      <c r="A23" s="20" t="s">
        <v>297</v>
      </c>
      <c r="B23" s="20" t="s">
        <v>2305</v>
      </c>
      <c r="C23" s="309" t="s">
        <v>1926</v>
      </c>
      <c r="D23" s="309" t="s">
        <v>1927</v>
      </c>
      <c r="E23" s="309" t="s">
        <v>1928</v>
      </c>
      <c r="F23" s="309"/>
      <c r="G23" s="310"/>
    </row>
    <row r="24" spans="1:7" s="131" customFormat="1" ht="82.8">
      <c r="A24" s="20" t="s">
        <v>298</v>
      </c>
      <c r="B24" s="20" t="s">
        <v>2306</v>
      </c>
      <c r="C24" s="309" t="s">
        <v>1929</v>
      </c>
      <c r="D24" s="309" t="s">
        <v>1930</v>
      </c>
      <c r="E24" s="309" t="s">
        <v>1931</v>
      </c>
      <c r="F24" s="309"/>
      <c r="G24" s="310"/>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0070C0"/>
  </sheetPr>
  <dimension ref="A1:R21"/>
  <sheetViews>
    <sheetView topLeftCell="A17" zoomScale="85" zoomScaleNormal="85" workbookViewId="0">
      <selection activeCell="B22" sqref="B22"/>
    </sheetView>
  </sheetViews>
  <sheetFormatPr defaultColWidth="8.77734375" defaultRowHeight="13.8"/>
  <cols>
    <col min="1" max="1" width="10.21875" style="295" customWidth="1"/>
    <col min="2" max="2" width="63.77734375" style="295" customWidth="1"/>
    <col min="3" max="4" width="21.44140625" style="295" customWidth="1"/>
    <col min="5" max="5" width="45.21875" style="295" customWidth="1"/>
    <col min="6" max="6" width="31.44140625" style="295" customWidth="1"/>
    <col min="7" max="7" width="21.44140625" style="291" customWidth="1"/>
    <col min="8" max="8" width="8.77734375" style="289"/>
    <col min="9" max="10" width="8.77734375" style="289" customWidth="1"/>
    <col min="11" max="18" width="8.77734375" style="291"/>
    <col min="19" max="16384" width="8.77734375" style="295"/>
  </cols>
  <sheetData>
    <row r="1" spans="1:7" s="133" customFormat="1" ht="25.8">
      <c r="A1" s="288" t="s">
        <v>1932</v>
      </c>
      <c r="B1" s="289"/>
      <c r="C1" s="290"/>
      <c r="D1" s="289"/>
      <c r="E1" s="289"/>
      <c r="F1" s="289"/>
      <c r="G1" s="291"/>
    </row>
    <row r="2" spans="1:7" s="131" customFormat="1" ht="25.8">
      <c r="A2" s="288" t="s">
        <v>1933</v>
      </c>
      <c r="B2" s="289"/>
      <c r="C2" s="290"/>
      <c r="D2" s="289"/>
      <c r="E2" s="289"/>
      <c r="F2" s="289"/>
      <c r="G2" s="291"/>
    </row>
    <row r="3" spans="1:7" s="308" customFormat="1">
      <c r="A3" s="292" t="s">
        <v>23</v>
      </c>
      <c r="B3" s="289" t="s">
        <v>1934</v>
      </c>
      <c r="C3" s="289"/>
      <c r="D3" s="289"/>
      <c r="E3" s="289"/>
      <c r="F3" s="289"/>
      <c r="G3" s="291"/>
    </row>
    <row r="4" spans="1:7" s="133" customFormat="1">
      <c r="A4" s="292" t="s">
        <v>1569</v>
      </c>
      <c r="B4" s="289" t="s">
        <v>1935</v>
      </c>
      <c r="C4" s="289"/>
      <c r="D4" s="289"/>
      <c r="E4" s="289"/>
      <c r="F4" s="289"/>
      <c r="G4" s="291"/>
    </row>
    <row r="5" spans="1:7" s="308" customFormat="1">
      <c r="A5" s="289" t="s">
        <v>25</v>
      </c>
      <c r="B5" s="289" t="s">
        <v>104</v>
      </c>
      <c r="C5" s="289"/>
      <c r="D5" s="289"/>
      <c r="E5" s="289"/>
      <c r="F5" s="289"/>
      <c r="G5" s="291"/>
    </row>
    <row r="6" spans="1:7" s="133" customFormat="1">
      <c r="A6" s="289" t="s">
        <v>1571</v>
      </c>
      <c r="B6" s="289" t="s">
        <v>1936</v>
      </c>
      <c r="C6" s="289"/>
      <c r="D6" s="289"/>
      <c r="E6" s="289"/>
      <c r="F6" s="289"/>
      <c r="G6" s="291"/>
    </row>
    <row r="7" spans="1:7" s="133" customFormat="1">
      <c r="A7" s="295"/>
      <c r="B7" s="295"/>
      <c r="C7" s="295"/>
      <c r="D7" s="295"/>
      <c r="E7" s="289"/>
      <c r="F7" s="289"/>
      <c r="G7" s="320"/>
    </row>
    <row r="8" spans="1:7" s="131" customFormat="1">
      <c r="A8" s="312"/>
      <c r="B8" s="312"/>
      <c r="C8" s="312" t="s">
        <v>65</v>
      </c>
      <c r="D8" s="312" t="s">
        <v>54</v>
      </c>
      <c r="E8" s="312" t="s">
        <v>86</v>
      </c>
      <c r="F8" s="312" t="s">
        <v>1472</v>
      </c>
      <c r="G8" s="312" t="s">
        <v>1409</v>
      </c>
    </row>
    <row r="9" spans="1:7" s="308" customFormat="1">
      <c r="A9" s="305" t="s">
        <v>27</v>
      </c>
      <c r="B9" s="305"/>
      <c r="C9" s="306"/>
      <c r="D9" s="306"/>
      <c r="E9" s="306"/>
      <c r="F9" s="306"/>
      <c r="G9" s="307"/>
    </row>
    <row r="10" spans="1:7" s="308" customFormat="1" ht="82.8">
      <c r="A10" s="20" t="s">
        <v>105</v>
      </c>
      <c r="B10" s="20" t="s">
        <v>2307</v>
      </c>
      <c r="C10" s="309" t="s">
        <v>1937</v>
      </c>
      <c r="D10" s="309" t="s">
        <v>1938</v>
      </c>
      <c r="E10" s="309" t="s">
        <v>1939</v>
      </c>
      <c r="F10" s="309"/>
      <c r="G10" s="310"/>
    </row>
    <row r="11" spans="1:7" s="133" customFormat="1">
      <c r="A11" s="305" t="s">
        <v>28</v>
      </c>
      <c r="B11" s="305"/>
      <c r="C11" s="306"/>
      <c r="D11" s="306"/>
      <c r="E11" s="306"/>
      <c r="F11" s="306"/>
      <c r="G11" s="307"/>
    </row>
    <row r="12" spans="1:7" s="133" customFormat="1" ht="96.6">
      <c r="A12" s="20" t="s">
        <v>106</v>
      </c>
      <c r="B12" s="20" t="s">
        <v>2308</v>
      </c>
      <c r="C12" s="309" t="s">
        <v>1940</v>
      </c>
      <c r="D12" s="309" t="s">
        <v>1941</v>
      </c>
      <c r="E12" s="309" t="s">
        <v>1942</v>
      </c>
      <c r="F12" s="309"/>
      <c r="G12" s="310"/>
    </row>
    <row r="13" spans="1:7" s="131" customFormat="1" ht="151.80000000000001">
      <c r="A13" s="20" t="s">
        <v>107</v>
      </c>
      <c r="B13" s="20" t="s">
        <v>2309</v>
      </c>
      <c r="C13" s="309" t="s">
        <v>1943</v>
      </c>
      <c r="D13" s="309" t="s">
        <v>1944</v>
      </c>
      <c r="E13" s="309" t="s">
        <v>1945</v>
      </c>
      <c r="F13" s="309"/>
      <c r="G13" s="310"/>
    </row>
    <row r="14" spans="1:7" s="308" customFormat="1" ht="151.80000000000001">
      <c r="A14" s="20" t="s">
        <v>108</v>
      </c>
      <c r="B14" s="20" t="s">
        <v>2310</v>
      </c>
      <c r="C14" s="309" t="s">
        <v>1946</v>
      </c>
      <c r="D14" s="309" t="s">
        <v>1947</v>
      </c>
      <c r="E14" s="309" t="s">
        <v>1948</v>
      </c>
      <c r="F14" s="309"/>
      <c r="G14" s="310"/>
    </row>
    <row r="15" spans="1:7" s="133" customFormat="1" ht="124.2">
      <c r="A15" s="20" t="s">
        <v>109</v>
      </c>
      <c r="B15" s="20" t="s">
        <v>2311</v>
      </c>
      <c r="C15" s="309" t="s">
        <v>2138</v>
      </c>
      <c r="D15" s="309" t="s">
        <v>2139</v>
      </c>
      <c r="E15" s="309" t="s">
        <v>1949</v>
      </c>
      <c r="F15" s="309"/>
      <c r="G15" s="310"/>
    </row>
    <row r="16" spans="1:7" s="133" customFormat="1" ht="124.2">
      <c r="A16" s="20" t="s">
        <v>110</v>
      </c>
      <c r="B16" s="20" t="s">
        <v>2312</v>
      </c>
      <c r="C16" s="309" t="s">
        <v>1950</v>
      </c>
      <c r="D16" s="309" t="s">
        <v>1951</v>
      </c>
      <c r="E16" s="309" t="s">
        <v>1952</v>
      </c>
      <c r="F16" s="309"/>
      <c r="G16" s="310"/>
    </row>
    <row r="17" spans="1:7" s="131" customFormat="1" ht="138">
      <c r="A17" s="20" t="s">
        <v>111</v>
      </c>
      <c r="B17" s="20" t="s">
        <v>2313</v>
      </c>
      <c r="C17" s="309" t="s">
        <v>1953</v>
      </c>
      <c r="D17" s="309" t="s">
        <v>1954</v>
      </c>
      <c r="E17" s="309" t="s">
        <v>1955</v>
      </c>
      <c r="F17" s="309"/>
      <c r="G17" s="310"/>
    </row>
    <row r="18" spans="1:7" s="308" customFormat="1">
      <c r="A18" s="305" t="s">
        <v>29</v>
      </c>
      <c r="B18" s="305"/>
      <c r="C18" s="306"/>
      <c r="D18" s="306"/>
      <c r="E18" s="306" t="s">
        <v>1477</v>
      </c>
      <c r="F18" s="306"/>
      <c r="G18" s="307"/>
    </row>
    <row r="19" spans="1:7" s="133" customFormat="1" ht="54" customHeight="1">
      <c r="A19" s="20" t="s">
        <v>112</v>
      </c>
      <c r="B19" s="20" t="s">
        <v>2314</v>
      </c>
      <c r="C19" s="309" t="s">
        <v>1956</v>
      </c>
      <c r="D19" s="309" t="s">
        <v>1957</v>
      </c>
      <c r="E19" s="309" t="s">
        <v>1958</v>
      </c>
      <c r="F19" s="309"/>
      <c r="G19" s="310"/>
    </row>
    <row r="20" spans="1:7" s="133" customFormat="1" ht="110.4">
      <c r="A20" s="20" t="s">
        <v>113</v>
      </c>
      <c r="B20" s="20" t="s">
        <v>2315</v>
      </c>
      <c r="C20" s="309" t="s">
        <v>1959</v>
      </c>
      <c r="D20" s="309" t="s">
        <v>1960</v>
      </c>
      <c r="E20" s="309" t="s">
        <v>1961</v>
      </c>
      <c r="F20" s="309"/>
      <c r="G20" s="310"/>
    </row>
    <row r="21" spans="1:7" s="131" customFormat="1" ht="110.4">
      <c r="A21" s="20" t="s">
        <v>114</v>
      </c>
      <c r="B21" s="20" t="s">
        <v>2316</v>
      </c>
      <c r="C21" s="309" t="s">
        <v>1962</v>
      </c>
      <c r="D21" s="309" t="s">
        <v>1963</v>
      </c>
      <c r="E21" s="309" t="s">
        <v>1964</v>
      </c>
      <c r="F21" s="309"/>
      <c r="G21" s="310"/>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0070C0"/>
  </sheetPr>
  <dimension ref="A1:R21"/>
  <sheetViews>
    <sheetView topLeftCell="A19" workbookViewId="0">
      <selection activeCell="B22" sqref="B22"/>
    </sheetView>
  </sheetViews>
  <sheetFormatPr defaultColWidth="8.77734375" defaultRowHeight="13.8"/>
  <cols>
    <col min="1" max="1" width="10.21875" style="295" customWidth="1"/>
    <col min="2" max="2" width="62.44140625" style="295" customWidth="1"/>
    <col min="3" max="4" width="21.44140625" style="295" customWidth="1"/>
    <col min="5" max="5" width="67.109375" style="295" customWidth="1"/>
    <col min="6" max="6" width="28.77734375" style="295" customWidth="1"/>
    <col min="7" max="7" width="21.44140625" style="291" customWidth="1"/>
    <col min="8" max="10" width="8.77734375" style="289"/>
    <col min="11" max="18" width="8.77734375" style="291"/>
    <col min="19" max="16384" width="8.77734375" style="295"/>
  </cols>
  <sheetData>
    <row r="1" spans="1:7" s="133" customFormat="1" ht="25.8">
      <c r="A1" s="288" t="s">
        <v>1965</v>
      </c>
      <c r="B1" s="289"/>
      <c r="C1" s="290"/>
      <c r="D1" s="289"/>
      <c r="E1" s="289"/>
      <c r="F1" s="289"/>
      <c r="G1" s="291"/>
    </row>
    <row r="2" spans="1:7" s="131" customFormat="1" ht="25.8">
      <c r="A2" s="288" t="s">
        <v>1966</v>
      </c>
      <c r="B2" s="289"/>
      <c r="C2" s="290"/>
      <c r="D2" s="289"/>
      <c r="E2" s="289"/>
      <c r="F2" s="289"/>
      <c r="G2" s="291"/>
    </row>
    <row r="3" spans="1:7" s="308" customFormat="1">
      <c r="A3" s="292" t="s">
        <v>23</v>
      </c>
      <c r="B3" s="289" t="s">
        <v>1967</v>
      </c>
      <c r="C3" s="289"/>
      <c r="D3" s="289"/>
      <c r="E3" s="289"/>
      <c r="F3" s="289"/>
      <c r="G3" s="291"/>
    </row>
    <row r="4" spans="1:7" s="133" customFormat="1">
      <c r="A4" s="292" t="s">
        <v>1569</v>
      </c>
      <c r="B4" s="289" t="s">
        <v>1968</v>
      </c>
      <c r="C4" s="289"/>
      <c r="D4" s="289"/>
      <c r="E4" s="289"/>
      <c r="F4" s="289"/>
      <c r="G4" s="291"/>
    </row>
    <row r="5" spans="1:7" s="131" customFormat="1">
      <c r="A5" s="289" t="s">
        <v>25</v>
      </c>
      <c r="B5" s="289" t="s">
        <v>2140</v>
      </c>
      <c r="C5" s="289"/>
      <c r="D5" s="289"/>
      <c r="E5" s="289"/>
      <c r="F5" s="289"/>
      <c r="G5" s="291"/>
    </row>
    <row r="6" spans="1:7" s="308" customFormat="1">
      <c r="A6" s="289" t="s">
        <v>1571</v>
      </c>
      <c r="B6" s="289" t="s">
        <v>1969</v>
      </c>
      <c r="C6" s="289"/>
      <c r="D6" s="289"/>
      <c r="E6" s="289"/>
      <c r="F6" s="289"/>
      <c r="G6" s="291"/>
    </row>
    <row r="7" spans="1:7" s="133" customFormat="1">
      <c r="A7" s="295"/>
      <c r="B7" s="295"/>
      <c r="C7" s="295"/>
      <c r="D7" s="295"/>
      <c r="E7" s="289"/>
      <c r="F7" s="289"/>
      <c r="G7" s="320"/>
    </row>
    <row r="8" spans="1:7" s="133" customFormat="1">
      <c r="A8" s="312"/>
      <c r="B8" s="312"/>
      <c r="C8" s="312" t="s">
        <v>65</v>
      </c>
      <c r="D8" s="312" t="s">
        <v>54</v>
      </c>
      <c r="E8" s="312" t="s">
        <v>86</v>
      </c>
      <c r="F8" s="312" t="s">
        <v>1472</v>
      </c>
      <c r="G8" s="312" t="s">
        <v>1409</v>
      </c>
    </row>
    <row r="9" spans="1:7" s="131" customFormat="1">
      <c r="A9" s="305" t="s">
        <v>27</v>
      </c>
      <c r="B9" s="305"/>
      <c r="C9" s="306"/>
      <c r="D9" s="306"/>
      <c r="E9" s="306"/>
      <c r="F9" s="306"/>
      <c r="G9" s="307"/>
    </row>
    <row r="10" spans="1:7" s="308" customFormat="1" ht="110.4">
      <c r="A10" s="20" t="s">
        <v>33</v>
      </c>
      <c r="B10" s="20" t="s">
        <v>2317</v>
      </c>
      <c r="C10" s="309" t="s">
        <v>1970</v>
      </c>
      <c r="D10" s="309" t="s">
        <v>1971</v>
      </c>
      <c r="E10" s="309" t="s">
        <v>1972</v>
      </c>
      <c r="F10" s="309"/>
      <c r="G10" s="310"/>
    </row>
    <row r="11" spans="1:7" s="133" customFormat="1">
      <c r="A11" s="305" t="s">
        <v>28</v>
      </c>
      <c r="B11" s="305"/>
      <c r="C11" s="306"/>
      <c r="D11" s="306"/>
      <c r="E11" s="306"/>
      <c r="F11" s="306"/>
      <c r="G11" s="307"/>
    </row>
    <row r="12" spans="1:7" s="133" customFormat="1" ht="124.2">
      <c r="A12" s="20" t="s">
        <v>34</v>
      </c>
      <c r="B12" s="20" t="s">
        <v>2318</v>
      </c>
      <c r="C12" s="309" t="s">
        <v>1973</v>
      </c>
      <c r="D12" s="309" t="s">
        <v>1974</v>
      </c>
      <c r="E12" s="309" t="s">
        <v>1975</v>
      </c>
      <c r="F12" s="309"/>
      <c r="G12" s="310"/>
    </row>
    <row r="13" spans="1:7" s="131" customFormat="1" ht="138">
      <c r="A13" s="20" t="s">
        <v>35</v>
      </c>
      <c r="B13" s="20" t="s">
        <v>2319</v>
      </c>
      <c r="C13" s="309" t="s">
        <v>1976</v>
      </c>
      <c r="D13" s="309" t="s">
        <v>1977</v>
      </c>
      <c r="E13" s="309" t="s">
        <v>1978</v>
      </c>
      <c r="F13" s="309"/>
      <c r="G13" s="310"/>
    </row>
    <row r="14" spans="1:7" s="308" customFormat="1" ht="110.4">
      <c r="A14" s="20" t="s">
        <v>36</v>
      </c>
      <c r="B14" s="20" t="s">
        <v>2320</v>
      </c>
      <c r="C14" s="309" t="s">
        <v>2141</v>
      </c>
      <c r="D14" s="309" t="s">
        <v>1979</v>
      </c>
      <c r="E14" s="309" t="s">
        <v>1980</v>
      </c>
      <c r="F14" s="309"/>
      <c r="G14" s="310"/>
    </row>
    <row r="15" spans="1:7" s="133" customFormat="1">
      <c r="A15" s="305" t="s">
        <v>29</v>
      </c>
      <c r="B15" s="305"/>
      <c r="C15" s="306"/>
      <c r="D15" s="306"/>
      <c r="E15" s="306" t="s">
        <v>1477</v>
      </c>
      <c r="F15" s="306"/>
      <c r="G15" s="307"/>
    </row>
    <row r="16" spans="1:7" s="133" customFormat="1" ht="124.2">
      <c r="A16" s="20" t="s">
        <v>37</v>
      </c>
      <c r="B16" s="20" t="s">
        <v>2321</v>
      </c>
      <c r="C16" s="309" t="s">
        <v>1981</v>
      </c>
      <c r="D16" s="309" t="s">
        <v>1982</v>
      </c>
      <c r="E16" s="309" t="s">
        <v>1983</v>
      </c>
      <c r="F16" s="309"/>
      <c r="G16" s="310"/>
    </row>
    <row r="17" spans="1:7" s="131" customFormat="1" ht="124.2">
      <c r="A17" s="20" t="s">
        <v>38</v>
      </c>
      <c r="B17" s="20" t="s">
        <v>2322</v>
      </c>
      <c r="C17" s="309" t="s">
        <v>1984</v>
      </c>
      <c r="D17" s="309" t="s">
        <v>2143</v>
      </c>
      <c r="E17" s="309" t="s">
        <v>1985</v>
      </c>
      <c r="F17" s="309"/>
      <c r="G17" s="310"/>
    </row>
    <row r="18" spans="1:7" s="308" customFormat="1" ht="124.2">
      <c r="A18" s="20" t="s">
        <v>39</v>
      </c>
      <c r="B18" s="20" t="s">
        <v>2323</v>
      </c>
      <c r="C18" s="309" t="s">
        <v>2142</v>
      </c>
      <c r="D18" s="309" t="s">
        <v>1986</v>
      </c>
      <c r="E18" s="309" t="s">
        <v>1987</v>
      </c>
      <c r="F18" s="309"/>
      <c r="G18" s="310"/>
    </row>
    <row r="19" spans="1:7" s="133" customFormat="1" ht="124.2">
      <c r="A19" s="20" t="s">
        <v>40</v>
      </c>
      <c r="B19" s="20" t="s">
        <v>2324</v>
      </c>
      <c r="C19" s="309" t="s">
        <v>1988</v>
      </c>
      <c r="D19" s="309" t="s">
        <v>1989</v>
      </c>
      <c r="E19" s="309" t="s">
        <v>1990</v>
      </c>
      <c r="F19" s="309"/>
      <c r="G19" s="310"/>
    </row>
    <row r="20" spans="1:7" s="133" customFormat="1" ht="110.4">
      <c r="A20" s="20" t="s">
        <v>41</v>
      </c>
      <c r="B20" s="20" t="s">
        <v>2325</v>
      </c>
      <c r="C20" s="309" t="s">
        <v>1991</v>
      </c>
      <c r="D20" s="309" t="s">
        <v>1992</v>
      </c>
      <c r="E20" s="309" t="s">
        <v>1993</v>
      </c>
      <c r="F20" s="309"/>
      <c r="G20" s="310"/>
    </row>
    <row r="21" spans="1:7" s="131" customFormat="1" ht="124.2">
      <c r="A21" s="20" t="s">
        <v>42</v>
      </c>
      <c r="B21" s="20" t="s">
        <v>2326</v>
      </c>
      <c r="C21" s="309" t="s">
        <v>1994</v>
      </c>
      <c r="D21" s="309" t="s">
        <v>1995</v>
      </c>
      <c r="E21" s="309" t="s">
        <v>1996</v>
      </c>
      <c r="F21" s="20"/>
      <c r="G21" s="310"/>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0070C0"/>
  </sheetPr>
  <dimension ref="A1:R18"/>
  <sheetViews>
    <sheetView topLeftCell="A16" workbookViewId="0">
      <selection activeCell="B19" sqref="B19"/>
    </sheetView>
  </sheetViews>
  <sheetFormatPr defaultColWidth="8.77734375" defaultRowHeight="13.8"/>
  <cols>
    <col min="1" max="1" width="10.21875" style="295" customWidth="1"/>
    <col min="2" max="2" width="64.21875" style="295" customWidth="1"/>
    <col min="3" max="4" width="21.44140625" style="295" customWidth="1"/>
    <col min="5" max="5" width="39" style="295" customWidth="1"/>
    <col min="6" max="6" width="36.44140625" style="295" customWidth="1"/>
    <col min="7" max="7" width="21.44140625" style="291" customWidth="1"/>
    <col min="8" max="18" width="8.77734375" style="291"/>
    <col min="19" max="16384" width="8.77734375" style="295"/>
  </cols>
  <sheetData>
    <row r="1" spans="1:7" s="133" customFormat="1" ht="25.8">
      <c r="A1" s="288" t="s">
        <v>1997</v>
      </c>
      <c r="B1" s="289"/>
      <c r="C1" s="290"/>
      <c r="D1" s="289"/>
      <c r="E1" s="289"/>
      <c r="F1" s="289"/>
      <c r="G1" s="291"/>
    </row>
    <row r="2" spans="1:7" s="133" customFormat="1" ht="25.8">
      <c r="A2" s="288" t="s">
        <v>1998</v>
      </c>
      <c r="B2" s="289"/>
      <c r="C2" s="290"/>
      <c r="D2" s="289"/>
      <c r="E2" s="289"/>
      <c r="F2" s="289"/>
      <c r="G2" s="291"/>
    </row>
    <row r="3" spans="1:7" s="131" customFormat="1" ht="41.4">
      <c r="A3" s="292" t="s">
        <v>23</v>
      </c>
      <c r="B3" s="292" t="s">
        <v>1999</v>
      </c>
      <c r="C3" s="289"/>
      <c r="D3" s="289"/>
      <c r="E3" s="289"/>
      <c r="F3" s="289"/>
      <c r="G3" s="291"/>
    </row>
    <row r="4" spans="1:7" s="308" customFormat="1">
      <c r="A4" s="292" t="s">
        <v>1569</v>
      </c>
      <c r="B4" s="292" t="s">
        <v>2000</v>
      </c>
      <c r="C4" s="289"/>
      <c r="D4" s="289"/>
      <c r="E4" s="289"/>
      <c r="F4" s="289"/>
      <c r="G4" s="291"/>
    </row>
    <row r="5" spans="1:7" s="131" customFormat="1">
      <c r="A5" s="289" t="s">
        <v>25</v>
      </c>
      <c r="B5" s="289" t="s">
        <v>2001</v>
      </c>
      <c r="C5" s="289"/>
      <c r="D5" s="289"/>
      <c r="E5" s="289"/>
      <c r="F5" s="289"/>
      <c r="G5" s="291"/>
    </row>
    <row r="6" spans="1:7" s="308" customFormat="1">
      <c r="A6" s="295" t="s">
        <v>1571</v>
      </c>
      <c r="B6" s="295" t="s">
        <v>2002</v>
      </c>
      <c r="C6" s="295"/>
      <c r="D6" s="295"/>
      <c r="E6" s="289"/>
      <c r="F6" s="289"/>
      <c r="G6" s="291"/>
    </row>
    <row r="7" spans="1:7" s="133" customFormat="1">
      <c r="A7" s="295"/>
      <c r="B7" s="295"/>
      <c r="C7" s="295"/>
      <c r="D7" s="295"/>
      <c r="E7" s="289"/>
      <c r="F7" s="289"/>
      <c r="G7" s="320"/>
    </row>
    <row r="8" spans="1:7" s="133" customFormat="1">
      <c r="A8" s="312"/>
      <c r="B8" s="312"/>
      <c r="C8" s="312" t="s">
        <v>65</v>
      </c>
      <c r="D8" s="312" t="s">
        <v>54</v>
      </c>
      <c r="E8" s="312" t="s">
        <v>86</v>
      </c>
      <c r="F8" s="312" t="s">
        <v>1472</v>
      </c>
      <c r="G8" s="312" t="s">
        <v>1409</v>
      </c>
    </row>
    <row r="9" spans="1:7" s="131" customFormat="1">
      <c r="A9" s="305" t="s">
        <v>27</v>
      </c>
      <c r="B9" s="305"/>
      <c r="C9" s="306"/>
      <c r="D9" s="306"/>
      <c r="E9" s="306"/>
      <c r="F9" s="306"/>
      <c r="G9" s="307"/>
    </row>
    <row r="10" spans="1:7" s="308" customFormat="1" ht="151.80000000000001">
      <c r="A10" s="20" t="s">
        <v>206</v>
      </c>
      <c r="B10" s="20" t="s">
        <v>2327</v>
      </c>
      <c r="C10" s="309" t="s">
        <v>2003</v>
      </c>
      <c r="D10" s="309" t="s">
        <v>2004</v>
      </c>
      <c r="E10" s="309" t="s">
        <v>2005</v>
      </c>
      <c r="F10" s="20"/>
      <c r="G10" s="310"/>
    </row>
    <row r="11" spans="1:7" s="308" customFormat="1" ht="151.80000000000001">
      <c r="A11" s="20" t="s">
        <v>207</v>
      </c>
      <c r="B11" s="20" t="s">
        <v>2328</v>
      </c>
      <c r="C11" s="309" t="s">
        <v>2144</v>
      </c>
      <c r="D11" s="309" t="s">
        <v>2145</v>
      </c>
      <c r="E11" s="309" t="s">
        <v>2006</v>
      </c>
      <c r="F11" s="309"/>
      <c r="G11" s="310"/>
    </row>
    <row r="12" spans="1:7" s="133" customFormat="1">
      <c r="A12" s="305" t="s">
        <v>28</v>
      </c>
      <c r="B12" s="305"/>
      <c r="C12" s="306"/>
      <c r="D12" s="306"/>
      <c r="E12" s="306" t="s">
        <v>1477</v>
      </c>
      <c r="F12" s="306"/>
      <c r="G12" s="307"/>
    </row>
    <row r="13" spans="1:7" s="133" customFormat="1" ht="165.6">
      <c r="A13" s="20" t="s">
        <v>208</v>
      </c>
      <c r="B13" s="20" t="s">
        <v>2329</v>
      </c>
      <c r="C13" s="309" t="s">
        <v>2007</v>
      </c>
      <c r="D13" s="309" t="s">
        <v>2008</v>
      </c>
      <c r="E13" s="309" t="s">
        <v>2009</v>
      </c>
      <c r="F13" s="309"/>
      <c r="G13" s="310"/>
    </row>
    <row r="14" spans="1:7" s="131" customFormat="1" ht="138">
      <c r="A14" s="20" t="s">
        <v>209</v>
      </c>
      <c r="B14" s="20" t="s">
        <v>2330</v>
      </c>
      <c r="C14" s="309" t="s">
        <v>2010</v>
      </c>
      <c r="D14" s="309" t="s">
        <v>2011</v>
      </c>
      <c r="E14" s="309" t="s">
        <v>2012</v>
      </c>
      <c r="F14" s="309"/>
      <c r="G14" s="310"/>
    </row>
    <row r="15" spans="1:7" s="308" customFormat="1" ht="165.6">
      <c r="A15" s="20" t="s">
        <v>210</v>
      </c>
      <c r="B15" s="20" t="s">
        <v>2331</v>
      </c>
      <c r="C15" s="309" t="s">
        <v>2013</v>
      </c>
      <c r="D15" s="309" t="s">
        <v>2146</v>
      </c>
      <c r="E15" s="309" t="s">
        <v>2147</v>
      </c>
      <c r="F15" s="309"/>
      <c r="G15" s="310"/>
    </row>
    <row r="16" spans="1:7" s="133" customFormat="1">
      <c r="A16" s="305" t="s">
        <v>29</v>
      </c>
      <c r="B16" s="305"/>
      <c r="C16" s="306"/>
      <c r="D16" s="306"/>
      <c r="E16" s="306" t="s">
        <v>1477</v>
      </c>
      <c r="F16" s="306"/>
      <c r="G16" s="307"/>
    </row>
    <row r="17" spans="1:7" s="133" customFormat="1" ht="165.6">
      <c r="A17" s="20" t="s">
        <v>211</v>
      </c>
      <c r="B17" s="20" t="s">
        <v>2332</v>
      </c>
      <c r="C17" s="309" t="s">
        <v>2014</v>
      </c>
      <c r="D17" s="309" t="s">
        <v>2015</v>
      </c>
      <c r="E17" s="309" t="s">
        <v>2016</v>
      </c>
      <c r="F17" s="309"/>
      <c r="G17" s="310"/>
    </row>
    <row r="18" spans="1:7" s="131" customFormat="1" ht="151.80000000000001">
      <c r="A18" s="20" t="s">
        <v>212</v>
      </c>
      <c r="B18" s="20" t="s">
        <v>2333</v>
      </c>
      <c r="C18" s="309" t="s">
        <v>2017</v>
      </c>
      <c r="D18" s="309" t="s">
        <v>2018</v>
      </c>
      <c r="E18" s="309" t="s">
        <v>2019</v>
      </c>
      <c r="F18" s="309"/>
      <c r="G18" s="310"/>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0070C0"/>
  </sheetPr>
  <dimension ref="A1:R24"/>
  <sheetViews>
    <sheetView topLeftCell="A21" workbookViewId="0">
      <selection activeCell="B25" sqref="B25"/>
    </sheetView>
  </sheetViews>
  <sheetFormatPr defaultColWidth="8.77734375" defaultRowHeight="13.8"/>
  <cols>
    <col min="1" max="1" width="10.21875" style="295" customWidth="1"/>
    <col min="2" max="2" width="53.21875" style="295" customWidth="1"/>
    <col min="3" max="4" width="21.44140625" style="295" customWidth="1"/>
    <col min="5" max="5" width="73.21875" style="295" customWidth="1"/>
    <col min="6" max="6" width="24.44140625" style="295" customWidth="1"/>
    <col min="7" max="7" width="21.44140625" style="291" customWidth="1"/>
    <col min="8" max="18" width="8.77734375" style="291"/>
    <col min="19" max="16384" width="8.77734375" style="295"/>
  </cols>
  <sheetData>
    <row r="1" spans="1:7" s="133" customFormat="1" ht="25.8">
      <c r="A1" s="288" t="s">
        <v>2020</v>
      </c>
      <c r="B1" s="289"/>
      <c r="C1" s="290"/>
      <c r="D1" s="289"/>
      <c r="E1" s="289"/>
      <c r="F1" s="289"/>
      <c r="G1" s="291"/>
    </row>
    <row r="2" spans="1:7" s="133" customFormat="1" ht="25.8">
      <c r="A2" s="288" t="s">
        <v>2021</v>
      </c>
      <c r="B2" s="289"/>
      <c r="C2" s="290"/>
      <c r="D2" s="289"/>
      <c r="E2" s="289"/>
      <c r="F2" s="289"/>
      <c r="G2" s="291"/>
    </row>
    <row r="3" spans="1:7" s="131" customFormat="1">
      <c r="A3" s="292" t="s">
        <v>23</v>
      </c>
      <c r="B3" s="289" t="s">
        <v>2022</v>
      </c>
      <c r="C3" s="289"/>
      <c r="D3" s="289"/>
      <c r="E3" s="289"/>
      <c r="F3" s="289"/>
      <c r="G3" s="291"/>
    </row>
    <row r="4" spans="1:7" s="308" customFormat="1">
      <c r="A4" s="292" t="s">
        <v>1569</v>
      </c>
      <c r="B4" s="289" t="s">
        <v>2023</v>
      </c>
      <c r="C4" s="289"/>
      <c r="D4" s="289"/>
      <c r="E4" s="289"/>
      <c r="F4" s="289"/>
      <c r="G4" s="291"/>
    </row>
    <row r="5" spans="1:7" s="133" customFormat="1">
      <c r="A5" s="289" t="s">
        <v>25</v>
      </c>
      <c r="B5" s="289" t="s">
        <v>2024</v>
      </c>
      <c r="C5" s="289"/>
      <c r="D5" s="289"/>
      <c r="E5" s="289"/>
      <c r="F5" s="289"/>
      <c r="G5" s="291"/>
    </row>
    <row r="6" spans="1:7" s="133" customFormat="1">
      <c r="A6" s="289" t="s">
        <v>1571</v>
      </c>
      <c r="B6" s="289" t="s">
        <v>2025</v>
      </c>
      <c r="C6" s="289"/>
      <c r="D6" s="289"/>
      <c r="E6" s="289"/>
      <c r="F6" s="289"/>
      <c r="G6" s="291"/>
    </row>
    <row r="7" spans="1:7" s="131" customFormat="1">
      <c r="A7" s="295"/>
      <c r="B7" s="295"/>
      <c r="C7" s="295"/>
      <c r="D7" s="295"/>
      <c r="E7" s="295"/>
      <c r="F7" s="295"/>
      <c r="G7" s="289"/>
    </row>
    <row r="8" spans="1:7" s="308" customFormat="1">
      <c r="A8" s="312"/>
      <c r="B8" s="312"/>
      <c r="C8" s="312" t="s">
        <v>65</v>
      </c>
      <c r="D8" s="312" t="s">
        <v>54</v>
      </c>
      <c r="E8" s="312" t="s">
        <v>86</v>
      </c>
      <c r="F8" s="312" t="s">
        <v>1472</v>
      </c>
      <c r="G8" s="312" t="s">
        <v>1409</v>
      </c>
    </row>
    <row r="9" spans="1:7" s="133" customFormat="1">
      <c r="A9" s="305" t="s">
        <v>27</v>
      </c>
      <c r="B9" s="305"/>
      <c r="C9" s="306"/>
      <c r="D9" s="306"/>
      <c r="E9" s="306"/>
      <c r="F9" s="306"/>
      <c r="G9" s="307"/>
    </row>
    <row r="10" spans="1:7" s="133" customFormat="1" ht="110.4">
      <c r="A10" s="20" t="s">
        <v>2026</v>
      </c>
      <c r="B10" s="20" t="s">
        <v>2334</v>
      </c>
      <c r="C10" s="309" t="s">
        <v>2027</v>
      </c>
      <c r="D10" s="309" t="s">
        <v>2028</v>
      </c>
      <c r="E10" s="309" t="s">
        <v>2029</v>
      </c>
      <c r="F10" s="309"/>
      <c r="G10" s="310"/>
    </row>
    <row r="11" spans="1:7" s="131" customFormat="1" ht="96.6">
      <c r="A11" s="20" t="s">
        <v>2030</v>
      </c>
      <c r="B11" s="20" t="s">
        <v>2335</v>
      </c>
      <c r="C11" s="309" t="s">
        <v>2031</v>
      </c>
      <c r="D11" s="309" t="s">
        <v>2032</v>
      </c>
      <c r="E11" s="309" t="s">
        <v>2033</v>
      </c>
      <c r="F11" s="309"/>
      <c r="G11" s="310"/>
    </row>
    <row r="12" spans="1:7" s="131" customFormat="1" ht="82.8">
      <c r="A12" s="20" t="s">
        <v>2034</v>
      </c>
      <c r="B12" s="20" t="s">
        <v>2336</v>
      </c>
      <c r="C12" s="309" t="s">
        <v>2035</v>
      </c>
      <c r="D12" s="309" t="s">
        <v>2036</v>
      </c>
      <c r="E12" s="309" t="s">
        <v>2037</v>
      </c>
      <c r="F12" s="309"/>
      <c r="G12" s="310"/>
    </row>
    <row r="13" spans="1:7" s="308" customFormat="1" ht="69">
      <c r="A13" s="20" t="s">
        <v>2038</v>
      </c>
      <c r="B13" s="20" t="s">
        <v>2337</v>
      </c>
      <c r="C13" s="309" t="s">
        <v>2039</v>
      </c>
      <c r="D13" s="309" t="s">
        <v>2040</v>
      </c>
      <c r="E13" s="309" t="s">
        <v>2041</v>
      </c>
      <c r="F13" s="309"/>
      <c r="G13" s="310"/>
    </row>
    <row r="14" spans="1:7" s="308" customFormat="1">
      <c r="A14" s="305" t="s">
        <v>28</v>
      </c>
      <c r="B14" s="305"/>
      <c r="C14" s="306"/>
      <c r="D14" s="306"/>
      <c r="E14" s="306" t="s">
        <v>1477</v>
      </c>
      <c r="F14" s="306"/>
      <c r="G14" s="307"/>
    </row>
    <row r="15" spans="1:7" s="133" customFormat="1" ht="96.6">
      <c r="A15" s="20" t="s">
        <v>2042</v>
      </c>
      <c r="B15" s="20" t="s">
        <v>2338</v>
      </c>
      <c r="C15" s="309" t="s">
        <v>2043</v>
      </c>
      <c r="D15" s="309" t="s">
        <v>2044</v>
      </c>
      <c r="E15" s="309" t="s">
        <v>2045</v>
      </c>
      <c r="F15" s="309"/>
      <c r="G15" s="310"/>
    </row>
    <row r="16" spans="1:7" s="133" customFormat="1" ht="124.2">
      <c r="A16" s="20" t="s">
        <v>2046</v>
      </c>
      <c r="B16" s="20" t="s">
        <v>2339</v>
      </c>
      <c r="C16" s="309" t="s">
        <v>2047</v>
      </c>
      <c r="D16" s="309" t="s">
        <v>2048</v>
      </c>
      <c r="E16" s="309" t="s">
        <v>2049</v>
      </c>
      <c r="F16" s="309"/>
      <c r="G16" s="310"/>
    </row>
    <row r="17" spans="1:7" s="131" customFormat="1" ht="138">
      <c r="A17" s="20" t="s">
        <v>2050</v>
      </c>
      <c r="B17" s="20" t="s">
        <v>2340</v>
      </c>
      <c r="C17" s="309" t="s">
        <v>2051</v>
      </c>
      <c r="D17" s="309" t="s">
        <v>2052</v>
      </c>
      <c r="E17" s="309" t="s">
        <v>2053</v>
      </c>
      <c r="F17" s="309"/>
      <c r="G17" s="310"/>
    </row>
    <row r="18" spans="1:7" s="131" customFormat="1" ht="69">
      <c r="A18" s="20" t="s">
        <v>2054</v>
      </c>
      <c r="B18" s="20" t="s">
        <v>2341</v>
      </c>
      <c r="C18" s="309" t="s">
        <v>2055</v>
      </c>
      <c r="D18" s="309" t="s">
        <v>2056</v>
      </c>
      <c r="E18" s="309" t="s">
        <v>2057</v>
      </c>
      <c r="F18" s="309"/>
      <c r="G18" s="310"/>
    </row>
    <row r="19" spans="1:7" s="308" customFormat="1" ht="69">
      <c r="A19" s="20" t="s">
        <v>2058</v>
      </c>
      <c r="B19" s="20" t="s">
        <v>2342</v>
      </c>
      <c r="C19" s="309" t="s">
        <v>2059</v>
      </c>
      <c r="D19" s="309" t="s">
        <v>2060</v>
      </c>
      <c r="E19" s="309" t="s">
        <v>2061</v>
      </c>
      <c r="F19" s="309"/>
      <c r="G19" s="310"/>
    </row>
    <row r="20" spans="1:7" s="133" customFormat="1">
      <c r="A20" s="305" t="s">
        <v>29</v>
      </c>
      <c r="B20" s="305"/>
      <c r="C20" s="306"/>
      <c r="D20" s="306"/>
      <c r="E20" s="306" t="s">
        <v>1477</v>
      </c>
      <c r="F20" s="306"/>
      <c r="G20" s="307"/>
    </row>
    <row r="21" spans="1:7" s="133" customFormat="1" ht="124.2">
      <c r="A21" s="20" t="s">
        <v>2062</v>
      </c>
      <c r="B21" s="20" t="s">
        <v>2343</v>
      </c>
      <c r="C21" s="309" t="s">
        <v>2063</v>
      </c>
      <c r="D21" s="309" t="s">
        <v>2064</v>
      </c>
      <c r="E21" s="309" t="s">
        <v>2065</v>
      </c>
      <c r="F21" s="309"/>
      <c r="G21" s="310"/>
    </row>
    <row r="22" spans="1:7" s="131" customFormat="1" ht="138">
      <c r="A22" s="20" t="s">
        <v>2066</v>
      </c>
      <c r="B22" s="20" t="s">
        <v>2344</v>
      </c>
      <c r="C22" s="309" t="s">
        <v>2148</v>
      </c>
      <c r="D22" s="309" t="s">
        <v>2067</v>
      </c>
      <c r="E22" s="309" t="s">
        <v>2068</v>
      </c>
      <c r="F22" s="309"/>
      <c r="G22" s="310"/>
    </row>
    <row r="23" spans="1:7" s="303" customFormat="1">
      <c r="A23" s="305" t="s">
        <v>371</v>
      </c>
      <c r="B23" s="305"/>
      <c r="C23" s="306"/>
      <c r="D23" s="306"/>
      <c r="E23" s="306" t="s">
        <v>1477</v>
      </c>
      <c r="F23" s="306"/>
      <c r="G23" s="307"/>
    </row>
    <row r="24" spans="1:7" s="303" customFormat="1" ht="138">
      <c r="A24" s="20" t="s">
        <v>2069</v>
      </c>
      <c r="B24" s="20" t="s">
        <v>2345</v>
      </c>
      <c r="C24" s="309" t="s">
        <v>2070</v>
      </c>
      <c r="D24" s="309" t="s">
        <v>2071</v>
      </c>
      <c r="E24" s="309" t="s">
        <v>2072</v>
      </c>
      <c r="F24" s="309"/>
      <c r="G24" s="310"/>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1136</v>
      </c>
    </row>
    <row r="2" spans="1:17" s="61" customFormat="1" ht="21">
      <c r="A2" s="60" t="s">
        <v>1509</v>
      </c>
    </row>
    <row r="3" spans="1:17">
      <c r="A3" s="62" t="s">
        <v>2073</v>
      </c>
      <c r="B3" s="63" t="s">
        <v>2074</v>
      </c>
    </row>
    <row r="4" spans="1:17">
      <c r="A4" s="63" t="s">
        <v>1403</v>
      </c>
      <c r="B4" s="63" t="s">
        <v>1511</v>
      </c>
    </row>
    <row r="5" spans="1:17">
      <c r="A5" s="62" t="s">
        <v>2075</v>
      </c>
      <c r="B5" s="63" t="s">
        <v>2076</v>
      </c>
    </row>
    <row r="6" spans="1:17">
      <c r="A6" s="63" t="s">
        <v>1407</v>
      </c>
      <c r="B6" s="63" t="s">
        <v>1513</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sheetData>
  <phoneticPr fontId="61" type="noConversion"/>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276" customWidth="1"/>
    <col min="5" max="24" width="4.33203125" style="276" customWidth="1"/>
  </cols>
  <sheetData>
    <row r="1" spans="1:24" ht="31.8">
      <c r="A1" t="s">
        <v>1232</v>
      </c>
      <c r="C1" t="s">
        <v>2077</v>
      </c>
      <c r="E1" s="277" t="s">
        <v>1329</v>
      </c>
      <c r="F1" s="277" t="s">
        <v>1328</v>
      </c>
      <c r="G1" s="277" t="s">
        <v>1332</v>
      </c>
      <c r="H1" s="277" t="s">
        <v>1330</v>
      </c>
      <c r="I1" s="277" t="s">
        <v>1333</v>
      </c>
      <c r="J1" s="277" t="s">
        <v>1331</v>
      </c>
      <c r="K1" s="277" t="s">
        <v>1336</v>
      </c>
      <c r="L1" s="277" t="s">
        <v>1335</v>
      </c>
      <c r="M1" s="277" t="s">
        <v>1334</v>
      </c>
      <c r="N1" s="277" t="s">
        <v>1337</v>
      </c>
      <c r="O1" s="277" t="s">
        <v>1338</v>
      </c>
      <c r="P1" s="277" t="s">
        <v>1341</v>
      </c>
      <c r="Q1" s="277" t="s">
        <v>1339</v>
      </c>
      <c r="R1" s="277" t="s">
        <v>1340</v>
      </c>
      <c r="S1" s="277" t="s">
        <v>1342</v>
      </c>
      <c r="T1" s="277" t="s">
        <v>1344</v>
      </c>
      <c r="U1" s="277" t="s">
        <v>1343</v>
      </c>
      <c r="V1" s="277" t="s">
        <v>1345</v>
      </c>
      <c r="W1" s="277" t="s">
        <v>1326</v>
      </c>
      <c r="X1" s="277" t="s">
        <v>1327</v>
      </c>
    </row>
    <row r="2" spans="1:24">
      <c r="A2" t="s">
        <v>2078</v>
      </c>
      <c r="B2" s="278"/>
      <c r="C2" s="278"/>
    </row>
    <row r="3" spans="1:24">
      <c r="A3" t="s">
        <v>2079</v>
      </c>
      <c r="B3" s="278"/>
    </row>
    <row r="4" spans="1:24">
      <c r="A4" t="s">
        <v>2080</v>
      </c>
      <c r="B4" s="278"/>
    </row>
    <row r="5" spans="1:24">
      <c r="B5" s="278"/>
    </row>
    <row r="6" spans="1:24">
      <c r="A6" t="s">
        <v>2081</v>
      </c>
      <c r="B6" s="278"/>
      <c r="C6" s="278"/>
    </row>
    <row r="7" spans="1:24">
      <c r="B7" s="278"/>
    </row>
    <row r="8" spans="1:24">
      <c r="A8" t="s">
        <v>2082</v>
      </c>
      <c r="B8" s="278"/>
      <c r="D8" s="276">
        <f>COUNTIF(E8:Y8,"x")</f>
        <v>0</v>
      </c>
    </row>
    <row r="9" spans="1:24">
      <c r="A9" t="s">
        <v>2082</v>
      </c>
      <c r="B9" s="278"/>
      <c r="D9" s="276">
        <f t="shared" ref="D9:D14" si="0">COUNTIF(E9:Y9,"x")</f>
        <v>0</v>
      </c>
    </row>
    <row r="10" spans="1:24">
      <c r="A10" t="s">
        <v>2082</v>
      </c>
      <c r="B10" s="278"/>
      <c r="D10" s="276">
        <f t="shared" si="0"/>
        <v>0</v>
      </c>
    </row>
    <row r="11" spans="1:24">
      <c r="A11" t="s">
        <v>2082</v>
      </c>
      <c r="B11" s="278"/>
      <c r="D11" s="276">
        <f t="shared" si="0"/>
        <v>0</v>
      </c>
    </row>
    <row r="12" spans="1:24">
      <c r="A12" t="s">
        <v>2082</v>
      </c>
      <c r="B12" s="278"/>
      <c r="D12" s="276">
        <f t="shared" si="0"/>
        <v>0</v>
      </c>
    </row>
    <row r="13" spans="1:24">
      <c r="A13" t="s">
        <v>2082</v>
      </c>
      <c r="B13" s="278"/>
      <c r="D13" s="276">
        <f t="shared" si="0"/>
        <v>0</v>
      </c>
    </row>
    <row r="14" spans="1:24">
      <c r="A14" t="s">
        <v>2082</v>
      </c>
      <c r="B14" s="278"/>
      <c r="D14" s="276">
        <f t="shared" si="0"/>
        <v>0</v>
      </c>
    </row>
    <row r="15" spans="1:24">
      <c r="B15" s="278"/>
      <c r="E15" s="276">
        <f t="shared" ref="E15:X15" si="1">COUNTIF(E6:E14,"x")</f>
        <v>0</v>
      </c>
      <c r="F15" s="276">
        <f t="shared" si="1"/>
        <v>0</v>
      </c>
      <c r="G15" s="276">
        <f t="shared" si="1"/>
        <v>0</v>
      </c>
      <c r="H15" s="276">
        <f t="shared" si="1"/>
        <v>0</v>
      </c>
      <c r="I15" s="276">
        <f t="shared" si="1"/>
        <v>0</v>
      </c>
      <c r="J15" s="276">
        <f t="shared" si="1"/>
        <v>0</v>
      </c>
      <c r="K15" s="276">
        <f t="shared" si="1"/>
        <v>0</v>
      </c>
      <c r="L15" s="276">
        <f t="shared" si="1"/>
        <v>0</v>
      </c>
      <c r="M15" s="276">
        <f t="shared" si="1"/>
        <v>0</v>
      </c>
      <c r="N15" s="276">
        <f t="shared" si="1"/>
        <v>0</v>
      </c>
      <c r="O15" s="276">
        <f t="shared" si="1"/>
        <v>0</v>
      </c>
      <c r="P15" s="276">
        <f t="shared" si="1"/>
        <v>0</v>
      </c>
      <c r="Q15" s="276">
        <f t="shared" si="1"/>
        <v>0</v>
      </c>
      <c r="R15" s="276">
        <f t="shared" si="1"/>
        <v>0</v>
      </c>
      <c r="S15" s="276">
        <f t="shared" si="1"/>
        <v>0</v>
      </c>
      <c r="T15" s="276">
        <f t="shared" si="1"/>
        <v>0</v>
      </c>
      <c r="U15" s="276">
        <f t="shared" si="1"/>
        <v>0</v>
      </c>
      <c r="V15" s="276">
        <f t="shared" si="1"/>
        <v>0</v>
      </c>
      <c r="W15" s="276">
        <f t="shared" si="1"/>
        <v>0</v>
      </c>
      <c r="X15" s="276">
        <f t="shared" si="1"/>
        <v>0</v>
      </c>
    </row>
    <row r="17" spans="3:3">
      <c r="C17" s="279" t="s">
        <v>2083</v>
      </c>
    </row>
    <row r="18" spans="3:3">
      <c r="C18" s="280" t="s">
        <v>2084</v>
      </c>
    </row>
    <row r="19" spans="3:3">
      <c r="C19" s="281" t="s">
        <v>2085</v>
      </c>
    </row>
    <row r="20" spans="3:3">
      <c r="C20" s="282" t="s">
        <v>2086</v>
      </c>
    </row>
  </sheetData>
  <phoneticPr fontId="61" type="noConversion"/>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61"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SharedWithUsers xmlns="ec500478-62e0-46fc-87f1-cfa988e486b4">
      <UserInfo>
        <DisplayName>Bianca Nell</DisplayName>
        <AccountId>21</AccountId>
        <AccountType/>
      </UserInfo>
      <UserInfo>
        <DisplayName>Melanie van Zyl</DisplayName>
        <AccountId>38</AccountId>
        <AccountType/>
      </UserInfo>
    </SharedWithUsers>
    <lcf76f155ced4ddcb4097134ff3c332f xmlns="25bcabcf-d275-4206-9fb1-2f2d419cd22b">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2.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ec500478-62e0-46fc-87f1-cfa988e486b4"/>
    <ds:schemaRef ds:uri="25bcabcf-d275-4206-9fb1-2f2d419cd22b"/>
    <ds:schemaRef ds:uri="f366be14-7381-43f6-96f9-9d7bb28bad97"/>
  </ds:schemaRefs>
</ds:datastoreItem>
</file>

<file path=customXml/itemProps3.xml><?xml version="1.0" encoding="utf-8"?>
<ds:datastoreItem xmlns:ds="http://schemas.openxmlformats.org/officeDocument/2006/customXml" ds:itemID="{863D29C7-0469-4DA8-9CF6-19120AB5DAE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PLAN</vt:lpstr>
      <vt:lpstr>PQA</vt:lpstr>
      <vt:lpstr>PAD</vt:lpstr>
      <vt:lpstr>PCM</vt:lpstr>
      <vt:lpstr>RSK</vt:lpstr>
      <vt:lpstr>RDM</vt:lpstr>
      <vt:lpstr>PI</vt:lpstr>
      <vt:lpstr>TS</vt:lpstr>
      <vt:lpstr>VV</vt:lpstr>
      <vt:lpstr>SAM</vt:lpstr>
      <vt:lpstr>Template2</vt:lpstr>
      <vt:lpstr>ATM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2025-04-24T17:03:49Z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